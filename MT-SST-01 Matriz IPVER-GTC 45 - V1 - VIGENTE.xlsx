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2.xml" ContentType="application/vnd.openxmlformats-officedocument.spreadsheetml.comments+xml"/>
  <Override PartName="/xl/drawings/drawing5.xml" ContentType="application/vnd.openxmlformats-officedocument.drawing+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codeName="ThisWorkbook" autoCompressPictures="0" defaultThemeVersion="124226"/>
  <mc:AlternateContent xmlns:mc="http://schemas.openxmlformats.org/markup-compatibility/2006">
    <mc:Choice Requires="x15">
      <x15ac:absPath xmlns:x15ac="http://schemas.microsoft.com/office/spreadsheetml/2010/11/ac" url="https://caribedetransportes-my.sharepoint.com/personal/sst_caritrans_co/Documents/SG-SST/3. HACER 60%/4.1.1 Metodología para la identificación, evaluación y valoración de peligros/01 Matriz de riesgo/"/>
    </mc:Choice>
  </mc:AlternateContent>
  <xr:revisionPtr revIDLastSave="575" documentId="13_ncr:1_{E482A165-92CB-4909-9338-72E45F6DBD03}" xr6:coauthVersionLast="47" xr6:coauthVersionMax="47" xr10:uidLastSave="{C0BF2978-3007-4775-A1B3-03EA2715142D}"/>
  <bookViews>
    <workbookView xWindow="-120" yWindow="-120" windowWidth="20730" windowHeight="11160" activeTab="5" xr2:uid="{00000000-000D-0000-FFFF-FFFF00000000}"/>
  </bookViews>
  <sheets>
    <sheet name="Control de Cambios" sheetId="80" r:id="rId1"/>
    <sheet name="Criterios " sheetId="5" r:id="rId2"/>
    <sheet name="Factores de riesgo" sheetId="44" r:id="rId3"/>
    <sheet name="Hoja2" sheetId="83" state="hidden" r:id="rId4"/>
    <sheet name="MATRIZ (EJEMPLO)" sheetId="82" state="hidden" r:id="rId5"/>
    <sheet name="Matriz" sheetId="78" r:id="rId6"/>
    <sheet name="Clasificación Psicosocial" sheetId="81" state="hidden" r:id="rId7"/>
    <sheet name="Medidas de intervención" sheetId="72" state="hidden" r:id="rId8"/>
    <sheet name="INDICE" sheetId="73" state="hidden" r:id="rId9"/>
    <sheet name="Hoja1" sheetId="79" state="hidden" r:id="rId10"/>
  </sheets>
  <externalReferences>
    <externalReference r:id="rId11"/>
    <externalReference r:id="rId12"/>
    <externalReference r:id="rId13"/>
  </externalReferences>
  <definedNames>
    <definedName name="_xlnm._FilterDatabase" localSheetId="6" hidden="1">'Clasificación Psicosocial'!$A$1:$C$44</definedName>
    <definedName name="_xlnm._FilterDatabase" localSheetId="0" hidden="1">'Control de Cambios'!$A$3:$C$29</definedName>
    <definedName name="_xlnm._FilterDatabase" localSheetId="5" hidden="1">Matriz!$A$6:$EES$178</definedName>
    <definedName name="_xlnm._FilterDatabase" localSheetId="4" hidden="1">'MATRIZ (EJEMPLO)'!$A$6:$EEN$439</definedName>
    <definedName name="Administrativos">#REF!</definedName>
    <definedName name="Apoyo">#REF!</definedName>
    <definedName name="Clasificación" localSheetId="7">'Medidas de intervención'!#REF!</definedName>
    <definedName name="Clasificación">'Factores de riesgo'!$B$83:$B$89</definedName>
    <definedName name="Controles" localSheetId="7">'Medidas de intervención'!$B$20:$B$30</definedName>
    <definedName name="Daños" localSheetId="7">'Medidas de intervención'!$B$67:$B$68</definedName>
    <definedName name="Deficiencia" localSheetId="7">'Medidas de intervención'!#REF!</definedName>
    <definedName name="Efectos" localSheetId="7">'Medidas de intervención'!#REF!</definedName>
    <definedName name="Eliminación" localSheetId="7">'Medidas de intervención'!$B$3:$B$19</definedName>
    <definedName name="Eliminación">[1]Listas!$B$60:$B$76</definedName>
    <definedName name="epp" localSheetId="7">'Medidas de intervención'!$B$31:$B$61</definedName>
    <definedName name="Estado" localSheetId="7">'Medidas de intervención'!#REF!</definedName>
    <definedName name="estimacion1">'[2]VPP - Pavimento'!$IF$1:$IG$10</definedName>
    <definedName name="Factores">'Factores de riesgo'!$B$5:$B$78</definedName>
    <definedName name="Peligros" localSheetId="7">'Medidas de intervención'!#REF!</definedName>
    <definedName name="Procesos" localSheetId="2">'Factores de riesgo'!$B$42:$B$53</definedName>
    <definedName name="Procesos" localSheetId="7">'Medidas de intervención'!#REF!</definedName>
    <definedName name="Procesos">#REF!</definedName>
    <definedName name="Señalización" localSheetId="7">'Medidas de intervención'!$F$13:$F$42</definedName>
    <definedName name="Señalización">[1]Listas!$B$99:$B$127</definedName>
    <definedName name="Sustitución" localSheetId="7">'Medidas de intervención'!$F$3:$F$13</definedName>
    <definedName name="Sustitución">[1]Listas!$B$77:$B$87</definedName>
    <definedName name="_xlnm.Print_Titles" localSheetId="1">'Criterios '!$1:$1</definedName>
    <definedName name="_xlnm.Print_Titles" localSheetId="7">'Medidas de intervención'!$1:$1</definedName>
    <definedName name="valores">[3]OBRAS!$IK$1:$IL$10</definedName>
    <definedName name="x" localSheetId="7">#REF!</definedName>
    <definedName name="y" localSheetId="7">'Medidas de intervención'!#REF!</definedName>
  </definedNames>
  <calcPr calcId="181029"/>
  <fileRecoveryPr autoRecover="0"/>
  <extLst>
    <ext xmlns:mx="http://schemas.microsoft.com/office/mac/excel/2008/main" uri="{7523E5D3-25F3-A5E0-1632-64F254C22452}">
      <mx:ArchID Flags="2"/>
    </ext>
  </extLst>
</workbook>
</file>

<file path=xl/calcChain.xml><?xml version="1.0" encoding="utf-8"?>
<calcChain xmlns="http://schemas.openxmlformats.org/spreadsheetml/2006/main">
  <c r="Y109" i="78" l="1"/>
  <c r="Z109" i="78" s="1"/>
  <c r="AA109" i="78" s="1"/>
  <c r="Y97" i="78"/>
  <c r="U97" i="78"/>
  <c r="S97" i="78"/>
  <c r="V97" i="78" l="1"/>
  <c r="W97" i="78" s="1"/>
  <c r="Y96" i="78"/>
  <c r="U96" i="78"/>
  <c r="S96" i="78"/>
  <c r="S42" i="78"/>
  <c r="U42" i="78"/>
  <c r="Y42" i="78"/>
  <c r="Z97" i="78" l="1"/>
  <c r="AA97" i="78" s="1"/>
  <c r="V96" i="78"/>
  <c r="W96" i="78" s="1"/>
  <c r="V42" i="78"/>
  <c r="W42" i="78" s="1"/>
  <c r="Z96" i="78" l="1"/>
  <c r="AA96" i="78" s="1"/>
  <c r="Z42" i="78"/>
  <c r="AA42" i="78" s="1"/>
  <c r="W418" i="82"/>
  <c r="S418" i="82"/>
  <c r="Q418" i="82"/>
  <c r="T418" i="82" l="1"/>
  <c r="U418" i="82" s="1"/>
  <c r="X418" i="82" l="1"/>
  <c r="Y418" i="82" s="1"/>
  <c r="W82" i="82" l="1"/>
  <c r="S82" i="82"/>
  <c r="Q82" i="82"/>
  <c r="W415" i="82"/>
  <c r="S415" i="82"/>
  <c r="Q415" i="82"/>
  <c r="W364" i="82"/>
  <c r="S364" i="82"/>
  <c r="Q364" i="82"/>
  <c r="W222" i="82"/>
  <c r="S222" i="82"/>
  <c r="Q222" i="82"/>
  <c r="T82" i="82" l="1"/>
  <c r="T415" i="82"/>
  <c r="X415" i="82" s="1"/>
  <c r="Y415" i="82" s="1"/>
  <c r="T364" i="82"/>
  <c r="X364" i="82" s="1"/>
  <c r="Y364" i="82" s="1"/>
  <c r="T222" i="82"/>
  <c r="X222" i="82" s="1"/>
  <c r="Y222" i="82" s="1"/>
  <c r="W414" i="82"/>
  <c r="S414" i="82"/>
  <c r="Q414" i="82"/>
  <c r="W439" i="82"/>
  <c r="S439" i="82"/>
  <c r="Q439" i="82"/>
  <c r="W438" i="82"/>
  <c r="S438" i="82"/>
  <c r="Q438" i="82"/>
  <c r="W437" i="82"/>
  <c r="S437" i="82"/>
  <c r="Q437" i="82"/>
  <c r="W436" i="82"/>
  <c r="S436" i="82"/>
  <c r="Q436" i="82"/>
  <c r="W435" i="82"/>
  <c r="S435" i="82"/>
  <c r="Q435" i="82"/>
  <c r="W434" i="82"/>
  <c r="S434" i="82"/>
  <c r="Q434" i="82"/>
  <c r="W433" i="82"/>
  <c r="S433" i="82"/>
  <c r="Q433" i="82"/>
  <c r="W432" i="82"/>
  <c r="S432" i="82"/>
  <c r="Q432" i="82"/>
  <c r="W431" i="82"/>
  <c r="T431" i="82"/>
  <c r="U431" i="82" s="1"/>
  <c r="W430" i="82"/>
  <c r="S430" i="82"/>
  <c r="Q430" i="82"/>
  <c r="W429" i="82"/>
  <c r="S429" i="82"/>
  <c r="Q429" i="82"/>
  <c r="W428" i="82"/>
  <c r="S428" i="82"/>
  <c r="Q428" i="82"/>
  <c r="W427" i="82"/>
  <c r="S427" i="82"/>
  <c r="Q427" i="82"/>
  <c r="W426" i="82"/>
  <c r="S426" i="82"/>
  <c r="Q426" i="82"/>
  <c r="W425" i="82"/>
  <c r="S425" i="82"/>
  <c r="Q425" i="82"/>
  <c r="W424" i="82"/>
  <c r="S424" i="82"/>
  <c r="Q424" i="82"/>
  <c r="W423" i="82"/>
  <c r="S423" i="82"/>
  <c r="Q423" i="82"/>
  <c r="W422" i="82"/>
  <c r="S422" i="82"/>
  <c r="Q422" i="82"/>
  <c r="W421" i="82"/>
  <c r="S421" i="82"/>
  <c r="Q421" i="82"/>
  <c r="W420" i="82"/>
  <c r="S420" i="82"/>
  <c r="Q420" i="82"/>
  <c r="W419" i="82"/>
  <c r="S419" i="82"/>
  <c r="Q419" i="82"/>
  <c r="W417" i="82"/>
  <c r="S417" i="82"/>
  <c r="Q417" i="82"/>
  <c r="W416" i="82"/>
  <c r="S416" i="82"/>
  <c r="Q416" i="82"/>
  <c r="W413" i="82"/>
  <c r="S413" i="82"/>
  <c r="Q413" i="82"/>
  <c r="W412" i="82"/>
  <c r="S412" i="82"/>
  <c r="Q412" i="82"/>
  <c r="W411" i="82"/>
  <c r="S411" i="82"/>
  <c r="Q411" i="82"/>
  <c r="W410" i="82"/>
  <c r="S410" i="82"/>
  <c r="Q410" i="82"/>
  <c r="W409" i="82"/>
  <c r="S409" i="82"/>
  <c r="Q409" i="82"/>
  <c r="W408" i="82"/>
  <c r="S408" i="82"/>
  <c r="Q408" i="82"/>
  <c r="W407" i="82"/>
  <c r="S407" i="82"/>
  <c r="Q407" i="82"/>
  <c r="W406" i="82"/>
  <c r="S406" i="82"/>
  <c r="Q406" i="82"/>
  <c r="W405" i="82"/>
  <c r="S405" i="82"/>
  <c r="Q405" i="82"/>
  <c r="W404" i="82"/>
  <c r="S404" i="82"/>
  <c r="Q404" i="82"/>
  <c r="W403" i="82"/>
  <c r="S403" i="82"/>
  <c r="Q403" i="82"/>
  <c r="W402" i="82"/>
  <c r="S402" i="82"/>
  <c r="Q402" i="82"/>
  <c r="W401" i="82"/>
  <c r="S401" i="82"/>
  <c r="Q401" i="82"/>
  <c r="W400" i="82"/>
  <c r="S400" i="82"/>
  <c r="Q400" i="82"/>
  <c r="W399" i="82"/>
  <c r="S399" i="82"/>
  <c r="Q399" i="82"/>
  <c r="W398" i="82"/>
  <c r="S398" i="82"/>
  <c r="Q398" i="82"/>
  <c r="W397" i="82"/>
  <c r="S397" i="82"/>
  <c r="Q397" i="82"/>
  <c r="W396" i="82"/>
  <c r="S396" i="82"/>
  <c r="Q396" i="82"/>
  <c r="W395" i="82"/>
  <c r="S395" i="82"/>
  <c r="Q395" i="82"/>
  <c r="W394" i="82"/>
  <c r="S394" i="82"/>
  <c r="Q394" i="82"/>
  <c r="W393" i="82"/>
  <c r="S393" i="82"/>
  <c r="Q393" i="82"/>
  <c r="W392" i="82"/>
  <c r="S392" i="82"/>
  <c r="Q392" i="82"/>
  <c r="W391" i="82"/>
  <c r="S391" i="82"/>
  <c r="Q391" i="82"/>
  <c r="W390" i="82"/>
  <c r="S390" i="82"/>
  <c r="Q390" i="82"/>
  <c r="W389" i="82"/>
  <c r="S389" i="82"/>
  <c r="Q389" i="82"/>
  <c r="W388" i="82"/>
  <c r="S388" i="82"/>
  <c r="Q388" i="82"/>
  <c r="W387" i="82"/>
  <c r="S387" i="82"/>
  <c r="Q387" i="82"/>
  <c r="W386" i="82"/>
  <c r="S386" i="82"/>
  <c r="Q386" i="82"/>
  <c r="W385" i="82"/>
  <c r="S385" i="82"/>
  <c r="Q385" i="82"/>
  <c r="W384" i="82"/>
  <c r="S384" i="82"/>
  <c r="Q384" i="82"/>
  <c r="W383" i="82"/>
  <c r="S383" i="82"/>
  <c r="Q383" i="82"/>
  <c r="W382" i="82"/>
  <c r="S382" i="82"/>
  <c r="Q382" i="82"/>
  <c r="W381" i="82"/>
  <c r="S381" i="82"/>
  <c r="Q381" i="82"/>
  <c r="W380" i="82"/>
  <c r="S380" i="82"/>
  <c r="Q380" i="82"/>
  <c r="W379" i="82"/>
  <c r="S379" i="82"/>
  <c r="Q379" i="82"/>
  <c r="W378" i="82"/>
  <c r="S378" i="82"/>
  <c r="Q378" i="82"/>
  <c r="W377" i="82"/>
  <c r="S377" i="82"/>
  <c r="Q377" i="82"/>
  <c r="W376" i="82"/>
  <c r="S376" i="82"/>
  <c r="Q376" i="82"/>
  <c r="W375" i="82"/>
  <c r="S375" i="82"/>
  <c r="Q375" i="82"/>
  <c r="W374" i="82"/>
  <c r="S374" i="82"/>
  <c r="Q374" i="82"/>
  <c r="W373" i="82"/>
  <c r="S373" i="82"/>
  <c r="Q373" i="82"/>
  <c r="W372" i="82"/>
  <c r="S372" i="82"/>
  <c r="Q372" i="82"/>
  <c r="W371" i="82"/>
  <c r="S371" i="82"/>
  <c r="Q371" i="82"/>
  <c r="W370" i="82"/>
  <c r="S370" i="82"/>
  <c r="Q370" i="82"/>
  <c r="W369" i="82"/>
  <c r="S369" i="82"/>
  <c r="Q369" i="82"/>
  <c r="W368" i="82"/>
  <c r="S368" i="82"/>
  <c r="Q368" i="82"/>
  <c r="W367" i="82"/>
  <c r="S367" i="82"/>
  <c r="Q367" i="82"/>
  <c r="W366" i="82"/>
  <c r="S366" i="82"/>
  <c r="Q366" i="82"/>
  <c r="W365" i="82"/>
  <c r="S365" i="82"/>
  <c r="Q365" i="82"/>
  <c r="W363" i="82"/>
  <c r="S363" i="82"/>
  <c r="Q363" i="82"/>
  <c r="W362" i="82"/>
  <c r="S362" i="82"/>
  <c r="Q362" i="82"/>
  <c r="W361" i="82"/>
  <c r="S361" i="82"/>
  <c r="Q361" i="82"/>
  <c r="W360" i="82"/>
  <c r="S360" i="82"/>
  <c r="Q360" i="82"/>
  <c r="W359" i="82"/>
  <c r="S359" i="82"/>
  <c r="Q359" i="82"/>
  <c r="W358" i="82"/>
  <c r="S358" i="82"/>
  <c r="Q358" i="82"/>
  <c r="W357" i="82"/>
  <c r="S357" i="82"/>
  <c r="Q357" i="82"/>
  <c r="W356" i="82"/>
  <c r="S356" i="82"/>
  <c r="Q356" i="82"/>
  <c r="W355" i="82"/>
  <c r="S355" i="82"/>
  <c r="Q355" i="82"/>
  <c r="W354" i="82"/>
  <c r="S354" i="82"/>
  <c r="Q354" i="82"/>
  <c r="W353" i="82"/>
  <c r="S353" i="82"/>
  <c r="Q353" i="82"/>
  <c r="W352" i="82"/>
  <c r="S352" i="82"/>
  <c r="Q352" i="82"/>
  <c r="W351" i="82"/>
  <c r="S351" i="82"/>
  <c r="Q351" i="82"/>
  <c r="W350" i="82"/>
  <c r="S350" i="82"/>
  <c r="Q350" i="82"/>
  <c r="W349" i="82"/>
  <c r="S349" i="82"/>
  <c r="Q349" i="82"/>
  <c r="W348" i="82"/>
  <c r="S348" i="82"/>
  <c r="Q348" i="82"/>
  <c r="W347" i="82"/>
  <c r="S347" i="82"/>
  <c r="Q347" i="82"/>
  <c r="W346" i="82"/>
  <c r="S346" i="82"/>
  <c r="Q346" i="82"/>
  <c r="W345" i="82"/>
  <c r="S345" i="82"/>
  <c r="Q345" i="82"/>
  <c r="W344" i="82"/>
  <c r="S344" i="82"/>
  <c r="Q344" i="82"/>
  <c r="W343" i="82"/>
  <c r="S343" i="82"/>
  <c r="Q343" i="82"/>
  <c r="W342" i="82"/>
  <c r="S342" i="82"/>
  <c r="Q342" i="82"/>
  <c r="W341" i="82"/>
  <c r="S341" i="82"/>
  <c r="Q341" i="82"/>
  <c r="W340" i="82"/>
  <c r="S340" i="82"/>
  <c r="Q340" i="82"/>
  <c r="W339" i="82"/>
  <c r="S339" i="82"/>
  <c r="Q339" i="82"/>
  <c r="W338" i="82"/>
  <c r="S338" i="82"/>
  <c r="Q338" i="82"/>
  <c r="W337" i="82"/>
  <c r="S337" i="82"/>
  <c r="Q337" i="82"/>
  <c r="W336" i="82"/>
  <c r="S336" i="82"/>
  <c r="Q336" i="82"/>
  <c r="W335" i="82"/>
  <c r="S335" i="82"/>
  <c r="Q335" i="82"/>
  <c r="W334" i="82"/>
  <c r="S334" i="82"/>
  <c r="Q334" i="82"/>
  <c r="W333" i="82"/>
  <c r="S333" i="82"/>
  <c r="Q333" i="82"/>
  <c r="W332" i="82"/>
  <c r="S332" i="82"/>
  <c r="Q332" i="82"/>
  <c r="W331" i="82"/>
  <c r="S331" i="82"/>
  <c r="Q331" i="82"/>
  <c r="W330" i="82"/>
  <c r="S330" i="82"/>
  <c r="Q330" i="82"/>
  <c r="W329" i="82"/>
  <c r="S329" i="82"/>
  <c r="Q329" i="82"/>
  <c r="W328" i="82"/>
  <c r="S328" i="82"/>
  <c r="Q328" i="82"/>
  <c r="W327" i="82"/>
  <c r="S327" i="82"/>
  <c r="Q327" i="82"/>
  <c r="W326" i="82"/>
  <c r="S326" i="82"/>
  <c r="Q326" i="82"/>
  <c r="W325" i="82"/>
  <c r="S325" i="82"/>
  <c r="Q325" i="82"/>
  <c r="W324" i="82"/>
  <c r="S324" i="82"/>
  <c r="Q324" i="82"/>
  <c r="W323" i="82"/>
  <c r="S323" i="82"/>
  <c r="Q323" i="82"/>
  <c r="W322" i="82"/>
  <c r="S322" i="82"/>
  <c r="Q322" i="82"/>
  <c r="W321" i="82"/>
  <c r="S321" i="82"/>
  <c r="Q321" i="82"/>
  <c r="W320" i="82"/>
  <c r="S320" i="82"/>
  <c r="Q320" i="82"/>
  <c r="W319" i="82"/>
  <c r="S319" i="82"/>
  <c r="Q319" i="82"/>
  <c r="W318" i="82"/>
  <c r="S318" i="82"/>
  <c r="Q318" i="82"/>
  <c r="W317" i="82"/>
  <c r="S317" i="82"/>
  <c r="Q317" i="82"/>
  <c r="W316" i="82"/>
  <c r="S316" i="82"/>
  <c r="Q316" i="82"/>
  <c r="W315" i="82"/>
  <c r="S315" i="82"/>
  <c r="Q315" i="82"/>
  <c r="W314" i="82"/>
  <c r="S314" i="82"/>
  <c r="Q314" i="82"/>
  <c r="W313" i="82"/>
  <c r="S313" i="82"/>
  <c r="Q313" i="82"/>
  <c r="W312" i="82"/>
  <c r="S312" i="82"/>
  <c r="Q312" i="82"/>
  <c r="W311" i="82"/>
  <c r="S311" i="82"/>
  <c r="Q311" i="82"/>
  <c r="W310" i="82"/>
  <c r="S310" i="82"/>
  <c r="Q310" i="82"/>
  <c r="W309" i="82"/>
  <c r="S309" i="82"/>
  <c r="Q309" i="82"/>
  <c r="W308" i="82"/>
  <c r="S308" i="82"/>
  <c r="Q308" i="82"/>
  <c r="W307" i="82"/>
  <c r="S307" i="82"/>
  <c r="Q307" i="82"/>
  <c r="W306" i="82"/>
  <c r="S306" i="82"/>
  <c r="Q306" i="82"/>
  <c r="W305" i="82"/>
  <c r="S305" i="82"/>
  <c r="Q305" i="82"/>
  <c r="W304" i="82"/>
  <c r="S304" i="82"/>
  <c r="Q304" i="82"/>
  <c r="W303" i="82"/>
  <c r="S303" i="82"/>
  <c r="Q303" i="82"/>
  <c r="W302" i="82"/>
  <c r="S302" i="82"/>
  <c r="Q302" i="82"/>
  <c r="W301" i="82"/>
  <c r="S301" i="82"/>
  <c r="Q301" i="82"/>
  <c r="W300" i="82"/>
  <c r="S300" i="82"/>
  <c r="Q300" i="82"/>
  <c r="W299" i="82"/>
  <c r="S299" i="82"/>
  <c r="Q299" i="82"/>
  <c r="W298" i="82"/>
  <c r="S298" i="82"/>
  <c r="Q298" i="82"/>
  <c r="W297" i="82"/>
  <c r="S297" i="82"/>
  <c r="Q297" i="82"/>
  <c r="W296" i="82"/>
  <c r="S296" i="82"/>
  <c r="Q296" i="82"/>
  <c r="W295" i="82"/>
  <c r="S295" i="82"/>
  <c r="Q295" i="82"/>
  <c r="W294" i="82"/>
  <c r="S294" i="82"/>
  <c r="Q294" i="82"/>
  <c r="W293" i="82"/>
  <c r="S293" i="82"/>
  <c r="Q293" i="82"/>
  <c r="W292" i="82"/>
  <c r="S292" i="82"/>
  <c r="Q292" i="82"/>
  <c r="W291" i="82"/>
  <c r="S291" i="82"/>
  <c r="Q291" i="82"/>
  <c r="W290" i="82"/>
  <c r="S290" i="82"/>
  <c r="Q290" i="82"/>
  <c r="W289" i="82"/>
  <c r="S289" i="82"/>
  <c r="Q289" i="82"/>
  <c r="W288" i="82"/>
  <c r="S288" i="82"/>
  <c r="Q288" i="82"/>
  <c r="W287" i="82"/>
  <c r="S287" i="82"/>
  <c r="Q287" i="82"/>
  <c r="W286" i="82"/>
  <c r="S286" i="82"/>
  <c r="Q286" i="82"/>
  <c r="W285" i="82"/>
  <c r="S285" i="82"/>
  <c r="Q285" i="82"/>
  <c r="W284" i="82"/>
  <c r="S284" i="82"/>
  <c r="Q284" i="82"/>
  <c r="W283" i="82"/>
  <c r="S283" i="82"/>
  <c r="Q283" i="82"/>
  <c r="W282" i="82"/>
  <c r="S282" i="82"/>
  <c r="Q282" i="82"/>
  <c r="W281" i="82"/>
  <c r="S281" i="82"/>
  <c r="Q281" i="82"/>
  <c r="W280" i="82"/>
  <c r="S280" i="82"/>
  <c r="Q280" i="82"/>
  <c r="W279" i="82"/>
  <c r="S279" i="82"/>
  <c r="Q279" i="82"/>
  <c r="W278" i="82"/>
  <c r="S278" i="82"/>
  <c r="Q278" i="82"/>
  <c r="W277" i="82"/>
  <c r="S277" i="82"/>
  <c r="Q277" i="82"/>
  <c r="W276" i="82"/>
  <c r="S276" i="82"/>
  <c r="Q276" i="82"/>
  <c r="W275" i="82"/>
  <c r="S275" i="82"/>
  <c r="Q275" i="82"/>
  <c r="W274" i="82"/>
  <c r="S274" i="82"/>
  <c r="Q274" i="82"/>
  <c r="W273" i="82"/>
  <c r="S273" i="82"/>
  <c r="Q273" i="82"/>
  <c r="W272" i="82"/>
  <c r="S272" i="82"/>
  <c r="Q272" i="82"/>
  <c r="W271" i="82"/>
  <c r="S271" i="82"/>
  <c r="Q271" i="82"/>
  <c r="W270" i="82"/>
  <c r="S270" i="82"/>
  <c r="Q270" i="82"/>
  <c r="W269" i="82"/>
  <c r="S269" i="82"/>
  <c r="Q269" i="82"/>
  <c r="W268" i="82"/>
  <c r="S268" i="82"/>
  <c r="Q268" i="82"/>
  <c r="W267" i="82"/>
  <c r="S267" i="82"/>
  <c r="Q267" i="82"/>
  <c r="W266" i="82"/>
  <c r="S266" i="82"/>
  <c r="Q266" i="82"/>
  <c r="W265" i="82"/>
  <c r="S265" i="82"/>
  <c r="Q265" i="82"/>
  <c r="W264" i="82"/>
  <c r="S264" i="82"/>
  <c r="Q264" i="82"/>
  <c r="W263" i="82"/>
  <c r="S263" i="82"/>
  <c r="Q263" i="82"/>
  <c r="W262" i="82"/>
  <c r="S262" i="82"/>
  <c r="Q262" i="82"/>
  <c r="W261" i="82"/>
  <c r="S261" i="82"/>
  <c r="Q261" i="82"/>
  <c r="W260" i="82"/>
  <c r="S260" i="82"/>
  <c r="Q260" i="82"/>
  <c r="W259" i="82"/>
  <c r="S259" i="82"/>
  <c r="Q259" i="82"/>
  <c r="W258" i="82"/>
  <c r="S258" i="82"/>
  <c r="Q258" i="82"/>
  <c r="W257" i="82"/>
  <c r="S257" i="82"/>
  <c r="Q257" i="82"/>
  <c r="W256" i="82"/>
  <c r="S256" i="82"/>
  <c r="Q256" i="82"/>
  <c r="W255" i="82"/>
  <c r="S255" i="82"/>
  <c r="Q255" i="82"/>
  <c r="W254" i="82"/>
  <c r="S254" i="82"/>
  <c r="Q254" i="82"/>
  <c r="W253" i="82"/>
  <c r="S253" i="82"/>
  <c r="Q253" i="82"/>
  <c r="W252" i="82"/>
  <c r="S252" i="82"/>
  <c r="Q252" i="82"/>
  <c r="W251" i="82"/>
  <c r="S251" i="82"/>
  <c r="Q251" i="82"/>
  <c r="W250" i="82"/>
  <c r="S250" i="82"/>
  <c r="Q250" i="82"/>
  <c r="W249" i="82"/>
  <c r="S249" i="82"/>
  <c r="Q249" i="82"/>
  <c r="W248" i="82"/>
  <c r="S248" i="82"/>
  <c r="Q248" i="82"/>
  <c r="W247" i="82"/>
  <c r="S247" i="82"/>
  <c r="Q247" i="82"/>
  <c r="W246" i="82"/>
  <c r="S246" i="82"/>
  <c r="Q246" i="82"/>
  <c r="W245" i="82"/>
  <c r="S245" i="82"/>
  <c r="Q245" i="82"/>
  <c r="W244" i="82"/>
  <c r="S244" i="82"/>
  <c r="Q244" i="82"/>
  <c r="W243" i="82"/>
  <c r="S243" i="82"/>
  <c r="Q243" i="82"/>
  <c r="W242" i="82"/>
  <c r="S242" i="82"/>
  <c r="Q242" i="82"/>
  <c r="W241" i="82"/>
  <c r="S241" i="82"/>
  <c r="Q241" i="82"/>
  <c r="W240" i="82"/>
  <c r="S240" i="82"/>
  <c r="Q240" i="82"/>
  <c r="W239" i="82"/>
  <c r="S239" i="82"/>
  <c r="Q239" i="82"/>
  <c r="W238" i="82"/>
  <c r="S238" i="82"/>
  <c r="Q238" i="82"/>
  <c r="W237" i="82"/>
  <c r="S237" i="82"/>
  <c r="Q237" i="82"/>
  <c r="W236" i="82"/>
  <c r="S236" i="82"/>
  <c r="Q236" i="82"/>
  <c r="W235" i="82"/>
  <c r="S235" i="82"/>
  <c r="Q235" i="82"/>
  <c r="W234" i="82"/>
  <c r="S234" i="82"/>
  <c r="Q234" i="82"/>
  <c r="W233" i="82"/>
  <c r="S233" i="82"/>
  <c r="Q233" i="82"/>
  <c r="W232" i="82"/>
  <c r="S232" i="82"/>
  <c r="Q232" i="82"/>
  <c r="W231" i="82"/>
  <c r="S231" i="82"/>
  <c r="Q231" i="82"/>
  <c r="W230" i="82"/>
  <c r="S230" i="82"/>
  <c r="Q230" i="82"/>
  <c r="W229" i="82"/>
  <c r="S229" i="82"/>
  <c r="Q229" i="82"/>
  <c r="W228" i="82"/>
  <c r="S228" i="82"/>
  <c r="Q228" i="82"/>
  <c r="W227" i="82"/>
  <c r="S227" i="82"/>
  <c r="Q227" i="82"/>
  <c r="W226" i="82"/>
  <c r="S226" i="82"/>
  <c r="Q226" i="82"/>
  <c r="W225" i="82"/>
  <c r="S225" i="82"/>
  <c r="Q225" i="82"/>
  <c r="W224" i="82"/>
  <c r="S224" i="82"/>
  <c r="Q224" i="82"/>
  <c r="W223" i="82"/>
  <c r="S223" i="82"/>
  <c r="Q223" i="82"/>
  <c r="W221" i="82"/>
  <c r="S221" i="82"/>
  <c r="Q221" i="82"/>
  <c r="W220" i="82"/>
  <c r="S220" i="82"/>
  <c r="Q220" i="82"/>
  <c r="W219" i="82"/>
  <c r="S219" i="82"/>
  <c r="Q219" i="82"/>
  <c r="W218" i="82"/>
  <c r="S218" i="82"/>
  <c r="Q218" i="82"/>
  <c r="W217" i="82"/>
  <c r="S217" i="82"/>
  <c r="Q217" i="82"/>
  <c r="W216" i="82"/>
  <c r="S216" i="82"/>
  <c r="Q216" i="82"/>
  <c r="W215" i="82"/>
  <c r="S215" i="82"/>
  <c r="Q215" i="82"/>
  <c r="W214" i="82"/>
  <c r="S214" i="82"/>
  <c r="Q214" i="82"/>
  <c r="W213" i="82"/>
  <c r="S213" i="82"/>
  <c r="Q213" i="82"/>
  <c r="W212" i="82"/>
  <c r="S212" i="82"/>
  <c r="Q212" i="82"/>
  <c r="W211" i="82"/>
  <c r="S211" i="82"/>
  <c r="Q211" i="82"/>
  <c r="W210" i="82"/>
  <c r="S210" i="82"/>
  <c r="Q210" i="82"/>
  <c r="W209" i="82"/>
  <c r="S209" i="82"/>
  <c r="Q209" i="82"/>
  <c r="W208" i="82"/>
  <c r="S208" i="82"/>
  <c r="Q208" i="82"/>
  <c r="W207" i="82"/>
  <c r="S207" i="82"/>
  <c r="Q207" i="82"/>
  <c r="W206" i="82"/>
  <c r="S206" i="82"/>
  <c r="Q206" i="82"/>
  <c r="W205" i="82"/>
  <c r="S205" i="82"/>
  <c r="Q205" i="82"/>
  <c r="W204" i="82"/>
  <c r="S204" i="82"/>
  <c r="Q204" i="82"/>
  <c r="W203" i="82"/>
  <c r="S203" i="82"/>
  <c r="Q203" i="82"/>
  <c r="W202" i="82"/>
  <c r="S202" i="82"/>
  <c r="Q202" i="82"/>
  <c r="W201" i="82"/>
  <c r="S201" i="82"/>
  <c r="Q201" i="82"/>
  <c r="W200" i="82"/>
  <c r="S200" i="82"/>
  <c r="Q200" i="82"/>
  <c r="W199" i="82"/>
  <c r="S199" i="82"/>
  <c r="Q199" i="82"/>
  <c r="W173" i="82"/>
  <c r="S173" i="82"/>
  <c r="Q173" i="82"/>
  <c r="W155" i="82"/>
  <c r="S155" i="82"/>
  <c r="Q155" i="82"/>
  <c r="W136" i="82"/>
  <c r="S136" i="82"/>
  <c r="Q136" i="82"/>
  <c r="W118" i="82"/>
  <c r="S118" i="82"/>
  <c r="Q118" i="82"/>
  <c r="W98" i="82"/>
  <c r="S98" i="82"/>
  <c r="Q98" i="82"/>
  <c r="W31" i="82"/>
  <c r="S31" i="82"/>
  <c r="Q31" i="82"/>
  <c r="W198" i="82"/>
  <c r="W197" i="82"/>
  <c r="W196" i="82"/>
  <c r="W195" i="82"/>
  <c r="W194" i="82"/>
  <c r="W193" i="82"/>
  <c r="W192" i="82"/>
  <c r="W191" i="82"/>
  <c r="W190" i="82"/>
  <c r="W189" i="82"/>
  <c r="W188" i="82"/>
  <c r="W187" i="82"/>
  <c r="W186" i="82"/>
  <c r="W185" i="82"/>
  <c r="W184" i="82"/>
  <c r="W183" i="82"/>
  <c r="W182" i="82"/>
  <c r="W181" i="82"/>
  <c r="W180" i="82"/>
  <c r="W179" i="82"/>
  <c r="W178" i="82"/>
  <c r="W177" i="82"/>
  <c r="W175" i="82"/>
  <c r="W174" i="82"/>
  <c r="W172" i="82"/>
  <c r="W171" i="82"/>
  <c r="W170" i="82"/>
  <c r="W169" i="82"/>
  <c r="W168" i="82"/>
  <c r="W167" i="82"/>
  <c r="W166" i="82"/>
  <c r="W165" i="82"/>
  <c r="W164" i="82"/>
  <c r="W163" i="82"/>
  <c r="W162" i="82"/>
  <c r="W161" i="82"/>
  <c r="W160" i="82"/>
  <c r="W159" i="82"/>
  <c r="W158" i="82"/>
  <c r="W157" i="82"/>
  <c r="W156" i="82"/>
  <c r="W154" i="82"/>
  <c r="W153" i="82"/>
  <c r="W152" i="82"/>
  <c r="W151" i="82"/>
  <c r="W150" i="82"/>
  <c r="W149" i="82"/>
  <c r="W148" i="82"/>
  <c r="W147" i="82"/>
  <c r="W146" i="82"/>
  <c r="W145" i="82"/>
  <c r="W144" i="82"/>
  <c r="W143" i="82"/>
  <c r="W142" i="82"/>
  <c r="W141" i="82"/>
  <c r="W140" i="82"/>
  <c r="W139" i="82"/>
  <c r="W138" i="82"/>
  <c r="W137" i="82"/>
  <c r="W135" i="82"/>
  <c r="W134" i="82"/>
  <c r="W133" i="82"/>
  <c r="W132" i="82"/>
  <c r="W131" i="82"/>
  <c r="W130" i="82"/>
  <c r="W129" i="82"/>
  <c r="W128" i="82"/>
  <c r="W127" i="82"/>
  <c r="W126" i="82"/>
  <c r="W125" i="82"/>
  <c r="W124" i="82"/>
  <c r="W123" i="82"/>
  <c r="W122" i="82"/>
  <c r="W121" i="82"/>
  <c r="W120" i="82"/>
  <c r="W119" i="82"/>
  <c r="W117" i="82"/>
  <c r="W116" i="82"/>
  <c r="W115" i="82"/>
  <c r="W114" i="82"/>
  <c r="W113" i="82"/>
  <c r="W112" i="82"/>
  <c r="W111" i="82"/>
  <c r="W110" i="82"/>
  <c r="W109" i="82"/>
  <c r="W108" i="82"/>
  <c r="W107" i="82"/>
  <c r="W106" i="82"/>
  <c r="W105" i="82"/>
  <c r="W104" i="82"/>
  <c r="W103" i="82"/>
  <c r="W102" i="82"/>
  <c r="W101" i="82"/>
  <c r="W100" i="82"/>
  <c r="W99" i="82"/>
  <c r="W97" i="82"/>
  <c r="W96" i="82"/>
  <c r="W95" i="82"/>
  <c r="W94" i="82"/>
  <c r="W93" i="82"/>
  <c r="W92" i="82"/>
  <c r="W91" i="82"/>
  <c r="W90" i="82"/>
  <c r="W89" i="82"/>
  <c r="W88" i="82"/>
  <c r="W87" i="82"/>
  <c r="W86" i="82"/>
  <c r="W85" i="82"/>
  <c r="W84" i="82"/>
  <c r="W83" i="82"/>
  <c r="W81" i="82"/>
  <c r="W80" i="82"/>
  <c r="W79" i="82"/>
  <c r="W78" i="82"/>
  <c r="W77" i="82"/>
  <c r="W76" i="82"/>
  <c r="W75" i="82"/>
  <c r="W74" i="82"/>
  <c r="W73" i="82"/>
  <c r="W72" i="82"/>
  <c r="W71" i="82"/>
  <c r="W70" i="82"/>
  <c r="W69" i="82"/>
  <c r="W68" i="82"/>
  <c r="W67" i="82"/>
  <c r="W66" i="82"/>
  <c r="W65" i="82"/>
  <c r="W64" i="82"/>
  <c r="W63" i="82"/>
  <c r="W62" i="82"/>
  <c r="W61" i="82"/>
  <c r="W60" i="82"/>
  <c r="W59" i="82"/>
  <c r="W58" i="82"/>
  <c r="W57" i="82"/>
  <c r="W56" i="82"/>
  <c r="W55" i="82"/>
  <c r="W54" i="82"/>
  <c r="W53" i="82"/>
  <c r="W52" i="82"/>
  <c r="W51" i="82"/>
  <c r="W50" i="82"/>
  <c r="W49" i="82"/>
  <c r="W48" i="82"/>
  <c r="W47" i="82"/>
  <c r="W46" i="82"/>
  <c r="W45" i="82"/>
  <c r="W44" i="82"/>
  <c r="W43" i="82"/>
  <c r="W42" i="82"/>
  <c r="W41" i="82"/>
  <c r="W40" i="82"/>
  <c r="W39" i="82"/>
  <c r="W38" i="82"/>
  <c r="W37" i="82"/>
  <c r="W36" i="82"/>
  <c r="W35" i="82"/>
  <c r="W34" i="82"/>
  <c r="W33" i="82"/>
  <c r="W32" i="82"/>
  <c r="W30" i="82"/>
  <c r="W29" i="82"/>
  <c r="W28" i="82"/>
  <c r="W27" i="82"/>
  <c r="W26" i="82"/>
  <c r="W25" i="82"/>
  <c r="W24" i="82"/>
  <c r="W23" i="82"/>
  <c r="W22" i="82"/>
  <c r="W21" i="82"/>
  <c r="W20" i="82"/>
  <c r="W19" i="82"/>
  <c r="W18" i="82"/>
  <c r="W17" i="82"/>
  <c r="W16" i="82"/>
  <c r="W15" i="82"/>
  <c r="W14" i="82"/>
  <c r="W13" i="82"/>
  <c r="W12" i="82"/>
  <c r="W11" i="82"/>
  <c r="W10" i="82"/>
  <c r="W9" i="82"/>
  <c r="W8" i="82"/>
  <c r="W7" i="82"/>
  <c r="S198" i="82"/>
  <c r="Q198" i="82"/>
  <c r="S197" i="82"/>
  <c r="Q197" i="82"/>
  <c r="S195" i="82"/>
  <c r="Q195" i="82"/>
  <c r="S196" i="82"/>
  <c r="Q196" i="82"/>
  <c r="S194" i="82"/>
  <c r="Q194" i="82"/>
  <c r="S193" i="82"/>
  <c r="Q193" i="82"/>
  <c r="S192" i="82"/>
  <c r="Q192" i="82"/>
  <c r="S191" i="82"/>
  <c r="Q191" i="82"/>
  <c r="S190" i="82"/>
  <c r="Q190" i="82"/>
  <c r="Q189" i="82"/>
  <c r="S189" i="82"/>
  <c r="Q188" i="82"/>
  <c r="S188" i="82"/>
  <c r="Q187" i="82"/>
  <c r="S187" i="82"/>
  <c r="Q186" i="82"/>
  <c r="S186" i="82"/>
  <c r="Q185" i="82"/>
  <c r="S185" i="82"/>
  <c r="Q184" i="82"/>
  <c r="S184" i="82"/>
  <c r="Q183" i="82"/>
  <c r="S183" i="82"/>
  <c r="Q182" i="82"/>
  <c r="S182" i="82"/>
  <c r="Q181" i="82"/>
  <c r="S181" i="82"/>
  <c r="Q180" i="82"/>
  <c r="S180" i="82"/>
  <c r="Q179" i="82"/>
  <c r="S179" i="82"/>
  <c r="Q178" i="82"/>
  <c r="S178" i="82"/>
  <c r="Q177" i="82"/>
  <c r="S177" i="82"/>
  <c r="Q176" i="82"/>
  <c r="S176" i="82"/>
  <c r="W176" i="82"/>
  <c r="Q175" i="82"/>
  <c r="S175" i="82"/>
  <c r="Q174" i="82"/>
  <c r="S174" i="82"/>
  <c r="Q172" i="82"/>
  <c r="S172" i="82"/>
  <c r="Q168" i="82"/>
  <c r="S168" i="82"/>
  <c r="Q171" i="82"/>
  <c r="S171" i="82"/>
  <c r="Q170" i="82"/>
  <c r="S170" i="82"/>
  <c r="Q169" i="82"/>
  <c r="S169" i="82"/>
  <c r="Q167" i="82"/>
  <c r="S167" i="82"/>
  <c r="Q166" i="82"/>
  <c r="S166" i="82"/>
  <c r="Q165" i="82"/>
  <c r="S165" i="82"/>
  <c r="Q164" i="82"/>
  <c r="S164" i="82"/>
  <c r="Q163" i="82"/>
  <c r="S163" i="82"/>
  <c r="Q162" i="82"/>
  <c r="S162" i="82"/>
  <c r="Q161" i="82"/>
  <c r="S161" i="82"/>
  <c r="Q160" i="82"/>
  <c r="S160" i="82"/>
  <c r="Q159" i="82"/>
  <c r="S159" i="82"/>
  <c r="Q158" i="82"/>
  <c r="S158" i="82"/>
  <c r="Q157" i="82"/>
  <c r="S157" i="82"/>
  <c r="Q156" i="82"/>
  <c r="S156" i="82"/>
  <c r="Q154" i="82"/>
  <c r="S154" i="82"/>
  <c r="Q153" i="82"/>
  <c r="S153" i="82"/>
  <c r="Q152" i="82"/>
  <c r="S152" i="82"/>
  <c r="Q151" i="82"/>
  <c r="S151" i="82"/>
  <c r="Q150" i="82"/>
  <c r="S150" i="82"/>
  <c r="Q149" i="82"/>
  <c r="S149" i="82"/>
  <c r="Q148" i="82"/>
  <c r="S148" i="82"/>
  <c r="Q147" i="82"/>
  <c r="S147" i="82"/>
  <c r="Q146" i="82"/>
  <c r="S146" i="82"/>
  <c r="Q145" i="82"/>
  <c r="S145" i="82"/>
  <c r="Q144" i="82"/>
  <c r="S144" i="82"/>
  <c r="Q143" i="82"/>
  <c r="S143" i="82"/>
  <c r="Q142" i="82"/>
  <c r="S142" i="82"/>
  <c r="Q141" i="82"/>
  <c r="S141" i="82"/>
  <c r="Q140" i="82"/>
  <c r="S140" i="82"/>
  <c r="Q139" i="82"/>
  <c r="S139" i="82"/>
  <c r="Q138" i="82"/>
  <c r="S138" i="82"/>
  <c r="Q137" i="82"/>
  <c r="S137" i="82"/>
  <c r="Q135" i="82"/>
  <c r="S135" i="82"/>
  <c r="Q134" i="82"/>
  <c r="S134" i="82"/>
  <c r="Q133" i="82"/>
  <c r="S133" i="82"/>
  <c r="Q132" i="82"/>
  <c r="S132" i="82"/>
  <c r="Q131" i="82"/>
  <c r="S131" i="82"/>
  <c r="Q130" i="82"/>
  <c r="S130" i="82"/>
  <c r="Q129" i="82"/>
  <c r="S129" i="82"/>
  <c r="Q128" i="82"/>
  <c r="S128" i="82"/>
  <c r="Q127" i="82"/>
  <c r="S127" i="82"/>
  <c r="Q126" i="82"/>
  <c r="S126" i="82"/>
  <c r="Q125" i="82"/>
  <c r="S125" i="82"/>
  <c r="Q124" i="82"/>
  <c r="S124" i="82"/>
  <c r="Q123" i="82"/>
  <c r="S123" i="82"/>
  <c r="Q122" i="82"/>
  <c r="S122" i="82"/>
  <c r="Q121" i="82"/>
  <c r="S121" i="82"/>
  <c r="Q120" i="82"/>
  <c r="S120" i="82"/>
  <c r="Q119" i="82"/>
  <c r="S119" i="82"/>
  <c r="Q117" i="82"/>
  <c r="S117" i="82"/>
  <c r="Q116" i="82"/>
  <c r="S116" i="82"/>
  <c r="Q115" i="82"/>
  <c r="S115" i="82"/>
  <c r="Q114" i="82"/>
  <c r="S114" i="82"/>
  <c r="Q104" i="82"/>
  <c r="S104" i="82"/>
  <c r="Q105" i="82"/>
  <c r="S105" i="82"/>
  <c r="Q111" i="82"/>
  <c r="S111" i="82"/>
  <c r="Q112" i="82"/>
  <c r="S112" i="82"/>
  <c r="Q113" i="82"/>
  <c r="S113" i="82"/>
  <c r="Q106" i="82"/>
  <c r="S106" i="82"/>
  <c r="Q107" i="82"/>
  <c r="S107" i="82"/>
  <c r="Q110" i="82"/>
  <c r="S110" i="82"/>
  <c r="Q109" i="82"/>
  <c r="S109" i="82"/>
  <c r="Q108" i="82"/>
  <c r="S108" i="82"/>
  <c r="Q103" i="82"/>
  <c r="S103" i="82"/>
  <c r="Q102" i="82"/>
  <c r="S102" i="82"/>
  <c r="Q100" i="82"/>
  <c r="S100" i="82"/>
  <c r="Q99" i="82"/>
  <c r="S99" i="82"/>
  <c r="Q97" i="82"/>
  <c r="S97" i="82"/>
  <c r="Q101" i="82"/>
  <c r="S101" i="82"/>
  <c r="Q96" i="82"/>
  <c r="S96" i="82"/>
  <c r="Q95" i="82"/>
  <c r="S95" i="82"/>
  <c r="Q94" i="82"/>
  <c r="S94" i="82"/>
  <c r="Q93" i="82"/>
  <c r="S93" i="82"/>
  <c r="Q92" i="82"/>
  <c r="S92" i="82"/>
  <c r="Q91" i="82"/>
  <c r="S91" i="82"/>
  <c r="Q90" i="82"/>
  <c r="S90" i="82"/>
  <c r="Q88" i="82"/>
  <c r="S88" i="82"/>
  <c r="Q87" i="82"/>
  <c r="S87" i="82"/>
  <c r="Q86" i="82"/>
  <c r="S86" i="82"/>
  <c r="Q85" i="82"/>
  <c r="S85" i="82"/>
  <c r="Q84" i="82"/>
  <c r="S84" i="82"/>
  <c r="Q83" i="82"/>
  <c r="S83" i="82"/>
  <c r="Q81" i="82"/>
  <c r="S81" i="82"/>
  <c r="Q80" i="82"/>
  <c r="S80" i="82"/>
  <c r="Q79" i="82"/>
  <c r="S79" i="82"/>
  <c r="Q78" i="82"/>
  <c r="S78" i="82"/>
  <c r="Q77" i="82"/>
  <c r="S77" i="82"/>
  <c r="Q76" i="82"/>
  <c r="S76" i="82"/>
  <c r="Q75" i="82"/>
  <c r="S75" i="82"/>
  <c r="Q74" i="82"/>
  <c r="S74" i="82"/>
  <c r="Q73" i="82"/>
  <c r="S73" i="82"/>
  <c r="Q72" i="82"/>
  <c r="S72" i="82"/>
  <c r="Q71" i="82"/>
  <c r="S71" i="82"/>
  <c r="Q70" i="82"/>
  <c r="S70" i="82"/>
  <c r="Q69" i="82"/>
  <c r="S69" i="82"/>
  <c r="Q68" i="82"/>
  <c r="S68" i="82"/>
  <c r="Q67" i="82"/>
  <c r="S67" i="82"/>
  <c r="Q66" i="82"/>
  <c r="S66" i="82"/>
  <c r="Q65" i="82"/>
  <c r="S65" i="82"/>
  <c r="Q64" i="82"/>
  <c r="S64" i="82"/>
  <c r="Q63" i="82"/>
  <c r="S63" i="82"/>
  <c r="Q62" i="82"/>
  <c r="S62" i="82"/>
  <c r="Q61" i="82"/>
  <c r="S61" i="82"/>
  <c r="Q60" i="82"/>
  <c r="S60" i="82"/>
  <c r="Q59" i="82"/>
  <c r="S59" i="82"/>
  <c r="Q58" i="82"/>
  <c r="S58" i="82"/>
  <c r="Q57" i="82"/>
  <c r="S57" i="82"/>
  <c r="Q56" i="82"/>
  <c r="S56" i="82"/>
  <c r="Q55" i="82"/>
  <c r="S55" i="82"/>
  <c r="Q54" i="82"/>
  <c r="S54" i="82"/>
  <c r="Q53" i="82"/>
  <c r="S53" i="82"/>
  <c r="Q52" i="82"/>
  <c r="S52" i="82"/>
  <c r="Q51" i="82"/>
  <c r="S51" i="82"/>
  <c r="Q50" i="82"/>
  <c r="S50" i="82"/>
  <c r="Q49" i="82"/>
  <c r="S49" i="82"/>
  <c r="Q48" i="82"/>
  <c r="S48" i="82"/>
  <c r="Q47" i="82"/>
  <c r="S47" i="82"/>
  <c r="Q46" i="82"/>
  <c r="S46" i="82"/>
  <c r="Q45" i="82"/>
  <c r="S45" i="82"/>
  <c r="Q44" i="82"/>
  <c r="S44" i="82"/>
  <c r="Q43" i="82"/>
  <c r="S43" i="82"/>
  <c r="Q42" i="82"/>
  <c r="S42" i="82"/>
  <c r="Q41" i="82"/>
  <c r="S41" i="82"/>
  <c r="Q40" i="82"/>
  <c r="S40" i="82"/>
  <c r="Q39" i="82"/>
  <c r="S39" i="82"/>
  <c r="Q38" i="82"/>
  <c r="S38" i="82"/>
  <c r="Q37" i="82"/>
  <c r="S37" i="82"/>
  <c r="Q36" i="82"/>
  <c r="S36" i="82"/>
  <c r="Q35" i="82"/>
  <c r="S35" i="82"/>
  <c r="Q34" i="82"/>
  <c r="S34" i="82"/>
  <c r="Q33" i="82"/>
  <c r="S33" i="82"/>
  <c r="Q32" i="82"/>
  <c r="S32" i="82"/>
  <c r="Q30" i="82"/>
  <c r="S30" i="82"/>
  <c r="Q29" i="82"/>
  <c r="S29" i="82"/>
  <c r="Q28" i="82"/>
  <c r="S28" i="82"/>
  <c r="Q27" i="82"/>
  <c r="S27" i="82"/>
  <c r="Q26" i="82"/>
  <c r="S26" i="82"/>
  <c r="Q25" i="82"/>
  <c r="S25" i="82"/>
  <c r="Q24" i="82"/>
  <c r="S24" i="82"/>
  <c r="Q23" i="82"/>
  <c r="S23" i="82"/>
  <c r="Q22" i="82"/>
  <c r="S22" i="82"/>
  <c r="Q21" i="82"/>
  <c r="S21" i="82"/>
  <c r="Q20" i="82"/>
  <c r="S20" i="82"/>
  <c r="Q19" i="82"/>
  <c r="S19" i="82"/>
  <c r="Q18" i="82"/>
  <c r="S18" i="82"/>
  <c r="Q17" i="82"/>
  <c r="S17" i="82"/>
  <c r="Q16" i="82"/>
  <c r="S16" i="82"/>
  <c r="Q15" i="82"/>
  <c r="S15" i="82"/>
  <c r="Q14" i="82"/>
  <c r="S14" i="82"/>
  <c r="Q13" i="82"/>
  <c r="S13" i="82"/>
  <c r="Q12" i="82"/>
  <c r="S12" i="82"/>
  <c r="Q11" i="82"/>
  <c r="S11" i="82"/>
  <c r="Q10" i="82"/>
  <c r="S10" i="82"/>
  <c r="Q9" i="82"/>
  <c r="S9" i="82"/>
  <c r="Q8" i="82"/>
  <c r="S8" i="82"/>
  <c r="Q7" i="82"/>
  <c r="S7" i="82"/>
  <c r="Q89" i="82"/>
  <c r="S89" i="82"/>
  <c r="S103" i="78"/>
  <c r="U103" i="78"/>
  <c r="Y103" i="78"/>
  <c r="S102" i="78"/>
  <c r="U102" i="78"/>
  <c r="Y102" i="78"/>
  <c r="S94" i="78"/>
  <c r="U94" i="78"/>
  <c r="Y94" i="78"/>
  <c r="S78" i="78"/>
  <c r="U78" i="78"/>
  <c r="Y78" i="78"/>
  <c r="S77" i="78"/>
  <c r="U77" i="78"/>
  <c r="Y77" i="78"/>
  <c r="S70" i="78"/>
  <c r="U70" i="78"/>
  <c r="Y70" i="78"/>
  <c r="S54" i="78"/>
  <c r="U54" i="78"/>
  <c r="Y54" i="78"/>
  <c r="S53" i="78"/>
  <c r="U53" i="78"/>
  <c r="Y53" i="78"/>
  <c r="S51" i="78"/>
  <c r="U51" i="78"/>
  <c r="Y51" i="78"/>
  <c r="Y48" i="78"/>
  <c r="S45" i="78"/>
  <c r="Y157" i="78"/>
  <c r="U157" i="78"/>
  <c r="V157" i="78" s="1"/>
  <c r="W157" i="78" s="1"/>
  <c r="Y156" i="78"/>
  <c r="U156" i="78"/>
  <c r="S156" i="78"/>
  <c r="Y27" i="78"/>
  <c r="U27" i="78"/>
  <c r="V27" i="78" s="1"/>
  <c r="Y26" i="78"/>
  <c r="U26" i="78"/>
  <c r="S26" i="78"/>
  <c r="Y116" i="78"/>
  <c r="U116" i="78"/>
  <c r="S116" i="78"/>
  <c r="Y173" i="78"/>
  <c r="U173" i="78"/>
  <c r="S173" i="78"/>
  <c r="Y172" i="78"/>
  <c r="U172" i="78"/>
  <c r="S172" i="78"/>
  <c r="Y178" i="78"/>
  <c r="U178" i="78"/>
  <c r="S178" i="78"/>
  <c r="Y177" i="78"/>
  <c r="U177" i="78"/>
  <c r="S177" i="78"/>
  <c r="Y176" i="78"/>
  <c r="U176" i="78"/>
  <c r="S176" i="78"/>
  <c r="Y175" i="78"/>
  <c r="U175" i="78"/>
  <c r="S175" i="78"/>
  <c r="Y174" i="78"/>
  <c r="U174" i="78"/>
  <c r="S174" i="78"/>
  <c r="Y171" i="78"/>
  <c r="U171" i="78"/>
  <c r="S171" i="78"/>
  <c r="Y170" i="78"/>
  <c r="U170" i="78"/>
  <c r="S170" i="78"/>
  <c r="Y169" i="78"/>
  <c r="U169" i="78"/>
  <c r="S169" i="78"/>
  <c r="Y168" i="78"/>
  <c r="U168" i="78"/>
  <c r="S168" i="78"/>
  <c r="Y167" i="78"/>
  <c r="U167" i="78"/>
  <c r="S167" i="78"/>
  <c r="Y166" i="78"/>
  <c r="U166" i="78"/>
  <c r="S166" i="78"/>
  <c r="Y165" i="78"/>
  <c r="U165" i="78"/>
  <c r="S165" i="78"/>
  <c r="Y164" i="78"/>
  <c r="U164" i="78"/>
  <c r="S164" i="78"/>
  <c r="Y163" i="78"/>
  <c r="U163" i="78"/>
  <c r="S163" i="78"/>
  <c r="Y162" i="78"/>
  <c r="U162" i="78"/>
  <c r="S162" i="78"/>
  <c r="Y161" i="78"/>
  <c r="U161" i="78"/>
  <c r="S161" i="78"/>
  <c r="Y160" i="78"/>
  <c r="U160" i="78"/>
  <c r="S160" i="78"/>
  <c r="Y159" i="78"/>
  <c r="U159" i="78"/>
  <c r="S159" i="78"/>
  <c r="Y158" i="78"/>
  <c r="U158" i="78"/>
  <c r="S158" i="78"/>
  <c r="Y155" i="78"/>
  <c r="U155" i="78"/>
  <c r="S155" i="78"/>
  <c r="Y154" i="78"/>
  <c r="U154" i="78"/>
  <c r="S154" i="78"/>
  <c r="Y153" i="78"/>
  <c r="U153" i="78"/>
  <c r="S153" i="78"/>
  <c r="Y152" i="78"/>
  <c r="U152" i="78"/>
  <c r="S152" i="78"/>
  <c r="Y151" i="78"/>
  <c r="U151" i="78"/>
  <c r="S151" i="78"/>
  <c r="Y150" i="78"/>
  <c r="U150" i="78"/>
  <c r="S150" i="78"/>
  <c r="Y149" i="78"/>
  <c r="U149" i="78"/>
  <c r="S149" i="78"/>
  <c r="Y148" i="78"/>
  <c r="U148" i="78"/>
  <c r="S148" i="78"/>
  <c r="Y147" i="78"/>
  <c r="U147" i="78"/>
  <c r="S147" i="78"/>
  <c r="Y146" i="78"/>
  <c r="U146" i="78"/>
  <c r="S146" i="78"/>
  <c r="Y145" i="78"/>
  <c r="U145" i="78"/>
  <c r="S145" i="78"/>
  <c r="Y144" i="78"/>
  <c r="U144" i="78"/>
  <c r="S144" i="78"/>
  <c r="Y143" i="78"/>
  <c r="U143" i="78"/>
  <c r="S143" i="78"/>
  <c r="Y142" i="78"/>
  <c r="U142" i="78"/>
  <c r="S142" i="78"/>
  <c r="Y141" i="78"/>
  <c r="U141" i="78"/>
  <c r="S141" i="78"/>
  <c r="Y140" i="78"/>
  <c r="U140" i="78"/>
  <c r="S140" i="78"/>
  <c r="Y139" i="78"/>
  <c r="U139" i="78"/>
  <c r="S139" i="78"/>
  <c r="Y138" i="78"/>
  <c r="U138" i="78"/>
  <c r="S138" i="78"/>
  <c r="Y137" i="78"/>
  <c r="U137" i="78"/>
  <c r="S137" i="78"/>
  <c r="Y136" i="78"/>
  <c r="U136" i="78"/>
  <c r="S136" i="78"/>
  <c r="Y135" i="78"/>
  <c r="U135" i="78"/>
  <c r="S135" i="78"/>
  <c r="Y134" i="78"/>
  <c r="U134" i="78"/>
  <c r="S134" i="78"/>
  <c r="Y133" i="78"/>
  <c r="U133" i="78"/>
  <c r="S133" i="78"/>
  <c r="Y132" i="78"/>
  <c r="U132" i="78"/>
  <c r="S132" i="78"/>
  <c r="Y131" i="78"/>
  <c r="U131" i="78"/>
  <c r="S131" i="78"/>
  <c r="Y130" i="78"/>
  <c r="U130" i="78"/>
  <c r="S130" i="78"/>
  <c r="Y129" i="78"/>
  <c r="U129" i="78"/>
  <c r="S129" i="78"/>
  <c r="Y128" i="78"/>
  <c r="U128" i="78"/>
  <c r="S128" i="78"/>
  <c r="Y127" i="78"/>
  <c r="U127" i="78"/>
  <c r="S127" i="78"/>
  <c r="Y126" i="78"/>
  <c r="U126" i="78"/>
  <c r="S126" i="78"/>
  <c r="Y125" i="78"/>
  <c r="U125" i="78"/>
  <c r="S125" i="78"/>
  <c r="Y124" i="78"/>
  <c r="U124" i="78"/>
  <c r="S124" i="78"/>
  <c r="Y123" i="78"/>
  <c r="U123" i="78"/>
  <c r="S123" i="78"/>
  <c r="Y122" i="78"/>
  <c r="U122" i="78"/>
  <c r="S122" i="78"/>
  <c r="Y121" i="78"/>
  <c r="U121" i="78"/>
  <c r="S121" i="78"/>
  <c r="Y120" i="78"/>
  <c r="U120" i="78"/>
  <c r="S120" i="78"/>
  <c r="Y119" i="78"/>
  <c r="U119" i="78"/>
  <c r="S119" i="78"/>
  <c r="Y118" i="78"/>
  <c r="U118" i="78"/>
  <c r="S118" i="78"/>
  <c r="Y117" i="78"/>
  <c r="U117" i="78"/>
  <c r="S117" i="78"/>
  <c r="Y115" i="78"/>
  <c r="U115" i="78"/>
  <c r="S115" i="78"/>
  <c r="Y114" i="78"/>
  <c r="U114" i="78"/>
  <c r="S114" i="78"/>
  <c r="Y113" i="78"/>
  <c r="U113" i="78"/>
  <c r="S113" i="78"/>
  <c r="Y112" i="78"/>
  <c r="U112" i="78"/>
  <c r="S112" i="78"/>
  <c r="Y111" i="78"/>
  <c r="U111" i="78"/>
  <c r="S111" i="78"/>
  <c r="Y110" i="78"/>
  <c r="U110" i="78"/>
  <c r="S110" i="78"/>
  <c r="Y108" i="78"/>
  <c r="Z108" i="78" s="1"/>
  <c r="AA108" i="78" s="1"/>
  <c r="Y107" i="78"/>
  <c r="Z107" i="78" s="1"/>
  <c r="AA107" i="78" s="1"/>
  <c r="Y106" i="78"/>
  <c r="U106" i="78"/>
  <c r="S106" i="78"/>
  <c r="Y105" i="78"/>
  <c r="U105" i="78"/>
  <c r="S105" i="78"/>
  <c r="Y104" i="78"/>
  <c r="Z104" i="78" s="1"/>
  <c r="AA104" i="78" s="1"/>
  <c r="Y101" i="78"/>
  <c r="U101" i="78"/>
  <c r="S101" i="78"/>
  <c r="Y100" i="78"/>
  <c r="U100" i="78"/>
  <c r="S100" i="78"/>
  <c r="Y99" i="78"/>
  <c r="U99" i="78"/>
  <c r="S99" i="78"/>
  <c r="Y98" i="78"/>
  <c r="U98" i="78"/>
  <c r="S98" i="78"/>
  <c r="Y95" i="78"/>
  <c r="U95" i="78"/>
  <c r="S95" i="78"/>
  <c r="Y93" i="78"/>
  <c r="U93" i="78"/>
  <c r="S93" i="78"/>
  <c r="Y92" i="78"/>
  <c r="U92" i="78"/>
  <c r="S92" i="78"/>
  <c r="Y91" i="78"/>
  <c r="U91" i="78"/>
  <c r="S91" i="78"/>
  <c r="Y90" i="78"/>
  <c r="U90" i="78"/>
  <c r="S90" i="78"/>
  <c r="Y89" i="78"/>
  <c r="U89" i="78"/>
  <c r="S89" i="78"/>
  <c r="Y88" i="78"/>
  <c r="U88" i="78"/>
  <c r="S88" i="78"/>
  <c r="Y87" i="78"/>
  <c r="U87" i="78"/>
  <c r="S87" i="78"/>
  <c r="Y86" i="78"/>
  <c r="U86" i="78"/>
  <c r="S86" i="78"/>
  <c r="Y84" i="78"/>
  <c r="Z84" i="78" s="1"/>
  <c r="AA84" i="78" s="1"/>
  <c r="Y83" i="78"/>
  <c r="Z83" i="78" s="1"/>
  <c r="AA83" i="78" s="1"/>
  <c r="Z82" i="78"/>
  <c r="Y81" i="78"/>
  <c r="U81" i="78"/>
  <c r="S81" i="78"/>
  <c r="Y80" i="78"/>
  <c r="U80" i="78"/>
  <c r="S80" i="78"/>
  <c r="Y79" i="78"/>
  <c r="Z79" i="78" s="1"/>
  <c r="AA79" i="78" s="1"/>
  <c r="Y74" i="78"/>
  <c r="U74" i="78"/>
  <c r="S74" i="78"/>
  <c r="Y76" i="78"/>
  <c r="U76" i="78"/>
  <c r="S76" i="78"/>
  <c r="Y75" i="78"/>
  <c r="U75" i="78"/>
  <c r="S75" i="78"/>
  <c r="Y73" i="78"/>
  <c r="U73" i="78"/>
  <c r="S73" i="78"/>
  <c r="Y72" i="78"/>
  <c r="U72" i="78"/>
  <c r="S72" i="78"/>
  <c r="Y71" i="78"/>
  <c r="U71" i="78"/>
  <c r="S71" i="78"/>
  <c r="Y69" i="78"/>
  <c r="U69" i="78"/>
  <c r="S69" i="78"/>
  <c r="Y60" i="78"/>
  <c r="Z60" i="78" s="1"/>
  <c r="AA60" i="78" s="1"/>
  <c r="Z58" i="78"/>
  <c r="Y59" i="78"/>
  <c r="Z59" i="78" s="1"/>
  <c r="AA59" i="78" s="1"/>
  <c r="Y55" i="78"/>
  <c r="Y25" i="78"/>
  <c r="U25" i="78"/>
  <c r="S25" i="78"/>
  <c r="Y24" i="78"/>
  <c r="U24" i="78"/>
  <c r="S24" i="78"/>
  <c r="Y23" i="78"/>
  <c r="U23" i="78"/>
  <c r="S23" i="78"/>
  <c r="Y22" i="78"/>
  <c r="U22" i="78"/>
  <c r="S22" i="78"/>
  <c r="Y21" i="78"/>
  <c r="U21" i="78"/>
  <c r="S21" i="78"/>
  <c r="Y20" i="78"/>
  <c r="U20" i="78"/>
  <c r="S20" i="78"/>
  <c r="Y19" i="78"/>
  <c r="U19" i="78"/>
  <c r="S19" i="78"/>
  <c r="Y18" i="78"/>
  <c r="U18" i="78"/>
  <c r="S18" i="78"/>
  <c r="Y17" i="78"/>
  <c r="U17" i="78"/>
  <c r="S17" i="78"/>
  <c r="Y16" i="78"/>
  <c r="U16" i="78"/>
  <c r="S16" i="78"/>
  <c r="Y14" i="78"/>
  <c r="U14" i="78"/>
  <c r="S14" i="78"/>
  <c r="Y15" i="78"/>
  <c r="U15" i="78"/>
  <c r="S15" i="78"/>
  <c r="Y13" i="78"/>
  <c r="U13" i="78"/>
  <c r="S13" i="78"/>
  <c r="Y12" i="78"/>
  <c r="U12" i="78"/>
  <c r="S12" i="78"/>
  <c r="Y11" i="78"/>
  <c r="U11" i="78"/>
  <c r="S11" i="78"/>
  <c r="Y10" i="78"/>
  <c r="U10" i="78"/>
  <c r="S10" i="78"/>
  <c r="S9" i="78"/>
  <c r="Y9" i="78"/>
  <c r="U9" i="78"/>
  <c r="Y8" i="78"/>
  <c r="U8" i="78"/>
  <c r="S8" i="78"/>
  <c r="Y7" i="78"/>
  <c r="U7" i="78"/>
  <c r="S7" i="78"/>
  <c r="Y64" i="78"/>
  <c r="U65" i="78"/>
  <c r="U64" i="78"/>
  <c r="S65" i="78"/>
  <c r="S64" i="78"/>
  <c r="S63" i="78"/>
  <c r="Y41" i="78"/>
  <c r="U41" i="78"/>
  <c r="S41" i="78"/>
  <c r="S44" i="78"/>
  <c r="Y44" i="78"/>
  <c r="U44" i="78"/>
  <c r="Y43" i="78"/>
  <c r="U43" i="78"/>
  <c r="S43" i="78"/>
  <c r="Y40" i="78"/>
  <c r="U40" i="78"/>
  <c r="S40" i="78"/>
  <c r="Y39" i="78"/>
  <c r="U39" i="78"/>
  <c r="S39" i="78"/>
  <c r="Y38" i="78"/>
  <c r="U38" i="78"/>
  <c r="S38" i="78"/>
  <c r="Y37" i="78"/>
  <c r="U37" i="78"/>
  <c r="S37" i="78"/>
  <c r="Y36" i="78"/>
  <c r="U36" i="78"/>
  <c r="S36" i="78"/>
  <c r="Y35" i="78"/>
  <c r="U35" i="78"/>
  <c r="S35" i="78"/>
  <c r="Y32" i="78"/>
  <c r="U32" i="78"/>
  <c r="S32" i="78"/>
  <c r="Y34" i="78"/>
  <c r="U34" i="78"/>
  <c r="S34" i="78"/>
  <c r="Y33" i="78"/>
  <c r="U33" i="78"/>
  <c r="S33" i="78"/>
  <c r="Y31" i="78"/>
  <c r="U31" i="78"/>
  <c r="S31" i="78"/>
  <c r="Y30" i="78"/>
  <c r="U30" i="78"/>
  <c r="S30" i="78"/>
  <c r="Y29" i="78"/>
  <c r="U29" i="78"/>
  <c r="S29" i="78"/>
  <c r="Y28" i="78"/>
  <c r="U28" i="78"/>
  <c r="S28" i="78"/>
  <c r="Y68" i="78"/>
  <c r="U68" i="78"/>
  <c r="S68" i="78"/>
  <c r="Y62" i="78"/>
  <c r="U62" i="78"/>
  <c r="S62" i="78"/>
  <c r="S67" i="78"/>
  <c r="U67" i="78"/>
  <c r="Y67" i="78"/>
  <c r="S56" i="78"/>
  <c r="U56" i="78"/>
  <c r="Y56" i="78"/>
  <c r="S52" i="78"/>
  <c r="U52" i="78"/>
  <c r="Y52" i="78"/>
  <c r="S50" i="78"/>
  <c r="U50" i="78"/>
  <c r="Y50" i="78"/>
  <c r="U55" i="78"/>
  <c r="S66" i="78"/>
  <c r="U66" i="78"/>
  <c r="Y66" i="78"/>
  <c r="Y65" i="78"/>
  <c r="U63" i="78"/>
  <c r="Y63" i="78"/>
  <c r="U45" i="78"/>
  <c r="Y45" i="78"/>
  <c r="S46" i="78"/>
  <c r="U46" i="78"/>
  <c r="Y46" i="78"/>
  <c r="S47" i="78"/>
  <c r="U47" i="78"/>
  <c r="Y47" i="78"/>
  <c r="S48" i="78"/>
  <c r="U48" i="78"/>
  <c r="S49" i="78"/>
  <c r="U49" i="78"/>
  <c r="Y49" i="78"/>
  <c r="S55" i="78"/>
  <c r="S57" i="78"/>
  <c r="U57" i="78"/>
  <c r="Y57" i="78"/>
  <c r="B3" i="79"/>
  <c r="B4" i="79"/>
  <c r="B5" i="79"/>
  <c r="B6" i="79"/>
  <c r="B7" i="79"/>
  <c r="B8" i="79"/>
  <c r="B9" i="79"/>
  <c r="B10" i="79"/>
  <c r="B11" i="79"/>
  <c r="B12" i="79"/>
  <c r="B13" i="79"/>
  <c r="B2" i="79"/>
  <c r="U82" i="82" l="1"/>
  <c r="X82" i="82"/>
  <c r="Y82" i="82" s="1"/>
  <c r="U415" i="82"/>
  <c r="U364" i="82"/>
  <c r="U222" i="82"/>
  <c r="V178" i="78"/>
  <c r="W178" i="78" s="1"/>
  <c r="T394" i="82"/>
  <c r="X394" i="82" s="1"/>
  <c r="Y394" i="82" s="1"/>
  <c r="T421" i="82"/>
  <c r="U421" i="82" s="1"/>
  <c r="V160" i="78"/>
  <c r="W160" i="78" s="1"/>
  <c r="V168" i="78"/>
  <c r="W168" i="78" s="1"/>
  <c r="V93" i="78"/>
  <c r="W93" i="78" s="1"/>
  <c r="V117" i="78"/>
  <c r="W117" i="78" s="1"/>
  <c r="V125" i="78"/>
  <c r="W125" i="78" s="1"/>
  <c r="V131" i="78"/>
  <c r="W131" i="78" s="1"/>
  <c r="V133" i="78"/>
  <c r="W133" i="78" s="1"/>
  <c r="V141" i="78"/>
  <c r="W141" i="78" s="1"/>
  <c r="V149" i="78"/>
  <c r="W149" i="78" s="1"/>
  <c r="V155" i="78"/>
  <c r="W155" i="78" s="1"/>
  <c r="T426" i="82"/>
  <c r="U426" i="82" s="1"/>
  <c r="V10" i="78"/>
  <c r="Z10" i="78" s="1"/>
  <c r="AA10" i="78" s="1"/>
  <c r="V112" i="78"/>
  <c r="W112" i="78" s="1"/>
  <c r="V165" i="78"/>
  <c r="Z165" i="78" s="1"/>
  <c r="AA165" i="78" s="1"/>
  <c r="V123" i="78"/>
  <c r="Z123" i="78" s="1"/>
  <c r="AA123" i="78" s="1"/>
  <c r="V161" i="78"/>
  <c r="Z161" i="78" s="1"/>
  <c r="AA161" i="78" s="1"/>
  <c r="V169" i="78"/>
  <c r="W169" i="78" s="1"/>
  <c r="V172" i="78"/>
  <c r="W172" i="78" s="1"/>
  <c r="V156" i="78"/>
  <c r="W156" i="78" s="1"/>
  <c r="T424" i="82"/>
  <c r="U424" i="82" s="1"/>
  <c r="V103" i="78"/>
  <c r="Z103" i="78" s="1"/>
  <c r="AA103" i="78" s="1"/>
  <c r="T255" i="82"/>
  <c r="X255" i="82" s="1"/>
  <c r="Y255" i="82" s="1"/>
  <c r="T295" i="82"/>
  <c r="X295" i="82" s="1"/>
  <c r="Y295" i="82" s="1"/>
  <c r="T327" i="82"/>
  <c r="U327" i="82" s="1"/>
  <c r="T343" i="82"/>
  <c r="X343" i="82" s="1"/>
  <c r="Y343" i="82" s="1"/>
  <c r="V136" i="78"/>
  <c r="Z136" i="78" s="1"/>
  <c r="AA136" i="78" s="1"/>
  <c r="V51" i="78"/>
  <c r="Z51" i="78" s="1"/>
  <c r="AA51" i="78" s="1"/>
  <c r="T206" i="82"/>
  <c r="X206" i="82" s="1"/>
  <c r="Y206" i="82" s="1"/>
  <c r="T214" i="82"/>
  <c r="U214" i="82" s="1"/>
  <c r="T247" i="82"/>
  <c r="X247" i="82" s="1"/>
  <c r="Y247" i="82" s="1"/>
  <c r="T279" i="82"/>
  <c r="U279" i="82" s="1"/>
  <c r="T287" i="82"/>
  <c r="X287" i="82" s="1"/>
  <c r="Y287" i="82" s="1"/>
  <c r="T319" i="82"/>
  <c r="X319" i="82" s="1"/>
  <c r="Y319" i="82" s="1"/>
  <c r="T335" i="82"/>
  <c r="X335" i="82" s="1"/>
  <c r="Y335" i="82" s="1"/>
  <c r="T351" i="82"/>
  <c r="U351" i="82" s="1"/>
  <c r="T359" i="82"/>
  <c r="X359" i="82" s="1"/>
  <c r="Y359" i="82" s="1"/>
  <c r="T392" i="82"/>
  <c r="U392" i="82" s="1"/>
  <c r="T400" i="82"/>
  <c r="X400" i="82" s="1"/>
  <c r="Y400" i="82" s="1"/>
  <c r="T231" i="82"/>
  <c r="X231" i="82" s="1"/>
  <c r="Y231" i="82" s="1"/>
  <c r="T239" i="82"/>
  <c r="X239" i="82" s="1"/>
  <c r="Y239" i="82" s="1"/>
  <c r="T263" i="82"/>
  <c r="X263" i="82" s="1"/>
  <c r="Y263" i="82" s="1"/>
  <c r="T271" i="82"/>
  <c r="X271" i="82" s="1"/>
  <c r="Y271" i="82" s="1"/>
  <c r="T303" i="82"/>
  <c r="U303" i="82" s="1"/>
  <c r="T311" i="82"/>
  <c r="U311" i="82" s="1"/>
  <c r="T368" i="82"/>
  <c r="U368" i="82" s="1"/>
  <c r="T376" i="82"/>
  <c r="U376" i="82" s="1"/>
  <c r="T384" i="82"/>
  <c r="U384" i="82" s="1"/>
  <c r="T408" i="82"/>
  <c r="X408" i="82" s="1"/>
  <c r="Y408" i="82" s="1"/>
  <c r="T419" i="82"/>
  <c r="U419" i="82" s="1"/>
  <c r="T427" i="82"/>
  <c r="X427" i="82" s="1"/>
  <c r="Y427" i="82" s="1"/>
  <c r="T438" i="82"/>
  <c r="X438" i="82" s="1"/>
  <c r="Y438" i="82" s="1"/>
  <c r="V140" i="78"/>
  <c r="Z140" i="78" s="1"/>
  <c r="AA140" i="78" s="1"/>
  <c r="V23" i="78"/>
  <c r="W23" i="78" s="1"/>
  <c r="V14" i="78"/>
  <c r="Z14" i="78" s="1"/>
  <c r="AA14" i="78" s="1"/>
  <c r="T439" i="82"/>
  <c r="X439" i="82" s="1"/>
  <c r="Y439" i="82" s="1"/>
  <c r="V38" i="78"/>
  <c r="W38" i="78" s="1"/>
  <c r="V30" i="78"/>
  <c r="W30" i="78" s="1"/>
  <c r="T312" i="82"/>
  <c r="X312" i="82" s="1"/>
  <c r="Y312" i="82" s="1"/>
  <c r="T328" i="82"/>
  <c r="U328" i="82" s="1"/>
  <c r="T360" i="82"/>
  <c r="U360" i="82" s="1"/>
  <c r="T377" i="82"/>
  <c r="U377" i="82" s="1"/>
  <c r="T385" i="82"/>
  <c r="X385" i="82" s="1"/>
  <c r="Y385" i="82" s="1"/>
  <c r="V68" i="78"/>
  <c r="W68" i="78" s="1"/>
  <c r="V31" i="78"/>
  <c r="Z31" i="78" s="1"/>
  <c r="AA31" i="78" s="1"/>
  <c r="V39" i="78"/>
  <c r="Z39" i="78" s="1"/>
  <c r="AA39" i="78" s="1"/>
  <c r="V110" i="78"/>
  <c r="W110" i="78" s="1"/>
  <c r="V164" i="78"/>
  <c r="Z164" i="78" s="1"/>
  <c r="AA164" i="78" s="1"/>
  <c r="V167" i="78"/>
  <c r="W167" i="78" s="1"/>
  <c r="V174" i="78"/>
  <c r="Z174" i="78" s="1"/>
  <c r="AA174" i="78" s="1"/>
  <c r="Z27" i="78"/>
  <c r="AA27" i="78" s="1"/>
  <c r="V53" i="78"/>
  <c r="W53" i="78" s="1"/>
  <c r="V12" i="78"/>
  <c r="W12" i="78" s="1"/>
  <c r="V20" i="78"/>
  <c r="Z20" i="78" s="1"/>
  <c r="AA20" i="78" s="1"/>
  <c r="V78" i="78"/>
  <c r="Z78" i="78" s="1"/>
  <c r="AA78" i="78" s="1"/>
  <c r="V47" i="78"/>
  <c r="W47" i="78" s="1"/>
  <c r="V73" i="78"/>
  <c r="Z73" i="78" s="1"/>
  <c r="AA73" i="78" s="1"/>
  <c r="V74" i="78"/>
  <c r="W74" i="78" s="1"/>
  <c r="V81" i="78"/>
  <c r="W81" i="78" s="1"/>
  <c r="V87" i="78"/>
  <c r="W87" i="78" s="1"/>
  <c r="V106" i="78"/>
  <c r="W106" i="78" s="1"/>
  <c r="V175" i="78"/>
  <c r="Z175" i="78" s="1"/>
  <c r="AA175" i="78" s="1"/>
  <c r="V116" i="78"/>
  <c r="W116" i="78" s="1"/>
  <c r="V17" i="78"/>
  <c r="Z17" i="78" s="1"/>
  <c r="AA17" i="78" s="1"/>
  <c r="V71" i="78"/>
  <c r="Z71" i="78" s="1"/>
  <c r="AA71" i="78" s="1"/>
  <c r="V90" i="78"/>
  <c r="Z90" i="78" s="1"/>
  <c r="AA90" i="78" s="1"/>
  <c r="V122" i="78"/>
  <c r="Z122" i="78" s="1"/>
  <c r="AA122" i="78" s="1"/>
  <c r="V138" i="78"/>
  <c r="Z138" i="78" s="1"/>
  <c r="AA138" i="78" s="1"/>
  <c r="V118" i="78"/>
  <c r="W118" i="78" s="1"/>
  <c r="V126" i="78"/>
  <c r="W126" i="78" s="1"/>
  <c r="V132" i="78"/>
  <c r="W132" i="78" s="1"/>
  <c r="V134" i="78"/>
  <c r="W134" i="78" s="1"/>
  <c r="V142" i="78"/>
  <c r="W142" i="78" s="1"/>
  <c r="V150" i="78"/>
  <c r="W150" i="78" s="1"/>
  <c r="V124" i="78"/>
  <c r="W124" i="78" s="1"/>
  <c r="V130" i="78"/>
  <c r="Z130" i="78" s="1"/>
  <c r="AA130" i="78" s="1"/>
  <c r="V137" i="78"/>
  <c r="Z137" i="78" s="1"/>
  <c r="AA137" i="78" s="1"/>
  <c r="V148" i="78"/>
  <c r="W148" i="78" s="1"/>
  <c r="V154" i="78"/>
  <c r="W154" i="78" s="1"/>
  <c r="V152" i="78"/>
  <c r="W152" i="78" s="1"/>
  <c r="V7" i="78"/>
  <c r="W7" i="78" s="1"/>
  <c r="V67" i="78"/>
  <c r="W67" i="78" s="1"/>
  <c r="V64" i="78"/>
  <c r="W64" i="78" s="1"/>
  <c r="V119" i="78"/>
  <c r="Z119" i="78" s="1"/>
  <c r="AA119" i="78" s="1"/>
  <c r="V127" i="78"/>
  <c r="W127" i="78" s="1"/>
  <c r="V135" i="78"/>
  <c r="W135" i="78" s="1"/>
  <c r="V143" i="78"/>
  <c r="W143" i="78" s="1"/>
  <c r="V173" i="78"/>
  <c r="Z173" i="78" s="1"/>
  <c r="AA173" i="78" s="1"/>
  <c r="V94" i="78"/>
  <c r="Z94" i="78" s="1"/>
  <c r="AA94" i="78" s="1"/>
  <c r="T393" i="82"/>
  <c r="X393" i="82" s="1"/>
  <c r="Y393" i="82" s="1"/>
  <c r="T401" i="82"/>
  <c r="U401" i="82" s="1"/>
  <c r="T409" i="82"/>
  <c r="U409" i="82" s="1"/>
  <c r="T420" i="82"/>
  <c r="X420" i="82" s="1"/>
  <c r="Y420" i="82" s="1"/>
  <c r="T428" i="82"/>
  <c r="X428" i="82" s="1"/>
  <c r="Y428" i="82" s="1"/>
  <c r="W27" i="78"/>
  <c r="V88" i="78"/>
  <c r="Z88" i="78" s="1"/>
  <c r="AA88" i="78" s="1"/>
  <c r="V29" i="78"/>
  <c r="W29" i="78" s="1"/>
  <c r="V34" i="78"/>
  <c r="W34" i="78" s="1"/>
  <c r="V43" i="78"/>
  <c r="Z43" i="78" s="1"/>
  <c r="AA43" i="78" s="1"/>
  <c r="V72" i="78"/>
  <c r="Z72" i="78" s="1"/>
  <c r="AA72" i="78" s="1"/>
  <c r="V95" i="78"/>
  <c r="W95" i="78" s="1"/>
  <c r="V105" i="78"/>
  <c r="Z105" i="78" s="1"/>
  <c r="AA105" i="78" s="1"/>
  <c r="V120" i="78"/>
  <c r="W120" i="78" s="1"/>
  <c r="V128" i="78"/>
  <c r="Z128" i="78" s="1"/>
  <c r="AA128" i="78" s="1"/>
  <c r="V139" i="78"/>
  <c r="W139" i="78" s="1"/>
  <c r="V144" i="78"/>
  <c r="Z144" i="78" s="1"/>
  <c r="AA144" i="78" s="1"/>
  <c r="V147" i="78"/>
  <c r="W147" i="78" s="1"/>
  <c r="V158" i="78"/>
  <c r="Z158" i="78" s="1"/>
  <c r="AA158" i="78" s="1"/>
  <c r="V163" i="78"/>
  <c r="W163" i="78" s="1"/>
  <c r="V166" i="78"/>
  <c r="Z166" i="78" s="1"/>
  <c r="AA166" i="78" s="1"/>
  <c r="V171" i="78"/>
  <c r="Z171" i="78" s="1"/>
  <c r="AA171" i="78" s="1"/>
  <c r="V26" i="78"/>
  <c r="W26" i="78" s="1"/>
  <c r="V89" i="78"/>
  <c r="Z89" i="78" s="1"/>
  <c r="AA89" i="78" s="1"/>
  <c r="V92" i="78"/>
  <c r="W92" i="78" s="1"/>
  <c r="V113" i="78"/>
  <c r="W113" i="78" s="1"/>
  <c r="V18" i="78"/>
  <c r="W18" i="78" s="1"/>
  <c r="V111" i="78"/>
  <c r="Z111" i="78" s="1"/>
  <c r="AA111" i="78" s="1"/>
  <c r="V145" i="78"/>
  <c r="W145" i="78" s="1"/>
  <c r="V55" i="78"/>
  <c r="W55" i="78" s="1"/>
  <c r="V28" i="78"/>
  <c r="W28" i="78" s="1"/>
  <c r="V36" i="78"/>
  <c r="W36" i="78" s="1"/>
  <c r="V99" i="78"/>
  <c r="V57" i="78"/>
  <c r="Z57" i="78" s="1"/>
  <c r="AA57" i="78" s="1"/>
  <c r="V24" i="78"/>
  <c r="W24" i="78" s="1"/>
  <c r="V76" i="78"/>
  <c r="W76" i="78" s="1"/>
  <c r="T383" i="82"/>
  <c r="X383" i="82" s="1"/>
  <c r="Y383" i="82" s="1"/>
  <c r="T391" i="82"/>
  <c r="U391" i="82" s="1"/>
  <c r="T399" i="82"/>
  <c r="X399" i="82" s="1"/>
  <c r="Y399" i="82" s="1"/>
  <c r="T407" i="82"/>
  <c r="X407" i="82" s="1"/>
  <c r="Y407" i="82" s="1"/>
  <c r="T437" i="82"/>
  <c r="U437" i="82" s="1"/>
  <c r="T361" i="82"/>
  <c r="U361" i="82" s="1"/>
  <c r="T370" i="82"/>
  <c r="X370" i="82" s="1"/>
  <c r="Y370" i="82" s="1"/>
  <c r="T378" i="82"/>
  <c r="U378" i="82" s="1"/>
  <c r="T386" i="82"/>
  <c r="X386" i="82" s="1"/>
  <c r="Y386" i="82" s="1"/>
  <c r="T402" i="82"/>
  <c r="X402" i="82" s="1"/>
  <c r="Y402" i="82" s="1"/>
  <c r="T410" i="82"/>
  <c r="X410" i="82" s="1"/>
  <c r="Y410" i="82" s="1"/>
  <c r="T429" i="82"/>
  <c r="U429" i="82" s="1"/>
  <c r="T414" i="82"/>
  <c r="U414" i="82" s="1"/>
  <c r="V65" i="78"/>
  <c r="W65" i="78" s="1"/>
  <c r="V9" i="78"/>
  <c r="W9" i="78" s="1"/>
  <c r="V153" i="78"/>
  <c r="Z153" i="78" s="1"/>
  <c r="AA153" i="78" s="1"/>
  <c r="V54" i="78"/>
  <c r="Z54" i="78" s="1"/>
  <c r="AA54" i="78" s="1"/>
  <c r="V48" i="78"/>
  <c r="W48" i="78" s="1"/>
  <c r="V49" i="78"/>
  <c r="Z49" i="78" s="1"/>
  <c r="AA49" i="78" s="1"/>
  <c r="V46" i="78"/>
  <c r="W46" i="78" s="1"/>
  <c r="V15" i="78"/>
  <c r="W15" i="78" s="1"/>
  <c r="V19" i="78"/>
  <c r="W19" i="78" s="1"/>
  <c r="V22" i="78"/>
  <c r="W22" i="78" s="1"/>
  <c r="V100" i="78"/>
  <c r="Z100" i="78" s="1"/>
  <c r="AA100" i="78" s="1"/>
  <c r="Z157" i="78"/>
  <c r="AA157" i="78" s="1"/>
  <c r="V77" i="78"/>
  <c r="Z77" i="78" s="1"/>
  <c r="AA77" i="78" s="1"/>
  <c r="V102" i="78"/>
  <c r="Z102" i="78" s="1"/>
  <c r="AA102" i="78" s="1"/>
  <c r="T341" i="82"/>
  <c r="U341" i="82" s="1"/>
  <c r="T406" i="82"/>
  <c r="U406" i="82" s="1"/>
  <c r="T425" i="82"/>
  <c r="U425" i="82" s="1"/>
  <c r="T344" i="82"/>
  <c r="X344" i="82" s="1"/>
  <c r="Y344" i="82" s="1"/>
  <c r="V121" i="78"/>
  <c r="V151" i="78"/>
  <c r="W151" i="78" s="1"/>
  <c r="V159" i="78"/>
  <c r="V162" i="78"/>
  <c r="V170" i="78"/>
  <c r="V177" i="78"/>
  <c r="T208" i="82"/>
  <c r="X208" i="82" s="1"/>
  <c r="Y208" i="82" s="1"/>
  <c r="T216" i="82"/>
  <c r="X216" i="82" s="1"/>
  <c r="Y216" i="82" s="1"/>
  <c r="T241" i="82"/>
  <c r="U241" i="82" s="1"/>
  <c r="T249" i="82"/>
  <c r="U249" i="82" s="1"/>
  <c r="T265" i="82"/>
  <c r="X265" i="82" s="1"/>
  <c r="Y265" i="82" s="1"/>
  <c r="T273" i="82"/>
  <c r="U273" i="82" s="1"/>
  <c r="T289" i="82"/>
  <c r="U289" i="82" s="1"/>
  <c r="T297" i="82"/>
  <c r="U297" i="82" s="1"/>
  <c r="T305" i="82"/>
  <c r="X305" i="82" s="1"/>
  <c r="Y305" i="82" s="1"/>
  <c r="T313" i="82"/>
  <c r="X313" i="82" s="1"/>
  <c r="Y313" i="82" s="1"/>
  <c r="T321" i="82"/>
  <c r="X321" i="82" s="1"/>
  <c r="Y321" i="82" s="1"/>
  <c r="T329" i="82"/>
  <c r="X329" i="82" s="1"/>
  <c r="Y329" i="82" s="1"/>
  <c r="T337" i="82"/>
  <c r="X337" i="82" s="1"/>
  <c r="Y337" i="82" s="1"/>
  <c r="T345" i="82"/>
  <c r="X345" i="82" s="1"/>
  <c r="Y345" i="82" s="1"/>
  <c r="T353" i="82"/>
  <c r="X353" i="82" s="1"/>
  <c r="Y353" i="82" s="1"/>
  <c r="T432" i="82"/>
  <c r="U432" i="82" s="1"/>
  <c r="V50" i="78"/>
  <c r="V32" i="78"/>
  <c r="V91" i="78"/>
  <c r="Z91" i="78" s="1"/>
  <c r="AA91" i="78" s="1"/>
  <c r="V146" i="78"/>
  <c r="T348" i="82"/>
  <c r="X348" i="82" s="1"/>
  <c r="Y348" i="82" s="1"/>
  <c r="V45" i="78"/>
  <c r="W45" i="78" s="1"/>
  <c r="V66" i="78"/>
  <c r="V62" i="78"/>
  <c r="V80" i="78"/>
  <c r="W80" i="78" s="1"/>
  <c r="V176" i="78"/>
  <c r="V69" i="78"/>
  <c r="V86" i="78"/>
  <c r="V115" i="78"/>
  <c r="T310" i="82"/>
  <c r="X310" i="82" s="1"/>
  <c r="Y310" i="82" s="1"/>
  <c r="T318" i="82"/>
  <c r="X318" i="82" s="1"/>
  <c r="Y318" i="82" s="1"/>
  <c r="T342" i="82"/>
  <c r="X342" i="82" s="1"/>
  <c r="Y342" i="82" s="1"/>
  <c r="T388" i="82"/>
  <c r="U388" i="82" s="1"/>
  <c r="T396" i="82"/>
  <c r="X396" i="82" s="1"/>
  <c r="Y396" i="82" s="1"/>
  <c r="T404" i="82"/>
  <c r="U404" i="82" s="1"/>
  <c r="T412" i="82"/>
  <c r="X412" i="82" s="1"/>
  <c r="Y412" i="82" s="1"/>
  <c r="T423" i="82"/>
  <c r="X423" i="82" s="1"/>
  <c r="Y423" i="82" s="1"/>
  <c r="V37" i="78"/>
  <c r="W37" i="78" s="1"/>
  <c r="V44" i="78"/>
  <c r="V41" i="78"/>
  <c r="W41" i="78" s="1"/>
  <c r="V63" i="78"/>
  <c r="V11" i="78"/>
  <c r="V13" i="78"/>
  <c r="V16" i="78"/>
  <c r="V21" i="78"/>
  <c r="V70" i="78"/>
  <c r="V35" i="78"/>
  <c r="V40" i="78"/>
  <c r="V98" i="78"/>
  <c r="T219" i="82"/>
  <c r="X219" i="82" s="1"/>
  <c r="Y219" i="82" s="1"/>
  <c r="T268" i="82"/>
  <c r="U268" i="82" s="1"/>
  <c r="T276" i="82"/>
  <c r="X276" i="82" s="1"/>
  <c r="Y276" i="82" s="1"/>
  <c r="T284" i="82"/>
  <c r="U284" i="82" s="1"/>
  <c r="T292" i="82"/>
  <c r="X292" i="82" s="1"/>
  <c r="Y292" i="82" s="1"/>
  <c r="T300" i="82"/>
  <c r="U300" i="82" s="1"/>
  <c r="T308" i="82"/>
  <c r="X308" i="82" s="1"/>
  <c r="Y308" i="82" s="1"/>
  <c r="T316" i="82"/>
  <c r="U316" i="82" s="1"/>
  <c r="T324" i="82"/>
  <c r="X324" i="82" s="1"/>
  <c r="Y324" i="82" s="1"/>
  <c r="T332" i="82"/>
  <c r="X332" i="82" s="1"/>
  <c r="Y332" i="82" s="1"/>
  <c r="T340" i="82"/>
  <c r="U340" i="82" s="1"/>
  <c r="T356" i="82"/>
  <c r="U356" i="82" s="1"/>
  <c r="T365" i="82"/>
  <c r="U365" i="82" s="1"/>
  <c r="T373" i="82"/>
  <c r="X373" i="82" s="1"/>
  <c r="Y373" i="82" s="1"/>
  <c r="V114" i="78"/>
  <c r="V129" i="78"/>
  <c r="V56" i="78"/>
  <c r="V52" i="78"/>
  <c r="V75" i="78"/>
  <c r="V101" i="78"/>
  <c r="T331" i="82"/>
  <c r="X331" i="82" s="1"/>
  <c r="Y331" i="82" s="1"/>
  <c r="T372" i="82"/>
  <c r="X372" i="82" s="1"/>
  <c r="Y372" i="82" s="1"/>
  <c r="V33" i="78"/>
  <c r="V8" i="78"/>
  <c r="V25" i="78"/>
  <c r="T201" i="82"/>
  <c r="X201" i="82" s="1"/>
  <c r="Y201" i="82" s="1"/>
  <c r="T209" i="82"/>
  <c r="X209" i="82" s="1"/>
  <c r="Y209" i="82" s="1"/>
  <c r="T217" i="82"/>
  <c r="U217" i="82" s="1"/>
  <c r="T226" i="82"/>
  <c r="X226" i="82" s="1"/>
  <c r="Y226" i="82" s="1"/>
  <c r="T234" i="82"/>
  <c r="U234" i="82" s="1"/>
  <c r="T242" i="82"/>
  <c r="U242" i="82" s="1"/>
  <c r="T250" i="82"/>
  <c r="X250" i="82" s="1"/>
  <c r="Y250" i="82" s="1"/>
  <c r="T258" i="82"/>
  <c r="U258" i="82" s="1"/>
  <c r="T266" i="82"/>
  <c r="X266" i="82" s="1"/>
  <c r="Y266" i="82" s="1"/>
  <c r="T274" i="82"/>
  <c r="U274" i="82" s="1"/>
  <c r="T282" i="82"/>
  <c r="X282" i="82" s="1"/>
  <c r="Y282" i="82" s="1"/>
  <c r="T290" i="82"/>
  <c r="X290" i="82" s="1"/>
  <c r="Y290" i="82" s="1"/>
  <c r="T298" i="82"/>
  <c r="U298" i="82" s="1"/>
  <c r="T306" i="82"/>
  <c r="X306" i="82" s="1"/>
  <c r="Y306" i="82" s="1"/>
  <c r="T314" i="82"/>
  <c r="X314" i="82" s="1"/>
  <c r="Y314" i="82" s="1"/>
  <c r="T322" i="82"/>
  <c r="X322" i="82" s="1"/>
  <c r="Y322" i="82" s="1"/>
  <c r="T330" i="82"/>
  <c r="X330" i="82" s="1"/>
  <c r="Y330" i="82" s="1"/>
  <c r="T338" i="82"/>
  <c r="X338" i="82" s="1"/>
  <c r="Y338" i="82" s="1"/>
  <c r="T346" i="82"/>
  <c r="X346" i="82" s="1"/>
  <c r="Y346" i="82" s="1"/>
  <c r="T354" i="82"/>
  <c r="U354" i="82" s="1"/>
  <c r="T362" i="82"/>
  <c r="X362" i="82" s="1"/>
  <c r="Y362" i="82" s="1"/>
  <c r="T371" i="82"/>
  <c r="X371" i="82" s="1"/>
  <c r="Y371" i="82" s="1"/>
  <c r="T379" i="82"/>
  <c r="U379" i="82" s="1"/>
  <c r="T387" i="82"/>
  <c r="X387" i="82" s="1"/>
  <c r="Y387" i="82" s="1"/>
  <c r="T395" i="82"/>
  <c r="X395" i="82" s="1"/>
  <c r="Y395" i="82" s="1"/>
  <c r="T403" i="82"/>
  <c r="U403" i="82" s="1"/>
  <c r="T411" i="82"/>
  <c r="U411" i="82" s="1"/>
  <c r="T422" i="82"/>
  <c r="U422" i="82" s="1"/>
  <c r="T430" i="82"/>
  <c r="U430" i="82" s="1"/>
  <c r="T433" i="82"/>
  <c r="U433" i="82" s="1"/>
  <c r="T304" i="82"/>
  <c r="X304" i="82" s="1"/>
  <c r="Y304" i="82" s="1"/>
  <c r="T320" i="82"/>
  <c r="U320" i="82" s="1"/>
  <c r="T381" i="82"/>
  <c r="U381" i="82" s="1"/>
  <c r="T389" i="82"/>
  <c r="U389" i="82" s="1"/>
  <c r="T397" i="82"/>
  <c r="X397" i="82" s="1"/>
  <c r="Y397" i="82" s="1"/>
  <c r="T405" i="82"/>
  <c r="U405" i="82" s="1"/>
  <c r="T413" i="82"/>
  <c r="U413" i="82" s="1"/>
  <c r="T435" i="82"/>
  <c r="U435" i="82" s="1"/>
  <c r="T301" i="82"/>
  <c r="X301" i="82" s="1"/>
  <c r="Y301" i="82" s="1"/>
  <c r="T374" i="82"/>
  <c r="U374" i="82" s="1"/>
  <c r="T390" i="82"/>
  <c r="X390" i="82" s="1"/>
  <c r="Y390" i="82" s="1"/>
  <c r="T416" i="82"/>
  <c r="T57" i="82"/>
  <c r="X57" i="82" s="1"/>
  <c r="Y57" i="82" s="1"/>
  <c r="T91" i="82"/>
  <c r="X91" i="82" s="1"/>
  <c r="Y91" i="82" s="1"/>
  <c r="T108" i="82"/>
  <c r="X108" i="82" s="1"/>
  <c r="Y108" i="82" s="1"/>
  <c r="T133" i="82"/>
  <c r="X133" i="82" s="1"/>
  <c r="Y133" i="82" s="1"/>
  <c r="T146" i="82"/>
  <c r="X146" i="82" s="1"/>
  <c r="Y146" i="82" s="1"/>
  <c r="T167" i="82"/>
  <c r="X167" i="82" s="1"/>
  <c r="Y167" i="82" s="1"/>
  <c r="T238" i="82"/>
  <c r="U238" i="82" s="1"/>
  <c r="T246" i="82"/>
  <c r="U246" i="82" s="1"/>
  <c r="T350" i="82"/>
  <c r="X350" i="82" s="1"/>
  <c r="Y350" i="82" s="1"/>
  <c r="T358" i="82"/>
  <c r="T162" i="82"/>
  <c r="X162" i="82" s="1"/>
  <c r="Y162" i="82" s="1"/>
  <c r="T171" i="82"/>
  <c r="X171" i="82" s="1"/>
  <c r="Y171" i="82" s="1"/>
  <c r="T122" i="82"/>
  <c r="U122" i="82" s="1"/>
  <c r="T180" i="82"/>
  <c r="X180" i="82" s="1"/>
  <c r="Y180" i="82" s="1"/>
  <c r="T184" i="82"/>
  <c r="U184" i="82" s="1"/>
  <c r="T224" i="82"/>
  <c r="X224" i="82" s="1"/>
  <c r="Y224" i="82" s="1"/>
  <c r="T232" i="82"/>
  <c r="X232" i="82" s="1"/>
  <c r="Y232" i="82" s="1"/>
  <c r="T240" i="82"/>
  <c r="X240" i="82" s="1"/>
  <c r="Y240" i="82" s="1"/>
  <c r="T248" i="82"/>
  <c r="U248" i="82" s="1"/>
  <c r="T264" i="82"/>
  <c r="X264" i="82" s="1"/>
  <c r="Y264" i="82" s="1"/>
  <c r="T272" i="82"/>
  <c r="U272" i="82" s="1"/>
  <c r="T205" i="82"/>
  <c r="U205" i="82" s="1"/>
  <c r="T213" i="82"/>
  <c r="X213" i="82" s="1"/>
  <c r="Y213" i="82" s="1"/>
  <c r="T221" i="82"/>
  <c r="X221" i="82" s="1"/>
  <c r="Y221" i="82" s="1"/>
  <c r="T230" i="82"/>
  <c r="X230" i="82" s="1"/>
  <c r="Y230" i="82" s="1"/>
  <c r="T254" i="82"/>
  <c r="X254" i="82" s="1"/>
  <c r="Y254" i="82" s="1"/>
  <c r="T262" i="82"/>
  <c r="X262" i="82" s="1"/>
  <c r="Y262" i="82" s="1"/>
  <c r="T270" i="82"/>
  <c r="U270" i="82" s="1"/>
  <c r="T278" i="82"/>
  <c r="X278" i="82" s="1"/>
  <c r="Y278" i="82" s="1"/>
  <c r="T286" i="82"/>
  <c r="U286" i="82" s="1"/>
  <c r="T294" i="82"/>
  <c r="X294" i="82" s="1"/>
  <c r="Y294" i="82" s="1"/>
  <c r="T302" i="82"/>
  <c r="U302" i="82" s="1"/>
  <c r="T326" i="82"/>
  <c r="X326" i="82" s="1"/>
  <c r="Y326" i="82" s="1"/>
  <c r="T334" i="82"/>
  <c r="X334" i="82" s="1"/>
  <c r="Y334" i="82" s="1"/>
  <c r="T375" i="82"/>
  <c r="X375" i="82" s="1"/>
  <c r="Y375" i="82" s="1"/>
  <c r="T16" i="82"/>
  <c r="X16" i="82" s="1"/>
  <c r="Y16" i="82" s="1"/>
  <c r="T181" i="82"/>
  <c r="X181" i="82" s="1"/>
  <c r="Y181" i="82" s="1"/>
  <c r="T17" i="82"/>
  <c r="X17" i="82" s="1"/>
  <c r="Y17" i="82" s="1"/>
  <c r="T38" i="82"/>
  <c r="X38" i="82" s="1"/>
  <c r="Y38" i="82" s="1"/>
  <c r="T62" i="82"/>
  <c r="X62" i="82" s="1"/>
  <c r="Y62" i="82" s="1"/>
  <c r="T66" i="82"/>
  <c r="X66" i="82" s="1"/>
  <c r="Y66" i="82" s="1"/>
  <c r="T87" i="82"/>
  <c r="X87" i="82" s="1"/>
  <c r="Y87" i="82" s="1"/>
  <c r="T96" i="82"/>
  <c r="X96" i="82" s="1"/>
  <c r="Y96" i="82" s="1"/>
  <c r="T109" i="82"/>
  <c r="X109" i="82" s="1"/>
  <c r="Y109" i="82" s="1"/>
  <c r="T113" i="82"/>
  <c r="X113" i="82" s="1"/>
  <c r="Y113" i="82" s="1"/>
  <c r="T104" i="82"/>
  <c r="X104" i="82" s="1"/>
  <c r="Y104" i="82" s="1"/>
  <c r="T117" i="82"/>
  <c r="U117" i="82" s="1"/>
  <c r="T126" i="82"/>
  <c r="U126" i="82" s="1"/>
  <c r="T130" i="82"/>
  <c r="X130" i="82" s="1"/>
  <c r="Y130" i="82" s="1"/>
  <c r="T139" i="82"/>
  <c r="U139" i="82" s="1"/>
  <c r="T143" i="82"/>
  <c r="U143" i="82" s="1"/>
  <c r="T147" i="82"/>
  <c r="X147" i="82" s="1"/>
  <c r="Y147" i="82" s="1"/>
  <c r="T151" i="82"/>
  <c r="X151" i="82" s="1"/>
  <c r="Y151" i="82" s="1"/>
  <c r="T156" i="82"/>
  <c r="U156" i="82" s="1"/>
  <c r="T160" i="82"/>
  <c r="X160" i="82" s="1"/>
  <c r="Y160" i="82" s="1"/>
  <c r="T164" i="82"/>
  <c r="X164" i="82" s="1"/>
  <c r="Y164" i="82" s="1"/>
  <c r="T169" i="82"/>
  <c r="X169" i="82" s="1"/>
  <c r="Y169" i="82" s="1"/>
  <c r="T215" i="82"/>
  <c r="U215" i="82" s="1"/>
  <c r="T280" i="82"/>
  <c r="X280" i="82" s="1"/>
  <c r="Y280" i="82" s="1"/>
  <c r="T296" i="82"/>
  <c r="U296" i="82" s="1"/>
  <c r="T21" i="82"/>
  <c r="X21" i="82" s="1"/>
  <c r="Y21" i="82" s="1"/>
  <c r="T118" i="82"/>
  <c r="U118" i="82" s="1"/>
  <c r="T54" i="82"/>
  <c r="X54" i="82" s="1"/>
  <c r="Y54" i="82" s="1"/>
  <c r="T191" i="82"/>
  <c r="X191" i="82" s="1"/>
  <c r="Y191" i="82" s="1"/>
  <c r="T53" i="82"/>
  <c r="X53" i="82" s="1"/>
  <c r="Y53" i="82" s="1"/>
  <c r="T106" i="82"/>
  <c r="U106" i="82" s="1"/>
  <c r="T129" i="82"/>
  <c r="X129" i="82" s="1"/>
  <c r="Y129" i="82" s="1"/>
  <c r="T138" i="82"/>
  <c r="X138" i="82" s="1"/>
  <c r="Y138" i="82" s="1"/>
  <c r="T142" i="82"/>
  <c r="X142" i="82" s="1"/>
  <c r="Y142" i="82" s="1"/>
  <c r="T150" i="82"/>
  <c r="X150" i="82" s="1"/>
  <c r="Y150" i="82" s="1"/>
  <c r="T170" i="82"/>
  <c r="X170" i="82" s="1"/>
  <c r="Y170" i="82" s="1"/>
  <c r="T288" i="82"/>
  <c r="U288" i="82" s="1"/>
  <c r="T35" i="82"/>
  <c r="X35" i="82" s="1"/>
  <c r="Y35" i="82" s="1"/>
  <c r="T47" i="82"/>
  <c r="X47" i="82" s="1"/>
  <c r="Y47" i="82" s="1"/>
  <c r="T178" i="82"/>
  <c r="U178" i="82" s="1"/>
  <c r="T186" i="82"/>
  <c r="X186" i="82" s="1"/>
  <c r="Y186" i="82" s="1"/>
  <c r="T173" i="82"/>
  <c r="X173" i="82" s="1"/>
  <c r="Y173" i="82" s="1"/>
  <c r="T210" i="82"/>
  <c r="X210" i="82" s="1"/>
  <c r="Y210" i="82" s="1"/>
  <c r="T227" i="82"/>
  <c r="U227" i="82" s="1"/>
  <c r="T251" i="82"/>
  <c r="X251" i="82" s="1"/>
  <c r="Y251" i="82" s="1"/>
  <c r="T259" i="82"/>
  <c r="U259" i="82" s="1"/>
  <c r="T267" i="82"/>
  <c r="X267" i="82" s="1"/>
  <c r="Y267" i="82" s="1"/>
  <c r="T275" i="82"/>
  <c r="U275" i="82" s="1"/>
  <c r="T283" i="82"/>
  <c r="T291" i="82"/>
  <c r="X291" i="82" s="1"/>
  <c r="Y291" i="82" s="1"/>
  <c r="T299" i="82"/>
  <c r="U299" i="82" s="1"/>
  <c r="T307" i="82"/>
  <c r="X307" i="82" s="1"/>
  <c r="Y307" i="82" s="1"/>
  <c r="T315" i="82"/>
  <c r="T323" i="82"/>
  <c r="T18" i="82"/>
  <c r="X18" i="82" s="1"/>
  <c r="Y18" i="82" s="1"/>
  <c r="T182" i="82"/>
  <c r="X182" i="82" s="1"/>
  <c r="Y182" i="82" s="1"/>
  <c r="T8" i="82"/>
  <c r="X8" i="82" s="1"/>
  <c r="Y8" i="82" s="1"/>
  <c r="T12" i="82"/>
  <c r="X12" i="82" s="1"/>
  <c r="Y12" i="82" s="1"/>
  <c r="T20" i="82"/>
  <c r="X20" i="82" s="1"/>
  <c r="Y20" i="82" s="1"/>
  <c r="T24" i="82"/>
  <c r="X24" i="82" s="1"/>
  <c r="Y24" i="82" s="1"/>
  <c r="T28" i="82"/>
  <c r="X28" i="82" s="1"/>
  <c r="Y28" i="82" s="1"/>
  <c r="T33" i="82"/>
  <c r="X33" i="82" s="1"/>
  <c r="Y33" i="82" s="1"/>
  <c r="T37" i="82"/>
  <c r="X37" i="82" s="1"/>
  <c r="Y37" i="82" s="1"/>
  <c r="T41" i="82"/>
  <c r="X41" i="82" s="1"/>
  <c r="Y41" i="82" s="1"/>
  <c r="T45" i="82"/>
  <c r="X45" i="82" s="1"/>
  <c r="Y45" i="82" s="1"/>
  <c r="T49" i="82"/>
  <c r="X49" i="82" s="1"/>
  <c r="Y49" i="82" s="1"/>
  <c r="T61" i="82"/>
  <c r="X61" i="82" s="1"/>
  <c r="Y61" i="82" s="1"/>
  <c r="T69" i="82"/>
  <c r="X69" i="82" s="1"/>
  <c r="Y69" i="82" s="1"/>
  <c r="T73" i="82"/>
  <c r="X73" i="82" s="1"/>
  <c r="Y73" i="82" s="1"/>
  <c r="T77" i="82"/>
  <c r="X77" i="82" s="1"/>
  <c r="Y77" i="82" s="1"/>
  <c r="T81" i="82"/>
  <c r="X81" i="82" s="1"/>
  <c r="Y81" i="82" s="1"/>
  <c r="T159" i="82"/>
  <c r="U159" i="82" s="1"/>
  <c r="T225" i="82"/>
  <c r="X225" i="82" s="1"/>
  <c r="Y225" i="82" s="1"/>
  <c r="T233" i="82"/>
  <c r="U233" i="82" s="1"/>
  <c r="T46" i="82"/>
  <c r="X46" i="82" s="1"/>
  <c r="Y46" i="82" s="1"/>
  <c r="T70" i="82"/>
  <c r="X70" i="82" s="1"/>
  <c r="Y70" i="82" s="1"/>
  <c r="T78" i="82"/>
  <c r="X78" i="82" s="1"/>
  <c r="Y78" i="82" s="1"/>
  <c r="T188" i="82"/>
  <c r="X188" i="82" s="1"/>
  <c r="Y188" i="82" s="1"/>
  <c r="T192" i="82"/>
  <c r="X192" i="82" s="1"/>
  <c r="Y192" i="82" s="1"/>
  <c r="T98" i="82"/>
  <c r="X98" i="82" s="1"/>
  <c r="Y98" i="82" s="1"/>
  <c r="T236" i="82"/>
  <c r="X236" i="82" s="1"/>
  <c r="Y236" i="82" s="1"/>
  <c r="T252" i="82"/>
  <c r="X252" i="82" s="1"/>
  <c r="Y252" i="82" s="1"/>
  <c r="T7" i="82"/>
  <c r="X7" i="82" s="1"/>
  <c r="Y7" i="82" s="1"/>
  <c r="T11" i="82"/>
  <c r="X11" i="82" s="1"/>
  <c r="Y11" i="82" s="1"/>
  <c r="T15" i="82"/>
  <c r="X15" i="82" s="1"/>
  <c r="Y15" i="82" s="1"/>
  <c r="T19" i="82"/>
  <c r="X19" i="82" s="1"/>
  <c r="Y19" i="82" s="1"/>
  <c r="T32" i="82"/>
  <c r="X32" i="82" s="1"/>
  <c r="Y32" i="82" s="1"/>
  <c r="T36" i="82"/>
  <c r="X36" i="82" s="1"/>
  <c r="Y36" i="82" s="1"/>
  <c r="T72" i="82"/>
  <c r="X72" i="82" s="1"/>
  <c r="Y72" i="82" s="1"/>
  <c r="T90" i="82"/>
  <c r="U90" i="82" s="1"/>
  <c r="T97" i="82"/>
  <c r="U97" i="82" s="1"/>
  <c r="T107" i="82"/>
  <c r="X107" i="82" s="1"/>
  <c r="Y107" i="82" s="1"/>
  <c r="T111" i="82"/>
  <c r="X111" i="82" s="1"/>
  <c r="Y111" i="82" s="1"/>
  <c r="T128" i="82"/>
  <c r="X128" i="82" s="1"/>
  <c r="Y128" i="82" s="1"/>
  <c r="T132" i="82"/>
  <c r="X132" i="82" s="1"/>
  <c r="Y132" i="82" s="1"/>
  <c r="T141" i="82"/>
  <c r="X141" i="82" s="1"/>
  <c r="Y141" i="82" s="1"/>
  <c r="T166" i="82"/>
  <c r="X166" i="82" s="1"/>
  <c r="Y166" i="82" s="1"/>
  <c r="T175" i="82"/>
  <c r="U175" i="82" s="1"/>
  <c r="T179" i="82"/>
  <c r="X179" i="82" s="1"/>
  <c r="Y179" i="82" s="1"/>
  <c r="T183" i="82"/>
  <c r="X183" i="82" s="1"/>
  <c r="Y183" i="82" s="1"/>
  <c r="T187" i="82"/>
  <c r="X187" i="82" s="1"/>
  <c r="Y187" i="82" s="1"/>
  <c r="T204" i="82"/>
  <c r="U204" i="82" s="1"/>
  <c r="T212" i="82"/>
  <c r="U212" i="82" s="1"/>
  <c r="T220" i="82"/>
  <c r="X220" i="82" s="1"/>
  <c r="Y220" i="82" s="1"/>
  <c r="T229" i="82"/>
  <c r="U229" i="82" s="1"/>
  <c r="T237" i="82"/>
  <c r="X237" i="82" s="1"/>
  <c r="Y237" i="82" s="1"/>
  <c r="T245" i="82"/>
  <c r="U245" i="82" s="1"/>
  <c r="T253" i="82"/>
  <c r="X253" i="82" s="1"/>
  <c r="Y253" i="82" s="1"/>
  <c r="T261" i="82"/>
  <c r="X261" i="82" s="1"/>
  <c r="Y261" i="82" s="1"/>
  <c r="T269" i="82"/>
  <c r="X269" i="82" s="1"/>
  <c r="Y269" i="82" s="1"/>
  <c r="T277" i="82"/>
  <c r="X277" i="82" s="1"/>
  <c r="Y277" i="82" s="1"/>
  <c r="T285" i="82"/>
  <c r="X285" i="82" s="1"/>
  <c r="Y285" i="82" s="1"/>
  <c r="T293" i="82"/>
  <c r="U293" i="82" s="1"/>
  <c r="T309" i="82"/>
  <c r="X309" i="82" s="1"/>
  <c r="Y309" i="82" s="1"/>
  <c r="T317" i="82"/>
  <c r="X317" i="82" s="1"/>
  <c r="Y317" i="82" s="1"/>
  <c r="T325" i="82"/>
  <c r="X325" i="82" s="1"/>
  <c r="Y325" i="82" s="1"/>
  <c r="T333" i="82"/>
  <c r="T349" i="82"/>
  <c r="X349" i="82" s="1"/>
  <c r="Y349" i="82" s="1"/>
  <c r="T357" i="82"/>
  <c r="X357" i="82" s="1"/>
  <c r="Y357" i="82" s="1"/>
  <c r="T366" i="82"/>
  <c r="X366" i="82" s="1"/>
  <c r="Y366" i="82" s="1"/>
  <c r="T382" i="82"/>
  <c r="X382" i="82" s="1"/>
  <c r="Y382" i="82" s="1"/>
  <c r="T398" i="82"/>
  <c r="T436" i="82"/>
  <c r="T256" i="82"/>
  <c r="X256" i="82" s="1"/>
  <c r="Y256" i="82" s="1"/>
  <c r="T336" i="82"/>
  <c r="T352" i="82"/>
  <c r="U352" i="82" s="1"/>
  <c r="T369" i="82"/>
  <c r="U369" i="82" s="1"/>
  <c r="T125" i="82"/>
  <c r="X125" i="82" s="1"/>
  <c r="Y125" i="82" s="1"/>
  <c r="T154" i="82"/>
  <c r="X154" i="82" s="1"/>
  <c r="Y154" i="82" s="1"/>
  <c r="T163" i="82"/>
  <c r="T168" i="82"/>
  <c r="X168" i="82" s="1"/>
  <c r="Y168" i="82" s="1"/>
  <c r="T176" i="82"/>
  <c r="X176" i="82" s="1"/>
  <c r="Y176" i="82" s="1"/>
  <c r="T190" i="82"/>
  <c r="X190" i="82" s="1"/>
  <c r="Y190" i="82" s="1"/>
  <c r="T194" i="82"/>
  <c r="X194" i="82" s="1"/>
  <c r="Y194" i="82" s="1"/>
  <c r="T198" i="82"/>
  <c r="X198" i="82" s="1"/>
  <c r="Y198" i="82" s="1"/>
  <c r="T339" i="82"/>
  <c r="T347" i="82"/>
  <c r="T355" i="82"/>
  <c r="U355" i="82" s="1"/>
  <c r="T363" i="82"/>
  <c r="T367" i="82"/>
  <c r="T380" i="82"/>
  <c r="X380" i="82" s="1"/>
  <c r="Y380" i="82" s="1"/>
  <c r="T417" i="82"/>
  <c r="U417" i="82" s="1"/>
  <c r="T13" i="82"/>
  <c r="X13" i="82" s="1"/>
  <c r="Y13" i="82" s="1"/>
  <c r="T34" i="82"/>
  <c r="X34" i="82" s="1"/>
  <c r="Y34" i="82" s="1"/>
  <c r="T92" i="82"/>
  <c r="X92" i="82" s="1"/>
  <c r="Y92" i="82" s="1"/>
  <c r="T172" i="82"/>
  <c r="T9" i="82"/>
  <c r="X9" i="82" s="1"/>
  <c r="Y9" i="82" s="1"/>
  <c r="T25" i="82"/>
  <c r="X25" i="82" s="1"/>
  <c r="Y25" i="82" s="1"/>
  <c r="T29" i="82"/>
  <c r="X29" i="82" s="1"/>
  <c r="Y29" i="82" s="1"/>
  <c r="T42" i="82"/>
  <c r="X42" i="82" s="1"/>
  <c r="Y42" i="82" s="1"/>
  <c r="T50" i="82"/>
  <c r="X50" i="82" s="1"/>
  <c r="Y50" i="82" s="1"/>
  <c r="T58" i="82"/>
  <c r="X58" i="82" s="1"/>
  <c r="Y58" i="82" s="1"/>
  <c r="T74" i="82"/>
  <c r="X74" i="82" s="1"/>
  <c r="Y74" i="82" s="1"/>
  <c r="T83" i="82"/>
  <c r="T100" i="82"/>
  <c r="U100" i="82" s="1"/>
  <c r="T134" i="82"/>
  <c r="X134" i="82" s="1"/>
  <c r="Y134" i="82" s="1"/>
  <c r="T89" i="82"/>
  <c r="X89" i="82" s="1"/>
  <c r="Y89" i="82" s="1"/>
  <c r="T10" i="82"/>
  <c r="X10" i="82" s="1"/>
  <c r="Y10" i="82" s="1"/>
  <c r="T14" i="82"/>
  <c r="X14" i="82" s="1"/>
  <c r="Y14" i="82" s="1"/>
  <c r="T22" i="82"/>
  <c r="X22" i="82" s="1"/>
  <c r="Y22" i="82" s="1"/>
  <c r="T26" i="82"/>
  <c r="X26" i="82" s="1"/>
  <c r="Y26" i="82" s="1"/>
  <c r="T30" i="82"/>
  <c r="X30" i="82" s="1"/>
  <c r="Y30" i="82" s="1"/>
  <c r="T39" i="82"/>
  <c r="X39" i="82" s="1"/>
  <c r="Y39" i="82" s="1"/>
  <c r="T43" i="82"/>
  <c r="X43" i="82" s="1"/>
  <c r="Y43" i="82" s="1"/>
  <c r="T51" i="82"/>
  <c r="X51" i="82" s="1"/>
  <c r="Y51" i="82" s="1"/>
  <c r="T55" i="82"/>
  <c r="X55" i="82" s="1"/>
  <c r="Y55" i="82" s="1"/>
  <c r="T59" i="82"/>
  <c r="X59" i="82" s="1"/>
  <c r="Y59" i="82" s="1"/>
  <c r="T63" i="82"/>
  <c r="X63" i="82" s="1"/>
  <c r="Y63" i="82" s="1"/>
  <c r="T67" i="82"/>
  <c r="X67" i="82" s="1"/>
  <c r="Y67" i="82" s="1"/>
  <c r="T71" i="82"/>
  <c r="X71" i="82" s="1"/>
  <c r="Y71" i="82" s="1"/>
  <c r="T75" i="82"/>
  <c r="X75" i="82" s="1"/>
  <c r="Y75" i="82" s="1"/>
  <c r="T84" i="82"/>
  <c r="X84" i="82" s="1"/>
  <c r="Y84" i="82" s="1"/>
  <c r="T93" i="82"/>
  <c r="X93" i="82" s="1"/>
  <c r="Y93" i="82" s="1"/>
  <c r="T101" i="82"/>
  <c r="U101" i="82" s="1"/>
  <c r="T102" i="82"/>
  <c r="X102" i="82" s="1"/>
  <c r="Y102" i="82" s="1"/>
  <c r="T110" i="82"/>
  <c r="X110" i="82" s="1"/>
  <c r="Y110" i="82" s="1"/>
  <c r="T112" i="82"/>
  <c r="X112" i="82" s="1"/>
  <c r="Y112" i="82" s="1"/>
  <c r="T114" i="82"/>
  <c r="X114" i="82" s="1"/>
  <c r="Y114" i="82" s="1"/>
  <c r="T119" i="82"/>
  <c r="U119" i="82" s="1"/>
  <c r="T123" i="82"/>
  <c r="X123" i="82" s="1"/>
  <c r="Y123" i="82" s="1"/>
  <c r="T127" i="82"/>
  <c r="X127" i="82" s="1"/>
  <c r="Y127" i="82" s="1"/>
  <c r="T135" i="82"/>
  <c r="X135" i="82" s="1"/>
  <c r="Y135" i="82" s="1"/>
  <c r="T203" i="82"/>
  <c r="U203" i="82" s="1"/>
  <c r="T211" i="82"/>
  <c r="U211" i="82" s="1"/>
  <c r="T228" i="82"/>
  <c r="U228" i="82" s="1"/>
  <c r="T244" i="82"/>
  <c r="X244" i="82" s="1"/>
  <c r="Y244" i="82" s="1"/>
  <c r="T260" i="82"/>
  <c r="U260" i="82" s="1"/>
  <c r="T281" i="82"/>
  <c r="X281" i="82" s="1"/>
  <c r="Y281" i="82" s="1"/>
  <c r="T195" i="82"/>
  <c r="X195" i="82" s="1"/>
  <c r="Y195" i="82" s="1"/>
  <c r="T197" i="82"/>
  <c r="X197" i="82" s="1"/>
  <c r="Y197" i="82" s="1"/>
  <c r="T65" i="82"/>
  <c r="X65" i="82" s="1"/>
  <c r="Y65" i="82" s="1"/>
  <c r="T140" i="82"/>
  <c r="T144" i="82"/>
  <c r="X144" i="82" s="1"/>
  <c r="Y144" i="82" s="1"/>
  <c r="T148" i="82"/>
  <c r="X148" i="82" s="1"/>
  <c r="Y148" i="82" s="1"/>
  <c r="T152" i="82"/>
  <c r="X152" i="82" s="1"/>
  <c r="Y152" i="82" s="1"/>
  <c r="T157" i="82"/>
  <c r="U157" i="82" s="1"/>
  <c r="T161" i="82"/>
  <c r="X161" i="82" s="1"/>
  <c r="Y161" i="82" s="1"/>
  <c r="T165" i="82"/>
  <c r="X165" i="82" s="1"/>
  <c r="Y165" i="82" s="1"/>
  <c r="T174" i="82"/>
  <c r="X174" i="82" s="1"/>
  <c r="Y174" i="82" s="1"/>
  <c r="T177" i="82"/>
  <c r="T185" i="82"/>
  <c r="X185" i="82" s="1"/>
  <c r="Y185" i="82" s="1"/>
  <c r="T189" i="82"/>
  <c r="X189" i="82" s="1"/>
  <c r="Y189" i="82" s="1"/>
  <c r="T79" i="82"/>
  <c r="T88" i="82"/>
  <c r="T131" i="82"/>
  <c r="X131" i="82" s="1"/>
  <c r="Y131" i="82" s="1"/>
  <c r="T56" i="82"/>
  <c r="X56" i="82" s="1"/>
  <c r="Y56" i="82" s="1"/>
  <c r="T94" i="82"/>
  <c r="X94" i="82" s="1"/>
  <c r="Y94" i="82" s="1"/>
  <c r="T115" i="82"/>
  <c r="X115" i="82" s="1"/>
  <c r="Y115" i="82" s="1"/>
  <c r="T145" i="82"/>
  <c r="X145" i="82" s="1"/>
  <c r="Y145" i="82" s="1"/>
  <c r="T149" i="82"/>
  <c r="X149" i="82" s="1"/>
  <c r="Y149" i="82" s="1"/>
  <c r="T153" i="82"/>
  <c r="T31" i="82"/>
  <c r="U31" i="82" s="1"/>
  <c r="T199" i="82"/>
  <c r="X199" i="82" s="1"/>
  <c r="Y199" i="82" s="1"/>
  <c r="T207" i="82"/>
  <c r="X207" i="82" s="1"/>
  <c r="Y207" i="82" s="1"/>
  <c r="T434" i="82"/>
  <c r="U434" i="82" s="1"/>
  <c r="T86" i="82"/>
  <c r="T95" i="82"/>
  <c r="X95" i="82" s="1"/>
  <c r="Y95" i="82" s="1"/>
  <c r="T99" i="82"/>
  <c r="U99" i="82" s="1"/>
  <c r="T105" i="82"/>
  <c r="X105" i="82" s="1"/>
  <c r="Y105" i="82" s="1"/>
  <c r="T116" i="82"/>
  <c r="U116" i="82" s="1"/>
  <c r="T121" i="82"/>
  <c r="U121" i="82" s="1"/>
  <c r="T196" i="82"/>
  <c r="X196" i="82" s="1"/>
  <c r="Y196" i="82" s="1"/>
  <c r="T200" i="82"/>
  <c r="T257" i="82"/>
  <c r="T155" i="82"/>
  <c r="U155" i="82" s="1"/>
  <c r="T223" i="82"/>
  <c r="T193" i="82"/>
  <c r="X193" i="82" s="1"/>
  <c r="Y193" i="82" s="1"/>
  <c r="T23" i="82"/>
  <c r="X23" i="82" s="1"/>
  <c r="Y23" i="82" s="1"/>
  <c r="T27" i="82"/>
  <c r="X27" i="82" s="1"/>
  <c r="Y27" i="82" s="1"/>
  <c r="T40" i="82"/>
  <c r="X40" i="82" s="1"/>
  <c r="Y40" i="82" s="1"/>
  <c r="T44" i="82"/>
  <c r="X44" i="82" s="1"/>
  <c r="Y44" i="82" s="1"/>
  <c r="T48" i="82"/>
  <c r="X48" i="82" s="1"/>
  <c r="Y48" i="82" s="1"/>
  <c r="T52" i="82"/>
  <c r="X52" i="82" s="1"/>
  <c r="Y52" i="82" s="1"/>
  <c r="T60" i="82"/>
  <c r="X60" i="82" s="1"/>
  <c r="Y60" i="82" s="1"/>
  <c r="T64" i="82"/>
  <c r="X64" i="82" s="1"/>
  <c r="Y64" i="82" s="1"/>
  <c r="T68" i="82"/>
  <c r="X68" i="82" s="1"/>
  <c r="Y68" i="82" s="1"/>
  <c r="T76" i="82"/>
  <c r="T80" i="82"/>
  <c r="T85" i="82"/>
  <c r="T103" i="82"/>
  <c r="T120" i="82"/>
  <c r="T124" i="82"/>
  <c r="X124" i="82" s="1"/>
  <c r="Y124" i="82" s="1"/>
  <c r="T137" i="82"/>
  <c r="T158" i="82"/>
  <c r="T136" i="82"/>
  <c r="T202" i="82"/>
  <c r="T218" i="82"/>
  <c r="T235" i="82"/>
  <c r="X235" i="82" s="1"/>
  <c r="Y235" i="82" s="1"/>
  <c r="T243" i="82"/>
  <c r="X431" i="82"/>
  <c r="Y431" i="82" s="1"/>
  <c r="Z178" i="78" l="1"/>
  <c r="AA178" i="78" s="1"/>
  <c r="X416" i="82"/>
  <c r="Y416" i="82" s="1"/>
  <c r="X419" i="82"/>
  <c r="Y419" i="82" s="1"/>
  <c r="U263" i="82"/>
  <c r="X421" i="82"/>
  <c r="Y421" i="82" s="1"/>
  <c r="Z112" i="78"/>
  <c r="AA112" i="78" s="1"/>
  <c r="Z172" i="78"/>
  <c r="AA172" i="78" s="1"/>
  <c r="Z149" i="78"/>
  <c r="AA149" i="78" s="1"/>
  <c r="W10" i="78"/>
  <c r="W136" i="78"/>
  <c r="Z141" i="78"/>
  <c r="AA141" i="78" s="1"/>
  <c r="Z131" i="78"/>
  <c r="AA131" i="78" s="1"/>
  <c r="Z156" i="78"/>
  <c r="AA156" i="78" s="1"/>
  <c r="X426" i="82"/>
  <c r="Y426" i="82" s="1"/>
  <c r="U438" i="82"/>
  <c r="Z125" i="78"/>
  <c r="AA125" i="78" s="1"/>
  <c r="Z53" i="78"/>
  <c r="AA53" i="78" s="1"/>
  <c r="Z155" i="78"/>
  <c r="AA155" i="78" s="1"/>
  <c r="Z117" i="78"/>
  <c r="AA117" i="78" s="1"/>
  <c r="X424" i="82"/>
  <c r="Y424" i="82" s="1"/>
  <c r="X351" i="82"/>
  <c r="Y351" i="82" s="1"/>
  <c r="Z160" i="78"/>
  <c r="AA160" i="78" s="1"/>
  <c r="Z168" i="78"/>
  <c r="AA168" i="78" s="1"/>
  <c r="Z23" i="78"/>
  <c r="AA23" i="78" s="1"/>
  <c r="X377" i="82"/>
  <c r="Y377" i="82" s="1"/>
  <c r="U343" i="82"/>
  <c r="U287" i="82"/>
  <c r="W105" i="78"/>
  <c r="Z93" i="78"/>
  <c r="AA93" i="78" s="1"/>
  <c r="X384" i="82"/>
  <c r="Y384" i="82" s="1"/>
  <c r="X327" i="82"/>
  <c r="Y327" i="82" s="1"/>
  <c r="W123" i="78"/>
  <c r="Z133" i="78"/>
  <c r="AA133" i="78" s="1"/>
  <c r="U231" i="82"/>
  <c r="X279" i="82"/>
  <c r="Y279" i="82" s="1"/>
  <c r="Z154" i="78"/>
  <c r="AA154" i="78" s="1"/>
  <c r="W51" i="78"/>
  <c r="X297" i="82"/>
  <c r="Y297" i="82" s="1"/>
  <c r="X376" i="82"/>
  <c r="Y376" i="82" s="1"/>
  <c r="W161" i="78"/>
  <c r="U400" i="82"/>
  <c r="U247" i="82"/>
  <c r="U312" i="82"/>
  <c r="Z9" i="78"/>
  <c r="AA9" i="78" s="1"/>
  <c r="U420" i="82"/>
  <c r="X429" i="82"/>
  <c r="Y429" i="82" s="1"/>
  <c r="W165" i="78"/>
  <c r="W31" i="78"/>
  <c r="Z169" i="78"/>
  <c r="AA169" i="78" s="1"/>
  <c r="Z167" i="78"/>
  <c r="AA167" i="78" s="1"/>
  <c r="W73" i="78"/>
  <c r="U427" i="82"/>
  <c r="Z30" i="78"/>
  <c r="AA30" i="78" s="1"/>
  <c r="U399" i="82"/>
  <c r="Z38" i="78"/>
  <c r="AA38" i="78" s="1"/>
  <c r="W158" i="78"/>
  <c r="X391" i="82"/>
  <c r="Y391" i="82" s="1"/>
  <c r="X425" i="82"/>
  <c r="Y425" i="82" s="1"/>
  <c r="X303" i="82"/>
  <c r="Y303" i="82" s="1"/>
  <c r="W94" i="78"/>
  <c r="X214" i="82"/>
  <c r="Y214" i="82" s="1"/>
  <c r="X368" i="82"/>
  <c r="Y368" i="82" s="1"/>
  <c r="U393" i="82"/>
  <c r="X414" i="82"/>
  <c r="Y414" i="82" s="1"/>
  <c r="X392" i="82"/>
  <c r="Y392" i="82" s="1"/>
  <c r="X406" i="82"/>
  <c r="Y406" i="82" s="1"/>
  <c r="W140" i="78"/>
  <c r="X311" i="82"/>
  <c r="Y311" i="82" s="1"/>
  <c r="U439" i="82"/>
  <c r="X381" i="82"/>
  <c r="Y381" i="82" s="1"/>
  <c r="U390" i="82"/>
  <c r="Z12" i="78"/>
  <c r="AA12" i="78" s="1"/>
  <c r="W20" i="78"/>
  <c r="Z92" i="78"/>
  <c r="AA92" i="78" s="1"/>
  <c r="Z142" i="78"/>
  <c r="AA142" i="78" s="1"/>
  <c r="Z81" i="78"/>
  <c r="AA81" i="78" s="1"/>
  <c r="U271" i="82"/>
  <c r="W174" i="78"/>
  <c r="U181" i="82"/>
  <c r="Z152" i="78"/>
  <c r="AA152" i="78" s="1"/>
  <c r="W14" i="78"/>
  <c r="Z64" i="78"/>
  <c r="AA64" i="78" s="1"/>
  <c r="Z110" i="78"/>
  <c r="AA110" i="78" s="1"/>
  <c r="Z116" i="78"/>
  <c r="AA116" i="78" s="1"/>
  <c r="X320" i="82"/>
  <c r="Y320" i="82" s="1"/>
  <c r="W71" i="78"/>
  <c r="U87" i="82"/>
  <c r="U386" i="82"/>
  <c r="Z95" i="78"/>
  <c r="AA95" i="78" s="1"/>
  <c r="X360" i="82"/>
  <c r="Y360" i="82" s="1"/>
  <c r="X328" i="82"/>
  <c r="Y328" i="82" s="1"/>
  <c r="Z126" i="78"/>
  <c r="AA126" i="78" s="1"/>
  <c r="Z68" i="78"/>
  <c r="AA68" i="78" s="1"/>
  <c r="Z36" i="78"/>
  <c r="AA36" i="78" s="1"/>
  <c r="X273" i="82"/>
  <c r="Y273" i="82" s="1"/>
  <c r="W100" i="78"/>
  <c r="X432" i="82"/>
  <c r="Y432" i="82" s="1"/>
  <c r="U370" i="82"/>
  <c r="U282" i="82"/>
  <c r="X430" i="82"/>
  <c r="Y430" i="82" s="1"/>
  <c r="Z106" i="78"/>
  <c r="AA106" i="78" s="1"/>
  <c r="Z120" i="78"/>
  <c r="AA120" i="78" s="1"/>
  <c r="U428" i="82"/>
  <c r="W130" i="78"/>
  <c r="Z34" i="78"/>
  <c r="AA34" i="78" s="1"/>
  <c r="U371" i="82"/>
  <c r="U342" i="82"/>
  <c r="U322" i="82"/>
  <c r="W111" i="78"/>
  <c r="Z74" i="78"/>
  <c r="AA74" i="78" s="1"/>
  <c r="W164" i="78"/>
  <c r="X238" i="82"/>
  <c r="Y238" i="82" s="1"/>
  <c r="X234" i="82"/>
  <c r="Y234" i="82" s="1"/>
  <c r="X409" i="82"/>
  <c r="Y409" i="82" s="1"/>
  <c r="W122" i="78"/>
  <c r="Z48" i="78"/>
  <c r="AA48" i="78" s="1"/>
  <c r="Z147" i="78"/>
  <c r="AA147" i="78" s="1"/>
  <c r="W166" i="78"/>
  <c r="W175" i="78"/>
  <c r="Z29" i="78"/>
  <c r="AA29" i="78" s="1"/>
  <c r="W39" i="78"/>
  <c r="Z139" i="78"/>
  <c r="AA139" i="78" s="1"/>
  <c r="X268" i="82"/>
  <c r="Y268" i="82" s="1"/>
  <c r="X184" i="82"/>
  <c r="Y184" i="82" s="1"/>
  <c r="Z134" i="78"/>
  <c r="AA134" i="78" s="1"/>
  <c r="U310" i="82"/>
  <c r="U329" i="82"/>
  <c r="Z7" i="78"/>
  <c r="AA7" i="78" s="1"/>
  <c r="X378" i="82"/>
  <c r="Y378" i="82" s="1"/>
  <c r="X249" i="82"/>
  <c r="Y249" i="82" s="1"/>
  <c r="U317" i="82"/>
  <c r="W17" i="78"/>
  <c r="U350" i="82"/>
  <c r="Z15" i="78"/>
  <c r="AA15" i="78" s="1"/>
  <c r="Z18" i="78"/>
  <c r="AA18" i="78" s="1"/>
  <c r="X242" i="82"/>
  <c r="Y242" i="82" s="1"/>
  <c r="Z113" i="78"/>
  <c r="AA113" i="78" s="1"/>
  <c r="X300" i="82"/>
  <c r="Y300" i="82" s="1"/>
  <c r="W43" i="78"/>
  <c r="Z87" i="78"/>
  <c r="AA87" i="78" s="1"/>
  <c r="X388" i="82"/>
  <c r="Y388" i="82" s="1"/>
  <c r="Z65" i="78"/>
  <c r="AA65" i="78" s="1"/>
  <c r="Z26" i="78"/>
  <c r="AA26" i="78" s="1"/>
  <c r="Z47" i="78"/>
  <c r="AA47" i="78" s="1"/>
  <c r="U387" i="82"/>
  <c r="X117" i="82"/>
  <c r="Y117" i="82" s="1"/>
  <c r="Z150" i="78"/>
  <c r="AA150" i="78" s="1"/>
  <c r="Z127" i="78"/>
  <c r="AA127" i="78" s="1"/>
  <c r="X205" i="82"/>
  <c r="Y205" i="82" s="1"/>
  <c r="X405" i="82"/>
  <c r="Y405" i="82" s="1"/>
  <c r="X316" i="82"/>
  <c r="Y316" i="82" s="1"/>
  <c r="W49" i="78"/>
  <c r="Z19" i="78"/>
  <c r="AA19" i="78" s="1"/>
  <c r="Z55" i="78"/>
  <c r="AA55" i="78" s="1"/>
  <c r="Z24" i="78"/>
  <c r="AA24" i="78" s="1"/>
  <c r="Z135" i="78"/>
  <c r="AA135" i="78" s="1"/>
  <c r="Z148" i="78"/>
  <c r="AA148" i="78" s="1"/>
  <c r="W137" i="78"/>
  <c r="X246" i="82"/>
  <c r="Y246" i="82" s="1"/>
  <c r="W90" i="78"/>
  <c r="W128" i="78"/>
  <c r="Z124" i="78"/>
  <c r="AA124" i="78" s="1"/>
  <c r="W72" i="78"/>
  <c r="X97" i="82"/>
  <c r="Y97" i="82" s="1"/>
  <c r="X272" i="82"/>
  <c r="Y272" i="82" s="1"/>
  <c r="X379" i="82"/>
  <c r="Y379" i="82" s="1"/>
  <c r="U266" i="82"/>
  <c r="Z145" i="78"/>
  <c r="AA145" i="78" s="1"/>
  <c r="Z76" i="78"/>
  <c r="AA76" i="78" s="1"/>
  <c r="W138" i="78"/>
  <c r="W89" i="78"/>
  <c r="U337" i="82"/>
  <c r="X433" i="82"/>
  <c r="Y433" i="82" s="1"/>
  <c r="X241" i="82"/>
  <c r="Y241" i="82" s="1"/>
  <c r="U314" i="82"/>
  <c r="X437" i="82"/>
  <c r="Y437" i="82" s="1"/>
  <c r="Z67" i="78"/>
  <c r="AA67" i="78" s="1"/>
  <c r="W173" i="78"/>
  <c r="U216" i="82"/>
  <c r="W119" i="78"/>
  <c r="W144" i="78"/>
  <c r="X258" i="82"/>
  <c r="Y258" i="82" s="1"/>
  <c r="Z46" i="78"/>
  <c r="AA46" i="78" s="1"/>
  <c r="Z132" i="78"/>
  <c r="AA132" i="78" s="1"/>
  <c r="U209" i="82"/>
  <c r="X293" i="82"/>
  <c r="Y293" i="82" s="1"/>
  <c r="U313" i="82"/>
  <c r="W171" i="78"/>
  <c r="Z118" i="78"/>
  <c r="AA118" i="78" s="1"/>
  <c r="X361" i="82"/>
  <c r="Y361" i="82" s="1"/>
  <c r="Z41" i="78"/>
  <c r="AA41" i="78" s="1"/>
  <c r="X341" i="82"/>
  <c r="Y341" i="82" s="1"/>
  <c r="X401" i="82"/>
  <c r="Y401" i="82" s="1"/>
  <c r="Z151" i="78"/>
  <c r="AA151" i="78" s="1"/>
  <c r="Z163" i="78"/>
  <c r="AA163" i="78" s="1"/>
  <c r="Z45" i="78"/>
  <c r="AA45" i="78" s="1"/>
  <c r="W91" i="78"/>
  <c r="U338" i="82"/>
  <c r="W57" i="78"/>
  <c r="X298" i="82"/>
  <c r="Y298" i="82" s="1"/>
  <c r="X365" i="82"/>
  <c r="Y365" i="82" s="1"/>
  <c r="W88" i="78"/>
  <c r="Z22" i="78"/>
  <c r="AA22" i="78" s="1"/>
  <c r="Z143" i="78"/>
  <c r="AA143" i="78" s="1"/>
  <c r="U357" i="82"/>
  <c r="U423" i="82"/>
  <c r="U109" i="82"/>
  <c r="U402" i="82"/>
  <c r="U201" i="82"/>
  <c r="Z28" i="78"/>
  <c r="AA28" i="78" s="1"/>
  <c r="W99" i="78"/>
  <c r="Z99" i="78"/>
  <c r="AA99" i="78" s="1"/>
  <c r="X296" i="82"/>
  <c r="Y296" i="82" s="1"/>
  <c r="U230" i="82"/>
  <c r="X356" i="82"/>
  <c r="Y356" i="82" s="1"/>
  <c r="W153" i="78"/>
  <c r="X215" i="82"/>
  <c r="Y215" i="82" s="1"/>
  <c r="U77" i="82"/>
  <c r="X289" i="82"/>
  <c r="Y289" i="82" s="1"/>
  <c r="W162" i="78"/>
  <c r="Z162" i="78"/>
  <c r="AA162" i="78" s="1"/>
  <c r="W170" i="78"/>
  <c r="Z170" i="78"/>
  <c r="AA170" i="78" s="1"/>
  <c r="U412" i="82"/>
  <c r="X217" i="82"/>
  <c r="Y217" i="82" s="1"/>
  <c r="W146" i="78"/>
  <c r="Z146" i="78"/>
  <c r="AA146" i="78" s="1"/>
  <c r="W50" i="78"/>
  <c r="Z50" i="78"/>
  <c r="AA50" i="78" s="1"/>
  <c r="W159" i="78"/>
  <c r="Z159" i="78"/>
  <c r="AA159" i="78" s="1"/>
  <c r="X139" i="82"/>
  <c r="Y139" i="82" s="1"/>
  <c r="U353" i="82"/>
  <c r="Z32" i="78"/>
  <c r="AA32" i="78" s="1"/>
  <c r="W32" i="78"/>
  <c r="W121" i="78"/>
  <c r="Z121" i="78"/>
  <c r="AA121" i="78" s="1"/>
  <c r="U213" i="82"/>
  <c r="U93" i="82"/>
  <c r="W177" i="78"/>
  <c r="Z177" i="78"/>
  <c r="AA177" i="78" s="1"/>
  <c r="W86" i="78"/>
  <c r="Z86" i="78"/>
  <c r="AA86" i="78" s="1"/>
  <c r="U226" i="82"/>
  <c r="X122" i="82"/>
  <c r="Y122" i="82" s="1"/>
  <c r="Z70" i="78"/>
  <c r="AA70" i="78" s="1"/>
  <c r="W70" i="78"/>
  <c r="Z69" i="78"/>
  <c r="AA69" i="78" s="1"/>
  <c r="W69" i="78"/>
  <c r="X422" i="82"/>
  <c r="Y422" i="82" s="1"/>
  <c r="U232" i="82"/>
  <c r="X211" i="82"/>
  <c r="Y211" i="82" s="1"/>
  <c r="U324" i="82"/>
  <c r="X340" i="82"/>
  <c r="Y340" i="82" s="1"/>
  <c r="U146" i="82"/>
  <c r="U416" i="82"/>
  <c r="W98" i="78"/>
  <c r="Z98" i="78"/>
  <c r="AA98" i="78" s="1"/>
  <c r="W44" i="78"/>
  <c r="Z44" i="78"/>
  <c r="AA44" i="78" s="1"/>
  <c r="X106" i="82"/>
  <c r="Y106" i="82" s="1"/>
  <c r="Z129" i="78"/>
  <c r="AA129" i="78" s="1"/>
  <c r="W129" i="78"/>
  <c r="W40" i="78"/>
  <c r="Z40" i="78"/>
  <c r="AA40" i="78" s="1"/>
  <c r="Z21" i="78"/>
  <c r="AA21" i="78" s="1"/>
  <c r="W21" i="78"/>
  <c r="U154" i="82"/>
  <c r="U396" i="82"/>
  <c r="Z80" i="78"/>
  <c r="AA80" i="78" s="1"/>
  <c r="W114" i="78"/>
  <c r="Z114" i="78"/>
  <c r="AA114" i="78" s="1"/>
  <c r="Z37" i="78"/>
  <c r="AA37" i="78" s="1"/>
  <c r="W16" i="78"/>
  <c r="Z16" i="78"/>
  <c r="AA16" i="78" s="1"/>
  <c r="Z176" i="78"/>
  <c r="AA176" i="78" s="1"/>
  <c r="W176" i="78"/>
  <c r="Z62" i="78"/>
  <c r="AA62" i="78" s="1"/>
  <c r="W62" i="78"/>
  <c r="W63" i="78"/>
  <c r="Z63" i="78"/>
  <c r="AA63" i="78" s="1"/>
  <c r="U301" i="82"/>
  <c r="U262" i="82"/>
  <c r="X204" i="82"/>
  <c r="Y204" i="82" s="1"/>
  <c r="X284" i="82"/>
  <c r="Y284" i="82" s="1"/>
  <c r="X404" i="82"/>
  <c r="Y404" i="82" s="1"/>
  <c r="X411" i="82"/>
  <c r="Y411" i="82" s="1"/>
  <c r="Z35" i="78"/>
  <c r="AA35" i="78" s="1"/>
  <c r="W35" i="78"/>
  <c r="W13" i="78"/>
  <c r="Z13" i="78"/>
  <c r="AA13" i="78" s="1"/>
  <c r="X274" i="82"/>
  <c r="Y274" i="82" s="1"/>
  <c r="X354" i="82"/>
  <c r="Y354" i="82" s="1"/>
  <c r="X156" i="82"/>
  <c r="Y156" i="82" s="1"/>
  <c r="X374" i="82"/>
  <c r="Y374" i="82" s="1"/>
  <c r="X233" i="82"/>
  <c r="Y233" i="82" s="1"/>
  <c r="Z11" i="78"/>
  <c r="AA11" i="78" s="1"/>
  <c r="W11" i="78"/>
  <c r="W115" i="78"/>
  <c r="Z115" i="78"/>
  <c r="AA115" i="78" s="1"/>
  <c r="Z66" i="78"/>
  <c r="AA66" i="78" s="1"/>
  <c r="W66" i="78"/>
  <c r="X178" i="82"/>
  <c r="Y178" i="82" s="1"/>
  <c r="W75" i="78"/>
  <c r="Z75" i="78"/>
  <c r="AA75" i="78" s="1"/>
  <c r="X435" i="82"/>
  <c r="Y435" i="82" s="1"/>
  <c r="X413" i="82"/>
  <c r="Y413" i="82" s="1"/>
  <c r="W25" i="78"/>
  <c r="Z25" i="78"/>
  <c r="AA25" i="78" s="1"/>
  <c r="Z52" i="78"/>
  <c r="AA52" i="78" s="1"/>
  <c r="W52" i="78"/>
  <c r="X389" i="82"/>
  <c r="Y389" i="82" s="1"/>
  <c r="X286" i="82"/>
  <c r="Y286" i="82" s="1"/>
  <c r="Z8" i="78"/>
  <c r="AA8" i="78" s="1"/>
  <c r="W8" i="78"/>
  <c r="W101" i="78"/>
  <c r="Z101" i="78"/>
  <c r="AA101" i="78" s="1"/>
  <c r="Z33" i="78"/>
  <c r="AA33" i="78" s="1"/>
  <c r="W33" i="78"/>
  <c r="X355" i="82"/>
  <c r="Y355" i="82" s="1"/>
  <c r="W56" i="78"/>
  <c r="Z56" i="78"/>
  <c r="AA56" i="78" s="1"/>
  <c r="X403" i="82"/>
  <c r="Y403" i="82" s="1"/>
  <c r="U91" i="82"/>
  <c r="X302" i="82"/>
  <c r="Y302" i="82" s="1"/>
  <c r="U135" i="82"/>
  <c r="U269" i="82"/>
  <c r="U199" i="82"/>
  <c r="U326" i="82"/>
  <c r="U176" i="82"/>
  <c r="U129" i="82"/>
  <c r="X99" i="82"/>
  <c r="Y99" i="82" s="1"/>
  <c r="U358" i="82"/>
  <c r="X358" i="82"/>
  <c r="Y358" i="82" s="1"/>
  <c r="X270" i="82"/>
  <c r="Y270" i="82" s="1"/>
  <c r="X248" i="82"/>
  <c r="Y248" i="82" s="1"/>
  <c r="U380" i="82"/>
  <c r="X227" i="82"/>
  <c r="Y227" i="82" s="1"/>
  <c r="U98" i="82"/>
  <c r="X228" i="82"/>
  <c r="Y228" i="82" s="1"/>
  <c r="U138" i="82"/>
  <c r="X126" i="82"/>
  <c r="Y126" i="82" s="1"/>
  <c r="X245" i="82"/>
  <c r="Y245" i="82" s="1"/>
  <c r="X157" i="82"/>
  <c r="Y157" i="82" s="1"/>
  <c r="U160" i="82"/>
  <c r="X260" i="82"/>
  <c r="Y260" i="82" s="1"/>
  <c r="U307" i="82"/>
  <c r="X417" i="82"/>
  <c r="Y417" i="82" s="1"/>
  <c r="X275" i="82"/>
  <c r="Y275" i="82" s="1"/>
  <c r="X143" i="82"/>
  <c r="Y143" i="82" s="1"/>
  <c r="X31" i="82"/>
  <c r="Y31" i="82" s="1"/>
  <c r="U84" i="82"/>
  <c r="X118" i="82"/>
  <c r="Y118" i="82" s="1"/>
  <c r="X100" i="82"/>
  <c r="Y100" i="82" s="1"/>
  <c r="X259" i="82"/>
  <c r="Y259" i="82" s="1"/>
  <c r="X299" i="82"/>
  <c r="Y299" i="82" s="1"/>
  <c r="U89" i="82"/>
  <c r="U94" i="82"/>
  <c r="U244" i="82"/>
  <c r="U173" i="82"/>
  <c r="U253" i="82"/>
  <c r="X369" i="82"/>
  <c r="Y369" i="82" s="1"/>
  <c r="X229" i="82"/>
  <c r="Y229" i="82" s="1"/>
  <c r="U325" i="82"/>
  <c r="X288" i="82"/>
  <c r="Y288" i="82" s="1"/>
  <c r="X175" i="82"/>
  <c r="Y175" i="82" s="1"/>
  <c r="U81" i="82"/>
  <c r="U92" i="82"/>
  <c r="U166" i="82"/>
  <c r="U102" i="82"/>
  <c r="X121" i="82"/>
  <c r="Y121" i="82" s="1"/>
  <c r="X90" i="82"/>
  <c r="Y90" i="82" s="1"/>
  <c r="U78" i="82"/>
  <c r="X101" i="82"/>
  <c r="Y101" i="82" s="1"/>
  <c r="U285" i="82"/>
  <c r="X323" i="82"/>
  <c r="Y323" i="82" s="1"/>
  <c r="U323" i="82"/>
  <c r="X283" i="82"/>
  <c r="Y283" i="82" s="1"/>
  <c r="U283" i="82"/>
  <c r="X352" i="82"/>
  <c r="Y352" i="82" s="1"/>
  <c r="X159" i="82"/>
  <c r="Y159" i="82" s="1"/>
  <c r="U315" i="82"/>
  <c r="X315" i="82"/>
  <c r="Y315" i="82" s="1"/>
  <c r="X155" i="82"/>
  <c r="Y155" i="82" s="1"/>
  <c r="X212" i="82"/>
  <c r="Y212" i="82" s="1"/>
  <c r="U366" i="82"/>
  <c r="U83" i="82"/>
  <c r="X83" i="82"/>
  <c r="Y83" i="82" s="1"/>
  <c r="U367" i="82"/>
  <c r="X367" i="82"/>
  <c r="Y367" i="82" s="1"/>
  <c r="U163" i="82"/>
  <c r="X163" i="82"/>
  <c r="Y163" i="82" s="1"/>
  <c r="X333" i="82"/>
  <c r="Y333" i="82" s="1"/>
  <c r="U333" i="82"/>
  <c r="X434" i="82"/>
  <c r="Y434" i="82" s="1"/>
  <c r="X119" i="82"/>
  <c r="Y119" i="82" s="1"/>
  <c r="X363" i="82"/>
  <c r="Y363" i="82" s="1"/>
  <c r="U363" i="82"/>
  <c r="U436" i="82"/>
  <c r="X436" i="82"/>
  <c r="Y436" i="82" s="1"/>
  <c r="U256" i="82"/>
  <c r="U172" i="82"/>
  <c r="X172" i="82"/>
  <c r="Y172" i="82" s="1"/>
  <c r="X203" i="82"/>
  <c r="Y203" i="82" s="1"/>
  <c r="U398" i="82"/>
  <c r="X398" i="82"/>
  <c r="Y398" i="82" s="1"/>
  <c r="U123" i="82"/>
  <c r="X347" i="82"/>
  <c r="Y347" i="82" s="1"/>
  <c r="U347" i="82"/>
  <c r="U261" i="82"/>
  <c r="U339" i="82"/>
  <c r="X339" i="82"/>
  <c r="Y339" i="82" s="1"/>
  <c r="U174" i="82"/>
  <c r="X336" i="82"/>
  <c r="Y336" i="82" s="1"/>
  <c r="U336" i="82"/>
  <c r="X116" i="82"/>
  <c r="Y116" i="82" s="1"/>
  <c r="X88" i="82"/>
  <c r="Y88" i="82" s="1"/>
  <c r="U88" i="82"/>
  <c r="U257" i="82"/>
  <c r="X257" i="82"/>
  <c r="Y257" i="82" s="1"/>
  <c r="U140" i="82"/>
  <c r="X140" i="82"/>
  <c r="Y140" i="82" s="1"/>
  <c r="X86" i="82"/>
  <c r="Y86" i="82" s="1"/>
  <c r="U86" i="82"/>
  <c r="U79" i="82"/>
  <c r="X79" i="82"/>
  <c r="Y79" i="82" s="1"/>
  <c r="U153" i="82"/>
  <c r="X153" i="82"/>
  <c r="Y153" i="82" s="1"/>
  <c r="U177" i="82"/>
  <c r="X177" i="82"/>
  <c r="Y177" i="82" s="1"/>
  <c r="X223" i="82"/>
  <c r="Y223" i="82" s="1"/>
  <c r="U223" i="82"/>
  <c r="U200" i="82"/>
  <c r="X200" i="82"/>
  <c r="Y200" i="82" s="1"/>
  <c r="U120" i="82"/>
  <c r="X120" i="82"/>
  <c r="Y120" i="82" s="1"/>
  <c r="X158" i="82"/>
  <c r="Y158" i="82" s="1"/>
  <c r="U158" i="82"/>
  <c r="U103" i="82"/>
  <c r="X103" i="82"/>
  <c r="Y103" i="82" s="1"/>
  <c r="X218" i="82"/>
  <c r="Y218" i="82" s="1"/>
  <c r="U218" i="82"/>
  <c r="U202" i="82"/>
  <c r="X202" i="82"/>
  <c r="Y202" i="82" s="1"/>
  <c r="U85" i="82"/>
  <c r="X85" i="82"/>
  <c r="Y85" i="82" s="1"/>
  <c r="U136" i="82"/>
  <c r="X136" i="82"/>
  <c r="Y136" i="82" s="1"/>
  <c r="U80" i="82"/>
  <c r="X80" i="82"/>
  <c r="Y80" i="82" s="1"/>
  <c r="X76" i="82"/>
  <c r="Y76" i="82" s="1"/>
  <c r="U76" i="82"/>
  <c r="U243" i="82"/>
  <c r="X243" i="82"/>
  <c r="Y243" i="82" s="1"/>
  <c r="U137" i="82"/>
  <c r="X137" i="82"/>
  <c r="Y137" i="8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Leidy Marcela Tabares Ortega</author>
  </authors>
  <commentList>
    <comment ref="B8" authorId="0" shapeId="0" xr:uid="{00000000-0006-0000-0600-000001000000}">
      <text>
        <r>
          <rPr>
            <b/>
            <sz val="9"/>
            <color indexed="81"/>
            <rFont val="Tahoma"/>
            <family val="2"/>
          </rPr>
          <t>Leidy Marcela Tabares Ortega:</t>
        </r>
        <r>
          <rPr>
            <sz val="9"/>
            <color indexed="81"/>
            <rFont val="Tahoma"/>
            <family val="2"/>
          </rPr>
          <t xml:space="preserve">
Se debe revisar en link de la lista pre operacional ítems de silla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saludocupa1</author>
    <author>Administrador</author>
    <author>Yuliana Osorio</author>
    <author>LUZ EVERLYN TOVAR CUBILLOS</author>
  </authors>
  <commentList>
    <comment ref="M5" authorId="0" shapeId="0" xr:uid="{00000000-0006-0000-0400-000001000000}">
      <text>
        <r>
          <rPr>
            <b/>
            <sz val="8"/>
            <color indexed="81"/>
            <rFont val="Tahoma"/>
            <family val="2"/>
          </rPr>
          <t>Medidas de eliminación, sustitución o mitigación de los factores de riesgo que se tienen actualmente en la fuente de origen, en el medio de transmisión o en las personas, a continuación se describe brevemente cada una de ellas:</t>
        </r>
        <r>
          <rPr>
            <sz val="8"/>
            <color indexed="81"/>
            <rFont val="Tahoma"/>
            <family val="2"/>
          </rPr>
          <t xml:space="preserve">
</t>
        </r>
      </text>
    </comment>
    <comment ref="AA5" authorId="0" shapeId="0" xr:uid="{00000000-0006-0000-0400-000002000000}">
      <text>
        <r>
          <rPr>
            <b/>
            <sz val="8"/>
            <color indexed="81"/>
            <rFont val="Tahoma"/>
            <family val="2"/>
          </rPr>
          <t>Es el tiempo real que el (los) colaborador (es) esta expuesto al Factor de riesgo.</t>
        </r>
        <r>
          <rPr>
            <sz val="8"/>
            <color indexed="81"/>
            <rFont val="Tahoma"/>
            <family val="2"/>
          </rPr>
          <t xml:space="preserve">
</t>
        </r>
      </text>
    </comment>
    <comment ref="AB5" authorId="0" shapeId="0" xr:uid="{00000000-0006-0000-0400-000003000000}">
      <text>
        <r>
          <rPr>
            <b/>
            <sz val="8"/>
            <color indexed="81"/>
            <rFont val="Tahoma"/>
            <family val="2"/>
          </rPr>
          <t>Acciones a implementar para disminuir la probabilidad del riesgo</t>
        </r>
        <r>
          <rPr>
            <sz val="8"/>
            <color indexed="81"/>
            <rFont val="Tahoma"/>
            <family val="2"/>
          </rPr>
          <t xml:space="preserve">
</t>
        </r>
      </text>
    </comment>
    <comment ref="E6" authorId="0" shapeId="0" xr:uid="{00000000-0006-0000-0400-000004000000}">
      <text>
        <r>
          <rPr>
            <b/>
            <sz val="8"/>
            <color indexed="81"/>
            <rFont val="Tahoma"/>
            <family val="2"/>
          </rPr>
          <t xml:space="preserve">Grupo de riesgos: Biológico / Físico / Químico / Eléctrico / Locativo / Físico-químico / Mecánico / Psicosocial
Público </t>
        </r>
      </text>
    </comment>
    <comment ref="F6" authorId="1" shapeId="0" xr:uid="{00000000-0006-0000-0400-000005000000}">
      <text>
        <r>
          <rPr>
            <b/>
            <sz val="8"/>
            <color indexed="81"/>
            <rFont val="Tahoma"/>
            <family val="2"/>
          </rPr>
          <t>La existencia de elementos, fenómenos, ambiente y acciones humanas que encierran una capacidad potencial de producir lesiones o daños materiales, y cuya probabilidad de ocurrencia depende de la eliminación y/o control del elemento agresivo.
Ver lista de factores de riesgo</t>
        </r>
      </text>
    </comment>
    <comment ref="G6" authorId="0" shapeId="0" xr:uid="{00000000-0006-0000-0400-000006000000}">
      <text>
        <r>
          <rPr>
            <b/>
            <sz val="8"/>
            <color indexed="81"/>
            <rFont val="Tahoma"/>
            <family val="2"/>
          </rPr>
          <t>(FUENTE/ ORIGEN):</t>
        </r>
        <r>
          <rPr>
            <sz val="8"/>
            <color indexed="81"/>
            <rFont val="Tahoma"/>
            <family val="2"/>
          </rPr>
          <t>Fuente, situación o acto con potencial de daño en términos de enfermedad o lesión a las personas, o una combinación de éstos</t>
        </r>
        <r>
          <rPr>
            <b/>
            <sz val="8"/>
            <color indexed="81"/>
            <rFont val="Tahoma"/>
            <family val="2"/>
          </rPr>
          <t xml:space="preserve"> (Identifica las máquinas, los materiales, el método, la mano de obra y el medio ambiente que generan el factor de riesgo.</t>
        </r>
      </text>
    </comment>
    <comment ref="H6" authorId="0" shapeId="0" xr:uid="{00000000-0006-0000-0400-000007000000}">
      <text>
        <r>
          <rPr>
            <b/>
            <sz val="8"/>
            <color indexed="81"/>
            <rFont val="Tahoma"/>
            <family val="2"/>
          </rPr>
          <t>Es la lesión que sufre la persona cuando se materializa el factor y el tipo de riesgo.</t>
        </r>
        <r>
          <rPr>
            <sz val="8"/>
            <color indexed="81"/>
            <rFont val="Tahoma"/>
            <family val="2"/>
          </rPr>
          <t xml:space="preserve">
</t>
        </r>
      </text>
    </comment>
    <comment ref="I6" authorId="0" shapeId="0" xr:uid="{00000000-0006-0000-0400-000008000000}">
      <text>
        <r>
          <rPr>
            <b/>
            <sz val="8"/>
            <color indexed="81"/>
            <rFont val="Tahoma"/>
            <family val="2"/>
          </rPr>
          <t>Expresado: es cuando se presentó el evento.
Potencial: aun no se ha presentado</t>
        </r>
      </text>
    </comment>
    <comment ref="J6" authorId="2" shapeId="0" xr:uid="{00000000-0006-0000-0400-000009000000}">
      <text>
        <r>
          <rPr>
            <b/>
            <sz val="9"/>
            <color indexed="81"/>
            <rFont val="Tahoma"/>
            <family val="2"/>
          </rPr>
          <t>Actividad rutinaria:</t>
        </r>
        <r>
          <rPr>
            <sz val="9"/>
            <color indexed="81"/>
            <rFont val="Tahoma"/>
            <family val="2"/>
          </rPr>
          <t xml:space="preserve"> Actividad que forma parte de un proceso de la organización, se ha planificado y es estandarizable.
</t>
        </r>
        <r>
          <rPr>
            <b/>
            <sz val="9"/>
            <color indexed="81"/>
            <rFont val="Tahoma"/>
            <family val="2"/>
          </rPr>
          <t xml:space="preserve">Actividad no rutinaria: </t>
        </r>
        <r>
          <rPr>
            <sz val="9"/>
            <color indexed="81"/>
            <rFont val="Tahoma"/>
            <family val="2"/>
          </rPr>
          <t>Actividad que no se ha planificado ni estandarizado, dentro de un proceso de la organización o actividad que la organización determine como no rutinaria por subaja frecuencia de ejecución.</t>
        </r>
      </text>
    </comment>
    <comment ref="M6" authorId="1" shapeId="0" xr:uid="{00000000-0006-0000-0400-00000A000000}">
      <text>
        <r>
          <rPr>
            <b/>
            <sz val="8"/>
            <color indexed="81"/>
            <rFont val="Tahoma"/>
            <family val="2"/>
          </rPr>
          <t xml:space="preserve">Lista y descripción de los controles existentes actualmente para el control del riesgo:
-Eliminación
-Sustitución
-Controles de Ingeniería
Ejemplo Ruido: Cambiar equipo
</t>
        </r>
      </text>
    </comment>
    <comment ref="N6" authorId="1" shapeId="0" xr:uid="{00000000-0006-0000-0400-00000B000000}">
      <text>
        <r>
          <rPr>
            <sz val="8"/>
            <color indexed="81"/>
            <rFont val="Tahoma"/>
            <family val="2"/>
          </rPr>
          <t xml:space="preserve">Descripción de elementos de control tales como:
Ej: Instalar sistemas de ventilación, protección para máquinas, enclavamiento, cerramientos acústicos, aislamientos acústicos. Señalización
Advertencias
Instalación de alarmas
Procedimientos de seguridad
Inspecciones de equipos
Programas de mantenimiento
</t>
        </r>
      </text>
    </comment>
    <comment ref="O6" authorId="1" shapeId="0" xr:uid="{00000000-0006-0000-0400-00000C000000}">
      <text>
        <r>
          <rPr>
            <sz val="8"/>
            <color indexed="81"/>
            <rFont val="Tahoma"/>
            <family val="2"/>
          </rPr>
          <t xml:space="preserve">Control dirigido a la Protección de la persona cuando los anteriores controles (fuente y medio) no han demostrado suficiente eficacia para mitigar el riesgo incluye suministro de elementos de protección personal.
Ej: Gafas de seguridad, protección auditiva, máscaras faciales, respiradores y guantes
</t>
        </r>
      </text>
    </comment>
    <comment ref="P6" authorId="1" shapeId="0" xr:uid="{00000000-0006-0000-0400-00000D000000}">
      <text>
        <r>
          <rPr>
            <b/>
            <sz val="8"/>
            <color indexed="81"/>
            <rFont val="Tahoma"/>
            <family val="2"/>
          </rPr>
          <t>Ver criterios en la tabla de valoración</t>
        </r>
        <r>
          <rPr>
            <sz val="8"/>
            <color indexed="81"/>
            <rFont val="Tahoma"/>
            <family val="2"/>
          </rPr>
          <t xml:space="preserve">
</t>
        </r>
      </text>
    </comment>
    <comment ref="R6" authorId="1" shapeId="0" xr:uid="{00000000-0006-0000-0400-00000E000000}">
      <text>
        <r>
          <rPr>
            <b/>
            <sz val="8"/>
            <color indexed="81"/>
            <rFont val="Tahoma"/>
            <family val="2"/>
          </rPr>
          <t>Ver criterios en la tabla de valoración</t>
        </r>
        <r>
          <rPr>
            <sz val="8"/>
            <color indexed="81"/>
            <rFont val="Tahoma"/>
            <family val="2"/>
          </rPr>
          <t xml:space="preserve">
</t>
        </r>
      </text>
    </comment>
    <comment ref="T6" authorId="3" shapeId="0" xr:uid="{00000000-0006-0000-0400-00000F000000}">
      <text>
        <r>
          <rPr>
            <sz val="9"/>
            <color indexed="81"/>
            <rFont val="Tahoma"/>
            <family val="2"/>
          </rPr>
          <t xml:space="preserve">
ND * NE</t>
        </r>
      </text>
    </comment>
    <comment ref="V6" authorId="1" shapeId="0" xr:uid="{00000000-0006-0000-0400-000010000000}">
      <text>
        <r>
          <rPr>
            <b/>
            <sz val="8"/>
            <color indexed="81"/>
            <rFont val="Tahoma"/>
            <family val="2"/>
          </rPr>
          <t xml:space="preserve">Ver criterios en la tabla de valoración
</t>
        </r>
      </text>
    </comment>
    <comment ref="X6" authorId="1" shapeId="0" xr:uid="{00000000-0006-0000-0400-000011000000}">
      <text>
        <r>
          <rPr>
            <sz val="8"/>
            <color indexed="81"/>
            <rFont val="Tahoma"/>
            <family val="2"/>
          </rPr>
          <t xml:space="preserve">NP*NC
</t>
        </r>
      </text>
    </comment>
    <comment ref="AB6" authorId="1" shapeId="0" xr:uid="{00000000-0006-0000-0400-000012000000}">
      <text>
        <r>
          <rPr>
            <b/>
            <sz val="8"/>
            <color indexed="81"/>
            <rFont val="Tahoma"/>
            <family val="2"/>
          </rPr>
          <t>Modificar un diseño para eliminar el peligro donde se produce el riesgo, por ejemplo, introducir dispositivos mecánicos de alzamiento para eliminar el peligro de manipulación manual</t>
        </r>
      </text>
    </comment>
    <comment ref="AC6" authorId="1" shapeId="0" xr:uid="{00000000-0006-0000-0400-000013000000}">
      <text>
        <r>
          <rPr>
            <sz val="9"/>
            <color indexed="81"/>
            <rFont val="Tahoma"/>
            <family val="2"/>
          </rPr>
          <t>Si no se puede eliminar completamente la fuente de peligro, hay que tratar de reemplazarla o sustituirla por algo diferente que no sea tan peligroso para los trabajadores por ejemplo se podría usar un químico no tóxico (o menos tóxico) en lugar de uno tóxico o sustituir maquinas, equipos e insumos que generan riesgo por otros que no lo presenten o que tengan menor impacto. (por ejemplo, reducir la fuerza, el amperaje, la presión, la temperatura, etc.).</t>
        </r>
      </text>
    </comment>
    <comment ref="AD6" authorId="1" shapeId="0" xr:uid="{00000000-0006-0000-0400-000014000000}">
      <text>
        <r>
          <rPr>
            <b/>
            <sz val="8"/>
            <color indexed="81"/>
            <rFont val="Tahoma"/>
            <family val="2"/>
          </rPr>
          <t>Instalar sistemas de ventilación, protección para las máquinas, enclavamiento, cerramientos acústicos, etc.</t>
        </r>
      </text>
    </comment>
    <comment ref="AE6" authorId="1" shapeId="0" xr:uid="{00000000-0006-0000-0400-000015000000}">
      <text>
        <r>
          <rPr>
            <b/>
            <sz val="8"/>
            <color indexed="81"/>
            <rFont val="Tahoma"/>
            <family val="2"/>
          </rPr>
          <t xml:space="preserve">Incluye procedimientos, estándares, instructivos, programas de gestión actividades de  sensibilización o capacitación, certificados de aptitud médica, competencias técnicas cuando se requieren y decisiones administrativas por ejemplo: Modificar Jornada de trabajo, disminución del tiempo de exposición, implementación de normas de seguridad o procedimientos, pausas activas, reubicaciones de los puestos de trabajo, entre otros.
</t>
        </r>
        <r>
          <rPr>
            <sz val="8"/>
            <color indexed="81"/>
            <rFont val="Tahoma"/>
            <family val="2"/>
          </rPr>
          <t xml:space="preserve">
</t>
        </r>
      </text>
    </comment>
    <comment ref="AF6" authorId="1" shapeId="0" xr:uid="{00000000-0006-0000-0400-000016000000}">
      <text>
        <r>
          <rPr>
            <b/>
            <sz val="8"/>
            <color indexed="81"/>
            <rFont val="Tahoma"/>
            <family val="2"/>
          </rPr>
          <t>gafas de seguridad, protección auditiva,
máscaras faciales, sistemas de detención de caídas, respiradores y guantes</t>
        </r>
        <r>
          <rPr>
            <sz val="8"/>
            <color indexed="81"/>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saludocupa1</author>
    <author>Yuliana Osorio</author>
    <author>Administrador</author>
    <author>LUZ EVERLYN TOVAR CUBILLOS</author>
  </authors>
  <commentList>
    <comment ref="O5" authorId="0" shapeId="0" xr:uid="{00000000-0006-0000-0300-000001000000}">
      <text>
        <r>
          <rPr>
            <b/>
            <sz val="8"/>
            <color indexed="81"/>
            <rFont val="Tahoma"/>
            <family val="2"/>
          </rPr>
          <t>Medidas de eliminación, sustitución o mitigación de los factores de riesgo que se tienen actualmente en la fuente de origen, en el medio de transmisión o en las personas, a continuación se describe brevemente cada una de ellas:</t>
        </r>
        <r>
          <rPr>
            <sz val="8"/>
            <color indexed="81"/>
            <rFont val="Tahoma"/>
            <family val="2"/>
          </rPr>
          <t xml:space="preserve">
</t>
        </r>
      </text>
    </comment>
    <comment ref="AG5" authorId="0" shapeId="0" xr:uid="{00000000-0006-0000-0300-000002000000}">
      <text>
        <r>
          <rPr>
            <b/>
            <sz val="8"/>
            <color indexed="81"/>
            <rFont val="Tahoma"/>
            <family val="2"/>
          </rPr>
          <t>Es el tiempo real que el (los) colaborador (es) esta expuesto al Factor de riesgo.</t>
        </r>
        <r>
          <rPr>
            <sz val="8"/>
            <color indexed="81"/>
            <rFont val="Tahoma"/>
            <family val="2"/>
          </rPr>
          <t xml:space="preserve">
</t>
        </r>
      </text>
    </comment>
    <comment ref="AH5" authorId="0" shapeId="0" xr:uid="{00000000-0006-0000-0300-000003000000}">
      <text>
        <r>
          <rPr>
            <b/>
            <sz val="8"/>
            <color indexed="81"/>
            <rFont val="Tahoma"/>
            <family val="2"/>
          </rPr>
          <t>Acciones a implementar para disminuir la probabilidad del riesgo</t>
        </r>
        <r>
          <rPr>
            <sz val="8"/>
            <color indexed="81"/>
            <rFont val="Tahoma"/>
            <family val="2"/>
          </rPr>
          <t xml:space="preserve">
</t>
        </r>
      </text>
    </comment>
    <comment ref="F6" authorId="1" shapeId="0" xr:uid="{00000000-0006-0000-0300-000009000000}">
      <text>
        <r>
          <rPr>
            <b/>
            <sz val="9"/>
            <color indexed="81"/>
            <rFont val="Tahoma"/>
            <family val="2"/>
          </rPr>
          <t>Actividad rutinaria:</t>
        </r>
        <r>
          <rPr>
            <sz val="9"/>
            <color indexed="81"/>
            <rFont val="Tahoma"/>
            <family val="2"/>
          </rPr>
          <t xml:space="preserve"> Actividad que forma parte de un proceso de la organización, se ha planificado y es estandarizable.
</t>
        </r>
        <r>
          <rPr>
            <b/>
            <sz val="9"/>
            <color indexed="81"/>
            <rFont val="Tahoma"/>
            <family val="2"/>
          </rPr>
          <t xml:space="preserve">Actividad no rutinaria: </t>
        </r>
        <r>
          <rPr>
            <sz val="9"/>
            <color indexed="81"/>
            <rFont val="Tahoma"/>
            <family val="2"/>
          </rPr>
          <t>Actividad que no se ha planificado ni estandarizado, dentro de un proceso de la organización o actividad que la organización determine como no rutinaria por subaja frecuencia de ejecución.</t>
        </r>
      </text>
    </comment>
    <comment ref="H6" authorId="0" shapeId="0" xr:uid="{00000000-0006-0000-0300-000004000000}">
      <text>
        <r>
          <rPr>
            <b/>
            <sz val="8"/>
            <color indexed="81"/>
            <rFont val="Tahoma"/>
            <family val="2"/>
          </rPr>
          <t xml:space="preserve">Grupo de riesgos: Biológico / Físico / Químico / Eléctrico / Locativo / Físico-químico / Mecánico / Psicosocial
Público </t>
        </r>
      </text>
    </comment>
    <comment ref="I6" authorId="2" shapeId="0" xr:uid="{00000000-0006-0000-0300-000005000000}">
      <text>
        <r>
          <rPr>
            <b/>
            <sz val="8"/>
            <color indexed="81"/>
            <rFont val="Tahoma"/>
            <family val="2"/>
          </rPr>
          <t>La existencia de elementos, fenómenos, ambiente y acciones humanas que encierran una capacidad potencial de producir lesiones o daños materiales, y cuya probabilidad de ocurrencia depende de la eliminación y/o control del elemento agresivo.
Ver lista de factores de riesgo</t>
        </r>
      </text>
    </comment>
    <comment ref="J6" authorId="0" shapeId="0" xr:uid="{00000000-0006-0000-0300-000006000000}">
      <text>
        <r>
          <rPr>
            <b/>
            <sz val="8"/>
            <color indexed="81"/>
            <rFont val="Tahoma"/>
            <family val="2"/>
          </rPr>
          <t>(FUENTE/ ORIGEN):</t>
        </r>
        <r>
          <rPr>
            <sz val="8"/>
            <color indexed="81"/>
            <rFont val="Tahoma"/>
            <family val="2"/>
          </rPr>
          <t>Fuente, situación o acto con potencial de daño en términos de enfermedad o lesión a las personas, o una combinación de éstos</t>
        </r>
        <r>
          <rPr>
            <b/>
            <sz val="8"/>
            <color indexed="81"/>
            <rFont val="Tahoma"/>
            <family val="2"/>
          </rPr>
          <t xml:space="preserve"> (Identifica las máquinas, los materiales, el método, la mano de obra y el medio ambiente que generan el factor de riesgo.</t>
        </r>
      </text>
    </comment>
    <comment ref="K6" authorId="0" shapeId="0" xr:uid="{00000000-0006-0000-0300-000007000000}">
      <text>
        <r>
          <rPr>
            <b/>
            <sz val="8"/>
            <color indexed="81"/>
            <rFont val="Tahoma"/>
            <family val="2"/>
          </rPr>
          <t>Es la lesión que sufre la persona cuando se materializa el factor y el tipo de riesgo.</t>
        </r>
        <r>
          <rPr>
            <sz val="8"/>
            <color indexed="81"/>
            <rFont val="Tahoma"/>
            <family val="2"/>
          </rPr>
          <t xml:space="preserve">
</t>
        </r>
      </text>
    </comment>
    <comment ref="L6" authorId="0" shapeId="0" xr:uid="{00000000-0006-0000-0300-000008000000}">
      <text>
        <r>
          <rPr>
            <b/>
            <sz val="8"/>
            <color indexed="81"/>
            <rFont val="Tahoma"/>
            <family val="2"/>
          </rPr>
          <t>Expresado: es cuando se presentó el evento.
Potencial: aun no se ha presentado</t>
        </r>
      </text>
    </comment>
    <comment ref="O6" authorId="2" shapeId="0" xr:uid="{00000000-0006-0000-0300-00000A000000}">
      <text>
        <r>
          <rPr>
            <b/>
            <sz val="8"/>
            <color indexed="81"/>
            <rFont val="Tahoma"/>
            <family val="2"/>
          </rPr>
          <t xml:space="preserve">Lista y descripción de los controles existentes actualmente para el control del riesgo:
-Eliminación
-Sustitución
-Controles de Ingeniería
Ejemplo Ruido: Cambiar equipo
</t>
        </r>
      </text>
    </comment>
    <comment ref="P6" authorId="2" shapeId="0" xr:uid="{00000000-0006-0000-0300-00000B000000}">
      <text>
        <r>
          <rPr>
            <sz val="8"/>
            <color indexed="81"/>
            <rFont val="Tahoma"/>
            <family val="2"/>
          </rPr>
          <t xml:space="preserve">Descripción de elementos de control tales como:
Ej: Instalar sistemas de ventilación, protección para máquinas, enclavamiento, cerramientos acústicos, aislamientos acústicos. Señalización
Advertencias
Instalación de alarmas
Procedimientos de seguridad
Inspecciones de equipos
Programas de mantenimiento
</t>
        </r>
      </text>
    </comment>
    <comment ref="Q6" authorId="2" shapeId="0" xr:uid="{00000000-0006-0000-0300-00000C000000}">
      <text>
        <r>
          <rPr>
            <sz val="8"/>
            <color indexed="81"/>
            <rFont val="Tahoma"/>
            <family val="2"/>
          </rPr>
          <t xml:space="preserve">Control dirigido a la Protección de la persona cuando los anteriores controles (fuente y medio) no han demostrado suficiente eficacia para mitigar el riesgo incluye suministro de elementos de protección personal.
Ej: Gafas de seguridad, protección auditiva, máscaras faciales, respiradores y guantes
</t>
        </r>
      </text>
    </comment>
    <comment ref="R6" authorId="2" shapeId="0" xr:uid="{00000000-0006-0000-0300-00000D000000}">
      <text>
        <r>
          <rPr>
            <b/>
            <sz val="8"/>
            <color indexed="81"/>
            <rFont val="Tahoma"/>
            <family val="2"/>
          </rPr>
          <t>Ver criterios en la tabla de valoración</t>
        </r>
        <r>
          <rPr>
            <sz val="8"/>
            <color indexed="81"/>
            <rFont val="Tahoma"/>
            <family val="2"/>
          </rPr>
          <t xml:space="preserve">
</t>
        </r>
      </text>
    </comment>
    <comment ref="T6" authorId="2" shapeId="0" xr:uid="{00000000-0006-0000-0300-00000E000000}">
      <text>
        <r>
          <rPr>
            <b/>
            <sz val="8"/>
            <color indexed="81"/>
            <rFont val="Tahoma"/>
            <family val="2"/>
          </rPr>
          <t>Ver criterios en la tabla de valoración</t>
        </r>
        <r>
          <rPr>
            <sz val="8"/>
            <color indexed="81"/>
            <rFont val="Tahoma"/>
            <family val="2"/>
          </rPr>
          <t xml:space="preserve">
</t>
        </r>
      </text>
    </comment>
    <comment ref="V6" authorId="3" shapeId="0" xr:uid="{00000000-0006-0000-0300-00000F000000}">
      <text>
        <r>
          <rPr>
            <sz val="9"/>
            <color indexed="81"/>
            <rFont val="Tahoma"/>
            <family val="2"/>
          </rPr>
          <t xml:space="preserve">
ND * NE</t>
        </r>
      </text>
    </comment>
    <comment ref="X6" authorId="2" shapeId="0" xr:uid="{00000000-0006-0000-0300-000010000000}">
      <text>
        <r>
          <rPr>
            <b/>
            <sz val="8"/>
            <color indexed="81"/>
            <rFont val="Tahoma"/>
            <family val="2"/>
          </rPr>
          <t xml:space="preserve">Ver criterios en la tabla de valoración
</t>
        </r>
      </text>
    </comment>
    <comment ref="Z6" authorId="2" shapeId="0" xr:uid="{00000000-0006-0000-0300-000011000000}">
      <text>
        <r>
          <rPr>
            <sz val="8"/>
            <color indexed="81"/>
            <rFont val="Tahoma"/>
            <family val="2"/>
          </rPr>
          <t xml:space="preserve">NP*NC
</t>
        </r>
      </text>
    </comment>
    <comment ref="AH6" authorId="2" shapeId="0" xr:uid="{00000000-0006-0000-0300-000012000000}">
      <text>
        <r>
          <rPr>
            <b/>
            <sz val="8"/>
            <color indexed="81"/>
            <rFont val="Tahoma"/>
            <family val="2"/>
          </rPr>
          <t>Modificar un diseño para eliminar el peligro donde se produce el riesgo, por ejemplo, introducir dispositivos mecánicos de alzamiento para eliminar el peligro de manipulación manual</t>
        </r>
      </text>
    </comment>
    <comment ref="AI6" authorId="2" shapeId="0" xr:uid="{00000000-0006-0000-0300-000013000000}">
      <text>
        <r>
          <rPr>
            <sz val="9"/>
            <color indexed="81"/>
            <rFont val="Tahoma"/>
            <family val="2"/>
          </rPr>
          <t>Si no se puede eliminar completamente la fuente de peligro, hay que tratar de reemplazarla o sustituirla por algo diferente que no sea tan peligroso para los trabajadores por ejemplo se podría usar un químico no tóxico (o menos tóxico) en lugar de uno tóxico o sustituir maquinas, equipos e insumos que generan riesgo por otros que no lo presenten o que tengan menor impacto. (por ejemplo, reducir la fuerza, el amperaje, la presión, la temperatura, etc.).</t>
        </r>
      </text>
    </comment>
    <comment ref="AJ6" authorId="2" shapeId="0" xr:uid="{00000000-0006-0000-0300-000014000000}">
      <text>
        <r>
          <rPr>
            <b/>
            <sz val="8"/>
            <color indexed="81"/>
            <rFont val="Tahoma"/>
            <family val="2"/>
          </rPr>
          <t>Instalar sistemas de ventilación, protección para las máquinas, enclavamiento, cerramientos acústicos, etc.</t>
        </r>
      </text>
    </comment>
    <comment ref="AK6" authorId="2" shapeId="0" xr:uid="{00000000-0006-0000-0300-000015000000}">
      <text>
        <r>
          <rPr>
            <b/>
            <sz val="8"/>
            <color indexed="81"/>
            <rFont val="Tahoma"/>
            <family val="2"/>
          </rPr>
          <t xml:space="preserve">Incluye procedimientos, estándares, instructivos, programas de gestión actividades de  sensibilización o capacitación, certificados de aptitud médica, competencias técnicas cuando se requieren y decisiones administrativas por ejemplo: Modificar Jornada de trabajo, disminución del tiempo de exposición, implementación de normas de seguridad o procedimientos, pausas activas, reubicaciones de los puestos de trabajo, entre otros.
</t>
        </r>
        <r>
          <rPr>
            <sz val="8"/>
            <color indexed="81"/>
            <rFont val="Tahoma"/>
            <family val="2"/>
          </rPr>
          <t xml:space="preserve">
</t>
        </r>
      </text>
    </comment>
    <comment ref="AL6" authorId="2" shapeId="0" xr:uid="{00000000-0006-0000-0300-000016000000}">
      <text>
        <r>
          <rPr>
            <b/>
            <sz val="8"/>
            <color indexed="81"/>
            <rFont val="Tahoma"/>
            <family val="2"/>
          </rPr>
          <t>gafas de seguridad, protección auditiva,
máscaras faciales, sistemas de detención de caídas, respiradores y guantes</t>
        </r>
        <r>
          <rPr>
            <sz val="8"/>
            <color indexed="81"/>
            <rFont val="Tahoma"/>
            <family val="2"/>
          </rPr>
          <t xml:space="preserve">
</t>
        </r>
      </text>
    </comment>
  </commentList>
</comments>
</file>

<file path=xl/sharedStrings.xml><?xml version="1.0" encoding="utf-8"?>
<sst xmlns="http://schemas.openxmlformats.org/spreadsheetml/2006/main" count="16207" uniqueCount="1612">
  <si>
    <t>CONTROLES EXISTENTES</t>
  </si>
  <si>
    <t>VALORACION DEL RIESGO</t>
  </si>
  <si>
    <t>II</t>
  </si>
  <si>
    <t>III</t>
  </si>
  <si>
    <t>IV</t>
  </si>
  <si>
    <t>I</t>
  </si>
  <si>
    <t>EVALUACION DEL RIESGO</t>
  </si>
  <si>
    <t>Capacitar al personal en trabajo seguro con equipos de computo, Implementar pausas activas.</t>
  </si>
  <si>
    <t>Conservar las herramientas en buen estado.</t>
  </si>
  <si>
    <t>Tabla No. 1 Determinación del nivel de deficiencia</t>
  </si>
  <si>
    <t>Nivel de deficiencia</t>
  </si>
  <si>
    <t>Valor de ND</t>
  </si>
  <si>
    <t>Significado</t>
  </si>
  <si>
    <t>Muy Alto (MA)</t>
  </si>
  <si>
    <t>Se ha (n) detectado peligro (s) que determina(n) como posible la generación de incidentes  o consecuencias muy significativas, o la eficacia del conjunto de medidas preventivas existentes respecto al riesgo es nula o no existe, o ambas.</t>
  </si>
  <si>
    <t>Alto (A)</t>
  </si>
  <si>
    <t>Se ha (n) detectada algún (os) peligro (s) que pueden dar lugar a consecuencias significativa (s), o la eficacia del conjunto de medidas preventivas existentes es baja, o ambas.</t>
  </si>
  <si>
    <t>Medio (M)</t>
  </si>
  <si>
    <t>Se han detectado peligros que pueden dar lugar a consecuencias poco significativas o de menor importancia, o la eficacia del conjunto de medidas preventivas existentes es moderada, o ambas.</t>
  </si>
  <si>
    <t>Bajo (B)</t>
  </si>
  <si>
    <t>No se asigna valor</t>
  </si>
  <si>
    <t>No se ha detectado consecuencia alguna, o la eficacia del conjunto de medidas preventivas existentes es alta, o ambas. El riesgo está controlado.</t>
  </si>
  <si>
    <t>Tabla No. 2  Determinación del nivel de exposición</t>
  </si>
  <si>
    <t>Nivel de exposición</t>
  </si>
  <si>
    <t>Valor de NE</t>
  </si>
  <si>
    <t>Continua (EC)</t>
  </si>
  <si>
    <t>La situación de exposición se presenta sin interrupción o varias veces con tiempo prolongado durante la jornada laboral</t>
  </si>
  <si>
    <t>Frecuente (EF)</t>
  </si>
  <si>
    <t>La situación de exposición se presenta varias veces durante la jornada laboral por tiempos cortos</t>
  </si>
  <si>
    <t>Ocasional (EO)</t>
  </si>
  <si>
    <t>La situación de exposición se presenta alguna vez durante la jornada laboral y por un período de tiempo corto</t>
  </si>
  <si>
    <t>Esporádica (EE)</t>
  </si>
  <si>
    <t>La situación de exposición se presenta de manera eventual</t>
  </si>
  <si>
    <t>Tabla No. 3  Determinación del nivel de probabilidad</t>
  </si>
  <si>
    <t>Nivel de probabilidad</t>
  </si>
  <si>
    <t>Nivel de exposición (NE)</t>
  </si>
  <si>
    <t>Nivel de deficiencia (ND)</t>
  </si>
  <si>
    <t>MA-40</t>
  </si>
  <si>
    <t>MA-30</t>
  </si>
  <si>
    <t>A-20</t>
  </si>
  <si>
    <t>MA-24</t>
  </si>
  <si>
    <t>A-18</t>
  </si>
  <si>
    <t>A-12</t>
  </si>
  <si>
    <t>M-6</t>
  </si>
  <si>
    <t>M-8</t>
  </si>
  <si>
    <t>B-4</t>
  </si>
  <si>
    <t>Tabla No. 4 Significado de los diferentes niveles de probabilidad</t>
  </si>
  <si>
    <t>Valor de NP</t>
  </si>
  <si>
    <t>Entre 40 y 24</t>
  </si>
  <si>
    <t>Situación deficiente con exposición continua o muy deficiente con exposición frecuente. Normalmente la materialización del riesgo ocurre con frecuencia</t>
  </si>
  <si>
    <t>Entre 20 y 10</t>
  </si>
  <si>
    <t>situación deficiente con exposición frecuente u ocasioanal, o bien situación muy deficiente con exposición ocasional o esporádica.  La materialización del riesgo es posible que suceda varias veces en la vida laboral.</t>
  </si>
  <si>
    <t>Entre 8 y 6</t>
  </si>
  <si>
    <t>Situación deficiente con exposición esporádica o bien situación mejorada con exposición continuada o frecuente.  Es posible que suceda el daño alguna vez.</t>
  </si>
  <si>
    <t>Entre 4 y 2</t>
  </si>
  <si>
    <t>Situación mejorable con exposición ocasional o esporádica, o situación sin anomalía destacable con cualquier nivel de exposición.  No es esperable que se materialice el riesgo, aunque puede ser concebible.</t>
  </si>
  <si>
    <t>Tabla No. 5 Determinación del nivel de consecuencia</t>
  </si>
  <si>
    <t>Nivel de consecuencias</t>
  </si>
  <si>
    <t>Valor NC</t>
  </si>
  <si>
    <t>Mortal o catastrófico (M)</t>
  </si>
  <si>
    <t>Muerte (s)</t>
  </si>
  <si>
    <t>Muy grave (MG)</t>
  </si>
  <si>
    <t>Lesiones o enfermedades graves irreparables (incapacidad permanente parcial o invalidez)</t>
  </si>
  <si>
    <t>Grave (G)</t>
  </si>
  <si>
    <t>Lesiones o enfermedades con incapacidad laboral temporal (ILT)</t>
  </si>
  <si>
    <t>Leve (L)</t>
  </si>
  <si>
    <t>Lesiones o enfermedades que no requieren incapacidad</t>
  </si>
  <si>
    <t>Tabla No. 6 Determinación del nivel de riesgo</t>
  </si>
  <si>
    <t>Nivel de riesgo NR = NP x NC</t>
  </si>
  <si>
    <t>Nivel de probabilidad (NP)</t>
  </si>
  <si>
    <t>40-24</t>
  </si>
  <si>
    <t>20-10</t>
  </si>
  <si>
    <t>8-6</t>
  </si>
  <si>
    <t>4-2</t>
  </si>
  <si>
    <t>Nivel de consecuencias (NC)</t>
  </si>
  <si>
    <t>I 4 000-2 400</t>
  </si>
  <si>
    <t>I 2 000-1 200</t>
  </si>
  <si>
    <t xml:space="preserve">I 800-600 </t>
  </si>
  <si>
    <t>II 400-200</t>
  </si>
  <si>
    <t>I 2 400-1 440</t>
  </si>
  <si>
    <t>I 1 200-600</t>
  </si>
  <si>
    <t>II 480 - 360</t>
  </si>
  <si>
    <t>II 200</t>
  </si>
  <si>
    <t>III 120</t>
  </si>
  <si>
    <t>I 1 000-600</t>
  </si>
  <si>
    <t>II 500 -250</t>
  </si>
  <si>
    <t>II 200 -150</t>
  </si>
  <si>
    <t>III 100 -50</t>
  </si>
  <si>
    <t>II 400-240</t>
  </si>
  <si>
    <t xml:space="preserve">II 200   </t>
  </si>
  <si>
    <t>III 80-60</t>
  </si>
  <si>
    <t>III 40  /  IV 20</t>
  </si>
  <si>
    <t xml:space="preserve">  III 100</t>
  </si>
  <si>
    <t>Tabla No. 7 Significado del nivel de riesgo</t>
  </si>
  <si>
    <t>Nivel de riesgo</t>
  </si>
  <si>
    <t>Valor de NR</t>
  </si>
  <si>
    <t>Situación crítica. Suspender actividades hasta que el riesgo esté bajo control. Intervención urgente</t>
  </si>
  <si>
    <t>500 - 150</t>
  </si>
  <si>
    <t>Corregir y adoptar medidas de control de inmediato. Sin embargo, suspenda actividades si el nivel de riesgo está por encima o igual de 360</t>
  </si>
  <si>
    <t>120 - 40</t>
  </si>
  <si>
    <t>Mejorar si es posible. Sería conveniente justificar la intervención y su rentabilidad.</t>
  </si>
  <si>
    <t>Mantener las medidas de control existentes, pero se deberían considerar soluciones o mejoras y se deben hacer comprobaciones periódicas para asegurar que el riesgo aún es aceptable.</t>
  </si>
  <si>
    <t>Tabla No. 8 Aceptabilidad del riesgo</t>
  </si>
  <si>
    <t>No aceptable</t>
  </si>
  <si>
    <t>Aceptable</t>
  </si>
  <si>
    <t>Suministrar reposapiés en los puestos de trabajo que no cuentan con el recurso.</t>
  </si>
  <si>
    <t>Capacitar al personal en manejo a la defensiva y situaciones difíciles.</t>
  </si>
  <si>
    <t>Eliminación (antes de)</t>
  </si>
  <si>
    <t>Modificar un diseño para eliminar el peligro.</t>
  </si>
  <si>
    <t>Introducir dispositivos mecánicos de alzamiento para eliminar el peligro de manipulación manual</t>
  </si>
  <si>
    <t>Utilizar  mínima cantidad de material radioactivo</t>
  </si>
  <si>
    <t>Máquinas más grandes y lentas en vez de otras más pequeñas y rápidas</t>
  </si>
  <si>
    <t>Matrices fijas en lugar de matrices de una operación</t>
  </si>
  <si>
    <t>Correas de transmisión en vez de engranajes</t>
  </si>
  <si>
    <t>Remplazo ajuste de piezas gastadas o desbalanceadas de las máquinas</t>
  </si>
  <si>
    <t>Forma y afilado adecuado de las herramientas de corte</t>
  </si>
  <si>
    <t>Sustitución (despues de)</t>
  </si>
  <si>
    <t>Sustituir por un material menos peligroso.</t>
  </si>
  <si>
    <t>Reducir la energía del sistema (reducir fuerza, amperaje, presión, temperatura)</t>
  </si>
  <si>
    <t>Cambiar una herramienta por otra de mayor impacto.</t>
  </si>
  <si>
    <t xml:space="preserve">Capacitar al personal </t>
  </si>
  <si>
    <t>Compresión en vez de remachado por impactos</t>
  </si>
  <si>
    <t>Soldadura en vez de remachado</t>
  </si>
  <si>
    <t>Trabajo en caliente en lugar de en frío</t>
  </si>
  <si>
    <t>Prensado en vez de laminado o forjado</t>
  </si>
  <si>
    <t>Ducha y lavabo al final de la jornada de trabajo</t>
  </si>
  <si>
    <t>Controles de ingenieria</t>
  </si>
  <si>
    <t>Instalar sistemas de ventilación</t>
  </si>
  <si>
    <t>Cerramiento acústico</t>
  </si>
  <si>
    <t>Instalar sistemas de extracción</t>
  </si>
  <si>
    <t>Sacar ventaja del progreso técnico para mejorar los controles</t>
  </si>
  <si>
    <t>Suministrar el elemento de protección personal para la tarea</t>
  </si>
  <si>
    <t>Señalización, advertencias o controles administrativos</t>
  </si>
  <si>
    <t>Instalar sistemas de alarmas</t>
  </si>
  <si>
    <t>Disminuir el tiempo de exposición.</t>
  </si>
  <si>
    <t>Realizar inspecciones de seguridad</t>
  </si>
  <si>
    <t>Señalizar áreas criticas y riesgos en las áreas de trabajo</t>
  </si>
  <si>
    <t>Adaptación del trabajo</t>
  </si>
  <si>
    <t>Capacidades físicas y mentales de la persona</t>
  </si>
  <si>
    <t>Careta con visor</t>
  </si>
  <si>
    <t>Careta para soldadura</t>
  </si>
  <si>
    <t>Protector auditivo</t>
  </si>
  <si>
    <t>Respirador de cartucho químico</t>
  </si>
  <si>
    <t>Respirador para material particulado</t>
  </si>
  <si>
    <t>Mascarilla desechable</t>
  </si>
  <si>
    <t>Guantes de cuero</t>
  </si>
  <si>
    <t>Guantes de caucho</t>
  </si>
  <si>
    <t>Guantes de látex</t>
  </si>
  <si>
    <t>Guantes de nitrilo</t>
  </si>
  <si>
    <t>Guantes en hilaza</t>
  </si>
  <si>
    <t>Guantes en hilaza con pvc</t>
  </si>
  <si>
    <t>Guantes de carnaza</t>
  </si>
  <si>
    <t>Guantes de asbesto</t>
  </si>
  <si>
    <t>Guantes de acero</t>
  </si>
  <si>
    <t>Arnes de seguridad</t>
  </si>
  <si>
    <t>Peto en plástico</t>
  </si>
  <si>
    <t>Peto en pvc</t>
  </si>
  <si>
    <t xml:space="preserve">Utilización permanente de equipo de protección personal, Supervisar su uso adecuado. </t>
  </si>
  <si>
    <t>Incrementar el distanciamiento de la fuente.</t>
  </si>
  <si>
    <t>Implementar programa de manejo seguro de productos químicos que contemple: Almacenamiento, manipulación y disposición adecuada.</t>
  </si>
  <si>
    <t>Equipos de proteccion contra caidas</t>
  </si>
  <si>
    <t>Gafas de seguridad lente claro</t>
  </si>
  <si>
    <t>Gafas de seguridad lente oscuro</t>
  </si>
  <si>
    <t>Gafas de seguridad tipo buso</t>
  </si>
  <si>
    <t>Mascarilla respirable con cartuchos para gases y vapores</t>
  </si>
  <si>
    <t xml:space="preserve">Capuchon </t>
  </si>
  <si>
    <t>Botas de caucho con puntera dielectrica</t>
  </si>
  <si>
    <t>Botas con puntera dielectrica</t>
  </si>
  <si>
    <t>Formaleta</t>
  </si>
  <si>
    <t>Refuerzo</t>
  </si>
  <si>
    <t>Afinado de pisos</t>
  </si>
  <si>
    <t>Tanque de reserva</t>
  </si>
  <si>
    <t>Vaciado de pisos</t>
  </si>
  <si>
    <t>Postensado</t>
  </si>
  <si>
    <t>Estructura</t>
  </si>
  <si>
    <t>Psicosocial</t>
  </si>
  <si>
    <t>Gases y vapores</t>
  </si>
  <si>
    <t>Material particulado</t>
  </si>
  <si>
    <t>Movimiento repetitivo</t>
  </si>
  <si>
    <t xml:space="preserve">Trabajo en alturas </t>
  </si>
  <si>
    <t>Espacios confinados</t>
  </si>
  <si>
    <t xml:space="preserve">Muy Alto </t>
  </si>
  <si>
    <t xml:space="preserve">Alto </t>
  </si>
  <si>
    <t xml:space="preserve">Medio </t>
  </si>
  <si>
    <t>Bajo</t>
  </si>
  <si>
    <t>Medio</t>
  </si>
  <si>
    <t>Continua</t>
  </si>
  <si>
    <t>Grave</t>
  </si>
  <si>
    <t>Vinculados</t>
  </si>
  <si>
    <t>Contratistas</t>
  </si>
  <si>
    <t>Temporales</t>
  </si>
  <si>
    <t>Lubricación de las piezas de las máquinas y empleo de aceites de corte</t>
  </si>
  <si>
    <t>Fuente</t>
  </si>
  <si>
    <t>Individuo</t>
  </si>
  <si>
    <t>N.A</t>
  </si>
  <si>
    <t>N.A.</t>
  </si>
  <si>
    <t>Humedad</t>
  </si>
  <si>
    <t>Pintura</t>
  </si>
  <si>
    <t>Contacto con herramientas manuales</t>
  </si>
  <si>
    <t>Elementos de Protección Personal de acuerdo al Riesgo: Casco, Guantes, Botas,  Gafas, Protección Respiratoria,  arnés etc…</t>
  </si>
  <si>
    <t>Administración</t>
  </si>
  <si>
    <t>Proceso</t>
  </si>
  <si>
    <t>Actividad</t>
  </si>
  <si>
    <t>CRITERIOS IDENTIFICACIÓN Y EVALUACIÓN DE RIESGOS Y PELIGROS</t>
  </si>
  <si>
    <t>MEDIDAS DE INTERVENCIÓN</t>
  </si>
  <si>
    <t>Equipo / elementos de protección personal</t>
  </si>
  <si>
    <t>Implementar programa de clima laboral</t>
  </si>
  <si>
    <t>Identificar fallas humanas</t>
  </si>
  <si>
    <t>Definir procedimientos de seguridad</t>
  </si>
  <si>
    <t>Verificar que se cumpla con las normas de trabajo seguro</t>
  </si>
  <si>
    <t>Rotación de personal o rotación de tareas durante la jornada laboral</t>
  </si>
  <si>
    <t>Capacitar al personal en Higiene Postural</t>
  </si>
  <si>
    <t>Capacitar al personal en trabajo seguro</t>
  </si>
  <si>
    <t>Capacitación en Estilos de vida laboral saludables.</t>
  </si>
  <si>
    <t>Capacitar al personal en Seguridad y Sistemas de Almacenamiento</t>
  </si>
  <si>
    <t>Capacitar al personal en cumplimiento de las normas de tránsito por parte del personal</t>
  </si>
  <si>
    <t>Implementar Programa de Pausas Activas o de acondicionamiento físico</t>
  </si>
  <si>
    <t>Mantener limpia y ordenada el área</t>
  </si>
  <si>
    <t>Definir medidas de prevención y/o de protección contra caídas</t>
  </si>
  <si>
    <t>Utilizar permanente de equipo de protección personal</t>
  </si>
  <si>
    <t>Supervisar el uso de EPP</t>
  </si>
  <si>
    <t xml:space="preserve">Realizar evaluaciones médicas y/o ocupacionales (de tipo ergonómico) de ingreso, periódicas y de retiro al personal </t>
  </si>
  <si>
    <t>Realizar evaluaciones medicas ocupacionales (Visiometrías) al personal (Exámen de ingreso, periódicos y de retiro)</t>
  </si>
  <si>
    <t>Utilizar pantallas antireflectivas para computadores</t>
  </si>
  <si>
    <t xml:space="preserve">Ubicar los computadores de manera paralela a la luz (tanto natural como artificial) para que no se reflejen en las pantallas.  </t>
  </si>
  <si>
    <t>Establecer sistemas de comunicación permanente con el personal de la empresa en caso de emergencia .</t>
  </si>
  <si>
    <t>Implementar Programa de Riesgo Psicosocial (Res. 2646)</t>
  </si>
  <si>
    <t xml:space="preserve">Divulgar Ley 1010 de Acoso Laboral                </t>
  </si>
  <si>
    <t xml:space="preserve">Realizar actividades de Bienestar Laboral y Social </t>
  </si>
  <si>
    <t>Realizar vigilancia médica</t>
  </si>
  <si>
    <t>Implementar períodos de descanso</t>
  </si>
  <si>
    <t>Contar con ayudas mecánicas.</t>
  </si>
  <si>
    <t>Contar con programas de mantenimiento planificado a máquinas y equipos</t>
  </si>
  <si>
    <t>Realizar mantenimiento preventivo, predictivo y correctivo a todas las sillas de la empresa.</t>
  </si>
  <si>
    <t>Ubicar guardas de seguridad en las máquinas</t>
  </si>
  <si>
    <t xml:space="preserve">Anclamiento de máquinas </t>
  </si>
  <si>
    <t>Ayudante con soportes y ganchos para frenar y halar carretilla</t>
  </si>
  <si>
    <t xml:space="preserve">Nivel de deficiencia(ND) </t>
  </si>
  <si>
    <t>Nivel de consecuencia</t>
  </si>
  <si>
    <t>Nivel de riesgo intervención (NR)</t>
  </si>
  <si>
    <t>Aceptabilidad del riesgo</t>
  </si>
  <si>
    <t>Eliminación</t>
  </si>
  <si>
    <t>Sustitución</t>
  </si>
  <si>
    <t>Controles de Ingeniería</t>
  </si>
  <si>
    <t>Controles administrativos, señalización, advertencia</t>
  </si>
  <si>
    <t># DE EXPUESTOS</t>
  </si>
  <si>
    <t xml:space="preserve">Significado </t>
  </si>
  <si>
    <t>Preparar mezcla</t>
  </si>
  <si>
    <t>Vaciado de columna</t>
  </si>
  <si>
    <t>Revoque</t>
  </si>
  <si>
    <t>Mampostería</t>
  </si>
  <si>
    <t>Soldadura</t>
  </si>
  <si>
    <t>Eléctrico</t>
  </si>
  <si>
    <t>Acabados</t>
  </si>
  <si>
    <t>Plomería</t>
  </si>
  <si>
    <t>Instalar tubería</t>
  </si>
  <si>
    <t>Enchape</t>
  </si>
  <si>
    <t>Aislamiento</t>
  </si>
  <si>
    <t>Drywall</t>
  </si>
  <si>
    <t>Vigas</t>
  </si>
  <si>
    <t>Tala y transporte</t>
  </si>
  <si>
    <t>Prefabricados</t>
  </si>
  <si>
    <t>Impermeabilización</t>
  </si>
  <si>
    <t xml:space="preserve">MEDIDAS DE INTERVENCIÓN </t>
  </si>
  <si>
    <t>Demolición</t>
  </si>
  <si>
    <t>Edificaciones</t>
  </si>
  <si>
    <t>Escavación</t>
  </si>
  <si>
    <t>Figuración y colocación del acero</t>
  </si>
  <si>
    <t>Pavimentos</t>
  </si>
  <si>
    <t>Actividades eléctricas</t>
  </si>
  <si>
    <t>Lavada e hidrofugada</t>
  </si>
  <si>
    <t>Gestión administrativa</t>
  </si>
  <si>
    <t>Solicitar una escalera  manual que cumpla  con la legislacion vigente</t>
  </si>
  <si>
    <t>Prensas neumáticas</t>
  </si>
  <si>
    <t xml:space="preserve">Cizallas rotativas </t>
  </si>
  <si>
    <t xml:space="preserve">Prensas hidráulicas </t>
  </si>
  <si>
    <t>Inspección de seguridad periódica</t>
  </si>
  <si>
    <t>Evitar comer/ beber/ fumar en el lugar de trabajo</t>
  </si>
  <si>
    <t xml:space="preserve">Mantener demarcadas las áreas de circulación y almacenamiento. </t>
  </si>
  <si>
    <t>Tiempo de exposición</t>
  </si>
  <si>
    <t>Clasificación del riesgo</t>
  </si>
  <si>
    <t>Peligro (origen)</t>
  </si>
  <si>
    <t>FACTOR DE RIESGO</t>
  </si>
  <si>
    <t xml:space="preserve">Ruido </t>
  </si>
  <si>
    <t>Vibración</t>
  </si>
  <si>
    <t>Proyección de partículas</t>
  </si>
  <si>
    <t>Atrapamiento</t>
  </si>
  <si>
    <t>Contacto con superficies calientes</t>
  </si>
  <si>
    <t>Locativo</t>
  </si>
  <si>
    <t>Condiciones de orden y aseo</t>
  </si>
  <si>
    <t>Techos (en mal estado)</t>
  </si>
  <si>
    <t>Presiones anormales</t>
  </si>
  <si>
    <t>Golpeado con o contra</t>
  </si>
  <si>
    <t>Manipulación de materiales</t>
  </si>
  <si>
    <t xml:space="preserve">Contacto indirecto (alta y baja tensión) </t>
  </si>
  <si>
    <t>Contacto directo (alta y baja tensión)</t>
  </si>
  <si>
    <t>Contacto con electricidad estática</t>
  </si>
  <si>
    <t>Salpicadura de químicos</t>
  </si>
  <si>
    <t>Inhalación o ingestión de microorganismos</t>
  </si>
  <si>
    <t>Caídas de objetos</t>
  </si>
  <si>
    <t>CLASIFICACIÓN DE LOS RIESGOS</t>
  </si>
  <si>
    <t>Robos, atracos, asaltos. Atentados, de órden público, etc</t>
  </si>
  <si>
    <t>IDENTIFICACIÓN  DEL RIESGO</t>
  </si>
  <si>
    <t>Consecuencia (Riesgo)</t>
  </si>
  <si>
    <t>Ejemplo de fuente generadora de peligro</t>
  </si>
  <si>
    <t>Ejemplo medidas de prevención y control</t>
  </si>
  <si>
    <r>
      <rPr>
        <b/>
        <sz val="12"/>
        <color indexed="10"/>
        <rFont val="Tahoma"/>
        <family val="2"/>
      </rPr>
      <t>BIOLÓGICOS</t>
    </r>
    <r>
      <rPr>
        <b/>
        <sz val="12"/>
        <rFont val="Tahoma"/>
        <family val="2"/>
      </rPr>
      <t xml:space="preserve">
Se refiere a microorganismos o resíduos que pueden ocasionar enfermedades a las personas que entran en contacto con ellos</t>
    </r>
  </si>
  <si>
    <t>Alimentos del caspete</t>
  </si>
  <si>
    <t>Buenas prácticas de manufactura, control de alimentos perecederos</t>
  </si>
  <si>
    <t>Animales (Roedores)</t>
  </si>
  <si>
    <t>Uso de EPP, disposición final de resíduos, normas de bioseguridad, programa de control de plagas</t>
  </si>
  <si>
    <t>Personas, animales, elementos contaminados con fluidos corporales o con microorganismos</t>
  </si>
  <si>
    <t>Uso de EPP, limpieza y desinfecciçon de áreas, disposición final de resísudos, normas de bioseguridad</t>
  </si>
  <si>
    <t>Personas, animales, entorno</t>
  </si>
  <si>
    <r>
      <rPr>
        <b/>
        <sz val="12"/>
        <color indexed="10"/>
        <rFont val="Tahoma"/>
        <family val="2"/>
      </rPr>
      <t>FÍSICOS</t>
    </r>
    <r>
      <rPr>
        <b/>
        <sz val="12"/>
        <rFont val="Tahoma"/>
        <family val="2"/>
      </rPr>
      <t xml:space="preserve"> 
Son aquellos factores ambientales de naturaleza física que, cuando nos exponemos a ellos, pueden provocar daños en la salud, según la intensidad y la concentración de los mismos</t>
    </r>
  </si>
  <si>
    <t>Taladro, sierra circular, martillo, cizalla</t>
  </si>
  <si>
    <t>Encerramiento, mantenimiento de maquinaria, EPP</t>
  </si>
  <si>
    <t>Luminarias</t>
  </si>
  <si>
    <t>Distribución adecuada de las lámparas, mantenimiento de luminarias</t>
  </si>
  <si>
    <t>Pulidora / taladro neumático</t>
  </si>
  <si>
    <t>Sistemas antivibratorios, EPP</t>
  </si>
  <si>
    <t xml:space="preserve">Temperaturas extremas </t>
  </si>
  <si>
    <t>Calor /  Frio</t>
  </si>
  <si>
    <t>Sistemas de aire acondicionado, EPP, métodos de refracción del calor</t>
  </si>
  <si>
    <t>Buceo, inmersión, trabajos al altas latitudes</t>
  </si>
  <si>
    <t>Equipos con aire autocontenido, períodos de adaptación</t>
  </si>
  <si>
    <t xml:space="preserve">Radiaciones ionizantes </t>
  </si>
  <si>
    <t>Rayos x, gama, beta, alfa, neutrones</t>
  </si>
  <si>
    <t>Delantal plomado, apantallamiento plomado, encerramientos, control en el tiempo de exposición</t>
  </si>
  <si>
    <t xml:space="preserve">Radiaciones no ionizantes </t>
  </si>
  <si>
    <t>Radiación UV, radiación visible, radiación infraroja, microondas, radiofrecuencias</t>
  </si>
  <si>
    <t>Apantallamientos, control en el tiempo de exposición, colimadores, EPP</t>
  </si>
  <si>
    <r>
      <rPr>
        <b/>
        <sz val="12"/>
        <color indexed="10"/>
        <rFont val="Tahoma"/>
        <family val="2"/>
      </rPr>
      <t>QUÍMICOS</t>
    </r>
    <r>
      <rPr>
        <b/>
        <sz val="12"/>
        <rFont val="Tahoma"/>
        <family val="2"/>
      </rPr>
      <t xml:space="preserve">
Se refiere a las sustancias químicas orgánicas, naturales o sintéticas que durante la fabricación, manejo, transporte, almacenamiento o uso, pueden entrar en  contacto con el organismo por inhalación, ingestión o absorción, ocasionando problemas en la salud segñun su concentración y tiempo de exposición</t>
    </r>
  </si>
  <si>
    <t>Combustibles / pinturas</t>
  </si>
  <si>
    <t>Extracción local, protección respiratoria, rotulación de los productos, compatibilidad química, sistema de control contra incendios</t>
  </si>
  <si>
    <t xml:space="preserve">Aerosoles líquidos </t>
  </si>
  <si>
    <t>Nieblas y rocíos de químicos</t>
  </si>
  <si>
    <t>Extracción local, protección respiratoria, rotulación de los productos, compatibilidad química</t>
  </si>
  <si>
    <t xml:space="preserve">Polvos orgánicos o inorgánicos, humos metálicos o no metálicos, </t>
  </si>
  <si>
    <t>Extracción local, protección respiratoria, ventilación mecánica, encerramiento de procesos</t>
  </si>
  <si>
    <t>Polvo de madera, fibra de vidrio</t>
  </si>
  <si>
    <t>Trasvase de químicos</t>
  </si>
  <si>
    <t>EPP, ayudas mecánicas, pipeteadores</t>
  </si>
  <si>
    <r>
      <rPr>
        <b/>
        <sz val="12"/>
        <color indexed="10"/>
        <rFont val="Tahoma"/>
        <family val="2"/>
      </rPr>
      <t xml:space="preserve">FÍSICO - QUÌMICO </t>
    </r>
    <r>
      <rPr>
        <b/>
        <sz val="12"/>
        <rFont val="Tahoma"/>
        <family val="2"/>
      </rPr>
      <t xml:space="preserve">
Abarca todos aquellos objetos, materiales combustibles, sustancias químicas y fuentes de calor, que bajo ciertas circunstancias de inflamabilidad o combustibilidad, puedan ocasionar incendios y explosiones con consecuencias graves</t>
    </r>
  </si>
  <si>
    <t>Incendio</t>
  </si>
  <si>
    <t>Manipulación inadecuada de sustancias inflamables, reacciones exotérmicas de sustancias incompatibles</t>
  </si>
  <si>
    <t>Extintores, rociadores, compatibilidad química, mantenimiento eléctrico</t>
  </si>
  <si>
    <t>Explosiones</t>
  </si>
  <si>
    <t>Almacenamiento seguro de sustancias y materiales, planes de emergencia, mantenimiento</t>
  </si>
  <si>
    <t>Grúas, muebles, maquinaria</t>
  </si>
  <si>
    <t>Señalización, EPP, barreras</t>
  </si>
  <si>
    <t>Pulido de materiales, martillado, corte de piezas</t>
  </si>
  <si>
    <t>Apantallamiento, EPP</t>
  </si>
  <si>
    <t>Traslado de objetos pesados, manejo de láminas de acero y vidrio</t>
  </si>
  <si>
    <t>EPP, ayudas mecánicas</t>
  </si>
  <si>
    <t>Caídas al mismo nivel</t>
  </si>
  <si>
    <t>Desnivel del suelo, desorden, pisos lisos</t>
  </si>
  <si>
    <t>Mantenimiento locativo, programa de orden y aseo, señalización y demarcación de áreas</t>
  </si>
  <si>
    <t>Guardas de seguridad, censores de proximidad</t>
  </si>
  <si>
    <t>Tránsito</t>
  </si>
  <si>
    <t>Vias deterioradas, problemas de salud del conductor, exceso de velocidad, incumplimiento de normas y señales de tránsito, conducir bajo efectos de sustancias psicoactivas, vehículos dañados, personas imprudentes en la vía</t>
  </si>
  <si>
    <t>Capacitación en normas y señales de tránsito, curso de conducción, licencia de conducción, mantenimiento preventivo de vehículos</t>
  </si>
  <si>
    <t>Hornos, calderas</t>
  </si>
  <si>
    <t>EPP, mamparas, sistemas de refracción del calor</t>
  </si>
  <si>
    <r>
      <rPr>
        <b/>
        <sz val="12"/>
        <color indexed="10"/>
        <rFont val="Tahoma"/>
        <family val="2"/>
      </rPr>
      <t>ERGONÓMICO</t>
    </r>
    <r>
      <rPr>
        <b/>
        <sz val="12"/>
        <rFont val="Tahoma"/>
        <family val="2"/>
      </rPr>
      <t xml:space="preserve">
Son todos los objetos, puestos de trabajo, máquinas, mesas y herramientas que por su peso, tamaño, forma o diseño, pueden producir fatiga física o lesiones en músculos o huesos</t>
    </r>
  </si>
  <si>
    <t>Posición de pie prolongado</t>
  </si>
  <si>
    <t>Actividades de vigilancia, operación de maquinaria</t>
  </si>
  <si>
    <t>Posición sentado prolongado</t>
  </si>
  <si>
    <t>Higiene postural, pausas activas, puesto de trabajo ergonómico</t>
  </si>
  <si>
    <t>Digitar, operación de máquinas en serie, flexiones de tronco y piernas</t>
  </si>
  <si>
    <t>Pausas activas, higiene postural, organización del trabajo, asignación de tareas varias</t>
  </si>
  <si>
    <t>Sobreesfuerzos (levantamiento y transporte manual de cargas)</t>
  </si>
  <si>
    <t>Transporte o movivimiento de maquinaria y equipos con pesos por encima de los límites permisibles</t>
  </si>
  <si>
    <t>Higiene postural, pausas activas, ayudas mecánicas</t>
  </si>
  <si>
    <t>Hiperextensión</t>
  </si>
  <si>
    <t>Alcanzar objetos que están ubicados por fuera del alcance de la mano</t>
  </si>
  <si>
    <t>Resideño del puesto de trabajo</t>
  </si>
  <si>
    <r>
      <t xml:space="preserve">ELÉCTRICO
</t>
    </r>
    <r>
      <rPr>
        <b/>
        <sz val="12"/>
        <rFont val="Tahoma"/>
        <family val="2"/>
      </rPr>
      <t>Se refiere a los sistemas eléctricos de 
las máquinas, equipos e instalaciones  
locativas que conducen o generan 
energía dinámica o estática que al entrar
en contacto con las personas, por 
condiciones o actos sub – estándares,
pueden provocar lesiones, dependiendo 
de la intensidad y el tiempo de contacto.</t>
    </r>
  </si>
  <si>
    <t>Instalaciones eléctricas defectuosas, apertura o cierre de breaker</t>
  </si>
  <si>
    <t>Mantenimiento eléctrico, EPP, Sistemas GFCI (Interruptor de circuito de falla de tierra), herramientas aisladas</t>
  </si>
  <si>
    <t>Subestación de energía</t>
  </si>
  <si>
    <t>EPP, Sistemas GFCI (Interruptor de circuito de falla de tierra), herramientas aisladas</t>
  </si>
  <si>
    <t>Equipos de soldadura mas aislados eléctricamente</t>
  </si>
  <si>
    <t>Tomnas de seguridad, puestas a tierra, Sistemas GFCI (Interruptor de circuito de falla de tierra)</t>
  </si>
  <si>
    <r>
      <t xml:space="preserve">TAR (TRABAJOS DE ALTO RIESGO)
</t>
    </r>
    <r>
      <rPr>
        <b/>
        <sz val="12"/>
        <rFont val="Tahoma"/>
        <family val="2"/>
      </rPr>
      <t>Actividades que por la consecuencia potencial de la materialización del riesgo en su ejecución deben adoptar medidas especiales de planeación y control para evaluar los peligros a los que están expuestos los trabajadores que las realizan</t>
    </r>
  </si>
  <si>
    <t>Trabajos en escaleras, trabajos en andamios</t>
  </si>
  <si>
    <t>EPP, puntos de anclaje, rediseño de los trabajos para hacerlos dede el piso</t>
  </si>
  <si>
    <r>
      <rPr>
        <b/>
        <sz val="12"/>
        <color indexed="10"/>
        <rFont val="Tahoma"/>
        <family val="2"/>
      </rPr>
      <t>PSICOSOCIAL</t>
    </r>
    <r>
      <rPr>
        <b/>
        <sz val="12"/>
        <rFont val="Tahoma"/>
        <family val="2"/>
      </rPr>
      <t xml:space="preserve">
Se refiere a todos aquellos factores que pueden generar insatisfacción, aburrimiento, estrés o poca disposición para hacer las tareas</t>
    </r>
  </si>
  <si>
    <t>Establecer medios y medidas que favorezcan una comunicación asertiva, propiciar el trabajo en equipo</t>
  </si>
  <si>
    <t>Reorganización del trabajo, proponer manejas diferentes de realizar las actividades diarias, implementar programas para el manejo del estrés</t>
  </si>
  <si>
    <t>Proponer maneras diferentes de realizar actividades diaria, asignación de tareas diarias</t>
  </si>
  <si>
    <t>Implementar programas para el manejo del estrés, promover estilo de dirección participativa</t>
  </si>
  <si>
    <t>Crear planes de capacitación, tener personas con las capacitación y los conocimientos idóneos para las tareas a desempeñar</t>
  </si>
  <si>
    <t>Automatización de procesos, rediseño de los perfiles del cargo</t>
  </si>
  <si>
    <r>
      <rPr>
        <b/>
        <sz val="12"/>
        <color indexed="10"/>
        <rFont val="Tahoma"/>
        <family val="2"/>
      </rPr>
      <t>PÚBLICO</t>
    </r>
    <r>
      <rPr>
        <b/>
        <sz val="12"/>
        <rFont val="Tahoma"/>
        <family val="2"/>
      </rPr>
      <t xml:space="preserve">
Son todas aquellas circunstancias de orden público, a las cuales se ve expuesto el trabajador por razones de su oficio</t>
    </r>
  </si>
  <si>
    <t>Violencia</t>
  </si>
  <si>
    <t>Capacitación en riesgo público</t>
  </si>
  <si>
    <t>1. Ergonómico</t>
  </si>
  <si>
    <t>Trabajos en caliente</t>
  </si>
  <si>
    <t>Trabajos en sótanos, excavaciones, tanques, cámaras</t>
  </si>
  <si>
    <t>Saturación de vapores combustibles, rompimiento de un cilindro, sobre presión de un recipiente a presión. 
Excavaciones como espacio confinado</t>
  </si>
  <si>
    <t>Trabajos con energías peligrosas</t>
  </si>
  <si>
    <t>Sistemas de transmisión de fuerza (engranaje, poleas, bandas, rodamientos, sin guardas o protección), aspas</t>
  </si>
  <si>
    <t>Expresado o potencial</t>
  </si>
  <si>
    <t>Factor de riesgo (Ver lista de factores de riesgo)</t>
  </si>
  <si>
    <t>Condiciones de pisos, paredes y techos</t>
  </si>
  <si>
    <r>
      <rPr>
        <b/>
        <sz val="12"/>
        <color indexed="10"/>
        <rFont val="Tahoma"/>
        <family val="2"/>
      </rPr>
      <t xml:space="preserve">MECÁNICO </t>
    </r>
    <r>
      <rPr>
        <b/>
        <sz val="12"/>
        <rFont val="Tahoma"/>
        <family val="2"/>
      </rPr>
      <t xml:space="preserve">
Se refiere a aquellos objetos, máquinas, equipos e instalaciones locativas que por sus condiciones de funcionamiento, diseño o estado pueden causarle alguna lesión al trabajador</t>
    </r>
  </si>
  <si>
    <t xml:space="preserve">2. Mecánico </t>
  </si>
  <si>
    <t>3. Locativo</t>
  </si>
  <si>
    <t>6. Eléctrico</t>
  </si>
  <si>
    <t>7. Físico-químico</t>
  </si>
  <si>
    <t>8. Trabajo de Alto Riesgo</t>
  </si>
  <si>
    <t>9. Biológico</t>
  </si>
  <si>
    <t>10. Psicosocial</t>
  </si>
  <si>
    <t>11. Público</t>
  </si>
  <si>
    <t>Tipo de actividad (Rutinaria / No rutinaria)</t>
  </si>
  <si>
    <t>Frecuente</t>
  </si>
  <si>
    <t>Nivel de probabilidad
(ND*NE)</t>
  </si>
  <si>
    <t>Outsourcing</t>
  </si>
  <si>
    <t>Visitantes</t>
  </si>
  <si>
    <t>ELABORADO POR:</t>
  </si>
  <si>
    <t>Potencial</t>
  </si>
  <si>
    <t>Rutinaria</t>
  </si>
  <si>
    <t>No hay control</t>
  </si>
  <si>
    <t>NA</t>
  </si>
  <si>
    <t>Importante</t>
  </si>
  <si>
    <t>Moderado aceptable</t>
  </si>
  <si>
    <t>Uso de herramientas y equipos</t>
  </si>
  <si>
    <t>Leve</t>
  </si>
  <si>
    <t>Ocasional</t>
  </si>
  <si>
    <t>Iluminación deficiente o en exceso</t>
  </si>
  <si>
    <t>Heridas, muerte, Golpes</t>
  </si>
  <si>
    <t>PARTICIPANTES EN LA ELABORACIÓN</t>
  </si>
  <si>
    <t>4. Químico</t>
  </si>
  <si>
    <t>5. Físico</t>
  </si>
  <si>
    <t>Malla de seguridad</t>
  </si>
  <si>
    <t>Arrume de piedras, tierra y material mal almacenado
Obstáculos en piso</t>
  </si>
  <si>
    <t>Uso de herramientas y equipos
Contacto con la herramienta, y con  puntas de baldosa, o cerámica</t>
  </si>
  <si>
    <t>Pausas activas, tapetes ergonómicos, higiene postural</t>
  </si>
  <si>
    <t>Labores de oficina en general</t>
  </si>
  <si>
    <t>Diseñar e implementar protocolo para el manejo de herramientas manuales</t>
  </si>
  <si>
    <t>Implementar programa de riesgo mecánico</t>
  </si>
  <si>
    <t>Programa de orden y aseo</t>
  </si>
  <si>
    <r>
      <t xml:space="preserve">LOCATIVO
</t>
    </r>
    <r>
      <rPr>
        <b/>
        <sz val="12"/>
        <rFont val="Tahoma"/>
        <family val="2"/>
      </rPr>
      <t>Son aquellas circunstancias del ambiente de trabajo que potencialmente pueden producir daños a las personas</t>
    </r>
  </si>
  <si>
    <t>Estado de pisos, paredes y techos de las instalaciones provisionales y de la obra</t>
  </si>
  <si>
    <t>Programa de orden y aseo
Plan de señalización</t>
  </si>
  <si>
    <t>Continuar con los controles existentes</t>
  </si>
  <si>
    <r>
      <rPr>
        <b/>
        <sz val="12"/>
        <color indexed="10"/>
        <rFont val="Tahoma"/>
        <family val="2"/>
      </rPr>
      <t>FENÓMENOS NATURALES</t>
    </r>
    <r>
      <rPr>
        <b/>
        <sz val="12"/>
        <rFont val="Tahoma"/>
        <family val="2"/>
      </rPr>
      <t xml:space="preserve">
XXX</t>
    </r>
  </si>
  <si>
    <t>Derrumbes</t>
  </si>
  <si>
    <t>12. Fenómenos naturales</t>
  </si>
  <si>
    <t>Contacto con sustacias químicas</t>
  </si>
  <si>
    <t>Humos y gases de soldadura</t>
  </si>
  <si>
    <t>Contacto con herramientas y superficies cortopunzantes</t>
  </si>
  <si>
    <t xml:space="preserve">Capacitación </t>
  </si>
  <si>
    <t>ULTIMA FECHA DE ACTUALIZACIÓN</t>
  </si>
  <si>
    <t xml:space="preserve">     MODELO ITI</t>
  </si>
  <si>
    <t xml:space="preserve">     OUTSOURCING SST</t>
  </si>
  <si>
    <t xml:space="preserve">     MAS GESTIÓN</t>
  </si>
  <si>
    <t>TAREA DE ALTO RIESGO</t>
  </si>
  <si>
    <t>SI</t>
  </si>
  <si>
    <t>NO</t>
  </si>
  <si>
    <t>No rutinaria</t>
  </si>
  <si>
    <t>Planes de Emergencia</t>
  </si>
  <si>
    <t>Responsable</t>
  </si>
  <si>
    <t>Considerada Tarea de Alto Riesgo</t>
  </si>
  <si>
    <t xml:space="preserve">
Exámenes médicos de ingreso</t>
  </si>
  <si>
    <t>Levantamiento de cajas o equipos de oficina</t>
  </si>
  <si>
    <t>Poco material en altura</t>
  </si>
  <si>
    <t>Personal Directo o Tercerizado</t>
  </si>
  <si>
    <t>Directo</t>
  </si>
  <si>
    <t>Tercerizado</t>
  </si>
  <si>
    <t>Desplazamiento por oficinas propias o clientes</t>
  </si>
  <si>
    <t>Heridas, traumatismos, Golpes</t>
  </si>
  <si>
    <t>Desplazamiento por oficina y procesos externos</t>
  </si>
  <si>
    <t>Pisos antideslizantes</t>
  </si>
  <si>
    <t>Circulaciones localizadas</t>
  </si>
  <si>
    <t>Pisos antideslizantes en escalera oficina de la empresa</t>
  </si>
  <si>
    <t>Atrapamientos, aplastamientos, chuzones, heridas y contusiones leves</t>
  </si>
  <si>
    <t xml:space="preserve">Cortes, chuzones y heridas </t>
  </si>
  <si>
    <t>Quemaduras</t>
  </si>
  <si>
    <t xml:space="preserve">Programa de orden y aseo 
Colocar avisos alusivos a equipos con temperatura
Capacitación </t>
  </si>
  <si>
    <t>Guantes si fuera necesario</t>
  </si>
  <si>
    <t>Actividades en cocina de la oficina o equipos con temperatura</t>
  </si>
  <si>
    <t>Mantenimiento de instalaciones</t>
  </si>
  <si>
    <t>Reporte de condiciones e incidentes
Mantenimiento preventivo
inspección de seguridad
Investigación de incidentes</t>
  </si>
  <si>
    <t>Esporádica</t>
  </si>
  <si>
    <t>Condiciones de iluminación natural y/o artificial</t>
  </si>
  <si>
    <t>* Aplicación del protocolo de riesgo público</t>
  </si>
  <si>
    <t>Bajar y subir escaleras de oficinas externas</t>
  </si>
  <si>
    <t>Extintores y Plan de emergencias</t>
  </si>
  <si>
    <t xml:space="preserve">
Exámenes médicos de ingreso, Capacitación autocuidado
</t>
  </si>
  <si>
    <t>Calzado de seguridad</t>
  </si>
  <si>
    <t>1. ERGONOMICOS</t>
  </si>
  <si>
    <t>2. MECANICOS</t>
  </si>
  <si>
    <t>3. LOCATIVOS</t>
  </si>
  <si>
    <t>4. QUIMICOS</t>
  </si>
  <si>
    <t>5. FISICO</t>
  </si>
  <si>
    <t>6. ELECTRICO</t>
  </si>
  <si>
    <t>7. FISICO - QUIMICO</t>
  </si>
  <si>
    <t>8. TAR</t>
  </si>
  <si>
    <t>9. BIOLOGICO</t>
  </si>
  <si>
    <t>11. PUBLICO</t>
  </si>
  <si>
    <t>12. F. NATURALES</t>
  </si>
  <si>
    <t>-------</t>
  </si>
  <si>
    <t>Posición requerida por la actividad</t>
  </si>
  <si>
    <t xml:space="preserve">Ambientes de trabajo </t>
  </si>
  <si>
    <t>Cableado en las instalaciones</t>
  </si>
  <si>
    <t xml:space="preserve">Resbalar pérdida de fricción entre los pies y el piso, tropezar </t>
  </si>
  <si>
    <t>Contusiones, Heridas, Esguinces, Fracturas, Traumatismo</t>
  </si>
  <si>
    <t>Alto</t>
  </si>
  <si>
    <t>En líneas aéreas, mantener siempre la distancia de seguridad, mínimo 5m. sobre puntos accesibles a las personas</t>
  </si>
  <si>
    <t xml:space="preserve">
Exámenes médicos de ingreso, 
Exámenes médicos de ingreso, EPP</t>
  </si>
  <si>
    <t>COVID-19</t>
  </si>
  <si>
    <t>Limpieza y desinfección de áreas</t>
  </si>
  <si>
    <t>Ventilación natural / 
Espacios aireados</t>
  </si>
  <si>
    <t>Dotar de tapabocas, caretas faciales, guantes de nitrilo</t>
  </si>
  <si>
    <t>CONTROL DE CAMBIOS
MATRIZ DE PELIGROS - RIESGOS
GTC 45</t>
  </si>
  <si>
    <t>Fecha</t>
  </si>
  <si>
    <t>Auxiliar TH - SST</t>
  </si>
  <si>
    <t>Se hace la inclusión del Riesgo Biológico por virus Coronavirus COVID-19, para todas los actividades de la compañía:
* Atención en oficinas y de clientes
* Conducción de vehículo
* Cargue y descargue de mercancías
* Mantenimiento de vehículos y Control Tráfico</t>
  </si>
  <si>
    <t>Responsable SST
Asesor externo</t>
  </si>
  <si>
    <t>Aplica a:</t>
  </si>
  <si>
    <t>Centros de trabajo Administrativos</t>
  </si>
  <si>
    <t>Centro de trabajos Operativos</t>
  </si>
  <si>
    <t xml:space="preserve">Responsable SG- SST </t>
  </si>
  <si>
    <t>MATRIZ DE IDENTIFICACIÓN DE PELIROS-RIESGO GTC 45</t>
  </si>
  <si>
    <t xml:space="preserve">Transitar por áreas o pasillos, escaleras, con pisos húmedos, desnivelados e inestables, arrumes mal almacenados </t>
  </si>
  <si>
    <t xml:space="preserve">Resbalar pérdida de fricción entre los pies y el piso, tropezar, fisuras, golpes, contusiones </t>
  </si>
  <si>
    <t xml:space="preserve">Calzado de seguridad </t>
  </si>
  <si>
    <t>Expresado</t>
  </si>
  <si>
    <t xml:space="preserve">
Exámenes médicos de ingreso, 
Exámenes médicos de ingreso, EPP
Pausas saludables </t>
  </si>
  <si>
    <t xml:space="preserve">Casco de seguridad </t>
  </si>
  <si>
    <t xml:space="preserve">Gafas de seguridad </t>
  </si>
  <si>
    <t xml:space="preserve">Auxiliar TH - SST
COPASST </t>
  </si>
  <si>
    <t xml:space="preserve">Cargo </t>
  </si>
  <si>
    <t xml:space="preserve">Coordinadora SST </t>
  </si>
  <si>
    <t>Capacitación Autocuidado
Capacitación Protocolos de Bioseguridad
EPP (tapabocas, caretas faciales, guantes nitrilo)</t>
  </si>
  <si>
    <t xml:space="preserve">
*Verificación de Inspecciones 
* Programa de Orden y aseo en oficina (Incluye Capacitación)
* Reporte de condiciones y actos inseguros al área de SST y cliente correspondiente 
* Inducción y reinducción SST </t>
  </si>
  <si>
    <t xml:space="preserve">
* Calzado de seguridad  
* Programa de Orden y aseo 
* Exámenes de ingreso y periódicos 
* Reporte de condiciones de seguridad al área SST y Cliente correspondiente  </t>
  </si>
  <si>
    <t xml:space="preserve">* Verificar mantenimiento preventivo y correctivo de cliente 
* Reporte de condiciones e incidentes
* Investigación de incidentes
* Verificación de inspecciones de seguridad 
</t>
  </si>
  <si>
    <t xml:space="preserve">* Inducción y reinducción SST 
* Prevención de accidentes 
</t>
  </si>
  <si>
    <t xml:space="preserve">* Zona peatonal demarcada y señalizada 
* Exámenes Ingreso y periódico
* Verificación de Implementación de PESV </t>
  </si>
  <si>
    <t xml:space="preserve">*Capacitación Autocuidado                                                                                                                                                                                                                                                                                                                        *Reporte de condiciones e incidentes
*Mantenimiento preventivo
*inspección de seguridad (locativas, orden y aseo)
*Investigación de incidentes
*Calzado de seguridad </t>
  </si>
  <si>
    <t>Caídas diferente nivel (menos de 2.0 mt)</t>
  </si>
  <si>
    <t xml:space="preserve">Espacios abiertos </t>
  </si>
  <si>
    <t xml:space="preserve">Zonas sismicas </t>
  </si>
  <si>
    <t xml:space="preserve">Lluvias inesperadas </t>
  </si>
  <si>
    <t xml:space="preserve">Tránsito por zonas sísmicas </t>
  </si>
  <si>
    <t>* Pérdidas materiales  
* Traumas  
* Aplastamiento</t>
  </si>
  <si>
    <t>Capacitación Plan de Evacuación</t>
  </si>
  <si>
    <t>Botiquín Primeros Auxilios</t>
  </si>
  <si>
    <t xml:space="preserve">Seguir con los controles existentes </t>
  </si>
  <si>
    <t xml:space="preserve">Instalaciones </t>
  </si>
  <si>
    <t>* Muerte  
* Pérdida materiales   
* Angustia  
* Trauma aplastamiento</t>
  </si>
  <si>
    <t>* Botiquín Primeros Auxilios
* Camilla</t>
  </si>
  <si>
    <t xml:space="preserve"> Rutas de Evacuación actualizadas</t>
  </si>
  <si>
    <t>Tareas administrativas con permanencia sentado la mayoría de la jornada</t>
  </si>
  <si>
    <t>Lesiones osteomusculares
fatiga muscular 
Patologías lumbares</t>
  </si>
  <si>
    <t xml:space="preserve">
* Inspección de puesto de trabajo
* Examen médico de Ingreso y periódico énfasis osteomusculares
* Implementar programa de Pausas Saludables </t>
  </si>
  <si>
    <t>Lesiones osteomusculares
fatiga muscular 
Patologías lumbares
Alteración de Túnel de Carpo
Potencial tendinitis</t>
  </si>
  <si>
    <t xml:space="preserve">Lesiones osteomusculares
fatiga muscular 
Patologías lumbares
</t>
  </si>
  <si>
    <t>* Implementar programa de Pausas Activas 
* Examen médico de Ingreso y periódico
* Capacitación en manipulación de objetos de oficina</t>
  </si>
  <si>
    <t>Caídas diferente nivel (menos de 1.5 mi)</t>
  </si>
  <si>
    <t xml:space="preserve">
*Inspecciones periódicas
*Programa para intervención del comportamiento sobre uso de calzado
*Calzado de seguridad 
* Estándar para ingreso a sedes externas</t>
  </si>
  <si>
    <t>Uso de herramientas manuales como cosedora, perforadoras y herramientas de oficina en general</t>
  </si>
  <si>
    <t>* Implementar programa de prevención de accidentes en manos
*Programa para intervención del comportamiento
* ATS para cada actividad
*Inspecciones de seguridad
*Capacitación en autocuidado</t>
  </si>
  <si>
    <t xml:space="preserve">Uso de bisturí y guillotinas, herramientas de cocina </t>
  </si>
  <si>
    <t>Cableado de equipos, almacenamiento</t>
  </si>
  <si>
    <t>Heridas, traumatismos, Golpes, fracturas, deshidratación y visión poca</t>
  </si>
  <si>
    <t>Posibilidad de caídas a nivel, golpes con instalaciones salientes, iluminación y ventilación.</t>
  </si>
  <si>
    <t>Perdida progresiva de la audición, fatiga auditiva</t>
  </si>
  <si>
    <t>Manipulación de cableado</t>
  </si>
  <si>
    <t>Electrocución</t>
  </si>
  <si>
    <t xml:space="preserve">Sensibilización sobre autocuidado
</t>
  </si>
  <si>
    <t>Acumulación de material inflamable</t>
  </si>
  <si>
    <t>Quemaduras, muerte</t>
  </si>
  <si>
    <t>* Aplicación plan de emergencias
* Ejecución de simulacros de evacuación
* Divulgación total del plan de emergencias
* Inspección de equipos para emergencias
* Recarga de extintores
* Divulgación de PON</t>
  </si>
  <si>
    <t xml:space="preserve">Existencia de cables, equipos de computo, lámparas </t>
  </si>
  <si>
    <t>Robos, atracos, asaltos. Atentados, de orden público, etc.</t>
  </si>
  <si>
    <t xml:space="preserve">* Reporte de condiciones e incidentes al área de SST y cliente correspondiente 
* Investigación de AT </t>
  </si>
  <si>
    <t>Lesiones osteomusculares                                                                                                                                                                                                                                                                                                                              Fracturas 
fatiga muscular 
Patologías lumbares 
Alteración de Túnel de Carpo
Potencial tendinitis</t>
  </si>
  <si>
    <t xml:space="preserve">* Ayunas mecánicas </t>
  </si>
  <si>
    <t>*  Sensibilización sobre uso de EPP
*  Sensibilización sobre reporte de condiciones peligrosas
* Examen médico de Ingreso y periódico</t>
  </si>
  <si>
    <t>Promover cultura de acto cuidado
Exámenes médicos de ingreso, 
Exámenes médicos de ingreso, EPP</t>
  </si>
  <si>
    <t>Desplazamiento por áreas con desnivel, condiciones inadecuada de pisos y paredes</t>
  </si>
  <si>
    <t>Sensibilización sobre uso de EPP
Sensibilización sobre reporte de condiciones peligrosas
Evaluar la necesidad de mediciones ambientales</t>
  </si>
  <si>
    <t xml:space="preserve">Protector auditivo tipo silicona </t>
  </si>
  <si>
    <t>Almacenamiento de material combustible o inflamable</t>
  </si>
  <si>
    <t>Perdidas económicas, humanas, muerte</t>
  </si>
  <si>
    <t>* Aplicación plan de emergencias
* Ejecución de simulacros de evacuación
* Divulgación total del plan de emergencias
* Inspección de equipos para emergencias</t>
  </si>
  <si>
    <t xml:space="preserve">
Exámenes Psicosensométricos,  Disimetría, Audiometría, Exámenes de coordinación Motriz,  Medicina General
</t>
  </si>
  <si>
    <t xml:space="preserve">Zonas sísmicas </t>
  </si>
  <si>
    <t>Intralaboral
Liderazgo y relaciones sociales en el trabajo</t>
  </si>
  <si>
    <t>Es una relación social que se establece entre los superiores jerárquicos y sus colaboradores y cuyas características influyen en la forma de trabajar y en el ambiente de relaciones de un área.
Abarca aspectos como la posibilidad de contactos, las características de las interacciones, los aspectos funcionales de las interacciones como la retroalimentación del desempeño, el trabajo en equipo y el apoyo social, y los aspectos emocionales, como la cohesión.</t>
  </si>
  <si>
    <t>Intralaboral
Control sobre el trabajo</t>
  </si>
  <si>
    <t>Posibilidad que el trabajo ofrece al individuo para influir y tomar decisiones sobre los diversos aspectos que intervienen en su realización. La iniciativa y autonomía, el uso y desarrollo de habilidades y conocimientos, la participación y manejo del cambio, la claridad de rol y la capacitación son aspectos que le dan al individuo la posibilidad de influir sobre su trabajo</t>
  </si>
  <si>
    <t>Intralaboral
Demandas del trabajo</t>
  </si>
  <si>
    <t>Intralaboral
Recompensas</t>
  </si>
  <si>
    <t>Retribución que el trabajador obtiene a cambio de sus contribuciones o esfuerzos laborales. comprende diversos tipos de retribución: la financiera (compensación económica por el trabajo), de estima (compensación psicológica, que comprende el reconocimiento del grupo social y el trato justo en el trabajo) y de posibilidades de promoción y seguridad en el trabajo</t>
  </si>
  <si>
    <t>Exigencias que el trabajo impone al individuo. Pueden ser de diversa naturaleza, como cuantitativas, cognitivas o mentales, emocionales, de responsabilidad, del ambiente físico laboral y de la jornada de trabajo</t>
  </si>
  <si>
    <t>N/A</t>
  </si>
  <si>
    <t xml:space="preserve">Capacitación sobre comunicación asertiva
Trabajo en equipo 
Programa  de bienestar </t>
  </si>
  <si>
    <t>Fatiga, estrés, disminución de la destreza y precisión. Estados de ansiedad y/o depresión y trastornos del aparato digestivo.</t>
  </si>
  <si>
    <t>Posición antigravitacionales</t>
  </si>
  <si>
    <t>Posicionamiento del cuerpo o un segmento en contra la gravedad.</t>
  </si>
  <si>
    <t>Cambio de posición, pausas activas</t>
  </si>
  <si>
    <t xml:space="preserve">No hay control </t>
  </si>
  <si>
    <t xml:space="preserve">* Inspección de silla
* Reporte  de lista preoperacional 
* Examen médico de Ingreso y periódico énfasis osteomusculares
* Implementar programa de Pausas Saludables </t>
  </si>
  <si>
    <t>Levantamiento de material (cajas, entre otros)</t>
  </si>
  <si>
    <t>* Elementos de protección (botas)</t>
  </si>
  <si>
    <t xml:space="preserve">* ARO 
* Reporte de condiciones y actos inseguros </t>
  </si>
  <si>
    <t xml:space="preserve">* Reporte de condiciones y actos inseguros </t>
  </si>
  <si>
    <t>Ascenso y descenso de vehículos</t>
  </si>
  <si>
    <t>* Reporte de condiciones y actos inseguros 
* Análisis de Riesgo 
* Procedimiento de Ascenso y descenso de vehículos</t>
  </si>
  <si>
    <t>Golpes, traumas, contusiones,  esguinces, fracturas</t>
  </si>
  <si>
    <t xml:space="preserve">* Uso de EPP </t>
  </si>
  <si>
    <t>* Elementos de protección (botas</t>
  </si>
  <si>
    <t>Exámenes médicos de ingreso, EPP</t>
  </si>
  <si>
    <t xml:space="preserve">* Guantes de carnaza </t>
  </si>
  <si>
    <t xml:space="preserve">
Exámenes médicos de ingreso, EPP</t>
  </si>
  <si>
    <t>* Reporte de condiciones y actos inseguros 
* Análisis de Riesgo por oficio 
* Inspecciones de seguridad 
* Programa de Orden y Aseo (capacitación)</t>
  </si>
  <si>
    <t xml:space="preserve">
* Reporte de condiciones y actos inseguros 
* Análisis de Riesgo por oficio 
* Inspecciones de seguridad 
* Programa de Orden y Aseo (capacitación)</t>
  </si>
  <si>
    <t xml:space="preserve">Heridas, traumatismos, Golpes, choques </t>
  </si>
  <si>
    <t>Fatiga visual 
Pesadez, lagrimeo, enrojecimiento, irritación, e incluso visión alterada
Dolores de cabeza ocasionales y jaquecas.
Falta de energía y agotamiento causado</t>
  </si>
  <si>
    <t xml:space="preserve">Mantenimientos preventivos y correctivos </t>
  </si>
  <si>
    <t>Neumonía y problemas para respirar.
Insuficiencia orgánica en varios órganos.
Problemas cardíacos.</t>
  </si>
  <si>
    <t>Actividades Operativas y en vías
 (COVID 19)</t>
  </si>
  <si>
    <t xml:space="preserve">Capacitación Autocuidado
Capacitación Protocolos de Bioseguridad
EPP (tapabocas, caretas faciales, guantes nitrilo)
Vacuna </t>
  </si>
  <si>
    <t>CARGO</t>
  </si>
  <si>
    <t>FORMA</t>
  </si>
  <si>
    <t>ÁREA</t>
  </si>
  <si>
    <t>GERENTE GENERAL</t>
  </si>
  <si>
    <t>A</t>
  </si>
  <si>
    <t>GERENCIA GENERAL</t>
  </si>
  <si>
    <t>ASISTENTE DE GERENCIA</t>
  </si>
  <si>
    <t>GERENTE COMERCIAL</t>
  </si>
  <si>
    <t>COMERCIAL</t>
  </si>
  <si>
    <t>EJECUTIVO DE CUENTA JUNIOR</t>
  </si>
  <si>
    <t>LÍDER COMERCIAL Y DE MARKETING</t>
  </si>
  <si>
    <t>LÍDER DE SERVICIO Y DESARROLLO DE CLIENTES</t>
  </si>
  <si>
    <t>LÍDER DE SERVICIO AL CLIENTE</t>
  </si>
  <si>
    <t>GERENTE DE OPERACIONES</t>
  </si>
  <si>
    <t>OPERACIONES</t>
  </si>
  <si>
    <t>LÍDER DE OPERACIONES</t>
  </si>
  <si>
    <t>ANALISTA DE CONTROL INTERNO OPERACIONAL</t>
  </si>
  <si>
    <t>ANALISTA DE TRANSPORTE (AGENCIAS)</t>
  </si>
  <si>
    <t>ANALISTA DE CUENTAS POR PAGAR</t>
  </si>
  <si>
    <t>B</t>
  </si>
  <si>
    <t>APOYO OPERACIONAL (AGENCIAS)</t>
  </si>
  <si>
    <t>ANALISTA DE TRANSPORTE (COPACABANA - PLANEADOR VIAJES FLOTA PROPIA)</t>
  </si>
  <si>
    <t>FLOTA PROPIA</t>
  </si>
  <si>
    <t>LÍDER DE MANTENIMIENTO (COPACABANA)</t>
  </si>
  <si>
    <t>AUXILIAR DE MANTENIMIENTO (COPACABANA)</t>
  </si>
  <si>
    <t>AUXILIAR DE OFICIOS VARIOS (COPACABANA)</t>
  </si>
  <si>
    <t>EMBAJADOR (CONDUCTOR)</t>
  </si>
  <si>
    <t>JEFE DE SEGURIDAD</t>
  </si>
  <si>
    <t>GESTIÓN DEL RIESGO / SEGURIDAD</t>
  </si>
  <si>
    <t>LÍDER DE RIESGO OPERATIVO</t>
  </si>
  <si>
    <t>SUPERVISOR DE CONTROL TRÁFICO</t>
  </si>
  <si>
    <t>CONTROLADOR DE TRÁFICO</t>
  </si>
  <si>
    <t>APOYO OPERACIONAL (COPACABANA - CONTROL TRÁFICO)</t>
  </si>
  <si>
    <t>LÍDER DE SERVICIO</t>
  </si>
  <si>
    <t>IN HOUSE</t>
  </si>
  <si>
    <t>AUXILIAR DE SERVICIO - CARVAJAL EMPAQUES</t>
  </si>
  <si>
    <t>SUPERVISOR DE BODEGA</t>
  </si>
  <si>
    <t>CARGUE Y DESCARGUE</t>
  </si>
  <si>
    <t>AUXILIAR LOGÍSTICO</t>
  </si>
  <si>
    <t>CERTIFICADOR DE CARGUE Y/O DESCARGUE</t>
  </si>
  <si>
    <t>LÍDER DE TI</t>
  </si>
  <si>
    <t>TI</t>
  </si>
  <si>
    <t>SOPORTE TI</t>
  </si>
  <si>
    <t>LÍDER CONTABLE</t>
  </si>
  <si>
    <t>CONTABILIDAD</t>
  </si>
  <si>
    <t>ANALISTA CONTABLE</t>
  </si>
  <si>
    <t>REVISOR FISCAL</t>
  </si>
  <si>
    <t>LÍDER DE TALENTO HUMANO</t>
  </si>
  <si>
    <t>TALENTO HUMANO - SST</t>
  </si>
  <si>
    <t>COORDINADORA SST</t>
  </si>
  <si>
    <t>TESORERA</t>
  </si>
  <si>
    <t>TESORERÍA</t>
  </si>
  <si>
    <t>ANALISTA DE TESORERÍA</t>
  </si>
  <si>
    <t>ANALISTA DE FACTURACIÓN</t>
  </si>
  <si>
    <t>FACTURACIÓN</t>
  </si>
  <si>
    <t>ANALISTA DE RECAUDOS</t>
  </si>
  <si>
    <t>CARTERA</t>
  </si>
  <si>
    <t>LÍDER ADMINISTRATIVA</t>
  </si>
  <si>
    <t>ADMINISTRATIVA</t>
  </si>
  <si>
    <t>AUXILIAR ADMINISTRATIVA</t>
  </si>
  <si>
    <t>AUXILIAR DE GESTIÓN DOCUMENTAL</t>
  </si>
  <si>
    <t>AUXILIAR DE SERVICIOS GENERALES</t>
  </si>
  <si>
    <t>SERVICIOS GENERALES</t>
  </si>
  <si>
    <t>Ventilación natural / 
Vehículo con ventanas abajo</t>
  </si>
  <si>
    <t xml:space="preserve">
*Ayuda mecánicas </t>
  </si>
  <si>
    <t xml:space="preserve">Lesiones osteomusculares
fatiga muscular 
Patologías lumbares
Potencial tendinitis
</t>
  </si>
  <si>
    <t>Lesiones osteomusculares                                                                                                                                                                                                                                                                                                                              Fracturas 
fatiga muscular 
Patologías lumbares 
Alteración de Túnel de Carpo
Potencial tendinitis
Trastornos musculoesqueléticos</t>
  </si>
  <si>
    <t>Señalización y Rotulado</t>
  </si>
  <si>
    <t xml:space="preserve">Guantes de vaqueta </t>
  </si>
  <si>
    <t xml:space="preserve">Manejo de herramientas manuales </t>
  </si>
  <si>
    <t xml:space="preserve">Escalera con plataforma </t>
  </si>
  <si>
    <t xml:space="preserve">Mantenimiento y reparación de motor </t>
  </si>
  <si>
    <t xml:space="preserve">Atrapamientos, aplastamientos, chuzones, heridas y contusiones , muerte </t>
  </si>
  <si>
    <t xml:space="preserve">Transitar por áreas o pasillos, escaleras, con pisos húmedos, desnivelados e inestables, arrumes mal almacenados, zona taller </t>
  </si>
  <si>
    <t>Nivel III: Riesgo Moderado (Aceptable)</t>
  </si>
  <si>
    <t xml:space="preserve">
Somnolencia, vértigo, malestar, dolor de cabeza y vómitos</t>
  </si>
  <si>
    <t>En los diferentes sitios visitados, reparación y mantenimiento de vehículos, Proyectos de remodelación piezas de carros</t>
  </si>
  <si>
    <t>* Exámenes ocupacionales (ingreso, periódicos)
* Entrega de gafas de seguridad
* Implementación de ARO *Divulgación de ARO</t>
  </si>
  <si>
    <t xml:space="preserve">
* Inspecciones periódicas
* Capacitación Autocuidado
* Pausas Activas</t>
  </si>
  <si>
    <t>Cableado en las instalaciones y herramientas (pulidora, taladro, soldadura)</t>
  </si>
  <si>
    <t xml:space="preserve">Trabajos con soldadura </t>
  </si>
  <si>
    <t>Nivel IV: Riesgo Tolerable (Aceptable)</t>
  </si>
  <si>
    <t xml:space="preserve">Aseo de instalaciones 
Espacios abiertos </t>
  </si>
  <si>
    <t xml:space="preserve">* Esquema de vacunación 
* Uso de tapabocas en lugares cerrados </t>
  </si>
  <si>
    <t>Exámenes médicos de ingreso
Ejecución de PESV y programas</t>
  </si>
  <si>
    <t xml:space="preserve">Exámenes médicos de ingreso
Ejecución de PESV y programas 
</t>
  </si>
  <si>
    <t>Virus</t>
  </si>
  <si>
    <t xml:space="preserve">Bacterias </t>
  </si>
  <si>
    <t>Hongos</t>
  </si>
  <si>
    <t>Ricketsias</t>
  </si>
  <si>
    <t xml:space="preserve">Parásitos </t>
  </si>
  <si>
    <t xml:space="preserve">Picaduras </t>
  </si>
  <si>
    <t xml:space="preserve">Mordeduras </t>
  </si>
  <si>
    <t xml:space="preserve">Fluidos o
excrementos </t>
  </si>
  <si>
    <t xml:space="preserve">Infección 
Dificultad para respirar.
Hinchazón de la cara o la boca. Desmayos o mareos. 
Erupción o enrojecimiento.
</t>
  </si>
  <si>
    <t xml:space="preserve">* Esquema de vacunación </t>
  </si>
  <si>
    <t xml:space="preserve">Infección 
Dificultad para respirar.
Hinchazón de la cara o la boca. Desmayos o mareos. 
Erupción o enrojecimiento.
Amputación 
</t>
  </si>
  <si>
    <t>no hay control</t>
  </si>
  <si>
    <t>* Implementar programa de Pausas Activas
*(ARO )para cada una de las actividades
* Inspecciones de seguridad 
* Examen médico de Ingreso y periódico</t>
  </si>
  <si>
    <t xml:space="preserve">En los diferentes sitios visitados, reparación y mantenimiento de instalaciones,  Proyectos de remodelación </t>
  </si>
  <si>
    <t>Cableado en las instalaciones y herramientas (pulidora, taladro y otras herramientas)</t>
  </si>
  <si>
    <t xml:space="preserve">Guantes de seguridad </t>
  </si>
  <si>
    <t xml:space="preserve">
* ATS de la actividad
* Observaciones del comportamiento</t>
  </si>
  <si>
    <t xml:space="preserve">* Reporte de condiciones de herramientas y cambios oportunos </t>
  </si>
  <si>
    <t>Aviso de superficie caliente</t>
  </si>
  <si>
    <t xml:space="preserve">
* Programa de Orden y aseo en oficina (Incluye Capacitación)</t>
  </si>
  <si>
    <t xml:space="preserve">Mediciones de iluminación
Mantenimiento de iluminación  </t>
  </si>
  <si>
    <t xml:space="preserve">* Implementar SVE visual si pasa a riesgo importante
</t>
  </si>
  <si>
    <t xml:space="preserve">desplazamiento a otras sedes de la  empresas (nivel nacional) y visitas de clientes </t>
  </si>
  <si>
    <t xml:space="preserve">* Aplicación del protocolo de riesgo público
* Aplicación del PESV </t>
  </si>
  <si>
    <t xml:space="preserve">* Aplicación del protocolo de riesgo público por accidente de transito
* Aplicación PESV </t>
  </si>
  <si>
    <t>Manejo  y traslado de cajas</t>
  </si>
  <si>
    <t xml:space="preserve">Preparación del café y manipulación de la cafetera y otros elementos </t>
  </si>
  <si>
    <t>Quemaduras, heridas</t>
  </si>
  <si>
    <t xml:space="preserve">Señalización  superficie caliente </t>
  </si>
  <si>
    <t>Desplazamientos, superficies húmedas y jabonosas</t>
  </si>
  <si>
    <t>Heridas, golpes, laceraciones, esguinces</t>
  </si>
  <si>
    <t xml:space="preserve">Procedimiento seguro </t>
  </si>
  <si>
    <t xml:space="preserve">* Procedimiento seguro </t>
  </si>
  <si>
    <t xml:space="preserve">Calzado antideslizante </t>
  </si>
  <si>
    <t>Limpieza de puestos de trabajo</t>
  </si>
  <si>
    <t xml:space="preserve">Capacitación percepción del riesgo </t>
  </si>
  <si>
    <t>Heridas, laceraciones, amputaciones</t>
  </si>
  <si>
    <t>Reemplazar aquellas herramientas que se encuentran en mal estado.</t>
  </si>
  <si>
    <t>* Estandarizar, documentar y divulgar procedimientos para trabajo y almacenamiento seguro de herramientas corto punzantes 
* Estandarizar, documentar y divulgar procedimientos seguros para la disposición parcial o final de desechos de herramientas o elementos corto punzantes
*  Realizar periódicamente inspecciones de seguridad general y específicas maquinas, equipos y herramientas.
* Señalizar y demarcar áreas de trabajo y ubicación del riesgo.</t>
  </si>
  <si>
    <t>Dotar de los EPP requeridos de acuerdo a los peligros asociados a la tarea.</t>
  </si>
  <si>
    <t>Generado por la manipulación de herramientas o superficies de corte utilizadas en la realización de las actividades (limpieza y aseo de instalaciones y actividades de cocina)</t>
  </si>
  <si>
    <t xml:space="preserve">Generado por  el contacto, manipulación y aplicación de productos químicos utilizados en el proceso de limpieza y desinfección de puestos de trabajo e instalaciones </t>
  </si>
  <si>
    <t>Quemaduras, Trastornos inespecíficos del sistema nervioso, daño auditivo, daño respiratorio, daño hepático, daño renal</t>
  </si>
  <si>
    <t xml:space="preserve">* Realice inspecciones de seguridad generales y especificas en áreas y procesos donde el riesgo este presente 
* Rotule y etiquete los envases de almacenamiento de los productos químicos 
* Documente y divulgue hojas de seguridad de los productos químicos utilizados en el proceso </t>
  </si>
  <si>
    <t xml:space="preserve">* Divulgación de procedimientos  </t>
  </si>
  <si>
    <t>Señalice y demarque áreas de trabajo y almacenamiento de sustancias químicas 
* Capacite al personal sobre el riesgo químico 
* Clasifique las sustancias químicas y priorice según su naturaleza peligrosa</t>
  </si>
  <si>
    <t>Fibrilación ventricular, quemaduras, schok</t>
  </si>
  <si>
    <t>Manipulación de utensilios de cocina 
Generado por la realización de actividades cerca de redes eléctricas, por conexión de los equipos y/o herramientas a fuentes eléctricas, exposición a cables expuestos, reventados, empatados, tomas o extensiones sobrecargados.</t>
  </si>
  <si>
    <t xml:space="preserve">Capacitación de procedimientos y percepción del riesgo </t>
  </si>
  <si>
    <t>* Realizar capacitación de conceptos básicos de riesgo eléctrico a los empleados.</t>
  </si>
  <si>
    <t>Actividades de limpieza y desinfección; contacto y manipulación de residuos de vegetal</t>
  </si>
  <si>
    <t>Dermatosis, reacciones alérgicas, enfermedades infectocontagiosas, alteraciones en los diferentes  sistemas, muerte.</t>
  </si>
  <si>
    <t xml:space="preserve"> Estandarizar el uso de  desinfectantes y soluciones sanitizantes.
* Promover la higiene de manos.
* Capacitar en peligro Biológico.</t>
  </si>
  <si>
    <t>Documentar e implementar programa para el control del peligro Biológico. Estandarizar, documentar y divulgar procedimientos de trabajo seguro.</t>
  </si>
  <si>
    <t>Golpes, traumas, heridas, infecciones, intoxicación, muerte</t>
  </si>
  <si>
    <t xml:space="preserve">* Jornada de fumigación
* Mantener el área, libres de aguas estancadas y de desechos  
</t>
  </si>
  <si>
    <t>* Entregar EPP (guantes PVC)</t>
  </si>
  <si>
    <t xml:space="preserve"> * Identificar la presencia del tipo de animales que se pueden presentar en la zona para tomar las medidas preventivas 
*</t>
  </si>
  <si>
    <t>Guantes de PVC</t>
  </si>
  <si>
    <t xml:space="preserve"> Generados durante la realización de actividades dentro de las instalaciones</t>
  </si>
  <si>
    <t xml:space="preserve">* Planes de Emergencia
* Control de ingreso del personal </t>
  </si>
  <si>
    <t xml:space="preserve">* Capacitación en riesgo publico 
</t>
  </si>
  <si>
    <t xml:space="preserve">* Diseñar e implementar esquemas de vigilancia   
</t>
  </si>
  <si>
    <t xml:space="preserve">* Capacitación de riesgo publico </t>
  </si>
  <si>
    <t>Muerte, fracturas, contusiones, laceraciones</t>
  </si>
  <si>
    <t xml:space="preserve">Colisión de vehículos
Desplazamiento dentro y  fuera de las instalaciones ( Domicilios y mensajería en bicicleta ) </t>
  </si>
  <si>
    <t xml:space="preserve"> Generados durante la realización de actividades dentro de las instalaciones propias o clientes </t>
  </si>
  <si>
    <t xml:space="preserve">Desplazamiento por fuera de las instalaciones - Domicilios  en motocicleta </t>
  </si>
  <si>
    <t>desplazamiento  dentro y fuera a otras sedes de la  empresas (nivel nacional)</t>
  </si>
  <si>
    <t xml:space="preserve">Generados durante la realización de actividades dentro de las instalaciones propias o clientes </t>
  </si>
  <si>
    <t xml:space="preserve">Exámenes médicos de ingreso con énfasis osteomuscular 
Notificación de condiciones inseguras </t>
  </si>
  <si>
    <t>Ascenso y descenso de motocicleta</t>
  </si>
  <si>
    <t>* Reporte de condiciones y actos inseguros 
* Análisis de Riesgo 
* Procedimiento de Ascenso y descenso de motocicleta</t>
  </si>
  <si>
    <t xml:space="preserve">Cableado de equipos, almacenamiento dentro y fuera de las instalaciones </t>
  </si>
  <si>
    <t xml:space="preserve">Exposición a la radiación solar </t>
  </si>
  <si>
    <t xml:space="preserve">Uso de protección solar con filtro UV </t>
  </si>
  <si>
    <t>Mecanismo de la motocicleta y actividades dentro de las instalaciones generado por la realización de actividades cerca de redes eléctricas (conexiones de equipos, fuentes eléctricas, exposición a cables expuestos, reventados, empatados, tomas o extensiones sobrecargados)</t>
  </si>
  <si>
    <t xml:space="preserve">* Mantenimientos preventivos   de la motocicleta </t>
  </si>
  <si>
    <t xml:space="preserve">* Diseñar un programa de mantenimiento 
* Implementación del PESV </t>
  </si>
  <si>
    <t xml:space="preserve">Ventilación natural </t>
  </si>
  <si>
    <t xml:space="preserve">Dotar de tapabocas, caretas faciales, guantes de nitrilo en caso de ser necesario </t>
  </si>
  <si>
    <t>desplazamiento a otras sedes de la  empresa en  carro o  motocicleta</t>
  </si>
  <si>
    <t xml:space="preserve">
* Capacitación en movilidad (señales de tránsito, entre otros)</t>
  </si>
  <si>
    <t xml:space="preserve">Conducción de motocicleta durante la jornada laboral </t>
  </si>
  <si>
    <t xml:space="preserve">Lesiones osteomusculares
fatiga muscular 
Patologías lumbares 
Espasmo musculares </t>
  </si>
  <si>
    <t xml:space="preserve">Inspección  preoperacional  </t>
  </si>
  <si>
    <t>Exámenes ingreso, periódicos</t>
  </si>
  <si>
    <t xml:space="preserve">* Implementar programa de Pausas Activas
* ARO
* Inspecciones de seguridad 
* Examen médico de Ingreso y periódico </t>
  </si>
  <si>
    <t xml:space="preserve">Lesiones osteomusculares                                                                                                                                                                                                                                                                                                                              Fracturas 
fatiga muscular 
Patologías lumbares
</t>
  </si>
  <si>
    <t xml:space="preserve">Exámenes ingreso, periódicos
Capacitación en manejo  de cargas </t>
  </si>
  <si>
    <t xml:space="preserve">* Implementar programa de Pausas Activas
* ARO
* Inspecciones de seguridad 
* Examen médico de Ingreso y periódico 
* Repode de condiciones y actos </t>
  </si>
  <si>
    <t>Desplazamiento por áreas de circulación de empresas cliente
Contacto con partes salientes del vehículo,</t>
  </si>
  <si>
    <t xml:space="preserve">Instalaciones propias: mantenimientos locativos 
Inspecciones de seguridad 
Señalización </t>
  </si>
  <si>
    <t>Exposición a condiciones ambientales en carretera</t>
  </si>
  <si>
    <t>Irritación, conjuntivitis</t>
  </si>
  <si>
    <t xml:space="preserve">Mantenimiento preventivos del vehículo frente al funcionamiento de las ventanillas </t>
  </si>
  <si>
    <t xml:space="preserve">Exámenes ingreso, periódicos
Uso de EPP </t>
  </si>
  <si>
    <t>Caídas diferente nivel (menos de 2.0 mi)</t>
  </si>
  <si>
    <t xml:space="preserve">Mantenimiento de vehículo </t>
  </si>
  <si>
    <t xml:space="preserve">Exámenes ingreso, periódicos
Uso de EPP 
* Capacitación en percepción del riesgo </t>
  </si>
  <si>
    <t xml:space="preserve">Circulación  por las empresas  propias y clientes </t>
  </si>
  <si>
    <t xml:space="preserve">Circulación  por las empresas propias y clientes </t>
  </si>
  <si>
    <t xml:space="preserve">Manipulación de herramientas de mecánica básica o partes de la motocicleta </t>
  </si>
  <si>
    <t>* Implementar programa de prevención de accidentes en manos
* Análisis de Riesgo por Oficio
*Inspecciones de seguridad
*Capacitación en autocuidado</t>
  </si>
  <si>
    <t xml:space="preserve">Exámenes ingreso y periódico </t>
  </si>
  <si>
    <t xml:space="preserve">* Exámenes médicos de ingreso y periódicos </t>
  </si>
  <si>
    <t xml:space="preserve">Manchas en la piel
Cáncer en la piel 
Resequedad </t>
  </si>
  <si>
    <t xml:space="preserve"> *Diseñar e implementar un programa de mantenimiento preventivo y correctivo a las instalaciones eléctricas 
* Garantizar que todos los equipos y cableado  eléctrico conserven en   buen estado su aislamiento 
* Utilizar tomacorriente GFCI en  lugares húmedos (Cocinas, baños, azoteas,  entre otros) </t>
  </si>
  <si>
    <t xml:space="preserve">Contacto con sustancia inflamables por tanque de gasolina de motocicleta </t>
  </si>
  <si>
    <t xml:space="preserve">Quemaduras de primero, segundó y tercer grado </t>
  </si>
  <si>
    <t xml:space="preserve">* Capacitación en percepción de riesgo y autocuidado 
* Exámenes médicos de ingreso y egreso </t>
  </si>
  <si>
    <t>Documentación e implementación de Protocolos de Bioseguridad
Toma de temperatura
Dotación antimaterial y sitios desinfección</t>
  </si>
  <si>
    <t xml:space="preserve">* Acciones preventivas del comité de convivencia, evaluación de riesgo psico-social
* Evaluación del riesgo psicosocial y su intervención 
* Seguir con lo controles existentes </t>
  </si>
  <si>
    <t xml:space="preserve">* Evaluación del riesgo psicosocial y su intervención 
* Seguir con lo controles existentes 
* Plan de bienestar </t>
  </si>
  <si>
    <t xml:space="preserve">Generados  durante la realización de actividades fuera de las oficinas en motocicleta y carro </t>
  </si>
  <si>
    <t>Fatiga, estrés, estados de ansiedad y/o depresión,  trastornos del aparato digestivo, disminución de la destreza y precisión,</t>
  </si>
  <si>
    <t>* Exámenes médicos de ingreso
* Seguimiento de recomendaciones médicas por patología lumbares 
* Capacitación frente al riesgo ergonómico en oficina 
* Programa de pausas saludables
* Inspecciones de equipos y materiales ergonómico (silla, entre otros)</t>
  </si>
  <si>
    <t xml:space="preserve">*Capacitación o sensibilización de prevención de caídas en oficina, percepción del riesgo , entre otros </t>
  </si>
  <si>
    <t xml:space="preserve">
*Programa para intervención del comportamiento sobre uso de calzado
* Programa de Orden y aseo </t>
  </si>
  <si>
    <t xml:space="preserve">
*Programa para intervención del comportamiento sobre uso de calzado
* Estándar para ingreso a sedes externas</t>
  </si>
  <si>
    <t>* Implementar programa de prevención de accidentes en manos
*Programa para intervención del comportamiento</t>
  </si>
  <si>
    <t>* Implementar programa de prevención de accidentes en manos
*Capacitación en autocuidado</t>
  </si>
  <si>
    <t>Conducción de vehículo por jornadas extensas</t>
  </si>
  <si>
    <t>Circulación  por las empresas clientes y propias</t>
  </si>
  <si>
    <t>Manipulación de herramientas de mecánica básica o partes del vehículo</t>
  </si>
  <si>
    <t>Condiciones de orden y aseo dentro del vehículo e instalaciones propias o del cliente</t>
  </si>
  <si>
    <t>Motor del vehículo, y exposición en las instalaciones de los clientes</t>
  </si>
  <si>
    <t xml:space="preserve">Conducción en horas nocturnas </t>
  </si>
  <si>
    <t xml:space="preserve">Sensibilización sobre descanso de vistas (ejercicios de recuperación)
Sensibilización sobre reporte de condiciones peligrosas
sensibilización sobre temperaturas extremas
Importancia de pausas saludables (enfocado en la visión) </t>
  </si>
  <si>
    <t xml:space="preserve">Mecanismo del vehículo </t>
  </si>
  <si>
    <t xml:space="preserve">* Sensibilización sobre autocuidado
</t>
  </si>
  <si>
    <t>Fallas del Vehículos  o colisiones</t>
  </si>
  <si>
    <t xml:space="preserve">Movilidad de mercancía por vía terrestre en tractocamión </t>
  </si>
  <si>
    <t>* Aplicación del protocolo de riesgo público
* Reporte de condiciones de estado de vehículo (chequeo preoperacional)</t>
  </si>
  <si>
    <t>* Aplicación del protocolo de riesgo público por accidente de transito
* Reporte de condiciones de estado de vehículo (chequeo preoperacional)</t>
  </si>
  <si>
    <t xml:space="preserve">* Acciones preventivas del comité de convivencia
* Evaluación de riesgo psico-social y su intervención  
* Seguir con lo controles existentes </t>
  </si>
  <si>
    <t>Desplazamiento por zona  de cargue y descargue de vehículo Generados durante la realización de actividades dentro de las instalaciones</t>
  </si>
  <si>
    <t>Cortes, lesiones, chuzones y heridas 
Golpes, Heridas, fracturas Esguinces por movimientos o esfuerzos violentos</t>
  </si>
  <si>
    <t xml:space="preserve">Mantenimiento y reparación de vehículos y tráiler </t>
  </si>
  <si>
    <t>Contacto con sustancias químicas</t>
  </si>
  <si>
    <t xml:space="preserve">* Aplicación plan de emergencias
* Ejecución de simulacros de evacuación
* Divulgación total del plan de emergencias
* Inspección de equipos para emergencias
* Inspecciones preoperacionales 
* Certificación de soldadura
* Programa de trabajo en caliente </t>
  </si>
  <si>
    <t xml:space="preserve">EPP (Careta, guantes, delantal, camisa para soldar, reptador) </t>
  </si>
  <si>
    <t xml:space="preserve">ARO
Esquema de vacunación (tétano) </t>
  </si>
  <si>
    <t xml:space="preserve">Verificación de vehículos  al momento de realizar mantenimiento 
Desplazamientos por zona verde </t>
  </si>
  <si>
    <t xml:space="preserve">Colisión de vehículos
Desplazamiento dentro y  fuera de las instalaciones ( Domicilios  en motocicleta ) </t>
  </si>
  <si>
    <t xml:space="preserve">Generados durante la realización de actividades dentro y fuera  de las oficinas </t>
  </si>
  <si>
    <t>Lesiones osteomusculares
fatiga muscular 
Patologías lumbares
Potencial tendinitis
Esguinces por movimientos o esfuerzos violentos</t>
  </si>
  <si>
    <t xml:space="preserve">manipulación de herramientas de mecánica básica para el mantenimiento de zonas de las instalaciones </t>
  </si>
  <si>
    <t xml:space="preserve">Mantenimiento de pintura elementos de las instalaciones y tráiler de vehículos </t>
  </si>
  <si>
    <t xml:space="preserve">Mantenimiento  de zonas verdes y reparación  de los alrededores de las instalaciones  
Desplazamientos por zona verde </t>
  </si>
  <si>
    <t xml:space="preserve">Inspecciones de seguridad 
Examen de ingreso y periódico 
Capacitación percepción del riesgo </t>
  </si>
  <si>
    <t xml:space="preserve">Estándares de seguridad, instalación de señalización, orden y aso en la labor </t>
  </si>
  <si>
    <t>Fibrilación ventricular, quemaduras, chok</t>
  </si>
  <si>
    <t xml:space="preserve">* Mantenimiento preventivo de instalaciones y herramientas </t>
  </si>
  <si>
    <t>Garantizar que todos los equipos y cableado  eléctrico conserven en   buen estado su aislamiento 
* Utilizar clavijas y tomacorrientes certificados de acuerdo con la normatividad actual 
* Utilizar tomacorriente GFCI en  lugares húmedos (Cocinas, baños, azoteas,  entre otros) 
* no manipular instalaciones eléctricas cuando se encuentren descalzos</t>
  </si>
  <si>
    <t>* Contenedores para la disposición de los residuos peligros y no peligros.
* Realizar control de plagas.</t>
  </si>
  <si>
    <t>Presencia de insectos, roedores, arañas, abejas, serpientes en área de trabajo</t>
  </si>
  <si>
    <t>* Establecer practicas seguras para el desplazamientos a pie por terrenos con aguas y/o lodos contaminados.
* Estandarizar el uso de desinfectantes y soluciones sanitizantes.
* Realizar seguimiento y control del estado inmunológico del personal expuesto.
* Promover la higiene de manos.
* Capacitar en peligro Biológico y Bioseguridad.
* Documentar e implementar programa para el control del peligro Biológico.</t>
  </si>
  <si>
    <t>Descripción del cambio</t>
  </si>
  <si>
    <t xml:space="preserve">Se modifica Riesgo Mecánico por proyección de partículas, en control existentes(Individuo, uso de EPP, cultura de autocuidado).Controles Administrativos(Capacitación en autocuidado), para la actividad de cargue y descargue. </t>
  </si>
  <si>
    <t xml:space="preserve">Se módica riesgo mecánico en la actividad de certificador de cargue y descargue por golpeado con o contra en controles existentes (implementación de ARO)  después de evaluar el accidente del Señor Bernardino Hoyos </t>
  </si>
  <si>
    <t xml:space="preserve">Se momifica riesgo ergonómico en la actividad de certificador de cargue y descargue por análisis de ausentismo se realiza modifica  factor de riesgo movimientos repetitivos en evaluación de riesgo en el nivel de deficiencia se cambia por alto, adicional a eso se añade controles administrativos: 
* ARO para cada una de las actividades
* Prácticas seguras </t>
  </si>
  <si>
    <t xml:space="preserve">Se agrega factor de riesgo "posición sentado prolongado" en la actividad de conducción de vehículo, se verifica controles existentes  se realiza evaluación de riesgo y se establecen medidas de intervención </t>
  </si>
  <si>
    <t xml:space="preserve">Se  actualiza el riesgo de desplazamiento por instalaciones del cargo Controlador de Tráfico en el nivel de exposición se encontraba valorado por continua y se  pasa a frecuente ya que dicha actividad se presenta varias veces durante la jornada laboral por tiempos cortos </t>
  </si>
  <si>
    <t xml:space="preserve">NIVEL NACIONAL </t>
  </si>
  <si>
    <t xml:space="preserve">COPACABANA </t>
  </si>
  <si>
    <t>MEDELLÍN</t>
  </si>
  <si>
    <t>Regional
/Oficina</t>
  </si>
  <si>
    <t xml:space="preserve">MANTENIMIENTOS DE INSTALACIONES Y ACTIVIDADES GENERALES  </t>
  </si>
  <si>
    <t>MAYORDOMO</t>
  </si>
  <si>
    <t>*Capacitación Autocuidado
*Capacitación Protocolos de *Bioseguridad
*EPP (tapabocas, caretas faciales, guantes nitrilo)</t>
  </si>
  <si>
    <t xml:space="preserve">*Capacitación sobre comunicación asertiva
*Trabajo en equipo 
*Programa  de bienestar </t>
  </si>
  <si>
    <t>*Capacitación Plan de Evacuación</t>
  </si>
  <si>
    <t>*No hay control</t>
  </si>
  <si>
    <t>*Reporte de condiciones e incidentes
*Mantenimiento preventivo
*Inspección de seguridad
*Investigación de incidentes</t>
  </si>
  <si>
    <t xml:space="preserve">
*Exámenes médicos de ingreso, Capacitación autocuidado
</t>
  </si>
  <si>
    <t xml:space="preserve"> *Rutas de Evacuación actualizadas</t>
  </si>
  <si>
    <t xml:space="preserve">*Exámenes ingreso, periódicos
Uso de EPP </t>
  </si>
  <si>
    <t>*Exámenes ingreso, periódicos</t>
  </si>
  <si>
    <t xml:space="preserve">*Exámenes médicos de ingreso con énfasis osteomuscular </t>
  </si>
  <si>
    <t xml:space="preserve">
*Exámenes médicos de ingreso, EPP</t>
  </si>
  <si>
    <t>*Exámenes médicos de ingreso, EPP</t>
  </si>
  <si>
    <t xml:space="preserve">
*Capacitación </t>
  </si>
  <si>
    <t xml:space="preserve">
*Exámenes médicos de ingreso, periódicos y retiro</t>
  </si>
  <si>
    <t xml:space="preserve">*Capacitación Autocuidado
*Capacitación Protocolos de *Bioseguridad
*EPP (tapabocas, caretas faciales, guantes nitrilo)
Vacuna </t>
  </si>
  <si>
    <t>Para el  cargo de controlador tráfico en el factor de riesgo "alto ritmos de trabajo" se actualiza el nivel deficiencia por alto,   se realiza evaluación de riesgo y se establecen medidas de intervención.</t>
  </si>
  <si>
    <t xml:space="preserve">PAOLA ANDREA BLANDÓN - VIVIANA CANO- LEIDY TABARES ORTEGA </t>
  </si>
  <si>
    <t xml:space="preserve">CODIGO </t>
  </si>
  <si>
    <t xml:space="preserve">Mantenimiento de sillas ergonómicas </t>
  </si>
  <si>
    <t xml:space="preserve">Cronograma de mantenimiento preventivo en sillas </t>
  </si>
  <si>
    <t xml:space="preserve">* Inspección de silla
* Reporte  de lista preoperacional 
* Examen médico de Ingreso y periódico énfasis osteomusculares
* Implementar programa de Pausas Saludables 
* Reporte de condiciones de salud </t>
  </si>
  <si>
    <t>Sillas ergonómicas en oficina 
Reposapiés
Kit ergonomico</t>
  </si>
  <si>
    <t xml:space="preserve">Mantenimiento de instalaciones de computo 
Inspección de puestos de trabajo 
</t>
  </si>
  <si>
    <t xml:space="preserve">Exámenes médicos de ingreso con énfasis osteomuscular 
Seguimiento de las recomendaciones médicas 
Pausas activas 
</t>
  </si>
  <si>
    <t xml:space="preserve">Digitación durante la jornada laboral </t>
  </si>
  <si>
    <t xml:space="preserve">Actividades de limpieza y desinfección </t>
  </si>
  <si>
    <t xml:space="preserve">Balde escurridor 
Escaleras </t>
  </si>
  <si>
    <t xml:space="preserve">Capacitación en procedimientos  de seguridad
Exámenes médicos de ingreso
Procedimiento  de levantamiento de levantamiento de carga </t>
  </si>
  <si>
    <t xml:space="preserve">Mantenimiento de las instalaciones incluyendo escaleras </t>
  </si>
  <si>
    <t>Líder SST
ARL- SURA( Jonathan Serna)</t>
  </si>
  <si>
    <t>Líder SST
Coordinadora SST 
ARL- SURA (María cristina Salazar)</t>
  </si>
  <si>
    <t xml:space="preserve">Se actualiza los controles existentes en el medio, fuente y persona en el riesgo biomecánico en los cargos, administrativos, servicios generales, mantenimiento y certificador de Cargue y Descargue </t>
  </si>
  <si>
    <t>Líder SST
ARL- SURA (María cristina Salazar)</t>
  </si>
  <si>
    <t xml:space="preserve">*Exámenes ingreso, periódicos
*  Pausas Activas
* ARO
* Inspecciones de seguridad 
* Examen médico de Ingreso y periódico 
* Repode de condiciones y actos </t>
  </si>
  <si>
    <t xml:space="preserve">Se cambia las medidas de intervención (controles esperados) y se ubica en controles existentes del cargo Certificardor de Cargue y Descargue, servicios generales y auxiliar de mantenimiento  </t>
  </si>
  <si>
    <t xml:space="preserve">Se agrega factor de riesgo" atrapamiento y caídas a diferente nivel" en la actividad extensión de la rampa metálica para el acceso a vehículo y preparación de cargue y descargue de mercancía ,en el cargo certificador de Cargue y Descargue se realiza análisis del riesgo y se incluye recomendaciones por parte de ARL SURA en control de ingeniería </t>
  </si>
  <si>
    <t xml:space="preserve">Se incluye cargos y regional donde laboran de todos los cargos </t>
  </si>
  <si>
    <t xml:space="preserve">Médico laboral ARL: Carlos Alberto Ramírez 
Líder de SST </t>
  </si>
  <si>
    <t>VERSIÓN</t>
  </si>
  <si>
    <t>MT-SST-01</t>
  </si>
  <si>
    <t>Posición requerida para  la ejecución de sus funciones</t>
  </si>
  <si>
    <t xml:space="preserve">AUXILIAR DE MANTENIMIENTO DE LLANTAS
</t>
  </si>
  <si>
    <t>8 horas y 30 minutos</t>
  </si>
  <si>
    <t>Manipulación de herramientas de trabajo, materiales, aplicación de fuerza, postura forzada</t>
  </si>
  <si>
    <t xml:space="preserve">Ayudas mecanicas
mantenimiento a herreamientas
inspecciones de seguridad  </t>
  </si>
  <si>
    <t>* Exámenes médicos de ingreso, periodicos y de egreso.
* Inducción y reinducción. 
* Capacitación manejo de herramientas.
* Pausas activas.
* Divulgación del ARO</t>
  </si>
  <si>
    <t>* Segumiento al programa de Pausas Activas
* Mantener el (ARO) para cada una de las actividades actualizado.
* Garantizar Inspecciones de seguridad periodicas
* Realizar examenes ocupaciones periódico
* Aplicar observación de comportamiento
* Socializar el procedimiento de manipulación manual de carga
* Capacitación en autocuidado.</t>
  </si>
  <si>
    <t>Gafas de seguridad, Protección de vía respiratoria</t>
  </si>
  <si>
    <t>* Exámenes médicos de ingreso, periodicos y de egreso.
* Inducción y reinducción. 
* Capacitación manejo de herramientas.
* Divulgación del ARO
* Entrega y capacitación de EPP</t>
  </si>
  <si>
    <t>* Exámenes médicos de ingreso, periodicos y de egreso.
* Inducción y reinducción. 
* Divulgación del ARO
* Entrega y capacitación de EPP</t>
  </si>
  <si>
    <t>* Examen medico ingreso y periódicos                                                                                                                                                                                                                                                                                              * Capacitación en autocuidado 
* Divulgación de ARO 
* Matriz de EPP</t>
  </si>
  <si>
    <t>mantenimiento y reparación de vehículos, Contacto con herramientas de corte y soldadura en el taller.</t>
  </si>
  <si>
    <t>manipulación de herramientas de mecánica básica o partes del vehículo, cambio y manipulación de neumático por cambio o reparación de llantas</t>
  </si>
  <si>
    <t>En los diferentes sitios visitados, reparación y mantenimiento de vehículos, Proyectos de remodelación piezas de carros, condiciones ambientales.</t>
  </si>
  <si>
    <t>Visión borrosa, dolor de cabeza, afetación en la parte respiratoria</t>
  </si>
  <si>
    <t xml:space="preserve">Ambientes de trabajo, Exposición a ruidos en el uso de pulidora, taladro, etc. </t>
  </si>
  <si>
    <t>* Exámenes médicos de ingreso, periodicos y de egreso.
* Inducción y reinducción. 
* Pausas activas.
* Divulgación del ARO</t>
  </si>
  <si>
    <t>* Seguimiento al programa de Pausas Activas
* Mantener el (ARO) para cada una de las actividades actualizado.
* Garantizar Inspecciones de seguridad periódicas
* Realizar examenes ocupaciones periódicos
* Aplicar observación de comportamiento.
* Capacitación de autocuidado.</t>
  </si>
  <si>
    <t>Movimientos repetitivos durante más del 50 por ciento de la duración del ciclo de trabajo</t>
  </si>
  <si>
    <t>LÍDER DE MANTENIMIENTO  -  AUXILIAR DE MANTENIMIENTO</t>
  </si>
  <si>
    <t>* Segumiento al programa de Pausas Activas
* Mantener el (ARO) para cada una de las actividades actualizado.
* Garantizar Inspecciones de seguridad periodicas
* Realizar examenes ocupaciones periódico
* Capacitación sobre el autocuidado.</t>
  </si>
  <si>
    <t xml:space="preserve">* Ayudas mecanicas
* mantenimiento a herreamientas
* inspecciones de seguridad  </t>
  </si>
  <si>
    <t>Cronograma de mantenimiento preventivo en instalaciones,  herramientas y maquinas</t>
  </si>
  <si>
    <t>* Segumiento al programa de Pausas Activas
* Mantener el (ARO) para cada una de las actividades actualizado.
* Garantizar Inspecciones de seguridad periódicas
* Realizar examenes ocupaciones periódico
* Aplicar observación de comportamiento
* Socializar el procedimiento de manipulación manual de carga
* Elaborar un cronograma de mantenimiento preventivo en instalaciones,  herramientas y maquinas</t>
  </si>
  <si>
    <t>Aplastamientos, fracturas, amputaciones, contusiones, heridas, perdidas humanas</t>
  </si>
  <si>
    <t>* Implementar programa de prevención de accidentes en manos
* Programa para intervención del comportamiento
* Inspecciones de seguridad
* Capacitación en autocuidado
* Inspecciones de seguridad
* Observación de comportamiento</t>
  </si>
  <si>
    <t>Calzado de seguridad, casco, gafas y guantes de vaqueta</t>
  </si>
  <si>
    <t>* Exámenes médicos de ingreso, periodicos y de egreso.
* Inducción y reinducción. 
* Capacitación manejo de herramientas.
* Capacitación y  Suministro de EPP
* Divulgación del ARO</t>
  </si>
  <si>
    <t>* Examen medico ingreso y periódicos                                                                                                                                                                                                                                                                                              * Capacitación en autocuidado 
* Divulgación de ARO 
* Matriz de EPP
* Señalización de riesgo de caída
* Inspección de seguridad al calzado
* Seguimiento al programa de orden y aseo</t>
  </si>
  <si>
    <t>Señalización de zonas peatonales 
Programa de orden y aseo</t>
  </si>
  <si>
    <t>*Inspecciones de seguridad a EPP
*Programa para intervención del comportamiento
*(ARO)para cada una de las actividades
* Realizar seguimiento al  Programa de Orden (Incluye Capacitación)</t>
  </si>
  <si>
    <t>Casco de seguridad - Botas de seguridad</t>
  </si>
  <si>
    <t>* Exámenes médicos de ingreso, periódicos y de retiro
* Inducción y reinducción.
* Capacitación en autocuidado.
* Entrega y capacitación de EPP</t>
  </si>
  <si>
    <t>Contacto y manipulación de herramientas manuales</t>
  </si>
  <si>
    <t xml:space="preserve">Uso de productos para la lubricación y limpieza de piezas de vehículos </t>
  </si>
  <si>
    <t xml:space="preserve">Dermatitis, irritación ocular, afetación en la vía resporatoria, dolor de cabeza, vomito, mareo.
</t>
  </si>
  <si>
    <t>* Examenes de ingreso, periódicos y de retiro.
* Inducción y reinducción.
* Entrega y capacitación de EPP.
* Socialización del ARO</t>
  </si>
  <si>
    <t>* Gafas de seguridad - protección de la vía respiratoria</t>
  </si>
  <si>
    <t>* Inspecciones de seguridad periódicas
* Capacitación Autocuidado
* Pausas Activas</t>
  </si>
  <si>
    <t>Perdida progresiva de la audición, fatiga auditiva, dolor de cabeza.</t>
  </si>
  <si>
    <t>* Exámenes médicos de ingreso, periódicos y de retiro
* Inducción y reinducción
* Campañas prevención del ruido.
* Entrega de EPP</t>
  </si>
  <si>
    <t>* Sensibilización sobre uso de EPP
* Inspecciones de seguridad a EPP
* Realizar medión de ruido
* Continuar con los examenes periodicos</t>
  </si>
  <si>
    <t>Electrocución por contacto eléctrico. Incendio,  explosión, quemaduras</t>
  </si>
  <si>
    <t>* Examenes de ingreso, periodios y de retiro.
* Inducción y reinducción.
* Entrega y capacitación de EPP. 
* Socialización de ARO.</t>
  </si>
  <si>
    <t>* Seguimiento al programa de orden y aseo.
* Capacitación en el riesgos.
* Implementar y ejecutar programa de mantenimiento preventivo y correctivo a las intalaciones y herramientas</t>
  </si>
  <si>
    <t>Inspecciones de seguridad locativas y de herramientas</t>
  </si>
  <si>
    <t>* Examenes medicos de ingreso, periódicos y de retiro
* Inducción y reinducción
* Capacitación a la brigada de emergencia.
* Socializacion del ARO</t>
  </si>
  <si>
    <t>Mortal o catastrófico</t>
  </si>
  <si>
    <t>* Aplicación y ejecución plan de emergencias.
* Ejecución de simulacros de evacuación.
* Divulgación total del plan de emergencias.
* Inspección de equipos para emergencias.</t>
  </si>
  <si>
    <t>* Esquema de vacunación 
* Capacitación en el riesgo
* Capacitar a la brigada en primeros auxilios</t>
  </si>
  <si>
    <t>Aseo de instalaciones 
Espacios abiertos 
Puntos para el lavado de manos</t>
  </si>
  <si>
    <t>* Esquema de vacunación 
* Uso de tapabocas si hay presencia de sintomas respiratorios</t>
  </si>
  <si>
    <t>Verificación de vehículos  al momento de realizar mantenimiento, trabajar en un entorno que es al aíre libre</t>
  </si>
  <si>
    <t>* Socialización del ARO
* Esquema de vacunación (tétano) 
* Uso de overoles</t>
  </si>
  <si>
    <t>* Capacitación sobre comunicación asertiva
* Trabajo en equipo 
* Programa  de bienestar 
* Conformación del COCOLA</t>
  </si>
  <si>
    <t xml:space="preserve">Heridas, muerte, Golpes, Fracturas, traumas psicológicos </t>
  </si>
  <si>
    <t>* Aplicación del protocolo de riesgo público
*Implementación del PESV 
* Capacitación con enfonque al riesgo</t>
  </si>
  <si>
    <t>Estar dentro o fuera de las instalaciones de la empresa en realizando alguna de sus funciones</t>
  </si>
  <si>
    <t>* Botiquín Primeros Auxilios
* Camilla
* Plan de emergencia</t>
  </si>
  <si>
    <t>* Capacitación sobre el plan de emergencia</t>
  </si>
  <si>
    <t>* Actualizar el plan de emergencia
* Realizar simulacros de evacuación.
* Mantener el personal capacitado frente el riesgo</t>
  </si>
  <si>
    <t>Reparación y pintura de carrocerias</t>
  </si>
  <si>
    <t>SUPERVISOR DE TRÁFICO - LIDER DE FLOTA PROPIA</t>
  </si>
  <si>
    <t>AUXILIAR DE OFICIOS VARIOS</t>
  </si>
  <si>
    <t>CONDUCTOR</t>
  </si>
  <si>
    <t>CONDUCCIÓN DE VEHICULOS</t>
  </si>
  <si>
    <t>10 Horas o más</t>
  </si>
  <si>
    <t>Tecnomecania anual
Mantenimientos preventivos y correctivos</t>
  </si>
  <si>
    <t>Muy grave</t>
  </si>
  <si>
    <t>Ventilación natural / 
Vehículo con ventanas</t>
  </si>
  <si>
    <t>Jornada de trabajo, trabajo nocturos, horas extras, descansos</t>
  </si>
  <si>
    <t>Biologico</t>
  </si>
  <si>
    <t>Físico</t>
  </si>
  <si>
    <t>Químico</t>
  </si>
  <si>
    <t>Biomecanicos</t>
  </si>
  <si>
    <t>Condiciones de seguridad</t>
  </si>
  <si>
    <t>Fenómenos Naturales</t>
  </si>
  <si>
    <t>* Exámenes médicos de ingreso, periodicos y de egreso.
* Inducción y reinducción en SST.
* Inducción al cargo. 
* Capacitación manejo de herramientas.
* Capacitación y  Suministro de EPP
* Divulgación del ARO</t>
  </si>
  <si>
    <t>* Implementar programa de prevención de accidentes en manos.
* Programa para intervención del comportamiento.
* Continuar con controles existentes.</t>
  </si>
  <si>
    <t>* Inspecciones a herramientas de trabajo</t>
  </si>
  <si>
    <t>* Implementar programa de prevención de accidentes en manos.</t>
  </si>
  <si>
    <t xml:space="preserve">* Exámenes médicos de ingreso, periodicos y de egreso.
* Inducción y reinducción en SST.
* Inducción al cargo.
* Capacitación y  Suministro de EPP
* Capacitación en orden y aseo
</t>
  </si>
  <si>
    <t>* Continuar con controles existentes.
* Incluir en el programa de capacitación, la identificación y percepción de peligros y riesgos.</t>
  </si>
  <si>
    <t xml:space="preserve">
* Continuar con controles existentes.
* Realizar visitas a los clientes, para validar las condiciones de seguridad para el empledo
* Incluir en el programa de capacitación, la identificación y percepción de peligros y riesgos.</t>
  </si>
  <si>
    <t xml:space="preserve">* Exámenes médicos de ingreso, periodicos y de egreso.
* Inducción y reinducción en SST.
* Inducción al cargo. 
* Capacitación manejo de herramientas.
* Capacitación y  Suministro de EPP
* Divulgación del ARO
</t>
  </si>
  <si>
    <t>* Estanterías y/o locker de almacenamiento</t>
  </si>
  <si>
    <t>* Exámenes médicos de ingreso, periodicos y de egreso.
* Inducción y reinducción en SST.
* Inducción al cargo. 
* Capacitación manejo de herramientas.
* Capacitación y  Suministro de EPP
* Divulgación del ARO
* Capacitación en orden y aseo</t>
  </si>
  <si>
    <t>Continuar con controles existentes.</t>
  </si>
  <si>
    <t>Tecnomecania anual
Mantenimientos preventivos y correctivos al vehículo</t>
  </si>
  <si>
    <t xml:space="preserve">* Exámenes médicos de ingreso, periodicos y de egreso.
* Inducción y reinducción en SST.
* Inducción al cargo. 
* Capacitación y  Suministro de EPP
* Divulgación del ARO
</t>
  </si>
  <si>
    <t>* Continuar con controles existentes.
*  Sensibilización sobre reporte de condiciones peligrosas
* Incluir en el programa de capacitación la identificación y percepción de peligros y riesgos.</t>
  </si>
  <si>
    <t>* Continuar con controles existentes.
*  Sensibilización sobre reporte de condiciones peligrosas
* Incluir en el programa de capacitación la identificación y percepción de peligros y riesgos.
* Realizar y socializar un estándar de seguridad para el ascenso y descenso de vehículos</t>
  </si>
  <si>
    <t>Inspecciones de seguridad locativas
Plan de emergencia.
Extintores</t>
  </si>
  <si>
    <t>* Inducción y reinducción en SST.</t>
  </si>
  <si>
    <t>* Capacitación manejo de herramientas.</t>
  </si>
  <si>
    <t>* Capacitación y  Suministro de EPP</t>
  </si>
  <si>
    <t>* Divulgación del ARO</t>
  </si>
  <si>
    <t>* Pérdida de materiales o humanas   
* Golpes, heridas o fracturas
* Aplastamiento</t>
  </si>
  <si>
    <t>Conducir en la ciudad o a las afueras por carretera</t>
  </si>
  <si>
    <t>* Socialización del PON contra fenómenos naturales</t>
  </si>
  <si>
    <t>* Actualizar y socializar  el plan de emergencia y el PON contra fenómenos naturales
* Realizar simulacros de evacuación.
* Mantener el personal capacitado frente el riesgo</t>
  </si>
  <si>
    <t>* Actualizar y socializar  el plan de emergencia y el PON contra fenómenos naturales
* Mantener el personal capacitado frente el riesgo</t>
  </si>
  <si>
    <t xml:space="preserve">* Exámenes médicos de ingreso, periodicos y de egreso.
* Inducción y reinducción en SST.
* Inducción al cargo. 
* Divulgación del ARO
</t>
  </si>
  <si>
    <t xml:space="preserve">* Exámenes médicos de ingreso, periodicos y de egreso.
* Inducción y reinducción en SST.
* Inducción al cargo. 
* Divulgación del ARO
* Licencia de conducción
</t>
  </si>
  <si>
    <t>* Continuar con controles existentes
* Elaborar un estándar de seguridad para el uso y almacenamiento de sustancias químicas</t>
  </si>
  <si>
    <t>* Aplicación y ejecución plan de emergencias.
* Ejecución de simulacros de evacuación.
* Divulgación total del plan de emergencias.
* Elaborar un estádar de seguridad para el uso y almacenamiento de  sustancias químicas.</t>
  </si>
  <si>
    <t xml:space="preserve">* Exámenes médicos de ingreso, periodicos y de egreso.
* Inducción y reinducción en SST.
* Capacitación y  Suministro de EPP
* Divulgación del ARO
</t>
  </si>
  <si>
    <t>* Continuar con controles existentes.
* Reporte de condiciones y actos inseguros.
* Incluir el programa de capacitación la percepción de peligros y riesgos.</t>
  </si>
  <si>
    <t xml:space="preserve">* Exámenes médicos de ingreso, periodicos y de egreso.
* Inducción y reinducción en SST.
* Inducción al cargo. 
</t>
  </si>
  <si>
    <t>Sensibilización sobre descanso de vistas (ejercicios de recuperación)
Sensibilización sobre reporte de condiciones peligrosas
sensibilización sobre temperaturas extremas
Importancia de pausas saludables (enfocado en la visión) 
Mantenimiento preventivo y correctivo al vehículo
Realizar inspección preoperacional de rutas</t>
  </si>
  <si>
    <t>* Exámenes médicos de ingreso, periodicos y de egreso.
* Inducción y reinducción en SST.
* Inducción al cargo. 
* Capacitación sobre comunicación asertiva
* Trabajo en equipo 
* Programa  de bienestar 
* Conformación del COCOLA
* Aplicación de bateria de riesgo psicosocial</t>
  </si>
  <si>
    <t>* Garantizar la implementación de acciones preventivas que sugiera el comité de convivencia.
* Aplicar la medición de bateria de riesgo psicosocial cada año
* Garantizar el cumplimiento de las acciones que se relacionen en el informe de la bateria
* Incluir en plan de capacitaciones, formación para los integrantes del COCOLA</t>
  </si>
  <si>
    <t xml:space="preserve">Estar en entornos laborales con personas que presente sintomas de  infecciones sean de via respiratoria (se incluye el covid19) o gastrointestinales </t>
  </si>
  <si>
    <t>Aseo de instalaciones 
Espacios abiertos 
Puntos para el lavado de manos (si se encuentra dentro de instalaciones propias)</t>
  </si>
  <si>
    <t xml:space="preserve">* Exámenes médicos de ingreso, periodicos y de egreso.
* Inducción y reinducción en SST.
* Inducción al cargo. 
* Capacitación en autocuidado
* Uso de EPP si se evidencia algún sintoma o signo
</t>
  </si>
  <si>
    <t>* Realizar campañas sobre la importancia de vacunas según el PAI.
* Garantizar la aplicación del protocolo de bioseguridad</t>
  </si>
  <si>
    <t>Entrega de tapabocas si tiene sintomas respiratorios</t>
  </si>
  <si>
    <t>* Exámenes médicos de ingreso, periodicos y de egreso.
* Inducción y reinducción en SST.
* Inducción al cargo. 
* Socialización del ARO
* Esquema de vacunación (tétano) 
* Uso de overoles</t>
  </si>
  <si>
    <t>* Realizar campañas sobre la importancia de vacunas según el PAI.
* Garantizar la aplicación del protocolo de bioseguridad
* Capacitar a la brigada en primeros auxilios.
* Capacitar a los colaboradores frente al riesgo</t>
  </si>
  <si>
    <t>Bajarse del vehiculo a realizar pausas activas, o para ir donde un cliente</t>
  </si>
  <si>
    <t xml:space="preserve">* Exámenes médicos de ingreso, periodicos y de egreso.
* Inducción y reinducción en SST.
* Inducción al cargo. 
* Socialización del ARO
* Esquema de vacunación (tétano) 
</t>
  </si>
  <si>
    <t>* Continuar con controles existentes.
* Incluir en el programa de capacitación, la identificación y percepción de peligros y riesgos.
* Realizar inspección periódica de EPP</t>
  </si>
  <si>
    <t>* Exámenes médicos de ingreso, periodicos y de egreso con esfasis osteomuscular
* Inducción y reinducción. 
* Pausas activas.
* Divulgación del ARO</t>
  </si>
  <si>
    <t>* Continuar con controles existentes.
* Capacitar a los colaboradores en la importancia de hacer las pausas activas.
* Aplicar observación de comportamiento.
* Ejecutar el las actividades relacionadas en el PESV</t>
  </si>
  <si>
    <t>* Continuar con controles existentes.
* Capacitar a los colaboradores en la importancia de hacer las pausas activas.
* Aplicar observación de comportamiento.
* Ejecutar las actividades del programa de pausas activas</t>
  </si>
  <si>
    <t>Irritación ocular, nariz o garganta.
Lesiones en ojos</t>
  </si>
  <si>
    <t>* Exámenes médicos de ingreso, periodicos y de egreso con enfasis osteomuscular
* Inducción y reinducción en SST.
* Inducción al cargo. 
* Divulgación del ARO
* Pausas activas</t>
  </si>
  <si>
    <t>* Continuar con controles existentes.
* Segumiento al programa de Pausas Activas
* Mantener el (ARO) para cada una de las actividades actualizado.
* Capacitación sobre la importancia de realizar pausas activas</t>
  </si>
  <si>
    <t>Si el desplazamiento se realiza en vhículos de la empresa estos cuentan con GPS</t>
  </si>
  <si>
    <t>* Exámenes médicos de ingreso, periodicos y de egreso.
* Inducción y reinducción en SST.
* Inducción al cargo. 
* Ejecución de PESV y programas 
* Licencia de conducción</t>
  </si>
  <si>
    <t>Desplazamiento por fuera de las instalaciones.
Realización de actividades dentro y fuera de la empresa</t>
  </si>
  <si>
    <t>Si el desplazamiento se realiza en vehículos de la empresa estos cuentan con GPS.
Si estan dentro de las instalaciones propias de la empresa esta cuenta con control de ingreso de personas, y circuito de camaras de seguridad</t>
  </si>
  <si>
    <t>* Continuar con controles existentes.
* Socializar el PON del riesgo público
*Ejecución del PESV</t>
  </si>
  <si>
    <t>* Continuar con controles existentes.
* Socializar el PON del riesgo público
*Ejecución del PESV
* Instalar camaras de seguridad en los carros propios de la empresa.</t>
  </si>
  <si>
    <t>Motor del vehículo, exposición en las instalaciones de los clientes, y exposición al tráfico de las vías</t>
  </si>
  <si>
    <t>Mantenimiento preventivo y correctivo de las maquinas</t>
  </si>
  <si>
    <t>* Continuar con controles existentes.
* Sensibilización sobre uso de EPP
* Aplicar observación de comportamiento.
* Realizar medión de ruido.</t>
  </si>
  <si>
    <t xml:space="preserve">* Exámenes médicos de ingreso, periodicos y de egreso con enfasis osteomuscular.
* Inducción y reinducción en SST.
* Inducción al cargo. 
* Divulgación del ARO
</t>
  </si>
  <si>
    <t>* Continuar con controles existentes.
* Aplicar observación de comportamiento.
* Implementar un PVE osteomuscular.
* Segumiento al programa de Pausas Activas
* Mantener el (ARO) para cada una de las actividades actualizado.
* Socializar el procedimiento de manipulación manual de carga
* Elaborar un cronograma de mantenimiento preventivo en instalaciones,  herramientas y maquinas</t>
  </si>
  <si>
    <t>Inpección a herramientas y equipos de trabajo</t>
  </si>
  <si>
    <t>* Continuar con controles existentes.
* Realizaar inspecciones preoperacionales 
* Certificación de soldadura
* Implementar y socializar un programa de trabajo en caliente 
* Aplicar observación de comportamiento</t>
  </si>
  <si>
    <t>Escalas de oficina con antideslizante</t>
  </si>
  <si>
    <t xml:space="preserve">* Continuar con controles existentes.
*  Sensibilización sobre reporte de condiciones peligrosas
* Incluir en el programa de capacitación la identificación y percepción de peligros y riesgos.
</t>
  </si>
  <si>
    <t xml:space="preserve">Digitación durante la jornada laboral y uso de mouse </t>
  </si>
  <si>
    <t>Desplazamiento por áreas de circulación de la empresa o oficinas</t>
  </si>
  <si>
    <t>* programa de orden y aseo
* Inspecciones de seguridad locativas</t>
  </si>
  <si>
    <t xml:space="preserve">* Exámenes médicos de ingreso, periodicos y de egreso.
* Inducción y reinducción en SST.
* Divulgación del ARO
</t>
  </si>
  <si>
    <t>* Continuar con controles existentes.
* Reporte de condiciones y actos inseguros.
* Incluir el programa de capacitación la percepción de peligros y riesgos.
* Socializar el programa de orden y aseo</t>
  </si>
  <si>
    <t>Heridas leves o superficiales en la mano</t>
  </si>
  <si>
    <t>Existencia de iluminación natural</t>
  </si>
  <si>
    <t>Mantenimiento a las lamparas y cambio de bombillas</t>
  </si>
  <si>
    <t xml:space="preserve">* Continuar con controles existentes.
* Incluir en el programa de mantenimiento preventivo y correctivo el cambio periódico de las bombillas.
* Incluir en el programa de pausas activas, ejercios de descanso visual. </t>
  </si>
  <si>
    <t>Desplazamiento por fuera de las instalaciones en pro de sus funciones.
Realización de actividades dentro y fuera de la empresa</t>
  </si>
  <si>
    <t>realización de actividades cerca de redes eléctricas (conexiones de equipos, fuentes eléctricas, exposición a cables expuestos, reventados, empatados, tomas o extensiones sobrecargados)</t>
  </si>
  <si>
    <t>Cableado encauchetado</t>
  </si>
  <si>
    <t xml:space="preserve">Inspecciones de seguridad locativas
Plan de emergencia.
Extintores
</t>
  </si>
  <si>
    <t xml:space="preserve">* Seguir con controles existentes.
* Capacitación en uso de extintores
* Socializar el plan de emergencia
* Incluir en el programa de capacitación formación en riesgo eléctrico
</t>
  </si>
  <si>
    <t>Oficinas y taller con cerca, para evitar el ingreso a mascotas</t>
  </si>
  <si>
    <t>LIDER DE RIESGO OPERATIVO</t>
  </si>
  <si>
    <t xml:space="preserve">ACTIVIDADES EN OFICINAS Y ATENCIÓN DE CLIENTES </t>
  </si>
  <si>
    <t>ACTIVIDADES ADMINISTRATIVAS</t>
  </si>
  <si>
    <t>Realización de actividades dentro de la empresa</t>
  </si>
  <si>
    <t>control de ingreso de personas, y circuito de camaras de seguridad</t>
  </si>
  <si>
    <t>* Exámenes médicos de ingreso, periodicos y de egreso.
* Inducción y reinducción en SST.
* Inducción al cargo.</t>
  </si>
  <si>
    <t>* Continuar con controles existentes.
* Socializar el PON del riesgo público</t>
  </si>
  <si>
    <t>Estar dentro de las instalaciones de la empresa en realizando alguna de sus funciones</t>
  </si>
  <si>
    <t>* Exámenes médicos de ingreso, periodicos y de egreso.
* Inducción y reinducción en SST.
* Inducción al cargo. 
* Socialización del ARO</t>
  </si>
  <si>
    <t>* Actualizar y socializar  el plan de emergencia y el PON contra fenómenos naturales
* Realizar simulacros de evacuación.
* Mantener el personal capacitado frente el riesgo
* Capacitar a los brigadistas en primeros auxilios</t>
  </si>
  <si>
    <t xml:space="preserve">* Exámenes médicos de ingreso, periodicos y de egreso.
* Inducción y reinducción en SST.
* Inducción al cargo. </t>
  </si>
  <si>
    <t>LIDER EN SST</t>
  </si>
  <si>
    <t>ASESOR POS VENTA</t>
  </si>
  <si>
    <t>ADMINISTRATIVO</t>
  </si>
  <si>
    <t>CONTROL DE TRÁFICO</t>
  </si>
  <si>
    <t>Reparación y mantenimiento de las condiciones de la finca</t>
  </si>
  <si>
    <t>Transitar por áreas o pasillos, escaleras, con pisos húmedos, desnivelados e inestables.</t>
  </si>
  <si>
    <t>manipulación de herramientas manuales, para realizar actividades de reparación o mantenimiento.</t>
  </si>
  <si>
    <t>Estar dentro o fuera de las instalaciones de la finca realizando alguna de sus funciones</t>
  </si>
  <si>
    <t>Mal almacenamiento de objetos en algunos sitios de la finca, y/o caida de algun fruto de árbol</t>
  </si>
  <si>
    <t>Reparación o ajustes de instalaciones electricas de la finca, o herramienta</t>
  </si>
  <si>
    <t>Actividades administrativas que abarca  la planificación, organización, dirección, control, coordinación, gestión de recursos para la empresa</t>
  </si>
  <si>
    <t>PELIGROS</t>
  </si>
  <si>
    <t>Polvos organicos, inorganicos</t>
  </si>
  <si>
    <t>Fibras</t>
  </si>
  <si>
    <t>Liquidos (nieblas - rocios)</t>
  </si>
  <si>
    <t>Humos (metalicos no metalicos)</t>
  </si>
  <si>
    <t>Gestión organizacional</t>
  </si>
  <si>
    <t>Caracteristicas del grupo social del trabajo</t>
  </si>
  <si>
    <t>Condiciones de la tarea</t>
  </si>
  <si>
    <t>Jornada de trabajo</t>
  </si>
  <si>
    <t>Postura sedente</t>
  </si>
  <si>
    <t>Postura bipeda</t>
  </si>
  <si>
    <t>Esfuerzo</t>
  </si>
  <si>
    <t>Manipulación manual de carga</t>
  </si>
  <si>
    <t>Mécanico</t>
  </si>
  <si>
    <t>Superficies de trabajo</t>
  </si>
  <si>
    <t>Tecnológico</t>
  </si>
  <si>
    <t>Accidentes de transito</t>
  </si>
  <si>
    <t>Públicos</t>
  </si>
  <si>
    <t>Trabajos en altura</t>
  </si>
  <si>
    <t>Sismo</t>
  </si>
  <si>
    <t>Terremoto</t>
  </si>
  <si>
    <t>Vendaval</t>
  </si>
  <si>
    <t>Inundación</t>
  </si>
  <si>
    <t>Derrumbe</t>
  </si>
  <si>
    <t>Inspecciones de puesto de trabajo</t>
  </si>
  <si>
    <t>* Continuar con controles existentes.
* Segumiento al programa de Pausas Activas
* Adaptación de puestos ergonomicos según las caractiristicas fisícas de cada empleado.
* Mantener el (ARO) para cada una de las actividades actualizado.
* Capacitación sobre la importancia de realizar pausas activas
* Dotar todos los puestos de trabajo con descansa pies</t>
  </si>
  <si>
    <t>* Continuar con controles existentes.
* Segumiento al programa de Pausas Activas
* Mantener el (ARO) para cada una de las actividades actualizado.
* Capacitación sobre la importancia de realizar pausas activas
* Dar mouses ergonomicos</t>
  </si>
  <si>
    <t>Caída a nivel ocasionada por subir o bajar escalas, o por transitar en espacios de la empresa</t>
  </si>
  <si>
    <t>* Escalas de oficina con antideslizante y pasamanos
* Piso a nivel</t>
  </si>
  <si>
    <t xml:space="preserve">Realización de actividades cerca de conexiones de equipos.
Uso de toma corrrientes
Uso de microondas
</t>
  </si>
  <si>
    <t xml:space="preserve">* Seguir con controles existentes.
* Capacitación en uso de extintores
* Socializar el plan de emergencia
* Incluir en el programa de capacitación en riesgo eléctrico
</t>
  </si>
  <si>
    <t>Afectaciones a nivel respiratorio
Problemas instestinales</t>
  </si>
  <si>
    <t>Aseo de instalaciones 
Ventilación con aire acondicionado
Puntos para el lavado de manos (si se encuentra dentro de instalaciones propias)</t>
  </si>
  <si>
    <t>Interfase de la persona</t>
  </si>
  <si>
    <t>* Continuar con controles existentes.
* Socializar el PON del riesgo público
* Ejecución del PESV
* Instalar camaras de seguridad en los carros propios de la empresa.</t>
  </si>
  <si>
    <t>Realizar funciones fuera o dentro de las instalaciones (Robo, asalto, atentados de orden público)</t>
  </si>
  <si>
    <t>Si estan dentro de las instalaciones propias de la empresa esta cuenta con control de ingreso de personas, y circuito de camaras de seguridad</t>
  </si>
  <si>
    <t>* Exámenes médicos de ingreso, periodicos y de egreso.
* Inducción y reinducción en SST.
* Inducción al cargo. 
* Licencia de conducción</t>
  </si>
  <si>
    <t>Si el desplazamiento se realiza en vehículos de la empresa estos cuentan con GPS.
Tecnomecanica
Soat
PESV</t>
  </si>
  <si>
    <t>Estar dentro o fuera de las instalaciones de la empresa en realizando alguna de sus funciones, varias estructuras de la empresa en draibol</t>
  </si>
  <si>
    <t>Socialización del PON contra fenómenos naturales</t>
  </si>
  <si>
    <t>Señalización de rutas de evacuación
Sistema de alerta y alarma
Brigrada de emergencia</t>
  </si>
  <si>
    <t>Radiaciones ionizantes o no ionizantes</t>
  </si>
  <si>
    <t>* Actualizar y socializar  el plan de emergencia y el PON contra fenómenos naturales
* Realizar simulacros de evacuación.
* Mantener el personal capacitado frente el riesgo
* Mejorar la señalización de rutas de evacuación
* crear un programa de capacitaciones para los brigadistas</t>
  </si>
  <si>
    <t>Actividades administrativas que abarca  la ejecución de funciones comerciales</t>
  </si>
  <si>
    <t>Desplazamiento por áreas de circulación de la empresa o oficinas, donde hay presencia de cajones, escritorios, muebles, archivadores</t>
  </si>
  <si>
    <t>Actividades administrativas que abarca  la ejecución de funciones relacionadas con la operación de la empresa.</t>
  </si>
  <si>
    <t>9,2 horas</t>
  </si>
  <si>
    <t>Desplazamientos por carretera a nivel nacional</t>
  </si>
  <si>
    <t>GERENTE ADMINISTRATIVO Y FINANCIERO</t>
  </si>
  <si>
    <t>Actividades administrativas que abarca  la ejecución de funciones de la parte administrativa y financiera de la empresa</t>
  </si>
  <si>
    <t>LIDER CONTABLE</t>
  </si>
  <si>
    <t>Actividades administrativas que abarca  la ejecución de funciones relaciondas con contabilidad</t>
  </si>
  <si>
    <t>LIDER DE TI</t>
  </si>
  <si>
    <t>Actividades administrativas que abarca  la ejecución de funciones relacionadas con el manejo de todos los sitemas informaticos de la empresa</t>
  </si>
  <si>
    <t xml:space="preserve">Desplazamientos a nivel nacional, en pro de ejecutar sus funciones 
</t>
  </si>
  <si>
    <t>LIDER DE AGENCIA</t>
  </si>
  <si>
    <t>Actividades administrativas que abarca  la ejecución de funciones relacionadas con la coordinación de las operaciones logistic, de acuerdo a la sede que tenga asignada</t>
  </si>
  <si>
    <t>Uso de celulares, microondas, radiación UV, radiación visible</t>
  </si>
  <si>
    <t>Cableado encauchetado
Toma corrientes en buen estado.
Existencia de varios tomas</t>
  </si>
  <si>
    <t>Inspecciones de seguridad locativas
Plan de emergencia.
Extintores
Conformación de brigada de emergencia</t>
  </si>
  <si>
    <t>Carga mental, contenido de la tarea, demandas emocionales, sistemas de control, definición de roles y responsabilidades, monotonia</t>
  </si>
  <si>
    <t>* Exámenes médicos de ingreso, periodicos y de egreso.
* Inducción y reinducción en SST.
* Inducción al cargo. 
* Capacitación sobre comunicación asertiva
* Trabajo en equipo 
* Programa  de bienestar 
* Conformación del COCOLA
* Aplicación de bateria de riesgo psicosocial
* Socialización del manual de funciones al cargo</t>
  </si>
  <si>
    <t>Manual de funciones y responsabilidades</t>
  </si>
  <si>
    <t>DIRECTORA DESARROLLO OPERATIVO</t>
  </si>
  <si>
    <t>Actividades administrativas que abarca  la ejecución de funciones relacionadas con el desarrollo de operativo de la empresa</t>
  </si>
  <si>
    <t>Lesiones osteomusculares
fatiga muscular 
Patologías lumbares
Dolores en cuello y hombros</t>
  </si>
  <si>
    <t xml:space="preserve">Sillas ergonómicas
Elevador de pantalla
 </t>
  </si>
  <si>
    <t>OPOYO OPERACIONAL (mensajero)</t>
  </si>
  <si>
    <t>ASESOR DE SERVICIO Y DESARROLLO DE CLIENTE</t>
  </si>
  <si>
    <t>Actividades de limpieza  y desinfección de baños, cefatín y áreas de trabajo.
Manejo de los residuos
Prestar servicio de cafetería a los colaboradores y atender reuniones que se lleven acabo.</t>
  </si>
  <si>
    <t xml:space="preserve">Exprimir la trapera de manera manual.
</t>
  </si>
  <si>
    <t>Lesiones osteomusculares
Fatiga muscular 
Alteración de Túnel de Carpo
Potencial tendinitis</t>
  </si>
  <si>
    <t>Entregar un escurridor  para evitar movimientos repetitivos y un esfuerzo muscular</t>
  </si>
  <si>
    <t xml:space="preserve">* Continuar con controles existentes.
* Segumiento al programa de Pausas Activas
* Mantener el (ARO) para cada una de las actividades actualizado.
* Capacitación sobre la importancia de realizar pausas </t>
  </si>
  <si>
    <t>El requerido para exprimir la trapera de manera manual</t>
  </si>
  <si>
    <t>Manipulación de utensilios de cocina</t>
  </si>
  <si>
    <t>Estar en entornos laborales con personas que presente sintomas de  infecciones sean de via respiratoria (se incluye el covid19) o gastrointestinales 
Limpieza y desinfección de baños</t>
  </si>
  <si>
    <t>Calzado antideslizante</t>
  </si>
  <si>
    <t>Guantes de latex</t>
  </si>
  <si>
    <t xml:space="preserve">* Exámenes médicos de ingreso, periodicos y de egreso.
* Inducción y reinducción en SST.
* Inducción al cargo. 
* Capacitación en autocuidado
* Uso de EPP si se evidencia algún sintoma o signo
* Entrega de EPP para el cargo
</t>
  </si>
  <si>
    <t>Entrega de tapabocas si tiene sintomas respiratorios
Entrega de guantes de latex</t>
  </si>
  <si>
    <t>Estar dentro o fuera de las instalaciones de la empresa</t>
  </si>
  <si>
    <t>Manipulación de sustancias quimicas como el clorix</t>
  </si>
  <si>
    <t xml:space="preserve">* Exámenes médicos de ingreso, periodicos y de egreso.
* Inducción y reinducción en SST.
* Inducción al cargo.
* Entrega de EPP como gafas y tapabocas 
</t>
  </si>
  <si>
    <t xml:space="preserve">* Continuar con controles existentes.
* Capacitación en uso seguro de sustancias quimicas.
</t>
  </si>
  <si>
    <t>Entrega de tapabocas y gafas de seguridad</t>
  </si>
  <si>
    <t>Lesiones osteomusculares
fatiga muscular 
Patologías lumbares
Problemas de circulación</t>
  </si>
  <si>
    <t>Productos etiqueteados
Hoja de seguridad de los productos.
Ficha técnica de los products
Extintores</t>
  </si>
  <si>
    <t xml:space="preserve">Actividades administrativas que abarca  la ejecución de funciones </t>
  </si>
  <si>
    <t>ANALISTA CONTABLE
ANALISTA DE RECAUDO
ANALISTA DE FACTURACIÓN
ANALISTA DE CONTROL INTERNO
SOPORTE DE TI
AUXILIAR ADMINISTRATIVA
ANALISTA DE DESPACHO
APRENDIZ
LIDER DE TESORERIA</t>
  </si>
  <si>
    <t>LIDER ADMINISTRATIVO</t>
  </si>
  <si>
    <t>* Garantizar la implementación de acciones preventivas que sugiera el comité de convivencia.
* Aplicar la medición de bateria de riesgo psicosocial cada año
* Garantizar el cumplimiento de las acciones que se relacionen en el informe de la bateria
* Incluir en plan de capacitaciones, formación para los integrantes del COCOLA
* Actividades de prevención del estrés, depresión y ansiedad.</t>
  </si>
  <si>
    <t>Caracteristicas de la organización del trabajo</t>
  </si>
  <si>
    <t>Estrés, alteraciones del sistema cardiovascular, del sistema gastrointestinal y del sistema nervioso central</t>
  </si>
  <si>
    <t>Comunicación, tegnologia, organización del trabajo, demandas cuantitativas y cualitativas</t>
  </si>
  <si>
    <t>Actividades operativas que abarca  la ejecución de funciones relacionadas a su cargo</t>
  </si>
  <si>
    <t>EMBARCADOR</t>
  </si>
  <si>
    <t>Desplazamiento por áreas de circulación o con mercancia</t>
  </si>
  <si>
    <t>* Continuar con controles existentes.
* Reporte de condiciones y actos inseguros.
* Incluir el programa de capacitación la percepción de peligros y riesgos
* Realizar inspecciones locativas</t>
  </si>
  <si>
    <t>Caída a nivel ocasionada por transitar en áreas  de la empresa</t>
  </si>
  <si>
    <t>Realizar sus funciones en área de circulación vihicular</t>
  </si>
  <si>
    <t>* Continuar con controles existentes.
* Socializar el PON del riesgo público
* Capacitación en transito peatonal</t>
  </si>
  <si>
    <t>* Continuar con controles existentes.
* Socializar el PON del riesgo público
* Ubicar al trabajador en zonas y espacios mas seguros, quizas en zonas donde hayan sistema de vigilancia</t>
  </si>
  <si>
    <t>ventilación natural</t>
  </si>
  <si>
    <t>* Actualizar y socializar  el plan de emergencia y el PON contra fenómenos naturales
* Inducción en el área de trabajo del colaborador para que conozca las rutas de evacuación, puntos de encuentro, sistema de alerta y alarma</t>
  </si>
  <si>
    <t>Estar en un entorno donde la actividad economica es generadora de ruido</t>
  </si>
  <si>
    <t>Dolor de cabeza.
Molestias a nivel auditivo
Estrés
Perdida de la audición</t>
  </si>
  <si>
    <t>* Exámenes médicos de ingreso, periodicos y de egreso con audiometria
* Inducción y reinducción en SST.
* Inducción al cargo. 
* Capacitación y entrega de EPP incluyendo protector auditivo</t>
  </si>
  <si>
    <t>* Continuar con controles existentes.
* Solicitar a la empresa mediciones ambientales
* Realizar observación de comportamiento</t>
  </si>
  <si>
    <t>Ambiente de trabajo al aíre libre</t>
  </si>
  <si>
    <t>Exposición a los rayox ultravioleta</t>
  </si>
  <si>
    <t>Deshidratación
Dolor de cabeza
Fatiga
Cáncer de piel</t>
  </si>
  <si>
    <t xml:space="preserve">* Adecuar una garita donde el colaborador pueda realizar sus funciones.
* Si la exposición a los rayox de sol es continua suministrar bloqueador.
* Definir puntos de hidratación
* Suministrar dotación de uniforme manga larga, gorra y gafas con filtros UV
*  
</t>
  </si>
  <si>
    <t>ENVIGADO</t>
  </si>
  <si>
    <t>Actividades administrativas que abarca  la ejecución de funciones relacionadas a su cargo</t>
  </si>
  <si>
    <t>LIDER DE SOFASA</t>
  </si>
  <si>
    <t>ITAGUI</t>
  </si>
  <si>
    <t>LIDER DE ACERO MAPA</t>
  </si>
  <si>
    <t>* Continuar con controles existentes.
* Segumiento al programa de Pausas Activas
* Mantener el (ARO) para cada una de las actividades actualizado.
* Capacitación sobre la importancia de realizar pausas activas
* Dar mouses ergonomicos
* Inspecciones a puestos de trabajo</t>
  </si>
  <si>
    <t>Inspecciones a herramientas</t>
  </si>
  <si>
    <t>MANTENIMIENTO 
DE VEHÍCULOS</t>
  </si>
  <si>
    <t xml:space="preserve">MANTENIMIENTO </t>
  </si>
  <si>
    <t>Proceso (Área)</t>
  </si>
  <si>
    <t xml:space="preserve">SEGURIDAD </t>
  </si>
  <si>
    <t xml:space="preserve">SEGURIDAD 
MANTENIMIENTO </t>
  </si>
  <si>
    <t>DESARROLLO CORPORATIVO</t>
  </si>
  <si>
    <t>SERVICIO AL CLIENTE</t>
  </si>
  <si>
    <t>GERENCIA PRINCIPAL</t>
  </si>
  <si>
    <t>FINANCIERA</t>
  </si>
  <si>
    <t>ADMINISTRACION</t>
  </si>
  <si>
    <t xml:space="preserve">GINEBRA </t>
  </si>
  <si>
    <t>Pérdida de materiales o humanas   
Golpes, heridas o fracturas</t>
  </si>
  <si>
    <t>Pérdida de materiales o humanas   
Golpes, heridas o fracturas
Aplastamiento</t>
  </si>
  <si>
    <t xml:space="preserve">Ejercicios de estiramientos (Programa de pausas activas)
Examen médico de Ingreso y periódico
Divulgación de ARO 
Formación sobre la ergonomía y la postura correcta.
Calzado de seguridad  </t>
  </si>
  <si>
    <t>Ejercicios de estiramiento y calentamiento antes y durante de la jornada laboral (programa de pausas activas)
Examen médico de Ingreso y periódico con énfasis osteomuscular (hombro, columna y rodrilla)
Capacitación sobre ergonomía y técnicas de trabajo seguro.
Analisis de Riesgo por Oficio
Uso de EPP</t>
  </si>
  <si>
    <t xml:space="preserve">Caída de objetos </t>
  </si>
  <si>
    <t>Heridas
Traumatismos
Golpes</t>
  </si>
  <si>
    <t xml:space="preserve">Analisis de Riesgo por Oficio 
Capacitación sobre el adecurdo almacemaniento de mercancia </t>
  </si>
  <si>
    <t>Inspecciones de seguridad</t>
  </si>
  <si>
    <t xml:space="preserve">Golpeado con o contra con la manipulación de mercancía de gran peso y tamaño y herramientas </t>
  </si>
  <si>
    <t xml:space="preserve">Fatiga física
Lesiones que se pueden producir de una forma inmediata
Fracturas 
Dolor lumbar
Espasmos musculares  esquinces </t>
  </si>
  <si>
    <t xml:space="preserve">Uso de Guantes de seguridad 
Uso de calzado de seguridad 
Capacitación sobre el manejo adecuado de las herramientas a utilizar 
Analisis de Riesgo por Oficio
Programa de pausas activas </t>
  </si>
  <si>
    <t xml:space="preserve">Calzado de seguridad
Guantes de seguridad </t>
  </si>
  <si>
    <t>Exposición a condiciones ambientales y manipulación de mercancías (Proyección de partículas)</t>
  </si>
  <si>
    <t xml:space="preserve">Irritación ocular </t>
  </si>
  <si>
    <t xml:space="preserve">Uso de gafas de seguridad  
Control medico (examen Ingreso y periodico)     
Analisis de Riesgo por Oficio                                                                                                                                                                                                                                                                                                            </t>
  </si>
  <si>
    <t xml:space="preserve">Fracturas 
Esquinces 
Dolores crónicos 
Heridas profundas </t>
  </si>
  <si>
    <t xml:space="preserve">Inspecciones de seguridad 
Mantenimiento de las instalaciones </t>
  </si>
  <si>
    <t xml:space="preserve">Pasillos con señalización (escaleras, pasamanos)
Demarcación de muelles </t>
  </si>
  <si>
    <t xml:space="preserve">Uso de calzado de seguridad 
Control medico (examen Ingreso y periodico)     
Analisis de Riesgo por Oficio 
Uso de chaleco reflectivo </t>
  </si>
  <si>
    <t>Desplazamiento por áreas de almacenamiento, condiciones inadecuada de pisos y paredes y empresa en general 
Acciones de cargue y descargue de mercancía de los vehículos (caídas al mismo  y diferente nivel)</t>
  </si>
  <si>
    <t xml:space="preserve">Acciones de cargue y descargue de mercancía de los vehículos por atrapamiento </t>
  </si>
  <si>
    <t xml:space="preserve">Esquinces 
Dolores crónicos 
Heridas profundas </t>
  </si>
  <si>
    <t xml:space="preserve">Proceso de inspección de Vehículos (Abrir puerta de furgón o bajar compuertas)
Irreguaridad de pisos </t>
  </si>
  <si>
    <t>Proceso de inspección de vehiculo al momento del cargue o descargue, por desplazamientos de muelle</t>
  </si>
  <si>
    <t>Infecciones respiratorias
Dermatitis
Irritación de mucosas</t>
  </si>
  <si>
    <t xml:space="preserve">Uso de cafas de seguridad 
Uso de guantes de seguridad 
Analisis de Riesgo por Oficio
Examen de ingreso y periodico </t>
  </si>
  <si>
    <t xml:space="preserve">Uso de gafas de seguridad 
Uso de guantes de seguridad </t>
  </si>
  <si>
    <t xml:space="preserve">Campañas de prevención de ruido
Cuidado de los EPP
Uso protección de oídos </t>
  </si>
  <si>
    <t>Inspecciones de seguridad 
Señalización de suiche</t>
  </si>
  <si>
    <t xml:space="preserve">Esquema de vacunación </t>
  </si>
  <si>
    <t>Ventilación natural/espacios aireados</t>
  </si>
  <si>
    <t xml:space="preserve">
Seguir con los controles existentes </t>
  </si>
  <si>
    <t>Ventilación natural 
Espacios aireados</t>
  </si>
  <si>
    <t xml:space="preserve">Acciones preventivas del comité de convivencia, evaluación de riesgo psico-social Evaluación del riesgo psicosocial y su intervención 
Seguir con lo controles existentes </t>
  </si>
  <si>
    <t xml:space="preserve">Acciones preventivas del comité de convivencia, evaluación de riesgo psico-social
Evaluación del riesgo psicosocial y su intervención 
</t>
  </si>
  <si>
    <t xml:space="preserve">Acciones preventivas del comité de convivencia, evaluación de riesgo psico-socialEvaluación del riesgo psicosocial y su intervención </t>
  </si>
  <si>
    <t xml:space="preserve">Evaluación del riesgo psicosocial y su intervención 
Plan de bienestar </t>
  </si>
  <si>
    <t xml:space="preserve">Medición de bateria del riesgo psicosocial </t>
  </si>
  <si>
    <t xml:space="preserve">Aplicación del protocolo de riesgo público
Números actualizados de emergencia </t>
  </si>
  <si>
    <t xml:space="preserve">Aplicación del protocolo de riesgo públicoImplementación del PESV </t>
  </si>
  <si>
    <t>Pérdidas materiales  Traumas  
Aplastamiento</t>
  </si>
  <si>
    <t>Muerte  
Pérdida materiales   
Angustia  
Trauma aplastamiento</t>
  </si>
  <si>
    <t>4000 - 600</t>
  </si>
  <si>
    <t>GERENTE OPERACIONES</t>
  </si>
  <si>
    <t xml:space="preserve">* Exámenes médicos de ingreso, periodicos y de egreso.
* Inducción y reinducción en SST.
* Capacitación en generalidades de seguridad vial </t>
  </si>
  <si>
    <t xml:space="preserve">CALDAS/CARTAGENA/
BUENAVENTURA </t>
  </si>
  <si>
    <t xml:space="preserve">COPASST </t>
  </si>
  <si>
    <t xml:space="preserve">Procedimiento  de levantamiento  y descargue de mercancía 
Inpección preoperacional de herramientas a utilizar </t>
  </si>
  <si>
    <t>Estar en entornos laborales con animales  Perros en las instalaciones de la oficina o en sus alrededores</t>
  </si>
  <si>
    <t>Lesiones en la piel, infecciones, estrés, traumas psicológicos</t>
  </si>
  <si>
    <t>* Implementar restricciones de acceso para evitar la presencia de perros en las instalaciones.
* Sensibilizar a los trabajadores sobre la importancia de no alimentar ni interactuar con perros en la oficina.</t>
  </si>
  <si>
    <t xml:space="preserve"> * Señalización de advertencia, políticas para evitar la alimentación de perros dentro del área.</t>
  </si>
  <si>
    <t>* En caso de visitas a áreas externas con presencia de perros, usar botas y ropa adecuada.</t>
  </si>
  <si>
    <t xml:space="preserve">Se actualizó el peligro asociado al cargo de Gerente de Operaciones debido al accidente ocurrido en octubre, identificando el riesgo derivado a mordedura por animal </t>
  </si>
  <si>
    <t xml:space="preserve">* Procedimiento de almacenamiento de mercancia 
* Instalar señalización en los montacargas, áreas de cargue y contenedores que indique claramente los límites de altura y peso permitidos.
Colocar advertencias sobre los riesgos de exceder estos límites. (MÁXIMO 17 ESTIBAS) </t>
  </si>
  <si>
    <t xml:space="preserve">Se actualizó el peligro asociado al cargo de Certificador de Cargue y Descargue debido al accidente ocurrido en el mes de noviembre, identificando el riesgo caida de objetos </t>
  </si>
  <si>
    <t>MEDELLÍN/CALI</t>
  </si>
  <si>
    <t>Salpicadura de sustancia química durante el trasvase.</t>
  </si>
  <si>
    <t>* Quemaduras, irritaciones, intoxicaciones, daño ocular.</t>
  </si>
  <si>
    <t>* Uso de embudos para trasvase cerrados para evitar la manipulación manual. 
* Asegurar el correcto etiquetado y almacenamiento de los productos químicos</t>
  </si>
  <si>
    <t>* Utilizar recipientes adecuados y seguros para minimizar derrames o salpicaduras.
* Implementar señalización de seguridad y delimitación de áreas de trabajo</t>
  </si>
  <si>
    <t>* Productos etiqueteados
Hoja de seguridad de los productos.
Ficha técnica de los products</t>
  </si>
  <si>
    <t>* Ventilación con aire acondicionado
Adecuado almacenamiento de sustancias quimicas</t>
  </si>
  <si>
    <t>* Capacitar al personal sobre los riesgos químicos y procedimientos seguros de trasvase.
* Usar Elementos de Protección Personal (gafas de seguridad)</t>
  </si>
  <si>
    <t>* Irritación ocular y en vías áreas
Intoxicación</t>
  </si>
  <si>
    <t xml:space="preserve">Se actualizó el peligro asociado al cargo de Certificador de Cargue y Descargue debido al accidente ocurrido en el mes de noviembre, identificando el riesgo mecanico por caida de persona </t>
  </si>
  <si>
    <t xml:space="preserve">Manipulación de herramientas mecánicas </t>
  </si>
  <si>
    <t>* Cortes, laceraciones, amputaciones, golpes, atrapamientos, proyección de partículas.</t>
  </si>
  <si>
    <t xml:space="preserve">* Analis de riesgo por oficio 
* Inducción y reinducción SST 
* Perfiles de cargos definidos en la participación de actividades 
* Elementos de Protección Personal  </t>
  </si>
  <si>
    <t xml:space="preserve">* Implementar un programa de mantenimiento preventivo para garantizar que las herramientas estén en buen estado.
</t>
  </si>
  <si>
    <t>* Guantes de vaqueta 
* Gafas de seguridad</t>
  </si>
  <si>
    <t>* Establecer zonas seguras y delimitadas para el uso y acceso del personal al  utilizar herramientas mecánicas.</t>
  </si>
  <si>
    <t>Se incluye actividad de manipulación de herremienta del cargo conductor</t>
  </si>
  <si>
    <t>Ginebra/Yumbo</t>
  </si>
  <si>
    <t xml:space="preserve">Operaciones </t>
  </si>
  <si>
    <t xml:space="preserve">Ginebra/Yumbo </t>
  </si>
  <si>
    <t>Diseño de puesto de trabajo con deficiencias ergonómicas acorde al trabajador y las actividades a realizar.</t>
  </si>
  <si>
    <t>Tensión, dolor muscular a nivel de cuello, espalda y miembros superiores e inferiores, fatiga visual</t>
  </si>
  <si>
    <t>Flexiones repetitivas (tronco o piernas)</t>
  </si>
  <si>
    <t>Hiperextensiones (Anti gravitacionales)</t>
  </si>
  <si>
    <t>Movimientos repetitivos (miembros superiores)</t>
  </si>
  <si>
    <t>Lesiones en manos, muñecas, dedos, brazos, codos, hombros, cuello y espalda.</t>
  </si>
  <si>
    <t>Posición sedente prolongada</t>
  </si>
  <si>
    <t>Posiciones de pie prolongadas</t>
  </si>
  <si>
    <t>Posturas Forzadas</t>
  </si>
  <si>
    <t>Carga dinámica (manipulación y desplazamiento de cargas)</t>
  </si>
  <si>
    <t xml:space="preserve">Uso de video terminales </t>
  </si>
  <si>
    <t>Precipitaciones,
(lluvias,
granizadas,
heladas)</t>
  </si>
  <si>
    <t>Uso de la voz en tiempo e intensidad</t>
  </si>
  <si>
    <t xml:space="preserve">Actividades y tareas en el agua </t>
  </si>
  <si>
    <t>Caída al mismo nivel</t>
  </si>
  <si>
    <t xml:space="preserve">Caídas a diferente nivel </t>
  </si>
  <si>
    <t xml:space="preserve">Condiciones  de pasamanos, barandas  </t>
  </si>
  <si>
    <t xml:space="preserve">Trabajos o mantenimiento de cielorrasos, cielo falsos y/o techos, cubiertas, planchas sin barreras o barandas. </t>
  </si>
  <si>
    <t>Golpes, heridas, contusiones, fracturas, esguinces, luxaciones, muerte</t>
  </si>
  <si>
    <t xml:space="preserve">Condiciones de orden y aseo </t>
  </si>
  <si>
    <t>Condiciones de paredes, muros, divisiones</t>
  </si>
  <si>
    <t xml:space="preserve">Condiciones de pisos y/o paredes </t>
  </si>
  <si>
    <t>Condiciones de escaleras y/o escalas</t>
  </si>
  <si>
    <t>Contacto con objetos calientes</t>
  </si>
  <si>
    <t>Trabajos con tensión a distancia, a contacto y a potencial (Media, Baja y Alta Tensión)</t>
  </si>
  <si>
    <t>Trabajos sin tensión redes des energizadas de (Media, Baja y Alta Tensión)</t>
  </si>
  <si>
    <t>Contacto indirecto (alta y baja tensión)</t>
  </si>
  <si>
    <t xml:space="preserve">Disconfort térmico (Calor) </t>
  </si>
  <si>
    <t>Disconfort térmico (Frío)</t>
  </si>
  <si>
    <t>Espacio de trabajo reducido</t>
  </si>
  <si>
    <t xml:space="preserve">Estado de estructuras (vigas y columnas) </t>
  </si>
  <si>
    <t>Golpeado por o contra</t>
  </si>
  <si>
    <t xml:space="preserve">Izaje y cargas suspendidas </t>
  </si>
  <si>
    <t xml:space="preserve">Locativo (sistemas de almacenamiento) </t>
  </si>
  <si>
    <t>Locativos (condiciones de pisos, paredes y techos)</t>
  </si>
  <si>
    <t>Manejo de equipos, máquinas y herramientas manuales</t>
  </si>
  <si>
    <t xml:space="preserve">Manipulación herramientas de potencia </t>
  </si>
  <si>
    <t xml:space="preserve">Manipulación herramientas manuales </t>
  </si>
  <si>
    <t xml:space="preserve">Objetos que caen, ruedan, se deslizan, se movilizan.  </t>
  </si>
  <si>
    <t>Partes en movimiento, sistemas de transmisión y puntos de operación.</t>
  </si>
  <si>
    <t>Prácticas deportivas</t>
  </si>
  <si>
    <t>Público (atracos, secuestros y asesinatos)</t>
  </si>
  <si>
    <t>Recipientes y sistemas a presión</t>
  </si>
  <si>
    <t xml:space="preserve">Riesgos de contacto o Arco eléctrico menores de 25V   </t>
  </si>
  <si>
    <t>Superficies calientes</t>
  </si>
  <si>
    <t>Superficies o herramientas cortantes</t>
  </si>
  <si>
    <t>Trabajo con energías peligrosas</t>
  </si>
  <si>
    <t xml:space="preserve">Trabajo en alturas por encima de 1.50 metros. </t>
  </si>
  <si>
    <t>Trabajo en Excavaciones o brechas</t>
  </si>
  <si>
    <t>Trabajos en caliente, corte y soldadura</t>
  </si>
  <si>
    <t>Trabajos en espacios confinados</t>
  </si>
  <si>
    <t>Tránsito (accidentes)</t>
  </si>
  <si>
    <t>Ruido</t>
  </si>
  <si>
    <t>Iluminación deficiente</t>
  </si>
  <si>
    <t>Iluminación en exceso</t>
  </si>
  <si>
    <t>Presiones barométricas altas</t>
  </si>
  <si>
    <t>Presiones barométricas bajas</t>
  </si>
  <si>
    <t>Radiaciones ionizantes (rayos X, gama, beta, alfa y neutrones)</t>
  </si>
  <si>
    <t>Radiaciones no ionizantes (radiación UV, visible, infrarroja, microondas y radiofrecuencia)</t>
  </si>
  <si>
    <t>Temperaturas extremas por calor</t>
  </si>
  <si>
    <t>Temperaturas extremas por frío</t>
  </si>
  <si>
    <t>Vibraciones</t>
  </si>
  <si>
    <t>Materiales y sustancias combustibles</t>
  </si>
  <si>
    <t>Materiales y sustancias explosivas</t>
  </si>
  <si>
    <t>Sustancias inflamables</t>
  </si>
  <si>
    <t>Agresiones (clientes, jefe, compañeros)</t>
  </si>
  <si>
    <t>Altos ritmos de trabajo</t>
  </si>
  <si>
    <t>Capacitación insuficiente</t>
  </si>
  <si>
    <t>Conflictos interpersonales</t>
  </si>
  <si>
    <t>Falta de motivación</t>
  </si>
  <si>
    <t>Monotonía en la tarea</t>
  </si>
  <si>
    <t>Sobrecarga de trabajo</t>
  </si>
  <si>
    <t>Supervisión estricta</t>
  </si>
  <si>
    <t>Aerosoles líquidos (nieblas y rocíos)</t>
  </si>
  <si>
    <t>Aerosoles sólidos (polvos orgánicos o inorgánicos, humo metálico o no metálico y fibras)</t>
  </si>
  <si>
    <t>Material partículado</t>
  </si>
  <si>
    <t xml:space="preserve">Cargue y descargue de mercancia </t>
  </si>
  <si>
    <t>Peligro (origen)
TAREA</t>
  </si>
  <si>
    <t xml:space="preserve">Efectos posible </t>
  </si>
  <si>
    <t>Zona autorizada  y segura para descansar 
Uso de ventiladores  para mantener un ambiente confortable.
PVE osteomuscular.</t>
  </si>
  <si>
    <t>X</t>
  </si>
  <si>
    <t xml:space="preserve">Botas de seguridad Marca Kondor (liviano) </t>
  </si>
  <si>
    <t>Certificador 
de Cargue y Descargue</t>
  </si>
  <si>
    <t>Escalera tipo tijera certificada de 4 a 5 peldaños</t>
  </si>
  <si>
    <t xml:space="preserve">Zona autorizada  y segura para descansar
Uso de ventiladores  para mantener un ambiente confortable.                                                                                                                                                                                                                                             mantener el área de trabajo libre de obstáculos para prevenir tropiezos o caídas. 
PVE osteomuscular. 
Inspeccion de puestos de trabajo. </t>
  </si>
  <si>
    <t xml:space="preserve">Programa de pausas activas, con tiempos de descanso previamente establecidos y turnos partidos 
Exámenes médicos de ingreso y periódicos, con énfasis en la evaluación del sistema osteomuscular, especialmente en hombros, columna y rodillas.
Capacitación en ergonomía y técnicas de trabajo seguro. </t>
  </si>
  <si>
    <t xml:space="preserve">Manipulación de cargas (Materia prima y producto terminado) peso 3 - 5 Kg </t>
  </si>
  <si>
    <t>EPP</t>
  </si>
  <si>
    <t xml:space="preserve">Lesiones en manos, brazos, músculos de la espalda, columna, fracturas.                                                                                                                                                                                                                                                                                                                     </t>
  </si>
  <si>
    <t xml:space="preserve">Manipulación manual de cargas que involucran mercancía de gran peso y volumen, como tambores de silicona </t>
  </si>
  <si>
    <t xml:space="preserve">PVE osteomuscular. 
Inspeccion de puestos de trabajo. </t>
  </si>
  <si>
    <t xml:space="preserve">Estibador para tangues  </t>
  </si>
  <si>
    <t>Botas de seguridad Marca Kondor (liviano) 
Guantes antipunzón</t>
  </si>
  <si>
    <r>
      <t xml:space="preserve">Seguir con los controles existentes 
</t>
    </r>
    <r>
      <rPr>
        <b/>
        <sz val="10"/>
        <color indexed="8"/>
        <rFont val="Calibri"/>
        <family val="2"/>
        <scheme val="minor"/>
      </rPr>
      <t>Estandarizar la actividad:</t>
    </r>
    <r>
      <rPr>
        <sz val="10"/>
        <color indexed="8"/>
        <rFont val="Calibri"/>
        <family val="2"/>
        <scheme val="minor"/>
      </rPr>
      <t xml:space="preserve"> Alternancia de tareas entre equipos de trabajo conformados por dos personas, con el fin de reducir la carga física repetitiva, prevenir el sobreesfuerzo y fomentar la rotación de movimientos. Esta estrategia permite distribuir equitativamente las actividades exigentes y favorecer la recuperación muscular durante la jornada laboral.
</t>
    </r>
    <r>
      <rPr>
        <b/>
        <sz val="10"/>
        <color indexed="8"/>
        <rFont val="Calibri"/>
        <family val="2"/>
        <scheme val="minor"/>
      </rPr>
      <t>Generar OPL</t>
    </r>
  </si>
  <si>
    <r>
      <t xml:space="preserve">Realizar estandar de operación seguro 
</t>
    </r>
    <r>
      <rPr>
        <b/>
        <sz val="10"/>
        <color indexed="8"/>
        <rFont val="Calibri"/>
        <family val="2"/>
        <scheme val="minor"/>
      </rPr>
      <t>Generar OPL</t>
    </r>
  </si>
  <si>
    <t xml:space="preserve">Dolor lumbar
Espasmos musculares  esquinces, hernias </t>
  </si>
  <si>
    <t xml:space="preserve">PVE osteomuscular. 
Inspeccion de puestos de trabajo y herramientas </t>
  </si>
  <si>
    <t xml:space="preserve">Ejercicios de estiramiento y calentamiento antes y durante de la jornada laboral (programa de pausas activas)
Examen médico de Ingreso y periódico con énfasis osteomuscular (hombro, columna y rodrilla)
Capacitación sobre ergonomía y técnicas de trabajo seguro para la manipulación de herramientas como gato estibador manual 
Analisis de Riesgo por Oficio
Uso de EPP
</t>
  </si>
  <si>
    <t xml:space="preserve">Estibador electrico </t>
  </si>
  <si>
    <r>
      <rPr>
        <b/>
        <sz val="10"/>
        <color indexed="8"/>
        <rFont val="Calibri"/>
        <family val="2"/>
        <scheme val="minor"/>
      </rPr>
      <t xml:space="preserve">Estandarizar la ejecución de la actividad:
</t>
    </r>
    <r>
      <rPr>
        <sz val="10"/>
        <color indexed="8"/>
        <rFont val="Calibri"/>
        <family val="2"/>
        <scheme val="minor"/>
      </rPr>
      <t xml:space="preserve"> mediante la definición de tiempos adecuados de exposición, recuperación y asignar su realización de manera rotativa entre dos colaboradores para prevenir la fatiga y optimizar el rendimiento</t>
    </r>
  </si>
  <si>
    <t xml:space="preserve">Manipulación de herramientas o elementos requeridos para su labor (lamina de metal y estibas)  </t>
  </si>
  <si>
    <t xml:space="preserve"> Heridas, laceraciones, amputaciones.</t>
  </si>
  <si>
    <t>Inspecciones de seguridad 
Mantenimiento de las herramientas 
Mantener el área de trabajo limpia y ordenada para evitar accidentes.</t>
  </si>
  <si>
    <t xml:space="preserve">Uso de Guantes de seguridad 
Capacitación sobre el manejo adecuado de las herramientas a utilizar 
Analisis de Riesgo por Oficio
Uso de calzado de seguridad 
Programa de pausas activas 
Uso de gafas de seguridad  
Control medico (examen Ingreso y periodico)     </t>
  </si>
  <si>
    <t xml:space="preserve">Botas de seguridad Marca Kondor (liviano) 
Guantes antipunzón
Casco de Seguridad 
Gafas antiempañante
</t>
  </si>
  <si>
    <t>Atropellamiento, fracturas, atrapamiento, contusiones, daño estructural.</t>
  </si>
  <si>
    <t xml:space="preserve">Procedimiento seguro de ingreso de vehiculos al muelle.
EPP
Examenes de ingreso y periodicos </t>
  </si>
  <si>
    <t xml:space="preserve">Botas de seguridad Marca Kondor (liviano) 
Guantes antipunzón
Casco de Seguridad 
Gafas antiempañante
Chaleco reflectivo </t>
  </si>
  <si>
    <t>Sustituir los tacos de madera por topes de bloqueo adecuados y certificados, que garanticen el aseguramiento del vehículo en el muelle y prevengan cualquier movimiento involuntario durante las maniobras de cargue y descargue.</t>
  </si>
  <si>
    <t>Posicionamiento del vehículo en el muelle</t>
  </si>
  <si>
    <t xml:space="preserve">Seguir con los controles existentes.
Programa para intervención del comportamiento 
Mejoramiento de la Señalización de Zonas de Carga y Almacenamiento: Instalar señalización visible y resistente en las zonas de cargue, descargue y almacenamiento de estibas, para garantizar una identificación clara de estas áreas
Reorganizar la distribución de la mercancía, destinando un espacio exclusivo, seguro y señalizado para el almacenamiento de estibas, evitando obstrucciones en áreas de circulación.
Actualizar el ARO correspondiente a la manipulación de estibas, incluyendo la cantidad máxima permitida de estibas almacenadas y estableciendo un nuevo método de apilamiento que permita el entrelazado de las estibas </t>
  </si>
  <si>
    <t>Desplazamiento por áreas de almacenamiento</t>
  </si>
  <si>
    <t xml:space="preserve">Uso de calzado de seguridad 
Control medico (examen Ingreso y periodico)     
Analisis de Riesgo por Oficio </t>
  </si>
  <si>
    <t>Seguir con los controles existentes</t>
  </si>
  <si>
    <t xml:space="preserve">Se momifica riesgo ergonómico en la actividad de certificador de cargue y descargue por análisis de accidente se realiza modifica  factor de riesgo Sobreesfuerzos (levantamiento y transporte manual de cargas) en evaluación de riesgo en el nivel de deficiencia se cambia por alto,  nivel de consecuencia muy grave: 
La aceptabilidad del riesgo es  importante  las medidas de acción deben ser tomadas por el cliente debido a las infraestructuras del muelle. 
</t>
  </si>
  <si>
    <t>Contacto con fluidos corporales o excremento</t>
  </si>
  <si>
    <t>Contacto con microorganismos (cárnicos, verduras)</t>
  </si>
  <si>
    <t xml:space="preserve">Contacto con seres vivos (roedores, serpientes, caballos, perros, gatos, etc.) por medio de mordedura, picadura, rasgadura y en general ataque de animales </t>
  </si>
  <si>
    <t>Ingestión de alimentos contaminados</t>
  </si>
  <si>
    <t>Inhalación, contacto y consumo de pelos, plumas, excrementos, sustancias antigénicas (enzima, proteínas), larvas de invertebrados</t>
  </si>
  <si>
    <t xml:space="preserve">Manipulación de animales </t>
  </si>
  <si>
    <t>Monotonía de la tarea</t>
  </si>
  <si>
    <t>Agresiones</t>
  </si>
  <si>
    <t>Desacuerdo entre compañeros de trabajo, problemas familiares</t>
  </si>
  <si>
    <t>Acumulación de trabajo</t>
  </si>
  <si>
    <t>Trabajos repetitivos como trabajos de vigilancia y digitación</t>
  </si>
  <si>
    <t>Oficios que impliquen manejo de dinero</t>
  </si>
  <si>
    <t>Perfiles del cargo mal diseñados</t>
  </si>
  <si>
    <t>Supresión de cargos, no reemplazo de personas ausentes</t>
  </si>
  <si>
    <t>Estrés, fatiga, conflictos personales</t>
  </si>
  <si>
    <t xml:space="preserve">Desacuerdo en la instrucción e interrelación, realciones con compañeros y externos </t>
  </si>
  <si>
    <t xml:space="preserve">Condiciones de seguridad </t>
  </si>
  <si>
    <t xml:space="preserve">Proceso </t>
  </si>
  <si>
    <t xml:space="preserve">Zona/Lugar </t>
  </si>
  <si>
    <t>Tareas</t>
  </si>
  <si>
    <t>Descripción 
Factor de riesgo (Ver lista de factores de riesgo)</t>
  </si>
  <si>
    <t>Actividades en oficinas y atencion de clientes</t>
  </si>
  <si>
    <t xml:space="preserve">Uso de computador para análisis de datos, redacción de informes, reportes y presentaciones.
Revisión, tramitación y archivo de documentos físicos o digitales.
Atención de llamadas telefónicas y correos electrónicos.
 Participación en reuniones presenciales y virtuales.
Coordinación con otras áreas internas o proveedores externos.
Ingreso y manejo de información en plataformas y sistemas.
Supervisión y seguimiento de indicadores de gestión.
Atención de solicitudes o requerimientos de clientes internos o externos.
</t>
  </si>
  <si>
    <t>Estes labral, golpes, heridas y contusiones</t>
  </si>
  <si>
    <t>Estrés laboral</t>
  </si>
  <si>
    <t xml:space="preserve">10. Psicosocial </t>
  </si>
  <si>
    <t xml:space="preserve">Mantenimiento </t>
  </si>
  <si>
    <t>Mantenimiento locativo de  instalaciones</t>
  </si>
  <si>
    <t xml:space="preserve">Oficinas y taller </t>
  </si>
  <si>
    <t xml:space="preserve">Celdas de mantenimiento </t>
  </si>
  <si>
    <t>Mantenimiento y reparación de vehículos de flota propia</t>
  </si>
  <si>
    <t xml:space="preserve">Mantenimiento y uso de herramientas </t>
  </si>
  <si>
    <t xml:space="preserve">Mantenimientos de llantas de vehículos de flota propia </t>
  </si>
  <si>
    <t xml:space="preserve">Mantenimiento y reparación de llantas de flota propia </t>
  </si>
  <si>
    <t xml:space="preserve">Conducción de vehículo </t>
  </si>
  <si>
    <t>Realizar el transporte seguro y eficiente de mercancía a nivel local y nacional, incluyendo el cargue y descargue en las instalaciones del cliente, cumpliendo con los tiempos pactados, las normas de tránsito, los protocolos de seguridad y manteniendo una comunicación oportuna con su jefe inmediato.</t>
  </si>
  <si>
    <t>Alta demanda de transporte de carga</t>
  </si>
  <si>
    <t>Planear, coordinar, ejecutar y hacer seguimiento a la operación de transporte del cliente, garantizando la asignación oportuna de vehículos, el cumplimiento de procedimientos, la elaboración de documentación, el análisis de indicadores, la gestión en plataformas asignadas y la mejora continua, ajustando procesos según sea necesario para asegurar la eficiencia del servicio.</t>
  </si>
  <si>
    <t>Gestión Operativa del Transporte del Cliente</t>
  </si>
  <si>
    <t>Administrativa y Operativa en instalaciones del cliente</t>
  </si>
  <si>
    <t>Seguimiento a la operación de transporte del cliente</t>
  </si>
  <si>
    <t xml:space="preserve">Oficina administrativa nivel nacional </t>
  </si>
  <si>
    <t>Realizar labores de limpieza y desinfección en oficinas, baños y áreas asignadas, garantizar la dotación de insumos, clasificar los residuos según estándares de reciclaje, prestar el servicio de cafetería, diligenciar controles de aseo, reportar novedades y velar por el buen estado de los elementos a su cargo, cumpliendo con la programación establecida y las instrucciones del jefe inmediato.</t>
  </si>
  <si>
    <t>Gestión de Servicios Generales y Aseo</t>
  </si>
  <si>
    <t>Administrativa y Común (oficinas, baños, cafetería, áreas asignadas)</t>
  </si>
  <si>
    <t>Limpieza de instalaciones</t>
  </si>
  <si>
    <t>Prestar el servicio de mensajería interna y externa según las instrucciones recibidas, realizar trámites bancarios, pagos e impuestos, entregar documentos a clientes y proveedores, apoyar en tareas básicas de mantenimiento locativo y del vehículo asignado, rendir informes diarios de actividades y atender otras solicitudes del área administrativa o asignaciones del jefe inmediato.</t>
  </si>
  <si>
    <t>Gestión de Transporte de Mercancía</t>
  </si>
  <si>
    <t>Zona Operativa / Vía Pública y Áreas de Cargue y Descargue (cliente y empresa)</t>
  </si>
  <si>
    <t>Se actualizó el peligro asociado al cargo de servicios generales, pasando de peligro potencial a peligro expresado. Asimismo, se fortalecieron los controles tanto en la fuente como en la persona para mejorar la gestión del riesgo.</t>
  </si>
  <si>
    <t>Se actualizó el peligro asociado al cargo de Certificador de Cargue y Descargue, tras el accidente ocurrido en enero, donde se evidenciaron fallas en los controles de ingeniería y falta de mantenimiento en los muelles por parte del cliente. En consecuencia, el riesgo se reclasifica de potencial a expresado.</t>
  </si>
  <si>
    <t>Se actualizó el peligro asociado al cargo de Certificador de Cargue y Descargue, a raíz del accidente ocurrido en febrero. Como resultado, el riesgo fue reclasificado de potencial a expresado y se implementaron controles en el medio, incluyendo el cambio de la escalera y la formalización de un procedimiento para su mantenimiento y revisión periódica.</t>
  </si>
  <si>
    <t xml:space="preserve">Asesor ARL BOLIVAR </t>
  </si>
  <si>
    <t>Levantamiento de material (cajas, herramientas,  entre otros)</t>
  </si>
  <si>
    <t xml:space="preserve">Se actualizó el peligro asociado al prceso Gestión de Transporte de Mercancía , pasando de peligro potencial a peligro expresado. Asimismo, se fortalecieron los controles tanto en la fuente como en la persona para mejorar la gestión del riesgo.
Nota: accidente ocurrio en enero en sede Yumbo </t>
  </si>
  <si>
    <t>* Inspecciones de seguridad 
Mantenimiento de las herramientas 
* Mantener el área de trabajo limpia y ordenada para evitar accidentes.</t>
  </si>
  <si>
    <t xml:space="preserve">* Uso de Guantes de seguridad 
Capacitación sobre el manejo adecuado de las herramientas a utilizar 
* Analisis de Riesgo por Oficio
* Procedimiento de Levantamiento y Descargue de Mercancía </t>
  </si>
  <si>
    <t>* Reporte de condiciones y actos inseguros 
* Análisis de Riesgo por oficio 
* Inspecciones de seguridad 
* Programa de Orden y Aseo (capacitación)
Mejoramiento de la Señalización de Zonas de Carga y Almacenamiento: Instalar señalización visible y resistente en las zonas de cargue, descargue y almacenamiento de estibas, para garantizar una identificación clara de estas áreas
* Reorganizar la distribución de la mercancía, destinando un espacio exclusivo, seguro y señalizado para el almacenamiento de estibas, evitando obstrucciones en áreas de circulación.</t>
  </si>
  <si>
    <t xml:space="preserve">* Guante maximo agarre
* Gafas de seguridad antiempañantes 
* Botas de seguridad  </t>
  </si>
  <si>
    <t>M-SST-01
Versión 0
Pagina 1 de 1</t>
  </si>
  <si>
    <t>Pintar carrocerías y tráileres</t>
  </si>
  <si>
    <t>Pintura de vehículo</t>
  </si>
  <si>
    <t>* Segumiento al programa de Pausas Activas
* Mantener el (ARO) para cada una de las actividades actualizado.
* Garantizar Inspecciones de seguridad periodicas
* Realizar examenes ocupaciones periódico</t>
  </si>
  <si>
    <t>No aplica</t>
  </si>
  <si>
    <t xml:space="preserve">No aplica </t>
  </si>
  <si>
    <t xml:space="preserve">Control de acceso vehicular y peatonal  </t>
  </si>
  <si>
    <t>* Mantenimiento preventivo de motor de la puerta de acceso vehícular 
*Inspecciones de seguridad</t>
  </si>
  <si>
    <t xml:space="preserve">* Control automativo para abrir y cerrar puerta vehícular </t>
  </si>
  <si>
    <t>* Segumiento al programa de Pausas Activas
* Realizar  (ARO) para actividad
* Garantizar Inspecciones de seguridad periódicas
* Realizar examenes ocupaciones periódico
* Elaborar un cronograma de mantenimiento preventivo de la puerta de acceso vehícular</t>
  </si>
  <si>
    <t xml:space="preserve">Botas de seguridad </t>
  </si>
  <si>
    <t xml:space="preserve">* Exámenes médicos.
* Inducción y reinducción. 
* Capacitación manejo de herramienta.
* Pausas activas.
* PVE Osteomuscular </t>
  </si>
  <si>
    <t xml:space="preserve">*Examenes médicos 
*Inducción y reinducción.
*Capacitación menejo de herramientas 
* PVE Osteomuscular 
*Pausas activas 
* Capacitación en manejo de carga </t>
  </si>
  <si>
    <t xml:space="preserve">*Examenes médicos 
*Inducción y reinducción.
*Capacitación menejo de herramientas 
* PVE Osteomuscular 
*Pausas activas 
* Capacitación en manejo de carga
* Técnicas de manejo de traslado con ayuda de 3 compañeros mas. </t>
  </si>
  <si>
    <t xml:space="preserve">*Diseñar un sistema mecanico para la ayuda del traslado de carpas </t>
  </si>
  <si>
    <t xml:space="preserve">* Ayuda de herramienta para el traslado de carpa ( carretilla zorra de carga) </t>
  </si>
  <si>
    <t xml:space="preserve">* Inspección de seguridad (carretilla zorra de carga)  </t>
  </si>
  <si>
    <t xml:space="preserve">Botas de seguridad 
Guantes de carnaza </t>
  </si>
  <si>
    <t xml:space="preserve">Reparación de instalaciones, carrocerias y manejo de herramientas manuales </t>
  </si>
  <si>
    <t xml:space="preserve">Apertura de protones </t>
  </si>
  <si>
    <t>Lesiones osteomusculares                                   Fracturas 
fatiga muscular 
Patologías lumbares 
Alteración de Túnel de Carpo
Potencial tendinitis
Trastornos musculoesqueléticos</t>
  </si>
  <si>
    <t>Enganche y desenganche de tráileres.</t>
  </si>
  <si>
    <t>Enganchar y desenganchar tráiler de tractomulas</t>
  </si>
  <si>
    <t xml:space="preserve">* Ayuda de herramienta (carreta de 2 ruedas) </t>
  </si>
  <si>
    <t>60 minutos</t>
  </si>
  <si>
    <t xml:space="preserve">55 minutos </t>
  </si>
  <si>
    <t>Control de inventario de
carpas</t>
  </si>
  <si>
    <t>Movilizar carpas</t>
  </si>
  <si>
    <t xml:space="preserve">240 minutos </t>
  </si>
  <si>
    <t xml:space="preserve">120 minutos </t>
  </si>
  <si>
    <t>* No hay control</t>
  </si>
  <si>
    <t>* Exámenes médicos de ingreso, periodicos y de egreso.
* Inducción y reinducción. 
* Capacitación manejo de herramientas.
* Pausas activas.</t>
  </si>
  <si>
    <t>* Exámenes médicos de ingreso, periodicos y de egreso.
* Inducción y reinducción. 
* Pausas activas.</t>
  </si>
  <si>
    <t>* Silla auxiliar para reducción de carga postural
* Rotación de áreas de pintura
* Adecuación del puesto de trabajo (espacios amplios, iluminación adecuada, organización de materiales).</t>
  </si>
  <si>
    <t>* Mantenimiento preventivo de herramientas y equipos
* Uso de herramientas adecuadas para la tarea</t>
  </si>
  <si>
    <t>* Exámenes médicos de ingreso, periodicos y de egreso.
* Inducción y reinducción. 
* Capacitación manejo de herramientas.
* Entrega y capacitación de EPP
* Capacitación en manejo seguro de herramientas</t>
  </si>
  <si>
    <t>* Escalera con plataforma y barandas 
* Áreas de trabajo organizadas (orden y clasificación de herramientas)
* Señalización de zonas de trabajo
* Delimitación de perímetros o barreras físicas</t>
  </si>
  <si>
    <t xml:space="preserve">480 minutos </t>
  </si>
  <si>
    <t xml:space="preserve">* Señalización de zonas peatonales 
Programa de orden y aseo
* Escaleras certificadas con pasa manos </t>
  </si>
  <si>
    <t>Estructuras, plataformas con desnivel inferios a 1,5</t>
  </si>
  <si>
    <t>* Adecuación de plataformas, escaleras o andamios certificados ( en caso de trabajos superior a 1,5)</t>
  </si>
  <si>
    <t>* Señalización de zonas peatonales 
Programa de orden y aseo
* Escaleras certificadas con pasa manos 
* Iluminación adecuada de áreas de trabajo
* Señalización de pisos húmedos o zonas intervenidas
* Gestión de orden y limpieza (limpiar derrames, retirar herramientas, cables, piezas en tránsito)</t>
  </si>
  <si>
    <t>* Exámenes médicos de ingreso, periodicos y de egreso.
* Inducción y reinducción. 
* Entrega y capacitación de EPP
* Capacitación sobre trabajo seguro y desplazamiento seguro</t>
  </si>
  <si>
    <t>* Seguir con los controles existentes
* Capacitación sobre trabajo seguro en alturas y desplazamiento seguro (cuando aplique) 
* Uso de arnés y líneas de vida cuando aplique
* Permisos de trabajos (cuando aplique)</t>
  </si>
  <si>
    <t xml:space="preserve">* Calzado de seguridad 
* Casco de seguridad </t>
  </si>
  <si>
    <t xml:space="preserve">* Seguir con los controles existentes 
*Inspecciones de seguridad a EPP
* ARO para cada una de las actividades
* Realizar seguimiento al  Programa de Orden (Incluye Capacitación)
* Garantizar las inspecciones de seguridad </t>
  </si>
  <si>
    <t>* Casco de seguridad - Botas de seguridad</t>
  </si>
  <si>
    <t xml:space="preserve">* Guantes de vaqueta </t>
  </si>
  <si>
    <t xml:space="preserve">Uso de químicos que generen gases y vapores en proyectos de remodelación. Entre otros. </t>
  </si>
  <si>
    <t xml:space="preserve">Uso de químicos que generen material particulado en proyectos de remodelación. Entre otros. </t>
  </si>
  <si>
    <t>Mantenimientos y reparación de instalaciones, vehículos (tráiler), carrocerías.</t>
  </si>
  <si>
    <t xml:space="preserve">* Espacios abiertos 
* Señalización de áreas con exposición a partículas </t>
  </si>
  <si>
    <t>* Exámenes ocupacionales (ingreso, periódicos)
* Entrega de gafas de seguridad
* Uso de protección respiratoria (respirador con filtros P2/P3 según concentración)
* Uso de protección ocular y guantes apropiados</t>
  </si>
  <si>
    <t xml:space="preserve">* Mascarilla facial 
* Guantes 
* Calzado de seguridad </t>
  </si>
  <si>
    <t>* Mantenimiento preventivo de herramientas y equipos</t>
  </si>
  <si>
    <t>* Espacios abiertos 
* Señalización de zonas con niveles elevados de ruido</t>
  </si>
  <si>
    <t>* Exámenes médicos de ingreso, periódicos y de retiro
* Inducción y reinducción
* Campañas prevención del ruido.
* Entrega de EPP
* Capacitación en manejo seguro de herramientas y control de ruido</t>
  </si>
  <si>
    <t>* Mantenimiento preventivo de equipos eléctricos y neumáticos</t>
  </si>
  <si>
    <t>* Examenes medicos de ingreso, periódicos y de retiro
* Inducción y reinducción
* Capacitación a la brigada de emergencia.
* Capacitación al personal sobre manejo seguro de sustancias inflamables y riesgos de explosión</t>
  </si>
  <si>
    <t xml:space="preserve">* Almacenamiento adecuado de químicos inflamables
* SGA </t>
  </si>
  <si>
    <t>* Control de ingreso de personal enfermo / protocolos de auto-reporte</t>
  </si>
  <si>
    <t>* Ventilación adecuada de áreas de trabajo (natural o mecánica)
* Señalización de medidas preventivas (lavado de manos, etiqueta respiratoria)</t>
  </si>
  <si>
    <t>* Capacitación sobre prevención biológica (higiene, transmisión, uso de elementos)
* Exámenes médicos ocupacionales</t>
  </si>
  <si>
    <t>* Eliminación de focos o nidos de insectos (fumigación, control vectorial)
* Gestión de residuos y materiales orgánicos</t>
  </si>
  <si>
    <t>*Control de maleza y vegetación en patios o zonas donde se parquean tráileres
* Inspección previa del área y equipos antes de intervenir
* Uso de repelentes certificados o barreras físicas (mosquiteros, cortinas plásticas)</t>
  </si>
  <si>
    <t>* Capacitación preventiva sobre identificación de insectos y manejo seguro
* Conocimiento de primeros auxilios en caso de reacción alérgica o anafilaxia</t>
  </si>
  <si>
    <t xml:space="preserve">Desplazamiento del personal en las instlaciones y sus alrededores o al momento de realizar reparación o mantenimientos </t>
  </si>
  <si>
    <t xml:space="preserve">* Seguir con los controles existentes </t>
  </si>
  <si>
    <t>* Definición clara de roles, funciones y responsabilidades
* Asignación adecuada de carga laboral y tiempos de entrega</t>
  </si>
  <si>
    <t>* Procedimeintos para poner un presunto acoso laboral o sugerencia al CCL</t>
  </si>
  <si>
    <t>* Espacios de retroalimentación individual o grupal
* Conformación de CCL 
* Programas de acompañamiento psicológico (orientación o apoyo profesional)
* Capacitaciones en habilidades blandas: comunicación asertiva, trabajo en equipo, manejo del estrés
* Medeción de bateria psicosocial</t>
  </si>
  <si>
    <t xml:space="preserve">Permanecer durante la jornada laboral durante las instalaciones </t>
  </si>
  <si>
    <t xml:space="preserve">Control de acceso vehícular </t>
  </si>
  <si>
    <t xml:space="preserve">Desplazamiento por fuera de las instalaciones - Domicilios y mensajería  </t>
  </si>
  <si>
    <t>* Control de accesos físicos: cerramientos perimetrales, puertas con cerraduras, portones seguros.
* Ubicación de áreas de trabajo en zonas menos expuestas al exterior o abiertas al público.
* Protección física de vehículos e instalaciones: parqueaderos cerrados, zonas con vigilancia.
* ámaras de seguridad con grabación y monitoreo.</t>
  </si>
  <si>
    <t>* Iluminación adecuada de patios, talleres y exteriores.
* Rutas seguras de acceso y salida
* Zonas de parqueo definidas y controladas
* Ambientes de trabajo cerrados con control de visitantes
* Alarmas y botones de pánico.</t>
  </si>
  <si>
    <t>* No comentar información sensible sobre rutas, vehículos o inventarios.
* Reportar presencia de extraños o comportamientos sospechosos
* Evitar labores a solas en zonas de baja visibilidad
* Seguir el protocolo ante amenazas, robos o disturbios (no confrontar).</t>
  </si>
  <si>
    <t xml:space="preserve">* Aumentar control de cámaras y monitoreo 
* Mejorar el cerramiento de las instlaciones con malla </t>
  </si>
  <si>
    <t>* Diseño y señalización de rutas exclusivas para vehículos (ingreso y salida).
* Limitación de velocidad interna 
* Separación física entre zonas de circulación vehicular y zonas peatonales.
* Creación de áreas específicas de estacionamiento y maniobra.
* Control de acceso de vehículos externos o de proveedores.
* Mantenimiento preventivo de vehículos dentro de las instalaciones</t>
  </si>
  <si>
    <t>* Demarcación horizontal y vertical (señales, pintura, conos, bolardos).
* Iluminación adecuada en patios, talleres y zonas de tránsito.
* Pasos peatonales claramente definidos y protegidos.
* Espacios de trabajo organizados para evitar herramientas o piezas en pasillos.</t>
  </si>
  <si>
    <t>* Capacitación en tránsito seguro dentro de plantas, patios y talleres.
* Prohibición de uso de celular mientras transita por patios.
* Capacitación en respeto de rutas peatonales y zonas de exclusión vehicular.
* Reportar vehículos mal estacionados o maniobras inseguras.</t>
  </si>
  <si>
    <t xml:space="preserve">* Seguir con los protocolos existentes </t>
  </si>
  <si>
    <t>Daños físicos a las personas (lesiones leves o graves). 
Afectación psicológica (estrés post evento, miedo, ansiedad).
Pérdida de herramientas, materiales o pertenencias personales.
Secuestro, retención o riesgo vital en situaciones extremas.</t>
  </si>
  <si>
    <t xml:space="preserve">Permanecer durante la jornada laboral durante las instalaciones  </t>
  </si>
  <si>
    <t>* Rutas de evacuación señalizadas y libres de obstáculos.
* Puntos de encuentro externos claramente identificados.
* Iluminación adecuada en rutas de salida de emergencia.
* Mantenimiento preventivo de sistemas: puertas, salidas, extintores, señalización.</t>
  </si>
  <si>
    <t>* Capacitación y sensibilización en protocolos de emergencia. 
* Simulacros periódicos 
* Formación en identificación de zonas seguras dentro del área de trabajo.
* Entrenamiento en primeros auxilios básicos.
* Reforzar autocuidado: no correr, no devolverse por objetos, seguir rutas.</t>
  </si>
  <si>
    <t>* Mejorar el sistema de alerta y alarma 
* Realizar monitoreo y mejora continua</t>
  </si>
  <si>
    <t xml:space="preserve">Líder de SST </t>
  </si>
  <si>
    <t xml:space="preserve">En la matriz V1: Se elimina la actividad "Cargue y descargue de mercancia" y "Supervición de cargue y descargue " debido que ya no se ejecuta este proceso en la compañía </t>
  </si>
  <si>
    <r>
      <t>*</t>
    </r>
    <r>
      <rPr>
        <sz val="11"/>
        <rFont val="Century Gothic"/>
        <family val="2"/>
      </rPr>
      <t xml:space="preserve"> Elementos de protección (gafas de seguridad)</t>
    </r>
  </si>
  <si>
    <r>
      <rPr>
        <sz val="11"/>
        <color theme="1"/>
        <rFont val="Century Gothic"/>
        <family val="2"/>
      </rPr>
      <t>* Implementar programa de Pausas Activas
* Examen médico de Ingreso y periódico
*</t>
    </r>
    <r>
      <rPr>
        <b/>
        <sz val="11"/>
        <color theme="1"/>
        <rFont val="Century Gothic"/>
        <family val="2"/>
      </rPr>
      <t>Divulgación de procedimiento de levantamiento de carga</t>
    </r>
    <r>
      <rPr>
        <b/>
        <sz val="11"/>
        <color theme="4"/>
        <rFont val="Century Gothic"/>
        <family val="2"/>
      </rPr>
      <t xml:space="preserve"> 
</t>
    </r>
  </si>
  <si>
    <t>Cargo</t>
  </si>
  <si>
    <t>GES</t>
  </si>
  <si>
    <t xml:space="preserve">Gerente General 
Gerente Comercial
Gerente De Operaciones
Gerente Administrativo Y Financiero
Revisor Fiscal
Líder De Tesorería
Director De Agencia
Analista De Facturación
Directora De Desarrollo Corporativo
Líder Contable
Líder Administrativa
Analista Contable
Analista De Tesorería
Auxiliar De Ti
Auxiliar Administrativa
Controlador De Tráfico 
Ejecutivo Comercial/ Ejecutivo De Servicio
Analista De Servicio Al Cliente
Analista De Operaciones
Coordinador De Operaciones
Auxiliar De Operaciones
</t>
  </si>
  <si>
    <t xml:space="preserve">1. Administrativo </t>
  </si>
  <si>
    <t xml:space="preserve">Apoyo Operacional/Mensajería
Jefe De Seguridad
Líder De Flota Propia
Líder De SST
Auxiliar De Operaciones/Mensajero 
Líder De Ti
Auxiliar De Servicios Generales Y Operaciones
Coordinador De Control Tráfico
</t>
  </si>
  <si>
    <t>3.Operativo/administrativo</t>
  </si>
  <si>
    <t>Actividades en oficina,  mensajería</t>
  </si>
  <si>
    <t>Gestión Administrativa Mensajería</t>
  </si>
  <si>
    <t>Administrativa, Bancaria, Apoyo Logístico, vitas de clientes y sedes de trabajo (interno y externo)</t>
  </si>
  <si>
    <t xml:space="preserve">Conductor </t>
  </si>
  <si>
    <t xml:space="preserve">2. Operativo </t>
  </si>
  <si>
    <t>Auxiliar De Mantenimiento - Llantas</t>
  </si>
  <si>
    <t>Auxiliar De Mantenimiento - Mecánica</t>
  </si>
  <si>
    <t>Apoyo Operacional - Flota Propia</t>
  </si>
  <si>
    <t>Auxiliar De Servicios Generales</t>
  </si>
  <si>
    <r>
      <t xml:space="preserve">Desplazamiento por áreas de circulación de empresas cliente
</t>
    </r>
    <r>
      <rPr>
        <b/>
        <sz val="11"/>
        <rFont val="Century Gothic"/>
        <family val="2"/>
      </rPr>
      <t xml:space="preserve">Contacto con partes salientes del vehículo.
</t>
    </r>
    <r>
      <rPr>
        <sz val="11"/>
        <rFont val="Century Gothic"/>
        <family val="2"/>
      </rPr>
      <t>Exposición a superficies calientes y fluidos a alta temperatura (agua caliente del radiador) durante la inspección y manipulación del sistema de refrigeración del vehículo.</t>
    </r>
  </si>
  <si>
    <t>Heridas, traumatismos, Golpes, Quemaduras
Quemadura leve en brazo derecho, Irritación cutánea, Dor y ardor local</t>
  </si>
  <si>
    <t>Programa de mantenimiento preventivo del vehículo</t>
  </si>
  <si>
    <t>Instalaciones propias: mantenimientos locativos 
Inspecciones de seguridad 
Señalización 
Manual de operación del vehículo.
Procedimiento general de revisión del vehículo</t>
  </si>
  <si>
    <t xml:space="preserve">*Exámenes ingreso, periódicos
*Experiencia del conductor.
* Uso de EPP </t>
  </si>
  <si>
    <t>Verificación periódica del estado de mangueras y abrazaderas del radiador dentro del plan de mantenimiento.
Uso de abrazaderas de mayor resistencia y calidad certificada.</t>
  </si>
  <si>
    <t>* ARO 
* Reporte de condiciones y actos inseguros 
* Actualizar el procedimiento de inspección en ruta, indicando prohibición de manipular el radiador cuando esté caliente.
* Reforzar el reporte inmediato de accidentes e incidentes, independientemente de la gravedad.</t>
  </si>
  <si>
    <t>Se actualiza la matriz de identificación de peligros y evaluación de riesgos, incorporando el riesgo asociado a la exposición a superficies y fluidos calientes durante inspecciones del sistema de refrigeración de vehículos en ruta, como resultado del análisis de un accidente de trabajo ocurrido. En el cargo Conductor.</t>
  </si>
  <si>
    <t xml:space="preserve">Se verifica controles esperados del cargo Certificador de Cargue y Descargue donde se idenfica que son aplicados lo cual se cambia para controles existentes. </t>
  </si>
  <si>
    <t xml:space="preserve">Se actualizó el peligro asociado al prceso Gestión de Transporte de Mercancía, pasando de peligro potencial a peligro expresado sobre el almacenamiento de estibas. Asimismo, se fortalecieron los controles tanto en la fuente como en la persona para mejorar la gestión del riesgo.
Nota: accidente ocurrio en mayo en sede Gienbra </t>
  </si>
  <si>
    <t xml:space="preserve">Se realiza la revisión de los peligros y riesgos asociados al cargo de certificador de cargue y descargue, con el acompañamiento del asesor Anderson Ocampo, y se actualiza teniendo en cuenta el accidente de trabajo ocurrido en el mes de abril. </t>
  </si>
  <si>
    <t>Se actualiza la matriz de identificación de peligros y evaluación de riesgos, incorporando el riesgo asociado a accidentes de tránsito durante el desplazamiento en motocicleta, derivado del análisis del accidente ocurrido el 24 de mayo.</t>
  </si>
  <si>
    <t>Lesiones osteomusculares                                  
Fracturas fatiga muscular 
Patologías lumbares 
Alteración de Túnel de Carpo
Potencial tendinitis
Trastornos musculoesqueléticos</t>
  </si>
  <si>
    <t>Lesiones osteomusculares                                   
Fracturas fatiga muscular 
Patologías lumbares 
Alteración de Túnel de Carpo
Potencial tendinitis
Trastornos musculoesqueléticos</t>
  </si>
  <si>
    <t>Se incluye en la matriz el cargo “Apoyo Operacional de Flota Propia”, identificando y evaluando los peligros según el tiempo de exposición y la actividad ejecutada. Como resultado, se clasifica un riesgo importante (1) asociado a la actividad de levantamiento de carpas y diez (10) riesgos de nivel moderado relacionados con otras actividades del cargo.</t>
  </si>
  <si>
    <t>Se realiza la actualización general de la matriz de identificación de peligros y evaluación de riesgos, quedando alineada con las actualizaciones del profesiograma y los perfiles de cargo, e incorporando los Grupos de Exposición Similar y los cargos correspondientes.</t>
  </si>
  <si>
    <t xml:space="preserve">Apoyo Operacional/Mensajería
Jefe De Seguridad
Líder De Flota Propia
Líder De SST
Auxiliar De Operaciones/Mensajero 
Líder De Ti
Auxiliar De Servicios Generales Y Operaciones
Coordinador De Control Tráfico
Embarcador 
</t>
  </si>
  <si>
    <t xml:space="preserve">Exposición de ruidos vía publica y vehiculo durante la jornada laboral </t>
  </si>
  <si>
    <t>Pérdida auditiva inducida por ruido</t>
  </si>
  <si>
    <t xml:space="preserve">COPASST 
Líder de SST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</si>
</sst>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m"/>
    <numFmt numFmtId="165" formatCode="_([$€]* #,##0.00_);_([$€]* \(#,##0.00\);_([$€]* &quot;-&quot;??_);_(@_)"/>
  </numFmts>
  <fonts count="63" x14ac:knownFonts="1">
    <font>
      <sz val="11"/>
      <name val="Arial"/>
    </font>
    <font>
      <sz val="8"/>
      <name val="Arial"/>
      <family val="2"/>
    </font>
    <font>
      <sz val="9"/>
      <color indexed="81"/>
      <name val="Tahoma"/>
      <family val="2"/>
    </font>
    <font>
      <sz val="11"/>
      <name val="Arial"/>
      <family val="2"/>
    </font>
    <font>
      <b/>
      <sz val="8"/>
      <color indexed="81"/>
      <name val="Tahoma"/>
      <family val="2"/>
    </font>
    <font>
      <sz val="8"/>
      <color indexed="81"/>
      <name val="Tahoma"/>
      <family val="2"/>
    </font>
    <font>
      <sz val="14"/>
      <name val="Arial"/>
      <family val="2"/>
    </font>
    <font>
      <sz val="10"/>
      <name val="Arial"/>
      <family val="2"/>
    </font>
    <font>
      <b/>
      <sz val="11"/>
      <name val="Arial"/>
      <family val="2"/>
    </font>
    <font>
      <sz val="8"/>
      <name val="Tahoma"/>
      <family val="2"/>
    </font>
    <font>
      <b/>
      <sz val="12"/>
      <name val="Tahoma"/>
      <family val="2"/>
    </font>
    <font>
      <sz val="9"/>
      <name val="Tahoma"/>
      <family val="2"/>
    </font>
    <font>
      <sz val="11"/>
      <name val="Tahoma"/>
      <family val="2"/>
    </font>
    <font>
      <b/>
      <sz val="11"/>
      <name val="Tahoma"/>
      <family val="2"/>
    </font>
    <font>
      <b/>
      <sz val="10"/>
      <name val="Tahoma"/>
      <family val="2"/>
    </font>
    <font>
      <sz val="10"/>
      <name val="Tahoma"/>
      <family val="2"/>
    </font>
    <font>
      <sz val="10"/>
      <color indexed="8"/>
      <name val="Tahoma"/>
      <family val="2"/>
    </font>
    <font>
      <b/>
      <sz val="8"/>
      <name val="Tahoma"/>
      <family val="2"/>
    </font>
    <font>
      <b/>
      <sz val="9"/>
      <name val="Tahoma"/>
      <family val="2"/>
    </font>
    <font>
      <sz val="12"/>
      <name val="Tahoma"/>
      <family val="2"/>
    </font>
    <font>
      <sz val="10"/>
      <name val="Century Gothic"/>
      <family val="2"/>
    </font>
    <font>
      <u/>
      <sz val="10"/>
      <color indexed="12"/>
      <name val="Arial"/>
      <family val="2"/>
    </font>
    <font>
      <b/>
      <sz val="12"/>
      <color indexed="10"/>
      <name val="Tahoma"/>
      <family val="2"/>
    </font>
    <font>
      <b/>
      <sz val="9"/>
      <color indexed="81"/>
      <name val="Tahoma"/>
      <family val="2"/>
    </font>
    <font>
      <sz val="11"/>
      <color theme="1"/>
      <name val="Calibri"/>
      <family val="2"/>
      <scheme val="minor"/>
    </font>
    <font>
      <u/>
      <sz val="9.5500000000000007"/>
      <color theme="10"/>
      <name val="Arial"/>
      <family val="2"/>
    </font>
    <font>
      <sz val="10"/>
      <color theme="1"/>
      <name val="Tahoma"/>
      <family val="2"/>
    </font>
    <font>
      <sz val="12"/>
      <color rgb="FFFF0000"/>
      <name val="Tahoma"/>
      <family val="2"/>
    </font>
    <font>
      <sz val="11"/>
      <color rgb="FFFF0000"/>
      <name val="Arial"/>
      <family val="2"/>
    </font>
    <font>
      <b/>
      <sz val="12"/>
      <color rgb="FFFF0000"/>
      <name val="Tahoma"/>
      <family val="2"/>
    </font>
    <font>
      <u/>
      <sz val="11"/>
      <color theme="11"/>
      <name val="Arial"/>
      <family val="2"/>
    </font>
    <font>
      <b/>
      <sz val="11"/>
      <color theme="0"/>
      <name val="Tahoma"/>
      <family val="2"/>
    </font>
    <font>
      <b/>
      <sz val="20"/>
      <color theme="0"/>
      <name val="Arial"/>
      <family val="2"/>
    </font>
    <font>
      <sz val="10"/>
      <name val="Cambria"/>
      <family val="1"/>
      <scheme val="major"/>
    </font>
    <font>
      <b/>
      <sz val="11"/>
      <color indexed="63"/>
      <name val="Trebuchet MS"/>
      <family val="2"/>
    </font>
    <font>
      <sz val="11"/>
      <color indexed="63"/>
      <name val="Trebuchet MS"/>
      <family val="2"/>
    </font>
    <font>
      <b/>
      <sz val="10"/>
      <color theme="1"/>
      <name val="Tahoma"/>
      <family val="2"/>
    </font>
    <font>
      <b/>
      <sz val="10"/>
      <color theme="0"/>
      <name val="Tahoma"/>
      <family val="2"/>
    </font>
    <font>
      <b/>
      <sz val="10"/>
      <color rgb="FFFF0000"/>
      <name val="Tahoma"/>
      <family val="2"/>
    </font>
    <font>
      <b/>
      <sz val="10"/>
      <name val="Arial"/>
      <family val="2"/>
    </font>
    <font>
      <b/>
      <sz val="8"/>
      <name val="Arial"/>
      <family val="2"/>
    </font>
    <font>
      <sz val="14"/>
      <name val="Tahoma"/>
      <family val="2"/>
    </font>
    <font>
      <b/>
      <sz val="10"/>
      <name val="Calibri"/>
      <family val="2"/>
      <scheme val="minor"/>
    </font>
    <font>
      <sz val="10"/>
      <color indexed="8"/>
      <name val="Calibri"/>
      <family val="2"/>
      <scheme val="minor"/>
    </font>
    <font>
      <sz val="10"/>
      <name val="Calibri"/>
      <family val="2"/>
      <scheme val="minor"/>
    </font>
    <font>
      <sz val="10"/>
      <color rgb="FF000000"/>
      <name val="Calibri"/>
      <family val="2"/>
      <scheme val="minor"/>
    </font>
    <font>
      <b/>
      <sz val="10"/>
      <color indexed="8"/>
      <name val="Calibri"/>
      <family val="2"/>
      <scheme val="minor"/>
    </font>
    <font>
      <sz val="14"/>
      <name val="Century Gothic"/>
      <family val="2"/>
    </font>
    <font>
      <b/>
      <sz val="14"/>
      <name val="Century Gothic"/>
      <family val="2"/>
    </font>
    <font>
      <b/>
      <sz val="10"/>
      <name val="Century Gothic"/>
      <family val="2"/>
    </font>
    <font>
      <b/>
      <sz val="13"/>
      <name val="Century Gothic"/>
      <family val="2"/>
    </font>
    <font>
      <b/>
      <sz val="12"/>
      <name val="Century Gothic"/>
      <family val="2"/>
    </font>
    <font>
      <b/>
      <sz val="12"/>
      <color rgb="FFFF0000"/>
      <name val="Century Gothic"/>
      <family val="2"/>
    </font>
    <font>
      <sz val="11"/>
      <name val="Century Gothic"/>
      <family val="2"/>
    </font>
    <font>
      <sz val="11"/>
      <color indexed="8"/>
      <name val="Century Gothic"/>
      <family val="2"/>
    </font>
    <font>
      <b/>
      <sz val="11"/>
      <name val="Century Gothic"/>
      <family val="2"/>
    </font>
    <font>
      <b/>
      <sz val="11"/>
      <color indexed="8"/>
      <name val="Century Gothic"/>
      <family val="2"/>
    </font>
    <font>
      <sz val="11"/>
      <color rgb="FF000000"/>
      <name val="Century Gothic"/>
      <family val="2"/>
    </font>
    <font>
      <sz val="11"/>
      <color theme="1"/>
      <name val="Century Gothic"/>
      <family val="2"/>
    </font>
    <font>
      <b/>
      <sz val="11"/>
      <color theme="1"/>
      <name val="Century Gothic"/>
      <family val="2"/>
    </font>
    <font>
      <b/>
      <sz val="11"/>
      <color theme="4"/>
      <name val="Century Gothic"/>
      <family val="2"/>
    </font>
    <font>
      <b/>
      <sz val="12"/>
      <color rgb="FF0070C0"/>
      <name val="Century Gothic"/>
      <family val="2"/>
    </font>
    <font>
      <sz val="11"/>
      <name val="Calibri"/>
      <family val="2"/>
    </font>
  </fonts>
  <fills count="23">
    <fill>
      <patternFill patternType="none"/>
    </fill>
    <fill>
      <patternFill patternType="gray125"/>
    </fill>
    <fill>
      <patternFill patternType="solid">
        <fgColor indexed="9"/>
        <bgColor indexed="64"/>
      </patternFill>
    </fill>
    <fill>
      <patternFill patternType="solid">
        <fgColor indexed="9"/>
        <bgColor indexed="26"/>
      </patternFill>
    </fill>
    <fill>
      <patternFill patternType="solid">
        <fgColor indexed="55"/>
        <bgColor indexed="23"/>
      </patternFill>
    </fill>
    <fill>
      <patternFill patternType="solid">
        <fgColor indexed="10"/>
        <bgColor indexed="60"/>
      </patternFill>
    </fill>
    <fill>
      <patternFill patternType="solid">
        <fgColor indexed="51"/>
        <bgColor indexed="13"/>
      </patternFill>
    </fill>
    <fill>
      <patternFill patternType="solid">
        <fgColor indexed="13"/>
        <bgColor indexed="34"/>
      </patternFill>
    </fill>
    <fill>
      <patternFill patternType="solid">
        <fgColor indexed="17"/>
        <bgColor indexed="21"/>
      </patternFill>
    </fill>
    <fill>
      <patternFill patternType="solid">
        <fgColor indexed="23"/>
        <bgColor indexed="55"/>
      </patternFill>
    </fill>
    <fill>
      <patternFill patternType="solid">
        <fgColor indexed="22"/>
        <bgColor indexed="31"/>
      </patternFill>
    </fill>
    <fill>
      <patternFill patternType="solid">
        <fgColor theme="0"/>
        <bgColor indexed="64"/>
      </patternFill>
    </fill>
    <fill>
      <patternFill patternType="solid">
        <fgColor rgb="FFFF0000"/>
        <bgColor indexed="64"/>
      </patternFill>
    </fill>
    <fill>
      <patternFill patternType="solid">
        <fgColor rgb="FFFFC000"/>
        <bgColor indexed="64"/>
      </patternFill>
    </fill>
    <fill>
      <patternFill patternType="solid">
        <fgColor rgb="FFFFFF00"/>
        <bgColor indexed="64"/>
      </patternFill>
    </fill>
    <fill>
      <patternFill patternType="solid">
        <fgColor rgb="FF00B050"/>
        <bgColor indexed="64"/>
      </patternFill>
    </fill>
    <fill>
      <patternFill patternType="solid">
        <fgColor theme="0"/>
        <bgColor indexed="26"/>
      </patternFill>
    </fill>
    <fill>
      <patternFill patternType="solid">
        <fgColor theme="0" tint="-0.14999847407452621"/>
        <bgColor indexed="64"/>
      </patternFill>
    </fill>
    <fill>
      <patternFill patternType="solid">
        <fgColor theme="0" tint="-0.499984740745262"/>
        <bgColor indexed="64"/>
      </patternFill>
    </fill>
    <fill>
      <patternFill patternType="solid">
        <fgColor theme="2" tint="-9.9978637043366805E-2"/>
        <bgColor indexed="64"/>
      </patternFill>
    </fill>
    <fill>
      <patternFill patternType="solid">
        <fgColor rgb="FFD9D9D9"/>
        <bgColor indexed="64"/>
      </patternFill>
    </fill>
    <fill>
      <patternFill patternType="solid">
        <fgColor theme="0" tint="-0.249977111117893"/>
        <bgColor indexed="64"/>
      </patternFill>
    </fill>
    <fill>
      <patternFill patternType="solid">
        <fgColor theme="6" tint="0.59999389629810485"/>
        <bgColor indexed="64"/>
      </patternFill>
    </fill>
  </fills>
  <borders count="59">
    <border>
      <left/>
      <right/>
      <top/>
      <bottom/>
      <diagonal/>
    </border>
    <border>
      <left style="thin">
        <color auto="1"/>
      </left>
      <right style="thin">
        <color auto="1"/>
      </right>
      <top style="thin">
        <color auto="1"/>
      </top>
      <bottom style="thin">
        <color auto="1"/>
      </bottom>
      <diagonal/>
    </border>
    <border>
      <left style="thin">
        <color indexed="59"/>
      </left>
      <right style="thin">
        <color indexed="59"/>
      </right>
      <top style="thin">
        <color indexed="59"/>
      </top>
      <bottom style="thin">
        <color indexed="59"/>
      </bottom>
      <diagonal/>
    </border>
    <border>
      <left/>
      <right/>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thin">
        <color auto="1"/>
      </left>
      <right style="medium">
        <color auto="1"/>
      </right>
      <top/>
      <bottom style="thin">
        <color auto="1"/>
      </bottom>
      <diagonal/>
    </border>
    <border>
      <left style="thin">
        <color indexed="59"/>
      </left>
      <right/>
      <top style="thin">
        <color indexed="59"/>
      </top>
      <bottom style="thin">
        <color indexed="59"/>
      </bottom>
      <diagonal/>
    </border>
    <border>
      <left/>
      <right/>
      <top style="thin">
        <color indexed="59"/>
      </top>
      <bottom style="thin">
        <color indexed="59"/>
      </bottom>
      <diagonal/>
    </border>
    <border>
      <left/>
      <right style="thin">
        <color indexed="59"/>
      </right>
      <top style="thin">
        <color indexed="59"/>
      </top>
      <bottom style="thin">
        <color indexed="59"/>
      </bottom>
      <diagonal/>
    </border>
    <border>
      <left/>
      <right style="thin">
        <color indexed="59"/>
      </right>
      <top/>
      <bottom style="thin">
        <color indexed="59"/>
      </bottom>
      <diagonal/>
    </border>
    <border>
      <left style="thin">
        <color auto="1"/>
      </left>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right/>
      <top style="thin">
        <color auto="1"/>
      </top>
      <bottom/>
      <diagonal/>
    </border>
    <border>
      <left style="thin">
        <color auto="1"/>
      </left>
      <right/>
      <top/>
      <bottom style="thin">
        <color auto="1"/>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auto="1"/>
      </left>
      <right style="thin">
        <color auto="1"/>
      </right>
      <top/>
      <bottom style="thin">
        <color auto="1"/>
      </bottom>
      <diagonal/>
    </border>
    <border>
      <left style="thin">
        <color theme="1"/>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top/>
      <bottom style="thin">
        <color auto="1"/>
      </bottom>
      <diagonal/>
    </border>
    <border>
      <left style="medium">
        <color auto="1"/>
      </left>
      <right style="medium">
        <color auto="1"/>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bottom style="medium">
        <color auto="1"/>
      </bottom>
      <diagonal/>
    </border>
    <border>
      <left/>
      <right style="medium">
        <color auto="1"/>
      </right>
      <top/>
      <bottom style="medium">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right/>
      <top/>
      <bottom style="thin">
        <color indexed="64"/>
      </bottom>
      <diagonal/>
    </border>
    <border>
      <left style="medium">
        <color indexed="64"/>
      </left>
      <right/>
      <top/>
      <bottom style="medium">
        <color indexed="64"/>
      </bottom>
      <diagonal/>
    </border>
    <border>
      <left style="hair">
        <color theme="4" tint="-0.499984740745262"/>
      </left>
      <right style="hair">
        <color theme="4" tint="-0.499984740745262"/>
      </right>
      <top style="hair">
        <color theme="4" tint="-0.499984740745262"/>
      </top>
      <bottom style="hair">
        <color theme="4" tint="-0.499984740745262"/>
      </bottom>
      <diagonal/>
    </border>
    <border>
      <left/>
      <right style="thin">
        <color indexed="64"/>
      </right>
      <top/>
      <bottom style="thin">
        <color indexed="64"/>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thin">
        <color auto="1"/>
      </right>
      <top/>
      <bottom style="thin">
        <color auto="1"/>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medium">
        <color indexed="64"/>
      </left>
      <right style="thin">
        <color auto="1"/>
      </right>
      <top/>
      <bottom style="medium">
        <color indexed="64"/>
      </bottom>
      <diagonal/>
    </border>
    <border>
      <left style="thin">
        <color auto="1"/>
      </left>
      <right style="thin">
        <color auto="1"/>
      </right>
      <top/>
      <bottom style="medium">
        <color indexed="64"/>
      </bottom>
      <diagonal/>
    </border>
    <border>
      <left style="thin">
        <color auto="1"/>
      </left>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top style="medium">
        <color auto="1"/>
      </top>
      <bottom style="medium">
        <color auto="1"/>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medium">
        <color indexed="64"/>
      </bottom>
      <diagonal/>
    </border>
    <border>
      <left style="medium">
        <color indexed="64"/>
      </left>
      <right style="medium">
        <color indexed="64"/>
      </right>
      <top style="medium">
        <color indexed="64"/>
      </top>
      <bottom/>
      <diagonal/>
    </border>
  </borders>
  <cellStyleXfs count="130">
    <xf numFmtId="0" fontId="0" fillId="0" borderId="0"/>
    <xf numFmtId="165" fontId="7" fillId="0" borderId="0" applyFont="0" applyFill="0" applyBorder="0" applyAlignment="0" applyProtection="0"/>
    <xf numFmtId="0" fontId="25" fillId="0" borderId="0" applyNumberFormat="0" applyFill="0" applyBorder="0" applyAlignment="0" applyProtection="0">
      <alignment vertical="top"/>
      <protection locked="0"/>
    </xf>
    <xf numFmtId="0" fontId="21" fillId="0" borderId="0" applyNumberFormat="0" applyFill="0" applyBorder="0" applyAlignment="0" applyProtection="0">
      <alignment vertical="top"/>
      <protection locked="0"/>
    </xf>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4" fillId="0" borderId="0"/>
    <xf numFmtId="0" fontId="7" fillId="0" borderId="0"/>
    <xf numFmtId="0" fontId="7" fillId="0" borderId="0"/>
    <xf numFmtId="0" fontId="7" fillId="0" borderId="0"/>
    <xf numFmtId="0" fontId="7" fillId="0" borderId="0"/>
    <xf numFmtId="0" fontId="24" fillId="0" borderId="0"/>
    <xf numFmtId="0" fontId="7" fillId="0" borderId="0"/>
    <xf numFmtId="0" fontId="20" fillId="0" borderId="0"/>
    <xf numFmtId="0" fontId="7" fillId="0" borderId="0"/>
    <xf numFmtId="0" fontId="7" fillId="0" borderId="0"/>
    <xf numFmtId="0" fontId="7" fillId="0" borderId="0"/>
    <xf numFmtId="0" fontId="7" fillId="0" borderId="0"/>
    <xf numFmtId="9" fontId="20" fillId="0" borderId="0" applyFon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cellStyleXfs>
  <cellXfs count="419">
    <xf numFmtId="0" fontId="0" fillId="0" borderId="0" xfId="0"/>
    <xf numFmtId="0" fontId="6" fillId="0" borderId="0" xfId="0" applyFont="1"/>
    <xf numFmtId="0" fontId="0" fillId="2" borderId="0" xfId="0" applyFill="1"/>
    <xf numFmtId="0" fontId="1" fillId="2" borderId="0" xfId="0" applyFont="1" applyFill="1"/>
    <xf numFmtId="0" fontId="1" fillId="0" borderId="1" xfId="0" applyFont="1" applyBorder="1" applyAlignment="1">
      <alignment vertical="center" wrapText="1"/>
    </xf>
    <xf numFmtId="0" fontId="0" fillId="11" borderId="0" xfId="0" applyFill="1"/>
    <xf numFmtId="0" fontId="12" fillId="0" borderId="0" xfId="0" applyFont="1"/>
    <xf numFmtId="0" fontId="0" fillId="0" borderId="1" xfId="0" applyBorder="1"/>
    <xf numFmtId="0" fontId="12" fillId="11" borderId="0" xfId="0" applyFont="1" applyFill="1"/>
    <xf numFmtId="0" fontId="15" fillId="11" borderId="1" xfId="0" applyFont="1" applyFill="1" applyBorder="1" applyAlignment="1">
      <alignment vertical="center" wrapText="1"/>
    </xf>
    <xf numFmtId="0" fontId="15" fillId="11" borderId="0" xfId="0" applyFont="1" applyFill="1" applyAlignment="1">
      <alignment vertical="center" wrapText="1"/>
    </xf>
    <xf numFmtId="0" fontId="7" fillId="0" borderId="0" xfId="0" applyFont="1"/>
    <xf numFmtId="0" fontId="15" fillId="11" borderId="0" xfId="0" applyFont="1" applyFill="1"/>
    <xf numFmtId="0" fontId="16" fillId="11" borderId="1" xfId="0" applyFont="1" applyFill="1" applyBorder="1" applyAlignment="1">
      <alignment vertical="center" wrapText="1"/>
    </xf>
    <xf numFmtId="0" fontId="16" fillId="11" borderId="0" xfId="0" applyFont="1" applyFill="1"/>
    <xf numFmtId="0" fontId="16" fillId="11" borderId="0" xfId="0" applyFont="1" applyFill="1" applyAlignment="1">
      <alignment wrapText="1"/>
    </xf>
    <xf numFmtId="0" fontId="15" fillId="0" borderId="1" xfId="0" applyFont="1" applyBorder="1" applyAlignment="1">
      <alignment vertical="center" wrapText="1"/>
    </xf>
    <xf numFmtId="0" fontId="15" fillId="11" borderId="0" xfId="0" applyFont="1" applyFill="1" applyAlignment="1">
      <alignment wrapText="1"/>
    </xf>
    <xf numFmtId="0" fontId="7" fillId="11" borderId="0" xfId="0" applyFont="1" applyFill="1"/>
    <xf numFmtId="0" fontId="9" fillId="0" borderId="1" xfId="0" applyFont="1" applyBorder="1" applyAlignment="1">
      <alignment horizontal="center" vertical="center"/>
    </xf>
    <xf numFmtId="0" fontId="9" fillId="0" borderId="1" xfId="0" applyFont="1" applyBorder="1" applyAlignment="1">
      <alignment horizontal="center" vertical="center" wrapText="1"/>
    </xf>
    <xf numFmtId="0" fontId="11" fillId="12" borderId="1" xfId="0" applyFont="1" applyFill="1" applyBorder="1" applyAlignment="1">
      <alignment horizontal="center" vertical="center"/>
    </xf>
    <xf numFmtId="0" fontId="11" fillId="0" borderId="1" xfId="0" applyFont="1" applyBorder="1" applyAlignment="1">
      <alignment horizontal="center" vertical="center"/>
    </xf>
    <xf numFmtId="0" fontId="11" fillId="13" borderId="1" xfId="0" applyFont="1" applyFill="1" applyBorder="1" applyAlignment="1">
      <alignment horizontal="center" vertical="center"/>
    </xf>
    <xf numFmtId="0" fontId="11" fillId="14" borderId="1" xfId="0" applyFont="1" applyFill="1" applyBorder="1" applyAlignment="1">
      <alignment horizontal="center" vertical="center"/>
    </xf>
    <xf numFmtId="0" fontId="11" fillId="15" borderId="1" xfId="0" applyFont="1" applyFill="1" applyBorder="1" applyAlignment="1">
      <alignment horizontal="center" vertical="center"/>
    </xf>
    <xf numFmtId="0" fontId="11" fillId="0" borderId="1" xfId="0" applyFont="1" applyBorder="1" applyAlignment="1">
      <alignment horizontal="center" vertical="center" wrapText="1"/>
    </xf>
    <xf numFmtId="0" fontId="0" fillId="3" borderId="0" xfId="0" applyFill="1"/>
    <xf numFmtId="0" fontId="1" fillId="3" borderId="0" xfId="0" applyFont="1" applyFill="1"/>
    <xf numFmtId="0" fontId="12" fillId="3" borderId="0" xfId="0" applyFont="1" applyFill="1"/>
    <xf numFmtId="0" fontId="9" fillId="3" borderId="0" xfId="0" applyFont="1" applyFill="1"/>
    <xf numFmtId="0" fontId="9" fillId="2" borderId="0" xfId="0" applyFont="1" applyFill="1"/>
    <xf numFmtId="0" fontId="9" fillId="3" borderId="0" xfId="0" applyFont="1" applyFill="1" applyAlignment="1">
      <alignment horizontal="center" vertical="center"/>
    </xf>
    <xf numFmtId="0" fontId="9" fillId="2" borderId="0" xfId="0" applyFont="1" applyFill="1" applyAlignment="1">
      <alignment vertical="center" wrapText="1"/>
    </xf>
    <xf numFmtId="0" fontId="9" fillId="3" borderId="0" xfId="0" applyFont="1" applyFill="1" applyAlignment="1">
      <alignment horizontal="center" vertical="center" wrapText="1"/>
    </xf>
    <xf numFmtId="0" fontId="9" fillId="2" borderId="0" xfId="0" applyFont="1" applyFill="1" applyAlignment="1">
      <alignment horizontal="center" vertical="center"/>
    </xf>
    <xf numFmtId="0" fontId="9" fillId="3" borderId="0" xfId="0" applyFont="1" applyFill="1" applyAlignment="1">
      <alignment vertical="center"/>
    </xf>
    <xf numFmtId="0" fontId="9" fillId="3" borderId="0" xfId="0" applyFont="1" applyFill="1" applyAlignment="1">
      <alignment vertical="center" wrapText="1"/>
    </xf>
    <xf numFmtId="0" fontId="9" fillId="3" borderId="0" xfId="0" applyFont="1" applyFill="1" applyAlignment="1">
      <alignment horizontal="left" vertical="center" wrapText="1"/>
    </xf>
    <xf numFmtId="0" fontId="9" fillId="3" borderId="0" xfId="0" applyFont="1" applyFill="1" applyAlignment="1">
      <alignment horizontal="right"/>
    </xf>
    <xf numFmtId="0" fontId="17" fillId="4" borderId="1" xfId="0" applyFont="1" applyFill="1" applyBorder="1" applyAlignment="1">
      <alignment horizontal="center" vertical="center" wrapText="1"/>
    </xf>
    <xf numFmtId="0" fontId="18" fillId="4" borderId="1" xfId="0" applyFont="1" applyFill="1" applyBorder="1" applyAlignment="1">
      <alignment horizontal="center" vertical="center" wrapText="1"/>
    </xf>
    <xf numFmtId="0" fontId="11" fillId="5" borderId="1" xfId="0" applyFont="1" applyFill="1" applyBorder="1" applyAlignment="1">
      <alignment horizontal="center" vertical="center" wrapText="1"/>
    </xf>
    <xf numFmtId="0" fontId="11" fillId="6" borderId="1" xfId="0" applyFont="1" applyFill="1" applyBorder="1" applyAlignment="1">
      <alignment horizontal="center" vertical="center" wrapText="1"/>
    </xf>
    <xf numFmtId="0" fontId="11" fillId="7" borderId="1" xfId="0" applyFont="1" applyFill="1" applyBorder="1" applyAlignment="1">
      <alignment horizontal="center" vertical="center" wrapText="1"/>
    </xf>
    <xf numFmtId="0" fontId="11" fillId="8" borderId="1" xfId="0" applyFont="1" applyFill="1" applyBorder="1" applyAlignment="1">
      <alignment horizontal="center" vertical="center" wrapText="1"/>
    </xf>
    <xf numFmtId="0" fontId="11" fillId="5" borderId="1" xfId="0" applyFont="1" applyFill="1" applyBorder="1" applyAlignment="1">
      <alignment horizontal="center" vertical="center"/>
    </xf>
    <xf numFmtId="0" fontId="11" fillId="6" borderId="1" xfId="0" applyFont="1" applyFill="1" applyBorder="1" applyAlignment="1">
      <alignment horizontal="center" vertical="center"/>
    </xf>
    <xf numFmtId="0" fontId="11" fillId="7" borderId="1" xfId="0" applyFont="1" applyFill="1" applyBorder="1" applyAlignment="1">
      <alignment horizontal="center" vertical="center"/>
    </xf>
    <xf numFmtId="0" fontId="11" fillId="8" borderId="1" xfId="0" applyFont="1" applyFill="1" applyBorder="1" applyAlignment="1">
      <alignment horizontal="center" vertical="center"/>
    </xf>
    <xf numFmtId="0" fontId="11" fillId="0" borderId="2" xfId="0" applyFont="1" applyBorder="1" applyAlignment="1">
      <alignment horizontal="center" vertical="center" wrapText="1"/>
    </xf>
    <xf numFmtId="0" fontId="11" fillId="0" borderId="2" xfId="0" applyFont="1" applyBorder="1" applyAlignment="1">
      <alignment horizontal="center" vertical="center"/>
    </xf>
    <xf numFmtId="0" fontId="11" fillId="9" borderId="2" xfId="0" applyFont="1" applyFill="1" applyBorder="1" applyAlignment="1">
      <alignment horizontal="center" vertical="center"/>
    </xf>
    <xf numFmtId="0" fontId="11" fillId="9" borderId="2" xfId="0" applyFont="1" applyFill="1" applyBorder="1" applyAlignment="1">
      <alignment horizontal="center" vertical="center" wrapText="1"/>
    </xf>
    <xf numFmtId="0" fontId="11" fillId="4" borderId="2" xfId="0" applyFont="1" applyFill="1" applyBorder="1" applyAlignment="1">
      <alignment horizontal="center" vertical="center" wrapText="1"/>
    </xf>
    <xf numFmtId="0" fontId="11" fillId="4" borderId="2" xfId="0" applyFont="1" applyFill="1" applyBorder="1" applyAlignment="1">
      <alignment horizontal="center" vertical="center"/>
    </xf>
    <xf numFmtId="0" fontId="9" fillId="12" borderId="1" xfId="0" applyFont="1" applyFill="1" applyBorder="1" applyAlignment="1">
      <alignment horizontal="center" vertical="center" wrapText="1"/>
    </xf>
    <xf numFmtId="0" fontId="9" fillId="14" borderId="1" xfId="0" applyFont="1" applyFill="1" applyBorder="1" applyAlignment="1">
      <alignment horizontal="center" vertical="center" wrapText="1"/>
    </xf>
    <xf numFmtId="0" fontId="9" fillId="13" borderId="1" xfId="0" applyFont="1" applyFill="1" applyBorder="1" applyAlignment="1">
      <alignment horizontal="center" vertical="center" wrapText="1"/>
    </xf>
    <xf numFmtId="0" fontId="9" fillId="5" borderId="1" xfId="0" applyFont="1" applyFill="1" applyBorder="1" applyAlignment="1">
      <alignment vertical="center" wrapText="1"/>
    </xf>
    <xf numFmtId="0" fontId="9" fillId="5" borderId="1" xfId="0" applyFont="1" applyFill="1" applyBorder="1" applyAlignment="1">
      <alignment horizontal="left" vertical="center" wrapText="1"/>
    </xf>
    <xf numFmtId="0" fontId="9" fillId="7" borderId="1" xfId="0" applyFont="1" applyFill="1" applyBorder="1" applyAlignment="1">
      <alignment vertical="center" wrapText="1"/>
    </xf>
    <xf numFmtId="0" fontId="17" fillId="8" borderId="1" xfId="0" applyFont="1" applyFill="1" applyBorder="1" applyAlignment="1">
      <alignment horizontal="right" vertical="center" wrapText="1"/>
    </xf>
    <xf numFmtId="0" fontId="9" fillId="7" borderId="1" xfId="0" applyFont="1" applyFill="1" applyBorder="1" applyAlignment="1">
      <alignment horizontal="left" vertical="center" wrapText="1"/>
    </xf>
    <xf numFmtId="0" fontId="9" fillId="8" borderId="1" xfId="0" applyFont="1" applyFill="1" applyBorder="1" applyAlignment="1">
      <alignment horizontal="left" vertical="center"/>
    </xf>
    <xf numFmtId="0" fontId="9" fillId="8" borderId="1" xfId="0" applyFont="1" applyFill="1" applyBorder="1" applyAlignment="1">
      <alignment horizontal="right"/>
    </xf>
    <xf numFmtId="164" fontId="9" fillId="0" borderId="1" xfId="0" applyNumberFormat="1" applyFont="1" applyBorder="1" applyAlignment="1">
      <alignment horizontal="center" vertical="center" wrapText="1"/>
    </xf>
    <xf numFmtId="0" fontId="11" fillId="8" borderId="1" xfId="0" applyFont="1" applyFill="1" applyBorder="1" applyAlignment="1">
      <alignment horizontal="left" vertical="center" wrapText="1"/>
    </xf>
    <xf numFmtId="0" fontId="18" fillId="10" borderId="1" xfId="0" applyFont="1" applyFill="1" applyBorder="1" applyAlignment="1">
      <alignment horizontal="center" vertical="center"/>
    </xf>
    <xf numFmtId="0" fontId="18" fillId="4" borderId="1" xfId="0" applyFont="1" applyFill="1" applyBorder="1" applyAlignment="1">
      <alignment horizontal="left" vertical="center" wrapText="1"/>
    </xf>
    <xf numFmtId="0" fontId="11" fillId="12" borderId="1" xfId="0" applyFont="1" applyFill="1" applyBorder="1" applyAlignment="1">
      <alignment horizontal="left" vertical="center" wrapText="1"/>
    </xf>
    <xf numFmtId="0" fontId="11" fillId="13" borderId="1" xfId="0" applyFont="1" applyFill="1" applyBorder="1" applyAlignment="1">
      <alignment horizontal="left" vertical="center" wrapText="1"/>
    </xf>
    <xf numFmtId="0" fontId="11" fillId="14" borderId="1" xfId="0" applyFont="1" applyFill="1" applyBorder="1" applyAlignment="1">
      <alignment horizontal="left" vertical="center" wrapText="1"/>
    </xf>
    <xf numFmtId="0" fontId="1" fillId="5" borderId="1" xfId="0" applyFont="1" applyFill="1" applyBorder="1" applyAlignment="1">
      <alignment horizontal="left" vertical="center" wrapText="1"/>
    </xf>
    <xf numFmtId="0" fontId="1" fillId="7" borderId="1" xfId="0" applyFont="1" applyFill="1" applyBorder="1" applyAlignment="1">
      <alignment horizontal="left" vertical="center" wrapText="1"/>
    </xf>
    <xf numFmtId="0" fontId="18" fillId="4" borderId="1" xfId="0" applyFont="1" applyFill="1" applyBorder="1"/>
    <xf numFmtId="0" fontId="18" fillId="0" borderId="3" xfId="0" applyFont="1" applyBorder="1" applyAlignment="1">
      <alignment vertical="center"/>
    </xf>
    <xf numFmtId="0" fontId="12" fillId="0" borderId="0" xfId="0" applyFont="1" applyAlignment="1">
      <alignment vertical="center"/>
    </xf>
    <xf numFmtId="0" fontId="9" fillId="16" borderId="0" xfId="0" applyFont="1" applyFill="1"/>
    <xf numFmtId="0" fontId="0" fillId="16" borderId="0" xfId="0" applyFill="1"/>
    <xf numFmtId="0" fontId="14" fillId="17" borderId="4" xfId="0" applyFont="1" applyFill="1" applyBorder="1" applyAlignment="1">
      <alignment vertical="center" wrapText="1"/>
    </xf>
    <xf numFmtId="0" fontId="11" fillId="0" borderId="0" xfId="0" applyFont="1" applyAlignment="1">
      <alignment horizontal="center" vertical="center" wrapText="1"/>
    </xf>
    <xf numFmtId="0" fontId="11" fillId="0" borderId="0" xfId="0" applyFont="1" applyAlignment="1">
      <alignment horizontal="center" vertical="center"/>
    </xf>
    <xf numFmtId="0" fontId="14" fillId="17" borderId="1" xfId="0" applyFont="1" applyFill="1" applyBorder="1" applyAlignment="1">
      <alignment horizontal="left" vertical="center" wrapText="1"/>
    </xf>
    <xf numFmtId="0" fontId="8" fillId="0" borderId="1" xfId="0" applyFont="1" applyBorder="1"/>
    <xf numFmtId="0" fontId="8" fillId="0" borderId="1" xfId="0" applyFont="1" applyBorder="1" applyAlignment="1">
      <alignment horizontal="center"/>
    </xf>
    <xf numFmtId="0" fontId="0" fillId="0" borderId="1" xfId="0" applyBorder="1" applyAlignment="1">
      <alignment vertical="center"/>
    </xf>
    <xf numFmtId="0" fontId="3" fillId="0" borderId="1" xfId="0" applyFont="1" applyBorder="1"/>
    <xf numFmtId="0" fontId="3" fillId="0" borderId="1" xfId="0" applyFont="1" applyBorder="1" applyAlignment="1">
      <alignment vertical="center"/>
    </xf>
    <xf numFmtId="0" fontId="3" fillId="0" borderId="1" xfId="0" applyFont="1" applyBorder="1" applyAlignment="1">
      <alignment horizontal="left" vertical="center"/>
    </xf>
    <xf numFmtId="0" fontId="25" fillId="0" borderId="1" xfId="2" applyBorder="1" applyAlignment="1" applyProtection="1">
      <alignment horizontal="left" vertical="center"/>
    </xf>
    <xf numFmtId="0" fontId="26" fillId="11" borderId="1" xfId="0" applyFont="1" applyFill="1" applyBorder="1" applyAlignment="1">
      <alignment vertical="center" wrapText="1"/>
    </xf>
    <xf numFmtId="0" fontId="26" fillId="0" borderId="1" xfId="0" applyFont="1" applyBorder="1" applyAlignment="1">
      <alignment vertical="center" wrapText="1"/>
    </xf>
    <xf numFmtId="0" fontId="19" fillId="0" borderId="1" xfId="0" applyFont="1" applyBorder="1" applyAlignment="1">
      <alignment vertical="center"/>
    </xf>
    <xf numFmtId="0" fontId="10" fillId="17" borderId="1" xfId="0" applyFont="1" applyFill="1" applyBorder="1" applyAlignment="1">
      <alignment horizontal="center" vertical="center" wrapText="1"/>
    </xf>
    <xf numFmtId="0" fontId="10" fillId="17" borderId="1" xfId="0" applyFont="1" applyFill="1" applyBorder="1" applyAlignment="1">
      <alignment horizontal="center"/>
    </xf>
    <xf numFmtId="0" fontId="19" fillId="0" borderId="1" xfId="0" applyFont="1" applyBorder="1" applyAlignment="1">
      <alignment vertical="center" wrapText="1"/>
    </xf>
    <xf numFmtId="0" fontId="19" fillId="17" borderId="1" xfId="0" applyFont="1" applyFill="1" applyBorder="1" applyAlignment="1">
      <alignment vertical="center" wrapText="1"/>
    </xf>
    <xf numFmtId="0" fontId="10" fillId="17" borderId="6" xfId="0" applyFont="1" applyFill="1" applyBorder="1" applyAlignment="1">
      <alignment horizontal="center" vertical="center"/>
    </xf>
    <xf numFmtId="0" fontId="10" fillId="17" borderId="1" xfId="0" applyFont="1" applyFill="1" applyBorder="1" applyAlignment="1">
      <alignment horizontal="center" vertical="center"/>
    </xf>
    <xf numFmtId="0" fontId="10" fillId="17" borderId="6" xfId="0" applyFont="1" applyFill="1" applyBorder="1" applyAlignment="1">
      <alignment horizontal="center" vertical="center" wrapText="1"/>
    </xf>
    <xf numFmtId="0" fontId="19" fillId="0" borderId="6" xfId="0" applyFont="1" applyBorder="1" applyAlignment="1">
      <alignment vertical="center" wrapText="1"/>
    </xf>
    <xf numFmtId="0" fontId="19" fillId="17" borderId="6" xfId="0" applyFont="1" applyFill="1" applyBorder="1" applyAlignment="1">
      <alignment vertical="center" wrapText="1"/>
    </xf>
    <xf numFmtId="0" fontId="0" fillId="17" borderId="1" xfId="0" applyFill="1" applyBorder="1"/>
    <xf numFmtId="0" fontId="3" fillId="0" borderId="0" xfId="0" applyFont="1"/>
    <xf numFmtId="0" fontId="19" fillId="11" borderId="1" xfId="0" applyFont="1" applyFill="1" applyBorder="1" applyAlignment="1">
      <alignment vertical="center" wrapText="1"/>
    </xf>
    <xf numFmtId="0" fontId="27" fillId="0" borderId="1" xfId="0" applyFont="1" applyBorder="1" applyAlignment="1">
      <alignment vertical="center" wrapText="1"/>
    </xf>
    <xf numFmtId="0" fontId="28" fillId="17" borderId="1" xfId="0" applyFont="1" applyFill="1" applyBorder="1"/>
    <xf numFmtId="0" fontId="19" fillId="0" borderId="1" xfId="0" quotePrefix="1" applyFont="1" applyBorder="1" applyAlignment="1">
      <alignment vertical="center" wrapText="1"/>
    </xf>
    <xf numFmtId="14" fontId="33" fillId="0" borderId="22" xfId="0" applyNumberFormat="1" applyFont="1" applyBorder="1" applyAlignment="1">
      <alignment horizontal="center" vertical="center"/>
    </xf>
    <xf numFmtId="0" fontId="33" fillId="0" borderId="22" xfId="0" applyFont="1" applyBorder="1" applyAlignment="1">
      <alignment wrapText="1"/>
    </xf>
    <xf numFmtId="0" fontId="33" fillId="0" borderId="22" xfId="0" applyFont="1" applyBorder="1" applyAlignment="1">
      <alignment horizontal="left" vertical="center" wrapText="1"/>
    </xf>
    <xf numFmtId="14" fontId="33" fillId="0" borderId="18" xfId="0" applyNumberFormat="1" applyFont="1" applyBorder="1" applyAlignment="1">
      <alignment horizontal="center" vertical="center"/>
    </xf>
    <xf numFmtId="0" fontId="33" fillId="0" borderId="18" xfId="0" applyFont="1" applyBorder="1" applyAlignment="1">
      <alignment wrapText="1"/>
    </xf>
    <xf numFmtId="0" fontId="33" fillId="0" borderId="18" xfId="0" applyFont="1" applyBorder="1" applyAlignment="1">
      <alignment horizontal="left" vertical="center" wrapText="1"/>
    </xf>
    <xf numFmtId="0" fontId="19" fillId="0" borderId="23" xfId="0" applyFont="1" applyBorder="1" applyAlignment="1">
      <alignment vertical="center" wrapText="1"/>
    </xf>
    <xf numFmtId="14" fontId="33" fillId="0" borderId="23" xfId="0" applyNumberFormat="1" applyFont="1" applyBorder="1" applyAlignment="1">
      <alignment horizontal="center" vertical="center"/>
    </xf>
    <xf numFmtId="0" fontId="33" fillId="0" borderId="23" xfId="0" applyFont="1" applyBorder="1" applyAlignment="1">
      <alignment horizontal="left" vertical="center" wrapText="1"/>
    </xf>
    <xf numFmtId="0" fontId="10" fillId="17" borderId="23" xfId="0" applyFont="1" applyFill="1" applyBorder="1" applyAlignment="1">
      <alignment horizontal="center" vertical="center" wrapText="1"/>
    </xf>
    <xf numFmtId="0" fontId="29" fillId="17" borderId="23" xfId="0" applyFont="1" applyFill="1" applyBorder="1" applyAlignment="1">
      <alignment vertical="center" wrapText="1"/>
    </xf>
    <xf numFmtId="0" fontId="19" fillId="0" borderId="23" xfId="0" quotePrefix="1" applyFont="1" applyBorder="1" applyAlignment="1">
      <alignment vertical="center"/>
    </xf>
    <xf numFmtId="0" fontId="0" fillId="0" borderId="23" xfId="0" applyBorder="1"/>
    <xf numFmtId="0" fontId="10" fillId="17" borderId="1" xfId="0" quotePrefix="1" applyFont="1" applyFill="1" applyBorder="1" applyAlignment="1">
      <alignment horizontal="center" vertical="center"/>
    </xf>
    <xf numFmtId="0" fontId="10" fillId="0" borderId="6" xfId="0" applyFont="1" applyBorder="1" applyAlignment="1">
      <alignment horizontal="center" vertical="center" wrapText="1"/>
    </xf>
    <xf numFmtId="0" fontId="34" fillId="20" borderId="28" xfId="0" applyFont="1" applyFill="1" applyBorder="1" applyAlignment="1">
      <alignment horizontal="center" vertical="center"/>
    </xf>
    <xf numFmtId="0" fontId="34" fillId="20" borderId="29" xfId="0" applyFont="1" applyFill="1" applyBorder="1" applyAlignment="1">
      <alignment horizontal="center" vertical="center"/>
    </xf>
    <xf numFmtId="0" fontId="35" fillId="0" borderId="31" xfId="0" applyFont="1" applyBorder="1" applyAlignment="1">
      <alignment horizontal="center" vertical="center"/>
    </xf>
    <xf numFmtId="0" fontId="35" fillId="0" borderId="31" xfId="0" applyFont="1" applyBorder="1" applyAlignment="1">
      <alignment vertical="center"/>
    </xf>
    <xf numFmtId="0" fontId="19" fillId="0" borderId="32" xfId="0" applyFont="1" applyBorder="1" applyAlignment="1">
      <alignment vertical="center" wrapText="1"/>
    </xf>
    <xf numFmtId="0" fontId="19" fillId="0" borderId="26" xfId="0" applyFont="1" applyBorder="1" applyAlignment="1">
      <alignment vertical="center" wrapText="1"/>
    </xf>
    <xf numFmtId="0" fontId="19" fillId="0" borderId="26" xfId="0" applyFont="1" applyBorder="1" applyAlignment="1">
      <alignment vertical="center"/>
    </xf>
    <xf numFmtId="0" fontId="14" fillId="17" borderId="26" xfId="0" applyFont="1" applyFill="1" applyBorder="1" applyAlignment="1">
      <alignment horizontal="center" vertical="center" wrapText="1"/>
    </xf>
    <xf numFmtId="0" fontId="35" fillId="0" borderId="30" xfId="0" applyFont="1" applyBorder="1" applyAlignment="1">
      <alignment vertical="center"/>
    </xf>
    <xf numFmtId="0" fontId="35" fillId="0" borderId="30" xfId="0" applyFont="1" applyBorder="1" applyAlignment="1">
      <alignment vertical="center" wrapText="1"/>
    </xf>
    <xf numFmtId="0" fontId="15" fillId="0" borderId="0" xfId="0" applyFont="1"/>
    <xf numFmtId="0" fontId="14" fillId="11" borderId="0" xfId="0" applyFont="1" applyFill="1"/>
    <xf numFmtId="0" fontId="14" fillId="11" borderId="0" xfId="0" applyFont="1" applyFill="1" applyAlignment="1">
      <alignment vertical="center" wrapText="1"/>
    </xf>
    <xf numFmtId="0" fontId="14" fillId="11" borderId="0" xfId="0" applyFont="1" applyFill="1" applyAlignment="1">
      <alignment horizontal="left"/>
    </xf>
    <xf numFmtId="0" fontId="14" fillId="11" borderId="0" xfId="0" applyFont="1" applyFill="1" applyAlignment="1">
      <alignment horizontal="left" wrapText="1"/>
    </xf>
    <xf numFmtId="0" fontId="14" fillId="11" borderId="0" xfId="0" applyFont="1" applyFill="1" applyAlignment="1">
      <alignment vertical="center"/>
    </xf>
    <xf numFmtId="0" fontId="14" fillId="11" borderId="0" xfId="0" applyFont="1" applyFill="1" applyAlignment="1">
      <alignment horizontal="center"/>
    </xf>
    <xf numFmtId="0" fontId="38" fillId="11" borderId="0" xfId="0" applyFont="1" applyFill="1" applyAlignment="1">
      <alignment horizontal="center"/>
    </xf>
    <xf numFmtId="0" fontId="14" fillId="11" borderId="0" xfId="0" applyFont="1" applyFill="1" applyAlignment="1">
      <alignment horizontal="center" vertical="center"/>
    </xf>
    <xf numFmtId="0" fontId="14" fillId="11" borderId="0" xfId="0" applyFont="1" applyFill="1" applyAlignment="1">
      <alignment horizontal="left" vertical="center" wrapText="1"/>
    </xf>
    <xf numFmtId="0" fontId="15" fillId="0" borderId="0" xfId="0" applyFont="1" applyAlignment="1">
      <alignment horizontal="center"/>
    </xf>
    <xf numFmtId="0" fontId="15" fillId="0" borderId="0" xfId="0" applyFont="1" applyAlignment="1">
      <alignment horizontal="center" vertical="center"/>
    </xf>
    <xf numFmtId="0" fontId="15" fillId="0" borderId="0" xfId="0" applyFont="1" applyAlignment="1">
      <alignment horizontal="left"/>
    </xf>
    <xf numFmtId="0" fontId="39" fillId="17" borderId="18" xfId="0" applyFont="1" applyFill="1" applyBorder="1" applyAlignment="1">
      <alignment horizontal="center" vertical="center" wrapText="1"/>
    </xf>
    <xf numFmtId="0" fontId="39" fillId="11" borderId="28" xfId="0" applyFont="1" applyFill="1" applyBorder="1" applyAlignment="1">
      <alignment vertical="center" wrapText="1"/>
    </xf>
    <xf numFmtId="0" fontId="39" fillId="11" borderId="28" xfId="0" applyFont="1" applyFill="1" applyBorder="1" applyAlignment="1">
      <alignment horizontal="center" vertical="center" wrapText="1"/>
    </xf>
    <xf numFmtId="0" fontId="39" fillId="11" borderId="36" xfId="0" applyFont="1" applyFill="1" applyBorder="1" applyAlignment="1">
      <alignment vertical="center" wrapText="1"/>
    </xf>
    <xf numFmtId="0" fontId="8" fillId="21" borderId="26" xfId="0" applyFont="1" applyFill="1" applyBorder="1" applyAlignment="1">
      <alignment horizontal="center" vertical="center"/>
    </xf>
    <xf numFmtId="0" fontId="41" fillId="0" borderId="13" xfId="0" applyFont="1" applyBorder="1" applyAlignment="1">
      <alignment vertical="center"/>
    </xf>
    <xf numFmtId="0" fontId="41" fillId="0" borderId="26" xfId="0" applyFont="1" applyBorder="1" applyAlignment="1">
      <alignment vertical="center" wrapText="1"/>
    </xf>
    <xf numFmtId="0" fontId="41" fillId="0" borderId="0" xfId="0" applyFont="1"/>
    <xf numFmtId="0" fontId="41" fillId="11" borderId="26" xfId="0" applyFont="1" applyFill="1" applyBorder="1" applyAlignment="1">
      <alignment vertical="center" wrapText="1"/>
    </xf>
    <xf numFmtId="0" fontId="6" fillId="0" borderId="26" xfId="0" applyFont="1" applyBorder="1"/>
    <xf numFmtId="0" fontId="15" fillId="17" borderId="26" xfId="0" applyFont="1" applyFill="1" applyBorder="1" applyAlignment="1">
      <alignment horizontal="center"/>
    </xf>
    <xf numFmtId="0" fontId="14" fillId="19" borderId="26" xfId="0" applyFont="1" applyFill="1" applyBorder="1" applyAlignment="1">
      <alignment horizontal="center" vertical="center" wrapText="1"/>
    </xf>
    <xf numFmtId="0" fontId="14" fillId="17" borderId="26" xfId="0" applyFont="1" applyFill="1" applyBorder="1" applyAlignment="1">
      <alignment horizontal="center" vertical="center" textRotation="90" wrapText="1"/>
    </xf>
    <xf numFmtId="0" fontId="15" fillId="0" borderId="0" xfId="0" applyFont="1" applyAlignment="1">
      <alignment horizontal="left" vertical="center"/>
    </xf>
    <xf numFmtId="0" fontId="43" fillId="0" borderId="26" xfId="0" applyFont="1" applyBorder="1" applyAlignment="1">
      <alignment horizontal="left" vertical="center" wrapText="1"/>
    </xf>
    <xf numFmtId="0" fontId="44" fillId="0" borderId="26" xfId="0" applyFont="1" applyBorder="1" applyAlignment="1">
      <alignment horizontal="left" vertical="center" wrapText="1"/>
    </xf>
    <xf numFmtId="0" fontId="44" fillId="0" borderId="26" xfId="0" applyFont="1" applyBorder="1" applyAlignment="1">
      <alignment horizontal="center" vertical="center" wrapText="1"/>
    </xf>
    <xf numFmtId="0" fontId="44" fillId="0" borderId="26" xfId="0" applyFont="1" applyBorder="1" applyAlignment="1">
      <alignment vertical="center" wrapText="1"/>
    </xf>
    <xf numFmtId="0" fontId="44" fillId="0" borderId="26" xfId="0" applyFont="1" applyBorder="1" applyAlignment="1">
      <alignment vertical="center"/>
    </xf>
    <xf numFmtId="0" fontId="44" fillId="0" borderId="26" xfId="0" applyFont="1" applyBorder="1" applyAlignment="1">
      <alignment horizontal="center" vertical="center"/>
    </xf>
    <xf numFmtId="0" fontId="45" fillId="0" borderId="26" xfId="0" applyFont="1" applyBorder="1" applyAlignment="1">
      <alignment horizontal="left" vertical="center" wrapText="1"/>
    </xf>
    <xf numFmtId="0" fontId="44" fillId="0" borderId="26" xfId="0" applyFont="1" applyBorder="1"/>
    <xf numFmtId="0" fontId="43" fillId="0" borderId="26" xfId="0" applyFont="1" applyBorder="1" applyAlignment="1">
      <alignment horizontal="center" vertical="center" wrapText="1"/>
    </xf>
    <xf numFmtId="0" fontId="44" fillId="0" borderId="37" xfId="34" applyFont="1" applyBorder="1" applyAlignment="1">
      <alignment horizontal="left" vertical="center" wrapText="1"/>
    </xf>
    <xf numFmtId="0" fontId="42" fillId="0" borderId="26" xfId="0" applyFont="1" applyBorder="1" applyAlignment="1">
      <alignment horizontal="center" vertical="center" wrapText="1"/>
    </xf>
    <xf numFmtId="0" fontId="46" fillId="0" borderId="26" xfId="0" applyFont="1" applyBorder="1" applyAlignment="1">
      <alignment horizontal="center" vertical="center" wrapText="1"/>
    </xf>
    <xf numFmtId="0" fontId="44" fillId="0" borderId="23" xfId="0" applyFont="1" applyBorder="1" applyAlignment="1">
      <alignment horizontal="center" vertical="center" wrapText="1"/>
    </xf>
    <xf numFmtId="0" fontId="44" fillId="0" borderId="25" xfId="0" applyFont="1" applyBorder="1" applyAlignment="1">
      <alignment horizontal="center" vertical="center" wrapText="1"/>
    </xf>
    <xf numFmtId="0" fontId="43" fillId="0" borderId="25" xfId="0" applyFont="1" applyBorder="1" applyAlignment="1">
      <alignment horizontal="left" vertical="center" wrapText="1"/>
    </xf>
    <xf numFmtId="0" fontId="44" fillId="0" borderId="24" xfId="0" applyFont="1" applyBorder="1" applyAlignment="1">
      <alignment horizontal="left" vertical="center" wrapText="1"/>
    </xf>
    <xf numFmtId="0" fontId="44" fillId="0" borderId="24" xfId="0" applyFont="1" applyBorder="1" applyAlignment="1">
      <alignment horizontal="center" vertical="center" wrapText="1"/>
    </xf>
    <xf numFmtId="0" fontId="42" fillId="0" borderId="24" xfId="0" applyFont="1" applyBorder="1" applyAlignment="1">
      <alignment horizontal="center" vertical="center" wrapText="1"/>
    </xf>
    <xf numFmtId="0" fontId="46" fillId="0" borderId="4" xfId="0" applyFont="1" applyBorder="1" applyAlignment="1">
      <alignment horizontal="center" vertical="center" wrapText="1"/>
    </xf>
    <xf numFmtId="0" fontId="44" fillId="0" borderId="4" xfId="0" applyFont="1" applyBorder="1" applyAlignment="1">
      <alignment horizontal="center" vertical="center"/>
    </xf>
    <xf numFmtId="0" fontId="44" fillId="0" borderId="4" xfId="0" applyFont="1" applyBorder="1" applyAlignment="1">
      <alignment horizontal="center" vertical="center" wrapText="1"/>
    </xf>
    <xf numFmtId="0" fontId="43" fillId="0" borderId="24" xfId="0" applyFont="1" applyBorder="1" applyAlignment="1">
      <alignment horizontal="left" vertical="center" wrapText="1"/>
    </xf>
    <xf numFmtId="0" fontId="43" fillId="0" borderId="8" xfId="0" applyFont="1" applyBorder="1" applyAlignment="1">
      <alignment horizontal="left" vertical="center" wrapText="1"/>
    </xf>
    <xf numFmtId="0" fontId="44" fillId="0" borderId="1" xfId="0" applyFont="1" applyBorder="1" applyAlignment="1">
      <alignment horizontal="center" vertical="center"/>
    </xf>
    <xf numFmtId="0" fontId="43" fillId="0" borderId="1" xfId="0" applyFont="1" applyBorder="1" applyAlignment="1">
      <alignment horizontal="left" vertical="center" wrapText="1"/>
    </xf>
    <xf numFmtId="0" fontId="44" fillId="0" borderId="1" xfId="0" applyFont="1" applyBorder="1" applyAlignment="1">
      <alignment horizontal="center" vertical="center" wrapText="1"/>
    </xf>
    <xf numFmtId="0" fontId="43" fillId="0" borderId="4" xfId="0" applyFont="1" applyBorder="1" applyAlignment="1">
      <alignment horizontal="left" vertical="center" wrapText="1"/>
    </xf>
    <xf numFmtId="0" fontId="44" fillId="0" borderId="4" xfId="0" applyFont="1" applyBorder="1" applyAlignment="1">
      <alignment horizontal="left" vertical="center" wrapText="1"/>
    </xf>
    <xf numFmtId="0" fontId="42" fillId="0" borderId="4" xfId="0" applyFont="1" applyBorder="1" applyAlignment="1">
      <alignment horizontal="center" vertical="center" wrapText="1"/>
    </xf>
    <xf numFmtId="0" fontId="44" fillId="0" borderId="18" xfId="0" applyFont="1" applyBorder="1" applyAlignment="1">
      <alignment horizontal="center" vertical="center" wrapText="1"/>
    </xf>
    <xf numFmtId="0" fontId="44" fillId="0" borderId="20" xfId="0" applyFont="1" applyBorder="1" applyAlignment="1">
      <alignment horizontal="center" vertical="center" wrapText="1"/>
    </xf>
    <xf numFmtId="0" fontId="44" fillId="0" borderId="20" xfId="0" applyFont="1" applyBorder="1" applyAlignment="1">
      <alignment horizontal="left" vertical="center" wrapText="1"/>
    </xf>
    <xf numFmtId="0" fontId="44" fillId="0" borderId="18" xfId="0" applyFont="1" applyBorder="1" applyAlignment="1">
      <alignment vertical="center"/>
    </xf>
    <xf numFmtId="0" fontId="43" fillId="0" borderId="20" xfId="0" applyFont="1" applyBorder="1" applyAlignment="1">
      <alignment horizontal="left" vertical="center" wrapText="1"/>
    </xf>
    <xf numFmtId="0" fontId="42" fillId="0" borderId="20" xfId="0" applyFont="1" applyBorder="1" applyAlignment="1">
      <alignment horizontal="center" vertical="center" wrapText="1"/>
    </xf>
    <xf numFmtId="0" fontId="46" fillId="0" borderId="20" xfId="0" applyFont="1" applyBorder="1" applyAlignment="1">
      <alignment horizontal="center" vertical="center" wrapText="1"/>
    </xf>
    <xf numFmtId="0" fontId="44" fillId="0" borderId="20" xfId="0" applyFont="1" applyBorder="1" applyAlignment="1">
      <alignment horizontal="center" vertical="center"/>
    </xf>
    <xf numFmtId="0" fontId="45" fillId="0" borderId="18" xfId="0" applyFont="1" applyBorder="1" applyAlignment="1">
      <alignment horizontal="left" vertical="center" wrapText="1"/>
    </xf>
    <xf numFmtId="0" fontId="43" fillId="0" borderId="18" xfId="0" applyFont="1" applyBorder="1" applyAlignment="1">
      <alignment horizontal="left" vertical="center" wrapText="1"/>
    </xf>
    <xf numFmtId="0" fontId="44" fillId="0" borderId="33" xfId="0" applyFont="1" applyBorder="1" applyAlignment="1">
      <alignment horizontal="center" vertical="center" wrapText="1"/>
    </xf>
    <xf numFmtId="0" fontId="44" fillId="0" borderId="26" xfId="0" applyFont="1" applyBorder="1" applyAlignment="1">
      <alignment horizontal="left" vertical="top" wrapText="1"/>
    </xf>
    <xf numFmtId="0" fontId="43" fillId="0" borderId="26" xfId="0" applyFont="1" applyBorder="1" applyAlignment="1">
      <alignment horizontal="left" vertical="top" wrapText="1"/>
    </xf>
    <xf numFmtId="0" fontId="14" fillId="14" borderId="26" xfId="0" applyFont="1" applyFill="1" applyBorder="1" applyAlignment="1">
      <alignment horizontal="center" vertical="center" wrapText="1"/>
    </xf>
    <xf numFmtId="0" fontId="3" fillId="0" borderId="26" xfId="0" applyFont="1" applyBorder="1" applyAlignment="1">
      <alignment vertical="center" wrapText="1"/>
    </xf>
    <xf numFmtId="0" fontId="3" fillId="11" borderId="26" xfId="0" applyFont="1" applyFill="1" applyBorder="1" applyAlignment="1" applyProtection="1">
      <alignment horizontal="justify" vertical="center"/>
      <protection locked="0"/>
    </xf>
    <xf numFmtId="0" fontId="3" fillId="0" borderId="26" xfId="0" applyFont="1" applyBorder="1" applyAlignment="1">
      <alignment horizontal="justify" vertical="center"/>
    </xf>
    <xf numFmtId="0" fontId="3" fillId="0" borderId="26" xfId="0" applyFont="1" applyBorder="1" applyAlignment="1" applyProtection="1">
      <alignment horizontal="justify" vertical="center"/>
      <protection locked="0"/>
    </xf>
    <xf numFmtId="0" fontId="12" fillId="0" borderId="26" xfId="4" applyFont="1" applyBorder="1" applyAlignment="1">
      <alignment horizontal="left" vertical="center" wrapText="1"/>
    </xf>
    <xf numFmtId="0" fontId="3" fillId="0" borderId="26" xfId="0" applyFont="1" applyBorder="1" applyAlignment="1">
      <alignment vertical="center"/>
    </xf>
    <xf numFmtId="0" fontId="43" fillId="0" borderId="4" xfId="0" applyFont="1" applyBorder="1" applyAlignment="1">
      <alignment horizontal="center" vertical="center" wrapText="1"/>
    </xf>
    <xf numFmtId="0" fontId="44" fillId="0" borderId="18" xfId="0" applyFont="1" applyBorder="1" applyAlignment="1">
      <alignment horizontal="center" vertical="center"/>
    </xf>
    <xf numFmtId="0" fontId="43" fillId="0" borderId="1" xfId="0" applyFont="1" applyBorder="1" applyAlignment="1">
      <alignment horizontal="center" vertical="center" wrapText="1"/>
    </xf>
    <xf numFmtId="0" fontId="43" fillId="0" borderId="20" xfId="0" applyFont="1" applyBorder="1" applyAlignment="1">
      <alignment horizontal="center" vertical="center" wrapText="1"/>
    </xf>
    <xf numFmtId="0" fontId="43" fillId="0" borderId="33" xfId="0" applyFont="1" applyBorder="1" applyAlignment="1">
      <alignment horizontal="center" vertical="center" wrapText="1"/>
    </xf>
    <xf numFmtId="0" fontId="43" fillId="0" borderId="27" xfId="0" applyFont="1" applyBorder="1" applyAlignment="1">
      <alignment horizontal="center" vertical="center" wrapText="1"/>
    </xf>
    <xf numFmtId="0" fontId="3" fillId="0" borderId="0" xfId="0" applyFont="1" applyAlignment="1">
      <alignment vertical="center" wrapText="1"/>
    </xf>
    <xf numFmtId="0" fontId="12" fillId="0" borderId="0" xfId="4" applyFont="1" applyAlignment="1">
      <alignment horizontal="left" vertical="center" wrapText="1"/>
    </xf>
    <xf numFmtId="0" fontId="3" fillId="0" borderId="0" xfId="0" applyFont="1" applyAlignment="1" applyProtection="1">
      <alignment horizontal="justify" vertical="center"/>
      <protection locked="0"/>
    </xf>
    <xf numFmtId="0" fontId="3" fillId="0" borderId="0" xfId="0" applyFont="1" applyAlignment="1">
      <alignment vertical="center"/>
    </xf>
    <xf numFmtId="0" fontId="44" fillId="22" borderId="26" xfId="0" applyFont="1" applyFill="1" applyBorder="1" applyAlignment="1">
      <alignment horizontal="center" vertical="center" wrapText="1"/>
    </xf>
    <xf numFmtId="0" fontId="3" fillId="0" borderId="0" xfId="0" applyFont="1" applyAlignment="1">
      <alignment horizontal="center"/>
    </xf>
    <xf numFmtId="0" fontId="49" fillId="0" borderId="26" xfId="0" applyFont="1" applyBorder="1" applyAlignment="1">
      <alignment horizontal="center" vertical="center" wrapText="1"/>
    </xf>
    <xf numFmtId="0" fontId="47" fillId="0" borderId="0" xfId="0" applyFont="1"/>
    <xf numFmtId="0" fontId="51" fillId="11" borderId="0" xfId="0" applyFont="1" applyFill="1"/>
    <xf numFmtId="0" fontId="51" fillId="11" borderId="0" xfId="0" applyFont="1" applyFill="1" applyAlignment="1">
      <alignment vertical="center" wrapText="1"/>
    </xf>
    <xf numFmtId="0" fontId="51" fillId="11" borderId="0" xfId="0" applyFont="1" applyFill="1" applyAlignment="1">
      <alignment horizontal="left"/>
    </xf>
    <xf numFmtId="0" fontId="51" fillId="11" borderId="0" xfId="0" applyFont="1" applyFill="1" applyAlignment="1">
      <alignment horizontal="left" wrapText="1"/>
    </xf>
    <xf numFmtId="0" fontId="51" fillId="11" borderId="0" xfId="0" applyFont="1" applyFill="1" applyAlignment="1">
      <alignment vertical="center"/>
    </xf>
    <xf numFmtId="0" fontId="51" fillId="11" borderId="0" xfId="0" applyFont="1" applyFill="1" applyAlignment="1">
      <alignment horizontal="center"/>
    </xf>
    <xf numFmtId="0" fontId="52" fillId="11" borderId="0" xfId="0" applyFont="1" applyFill="1" applyAlignment="1">
      <alignment horizontal="center"/>
    </xf>
    <xf numFmtId="0" fontId="51" fillId="11" borderId="0" xfId="0" applyFont="1" applyFill="1" applyAlignment="1">
      <alignment horizontal="center" vertical="center"/>
    </xf>
    <xf numFmtId="0" fontId="51" fillId="11" borderId="0" xfId="0" applyFont="1" applyFill="1" applyAlignment="1">
      <alignment horizontal="left" vertical="center" wrapText="1"/>
    </xf>
    <xf numFmtId="0" fontId="53" fillId="0" borderId="0" xfId="0" applyFont="1"/>
    <xf numFmtId="0" fontId="53" fillId="0" borderId="0" xfId="0" applyFont="1" applyAlignment="1">
      <alignment vertical="center" wrapText="1"/>
    </xf>
    <xf numFmtId="0" fontId="53" fillId="0" borderId="0" xfId="0" applyFont="1" applyAlignment="1">
      <alignment horizontal="left"/>
    </xf>
    <xf numFmtId="0" fontId="53" fillId="0" borderId="0" xfId="0" applyFont="1" applyAlignment="1">
      <alignment horizontal="left" wrapText="1"/>
    </xf>
    <xf numFmtId="0" fontId="53" fillId="0" borderId="0" xfId="0" applyFont="1" applyAlignment="1">
      <alignment vertical="center"/>
    </xf>
    <xf numFmtId="0" fontId="53" fillId="0" borderId="0" xfId="0" applyFont="1" applyAlignment="1">
      <alignment horizontal="center"/>
    </xf>
    <xf numFmtId="0" fontId="53" fillId="0" borderId="0" xfId="0" applyFont="1" applyAlignment="1">
      <alignment horizontal="center" vertical="center"/>
    </xf>
    <xf numFmtId="0" fontId="53" fillId="0" borderId="0" xfId="0" applyFont="1" applyAlignment="1">
      <alignment horizontal="left" vertical="center" wrapText="1"/>
    </xf>
    <xf numFmtId="0" fontId="47" fillId="0" borderId="0" xfId="0" applyFont="1" applyAlignment="1">
      <alignment horizontal="center"/>
    </xf>
    <xf numFmtId="0" fontId="47" fillId="0" borderId="0" xfId="0" applyFont="1" applyAlignment="1">
      <alignment horizontal="center" vertical="center"/>
    </xf>
    <xf numFmtId="0" fontId="47" fillId="0" borderId="0" xfId="0" applyFont="1" applyAlignment="1">
      <alignment horizontal="left"/>
    </xf>
    <xf numFmtId="0" fontId="53" fillId="0" borderId="26" xfId="0" applyFont="1" applyBorder="1" applyAlignment="1">
      <alignment horizontal="left" vertical="center" wrapText="1"/>
    </xf>
    <xf numFmtId="0" fontId="54" fillId="0" borderId="26" xfId="0" applyFont="1" applyBorder="1" applyAlignment="1">
      <alignment horizontal="left" vertical="center" wrapText="1"/>
    </xf>
    <xf numFmtId="0" fontId="53" fillId="11" borderId="26" xfId="0" applyFont="1" applyFill="1" applyBorder="1" applyAlignment="1">
      <alignment horizontal="left" vertical="center" wrapText="1"/>
    </xf>
    <xf numFmtId="0" fontId="53" fillId="0" borderId="33" xfId="0" applyFont="1" applyBorder="1" applyAlignment="1">
      <alignment horizontal="left" vertical="center" wrapText="1"/>
    </xf>
    <xf numFmtId="0" fontId="54" fillId="0" borderId="33" xfId="0" applyFont="1" applyBorder="1" applyAlignment="1">
      <alignment horizontal="left" vertical="center" wrapText="1"/>
    </xf>
    <xf numFmtId="0" fontId="54" fillId="0" borderId="34" xfId="0" applyFont="1" applyBorder="1" applyAlignment="1">
      <alignment horizontal="left" vertical="center" wrapText="1"/>
    </xf>
    <xf numFmtId="0" fontId="53" fillId="0" borderId="0" xfId="0" applyFont="1" applyAlignment="1">
      <alignment horizontal="left" vertical="center"/>
    </xf>
    <xf numFmtId="0" fontId="53" fillId="0" borderId="26" xfId="0" applyFont="1" applyBorder="1" applyAlignment="1">
      <alignment horizontal="left" vertical="center"/>
    </xf>
    <xf numFmtId="0" fontId="55" fillId="0" borderId="26" xfId="0" applyFont="1" applyBorder="1" applyAlignment="1">
      <alignment horizontal="left" vertical="center" wrapText="1"/>
    </xf>
    <xf numFmtId="0" fontId="56" fillId="0" borderId="26" xfId="0" applyFont="1" applyBorder="1" applyAlignment="1">
      <alignment horizontal="left" vertical="center" wrapText="1"/>
    </xf>
    <xf numFmtId="0" fontId="55" fillId="0" borderId="33" xfId="0" applyFont="1" applyBorder="1" applyAlignment="1">
      <alignment horizontal="left" vertical="center" wrapText="1"/>
    </xf>
    <xf numFmtId="0" fontId="56" fillId="0" borderId="33" xfId="0" applyFont="1" applyBorder="1" applyAlignment="1">
      <alignment horizontal="left" vertical="center" wrapText="1"/>
    </xf>
    <xf numFmtId="0" fontId="53" fillId="0" borderId="33" xfId="0" applyFont="1" applyBorder="1" applyAlignment="1">
      <alignment horizontal="left" vertical="center"/>
    </xf>
    <xf numFmtId="0" fontId="55" fillId="0" borderId="26" xfId="0" applyFont="1" applyBorder="1" applyAlignment="1">
      <alignment horizontal="left" vertical="center" textRotation="90" wrapText="1"/>
    </xf>
    <xf numFmtId="0" fontId="57" fillId="0" borderId="26" xfId="0" applyFont="1" applyBorder="1" applyAlignment="1">
      <alignment horizontal="left" vertical="center" wrapText="1"/>
    </xf>
    <xf numFmtId="0" fontId="53" fillId="0" borderId="39" xfId="0" applyFont="1" applyBorder="1" applyAlignment="1">
      <alignment horizontal="left" vertical="center" wrapText="1"/>
    </xf>
    <xf numFmtId="0" fontId="54" fillId="0" borderId="40" xfId="0" applyFont="1" applyBorder="1" applyAlignment="1">
      <alignment horizontal="left" vertical="center" wrapText="1"/>
    </xf>
    <xf numFmtId="0" fontId="53" fillId="0" borderId="40" xfId="0" applyFont="1" applyBorder="1" applyAlignment="1">
      <alignment horizontal="left" vertical="center" wrapText="1"/>
    </xf>
    <xf numFmtId="0" fontId="55" fillId="0" borderId="40" xfId="0" applyFont="1" applyBorder="1" applyAlignment="1">
      <alignment horizontal="left" vertical="center" wrapText="1"/>
    </xf>
    <xf numFmtId="0" fontId="53" fillId="0" borderId="41" xfId="0" applyFont="1" applyBorder="1" applyAlignment="1">
      <alignment horizontal="left" vertical="center" wrapText="1"/>
    </xf>
    <xf numFmtId="0" fontId="53" fillId="0" borderId="42" xfId="0" applyFont="1" applyBorder="1" applyAlignment="1">
      <alignment horizontal="left" vertical="center" wrapText="1"/>
    </xf>
    <xf numFmtId="0" fontId="54" fillId="0" borderId="42" xfId="0" applyFont="1" applyBorder="1" applyAlignment="1">
      <alignment horizontal="left" vertical="center" wrapText="1"/>
    </xf>
    <xf numFmtId="0" fontId="55" fillId="0" borderId="42" xfId="0" applyFont="1" applyBorder="1" applyAlignment="1">
      <alignment horizontal="left" vertical="center" wrapText="1"/>
    </xf>
    <xf numFmtId="0" fontId="56" fillId="0" borderId="42" xfId="0" applyFont="1" applyBorder="1" applyAlignment="1">
      <alignment horizontal="left" vertical="center" wrapText="1"/>
    </xf>
    <xf numFmtId="0" fontId="53" fillId="0" borderId="42" xfId="0" applyFont="1" applyBorder="1" applyAlignment="1">
      <alignment horizontal="left" vertical="center"/>
    </xf>
    <xf numFmtId="0" fontId="54" fillId="0" borderId="43" xfId="0" applyFont="1" applyBorder="1" applyAlignment="1">
      <alignment horizontal="left" vertical="center" wrapText="1"/>
    </xf>
    <xf numFmtId="0" fontId="53" fillId="0" borderId="44" xfId="0" applyFont="1" applyBorder="1" applyAlignment="1">
      <alignment horizontal="left" vertical="center" wrapText="1"/>
    </xf>
    <xf numFmtId="0" fontId="55" fillId="0" borderId="33" xfId="0" applyFont="1" applyBorder="1" applyAlignment="1">
      <alignment horizontal="left" vertical="center" textRotation="90" wrapText="1"/>
    </xf>
    <xf numFmtId="0" fontId="48" fillId="17" borderId="48" xfId="0" applyFont="1" applyFill="1" applyBorder="1" applyAlignment="1">
      <alignment horizontal="center" vertical="center" wrapText="1"/>
    </xf>
    <xf numFmtId="0" fontId="48" fillId="17" borderId="49" xfId="0" applyFont="1" applyFill="1" applyBorder="1" applyAlignment="1">
      <alignment horizontal="center" vertical="center" wrapText="1"/>
    </xf>
    <xf numFmtId="0" fontId="48" fillId="17" borderId="50" xfId="0" applyFont="1" applyFill="1" applyBorder="1" applyAlignment="1">
      <alignment horizontal="center" vertical="center" wrapText="1"/>
    </xf>
    <xf numFmtId="0" fontId="48" fillId="17" borderId="52" xfId="0" applyFont="1" applyFill="1" applyBorder="1" applyAlignment="1">
      <alignment horizontal="center" vertical="center" wrapText="1"/>
    </xf>
    <xf numFmtId="0" fontId="48" fillId="17" borderId="28" xfId="0" applyFont="1" applyFill="1" applyBorder="1" applyAlignment="1">
      <alignment horizontal="center" vertical="center" wrapText="1"/>
    </xf>
    <xf numFmtId="0" fontId="48" fillId="17" borderId="53" xfId="0" applyFont="1" applyFill="1" applyBorder="1" applyAlignment="1">
      <alignment horizontal="center" vertical="center" wrapText="1"/>
    </xf>
    <xf numFmtId="0" fontId="48" fillId="17" borderId="56" xfId="0" applyFont="1" applyFill="1" applyBorder="1" applyAlignment="1">
      <alignment horizontal="center" vertical="center" wrapText="1"/>
    </xf>
    <xf numFmtId="0" fontId="48" fillId="17" borderId="57" xfId="0" applyFont="1" applyFill="1" applyBorder="1" applyAlignment="1">
      <alignment horizontal="center" vertical="center" wrapText="1"/>
    </xf>
    <xf numFmtId="0" fontId="48" fillId="17" borderId="29" xfId="0" applyFont="1" applyFill="1" applyBorder="1" applyAlignment="1">
      <alignment horizontal="left" vertical="center" wrapText="1"/>
    </xf>
    <xf numFmtId="0" fontId="48" fillId="17" borderId="28" xfId="0" applyFont="1" applyFill="1" applyBorder="1" applyAlignment="1">
      <alignment horizontal="left" vertical="center" wrapText="1"/>
    </xf>
    <xf numFmtId="0" fontId="48" fillId="17" borderId="28" xfId="0" applyFont="1" applyFill="1" applyBorder="1" applyAlignment="1">
      <alignment horizontal="center" vertical="center" textRotation="90" wrapText="1"/>
    </xf>
    <xf numFmtId="0" fontId="48" fillId="17" borderId="29" xfId="0" applyFont="1" applyFill="1" applyBorder="1" applyAlignment="1">
      <alignment horizontal="center" vertical="center" textRotation="90" wrapText="1"/>
    </xf>
    <xf numFmtId="0" fontId="20" fillId="0" borderId="18" xfId="14" applyFont="1" applyBorder="1" applyAlignment="1">
      <alignment vertical="center"/>
    </xf>
    <xf numFmtId="0" fontId="20" fillId="0" borderId="0" xfId="14" applyFont="1" applyAlignment="1">
      <alignment vertical="center"/>
    </xf>
    <xf numFmtId="0" fontId="49" fillId="19" borderId="18" xfId="14" applyFont="1" applyFill="1" applyBorder="1" applyAlignment="1">
      <alignment horizontal="center" vertical="center"/>
    </xf>
    <xf numFmtId="14" fontId="20" fillId="0" borderId="18" xfId="14" applyNumberFormat="1" applyFont="1" applyBorder="1" applyAlignment="1">
      <alignment horizontal="center" vertical="center"/>
    </xf>
    <xf numFmtId="0" fontId="20" fillId="0" borderId="18" xfId="14" applyFont="1" applyBorder="1" applyAlignment="1">
      <alignment horizontal="justify" vertical="center"/>
    </xf>
    <xf numFmtId="0" fontId="20" fillId="0" borderId="18" xfId="14" applyFont="1" applyBorder="1" applyAlignment="1">
      <alignment horizontal="justify" vertical="center" wrapText="1"/>
    </xf>
    <xf numFmtId="14" fontId="20" fillId="0" borderId="6" xfId="14" applyNumberFormat="1" applyFont="1" applyBorder="1" applyAlignment="1">
      <alignment horizontal="center" vertical="center"/>
    </xf>
    <xf numFmtId="0" fontId="20" fillId="0" borderId="6" xfId="14" applyFont="1" applyBorder="1" applyAlignment="1">
      <alignment horizontal="justify" vertical="center" wrapText="1"/>
    </xf>
    <xf numFmtId="14" fontId="20" fillId="0" borderId="21" xfId="0" applyNumberFormat="1" applyFont="1" applyBorder="1" applyAlignment="1">
      <alignment horizontal="center" vertical="center"/>
    </xf>
    <xf numFmtId="0" fontId="20" fillId="0" borderId="21" xfId="0" applyFont="1" applyBorder="1" applyAlignment="1">
      <alignment wrapText="1"/>
    </xf>
    <xf numFmtId="0" fontId="20" fillId="0" borderId="21" xfId="0" applyFont="1" applyBorder="1" applyAlignment="1">
      <alignment horizontal="left" vertical="center" wrapText="1"/>
    </xf>
    <xf numFmtId="14" fontId="20" fillId="0" borderId="26" xfId="0" applyNumberFormat="1" applyFont="1" applyBorder="1" applyAlignment="1">
      <alignment horizontal="center" vertical="center"/>
    </xf>
    <xf numFmtId="0" fontId="20" fillId="0" borderId="26" xfId="0" applyFont="1" applyBorder="1" applyAlignment="1">
      <alignment wrapText="1"/>
    </xf>
    <xf numFmtId="0" fontId="20" fillId="0" borderId="23" xfId="0" applyFont="1" applyBorder="1" applyAlignment="1">
      <alignment horizontal="left" vertical="center" wrapText="1"/>
    </xf>
    <xf numFmtId="0" fontId="20" fillId="0" borderId="26" xfId="0" applyFont="1" applyBorder="1" applyAlignment="1">
      <alignment horizontal="left" vertical="center" wrapText="1"/>
    </xf>
    <xf numFmtId="0" fontId="53" fillId="0" borderId="32" xfId="0" applyFont="1" applyBorder="1" applyAlignment="1">
      <alignment horizontal="left" vertical="center" wrapText="1"/>
    </xf>
    <xf numFmtId="0" fontId="62" fillId="0" borderId="26" xfId="0" applyFont="1" applyBorder="1" applyAlignment="1">
      <alignment vertical="center"/>
    </xf>
    <xf numFmtId="0" fontId="62" fillId="0" borderId="0" xfId="0" applyFont="1" applyAlignment="1">
      <alignment vertical="center"/>
    </xf>
    <xf numFmtId="0" fontId="20" fillId="0" borderId="26" xfId="0" applyFont="1" applyBorder="1" applyAlignment="1">
      <alignment vertical="top" wrapText="1"/>
    </xf>
    <xf numFmtId="0" fontId="20" fillId="0" borderId="26" xfId="0" applyFont="1" applyBorder="1" applyAlignment="1">
      <alignment horizontal="left" vertical="top" wrapText="1"/>
    </xf>
    <xf numFmtId="0" fontId="61" fillId="0" borderId="13" xfId="14" applyFont="1" applyBorder="1" applyAlignment="1">
      <alignment horizontal="center" vertical="center" wrapText="1"/>
    </xf>
    <xf numFmtId="0" fontId="61" fillId="0" borderId="7" xfId="14" applyFont="1" applyBorder="1" applyAlignment="1">
      <alignment horizontal="center" vertical="center" wrapText="1"/>
    </xf>
    <xf numFmtId="0" fontId="31" fillId="18" borderId="1" xfId="0" applyFont="1" applyFill="1" applyBorder="1" applyAlignment="1">
      <alignment horizontal="center" vertical="center" wrapText="1"/>
    </xf>
    <xf numFmtId="0" fontId="9" fillId="7" borderId="1" xfId="0" applyFont="1" applyFill="1" applyBorder="1" applyAlignment="1">
      <alignment horizontal="center" vertical="center" wrapText="1"/>
    </xf>
    <xf numFmtId="0" fontId="1" fillId="8" borderId="1" xfId="0" applyFont="1" applyFill="1" applyBorder="1" applyAlignment="1">
      <alignment horizontal="left" vertical="center"/>
    </xf>
    <xf numFmtId="0" fontId="18" fillId="10" borderId="1" xfId="0" applyFont="1" applyFill="1" applyBorder="1" applyAlignment="1">
      <alignment horizontal="center" vertical="center"/>
    </xf>
    <xf numFmtId="0" fontId="11" fillId="0" borderId="1" xfId="0" applyFont="1" applyBorder="1" applyAlignment="1">
      <alignment horizontal="left" vertical="center" wrapText="1"/>
    </xf>
    <xf numFmtId="0" fontId="14" fillId="0" borderId="0" xfId="0" applyFont="1" applyAlignment="1">
      <alignment horizontal="left"/>
    </xf>
    <xf numFmtId="0" fontId="14" fillId="3" borderId="0" xfId="0" applyFont="1" applyFill="1" applyAlignment="1">
      <alignment horizontal="left"/>
    </xf>
    <xf numFmtId="0" fontId="17" fillId="4" borderId="1" xfId="0" applyFont="1" applyFill="1" applyBorder="1" applyAlignment="1">
      <alignment horizontal="center" vertical="center" wrapText="1"/>
    </xf>
    <xf numFmtId="0" fontId="14" fillId="3" borderId="0" xfId="0" applyFont="1" applyFill="1" applyAlignment="1">
      <alignment horizontal="left" vertical="center"/>
    </xf>
    <xf numFmtId="0" fontId="18" fillId="4" borderId="12" xfId="0" applyFont="1" applyFill="1" applyBorder="1" applyAlignment="1">
      <alignment horizontal="center" vertical="center" wrapText="1"/>
    </xf>
    <xf numFmtId="0" fontId="18" fillId="4" borderId="1" xfId="0" applyFont="1" applyFill="1" applyBorder="1" applyAlignment="1">
      <alignment horizontal="center"/>
    </xf>
    <xf numFmtId="0" fontId="9" fillId="0" borderId="1" xfId="0" applyFont="1" applyBorder="1" applyAlignment="1">
      <alignment horizontal="center" vertical="center"/>
    </xf>
    <xf numFmtId="0" fontId="9" fillId="0" borderId="1" xfId="0" applyFont="1" applyBorder="1" applyAlignment="1">
      <alignment horizontal="center" vertical="center" wrapText="1"/>
    </xf>
    <xf numFmtId="0" fontId="17" fillId="3" borderId="0" xfId="0" applyFont="1" applyFill="1" applyAlignment="1">
      <alignment horizontal="center" vertical="center"/>
    </xf>
    <xf numFmtId="0" fontId="1" fillId="7" borderId="1" xfId="0" applyFont="1" applyFill="1" applyBorder="1" applyAlignment="1">
      <alignment horizontal="left" vertical="center" wrapText="1"/>
    </xf>
    <xf numFmtId="0" fontId="17" fillId="4" borderId="1" xfId="0" applyFont="1" applyFill="1" applyBorder="1" applyAlignment="1">
      <alignment horizontal="center" vertical="center"/>
    </xf>
    <xf numFmtId="0" fontId="9" fillId="8" borderId="1" xfId="0" applyFont="1" applyFill="1" applyBorder="1" applyAlignment="1">
      <alignment horizontal="center" vertical="center" wrapText="1"/>
    </xf>
    <xf numFmtId="0" fontId="18" fillId="4" borderId="1" xfId="0" applyFont="1" applyFill="1" applyBorder="1" applyAlignment="1">
      <alignment horizontal="center" vertical="center" wrapText="1"/>
    </xf>
    <xf numFmtId="0" fontId="11" fillId="0" borderId="2" xfId="0" applyFont="1" applyBorder="1" applyAlignment="1">
      <alignment horizontal="center" vertical="center" wrapText="1"/>
    </xf>
    <xf numFmtId="0" fontId="9" fillId="0" borderId="1" xfId="0" applyFont="1" applyBorder="1" applyAlignment="1">
      <alignment horizontal="left" vertical="center" wrapText="1"/>
    </xf>
    <xf numFmtId="0" fontId="9" fillId="5" borderId="6" xfId="0" applyFont="1" applyFill="1" applyBorder="1" applyAlignment="1">
      <alignment horizontal="left" vertical="center" wrapText="1"/>
    </xf>
    <xf numFmtId="0" fontId="9" fillId="5" borderId="4" xfId="0" applyFont="1" applyFill="1" applyBorder="1" applyAlignment="1">
      <alignment horizontal="left" vertical="center" wrapText="1"/>
    </xf>
    <xf numFmtId="0" fontId="9" fillId="5" borderId="1" xfId="0" applyFont="1" applyFill="1" applyBorder="1" applyAlignment="1">
      <alignment horizontal="left" vertical="center" wrapText="1"/>
    </xf>
    <xf numFmtId="0" fontId="18" fillId="4" borderId="9" xfId="0" applyFont="1" applyFill="1" applyBorder="1" applyAlignment="1">
      <alignment horizontal="center" vertical="center"/>
    </xf>
    <xf numFmtId="0" fontId="18" fillId="4" borderId="10" xfId="0" applyFont="1" applyFill="1" applyBorder="1" applyAlignment="1">
      <alignment horizontal="center" vertical="center"/>
    </xf>
    <xf numFmtId="0" fontId="18" fillId="4" borderId="11" xfId="0" applyFont="1" applyFill="1" applyBorder="1" applyAlignment="1">
      <alignment horizontal="center" vertical="center"/>
    </xf>
    <xf numFmtId="0" fontId="14" fillId="3" borderId="3" xfId="0" applyFont="1" applyFill="1" applyBorder="1" applyAlignment="1">
      <alignment horizontal="left" vertical="center"/>
    </xf>
    <xf numFmtId="0" fontId="18" fillId="3" borderId="0" xfId="0" applyFont="1" applyFill="1" applyAlignment="1">
      <alignment horizontal="left" vertical="center"/>
    </xf>
    <xf numFmtId="0" fontId="18" fillId="4" borderId="1" xfId="0" applyFont="1" applyFill="1" applyBorder="1" applyAlignment="1">
      <alignment horizontal="left" vertical="center"/>
    </xf>
    <xf numFmtId="0" fontId="10" fillId="17" borderId="23" xfId="0" applyFont="1" applyFill="1" applyBorder="1" applyAlignment="1">
      <alignment horizontal="center" vertical="center" wrapText="1"/>
    </xf>
    <xf numFmtId="0" fontId="32" fillId="18" borderId="1" xfId="0" applyFont="1" applyFill="1" applyBorder="1" applyAlignment="1">
      <alignment horizontal="center" vertical="center"/>
    </xf>
    <xf numFmtId="0" fontId="10" fillId="17" borderId="1" xfId="0" applyFont="1" applyFill="1" applyBorder="1" applyAlignment="1">
      <alignment horizontal="center" vertical="center" wrapText="1"/>
    </xf>
    <xf numFmtId="0" fontId="10" fillId="17" borderId="6" xfId="0" applyFont="1" applyFill="1" applyBorder="1" applyAlignment="1">
      <alignment horizontal="center" vertical="center" wrapText="1"/>
    </xf>
    <xf numFmtId="0" fontId="10" fillId="17" borderId="5" xfId="0" applyFont="1" applyFill="1" applyBorder="1" applyAlignment="1">
      <alignment horizontal="center" vertical="center" wrapText="1"/>
    </xf>
    <xf numFmtId="0" fontId="10" fillId="17" borderId="4" xfId="0" applyFont="1" applyFill="1" applyBorder="1" applyAlignment="1">
      <alignment horizontal="center" vertical="center" wrapText="1"/>
    </xf>
    <xf numFmtId="0" fontId="29" fillId="17" borderId="5" xfId="0" applyFont="1" applyFill="1" applyBorder="1" applyAlignment="1">
      <alignment horizontal="center" vertical="center" wrapText="1"/>
    </xf>
    <xf numFmtId="0" fontId="29" fillId="17" borderId="1" xfId="0" applyFont="1" applyFill="1" applyBorder="1" applyAlignment="1">
      <alignment horizontal="center" vertical="center" wrapText="1"/>
    </xf>
    <xf numFmtId="0" fontId="29" fillId="17" borderId="6" xfId="0" applyFont="1" applyFill="1" applyBorder="1" applyAlignment="1">
      <alignment horizontal="center" vertical="center" wrapText="1"/>
    </xf>
    <xf numFmtId="0" fontId="14" fillId="17" borderId="26" xfId="0" applyFont="1" applyFill="1" applyBorder="1" applyAlignment="1">
      <alignment horizontal="center" vertical="center" wrapText="1"/>
    </xf>
    <xf numFmtId="0" fontId="15" fillId="0" borderId="0" xfId="0" applyFont="1" applyAlignment="1">
      <alignment horizontal="center"/>
    </xf>
    <xf numFmtId="0" fontId="36" fillId="0" borderId="26" xfId="0" applyFont="1" applyBorder="1" applyAlignment="1">
      <alignment horizontal="center" vertical="center" wrapText="1"/>
    </xf>
    <xf numFmtId="0" fontId="37" fillId="0" borderId="26" xfId="0" applyFont="1" applyBorder="1" applyAlignment="1">
      <alignment horizontal="center" vertical="center" wrapText="1"/>
    </xf>
    <xf numFmtId="0" fontId="37" fillId="0" borderId="32" xfId="0" applyFont="1" applyBorder="1" applyAlignment="1">
      <alignment horizontal="center" vertical="center" wrapText="1"/>
    </xf>
    <xf numFmtId="0" fontId="39" fillId="17" borderId="26" xfId="0" applyFont="1" applyFill="1" applyBorder="1" applyAlignment="1">
      <alignment horizontal="center" vertical="center" wrapText="1"/>
    </xf>
    <xf numFmtId="14" fontId="40" fillId="11" borderId="18" xfId="0" applyNumberFormat="1" applyFont="1" applyFill="1" applyBorder="1" applyAlignment="1">
      <alignment horizontal="center" vertical="center" wrapText="1"/>
    </xf>
    <xf numFmtId="0" fontId="39" fillId="17" borderId="18" xfId="0" applyFont="1" applyFill="1" applyBorder="1" applyAlignment="1">
      <alignment horizontal="center" vertical="center" wrapText="1"/>
    </xf>
    <xf numFmtId="14" fontId="39" fillId="11" borderId="18" xfId="0" applyNumberFormat="1" applyFont="1" applyFill="1" applyBorder="1" applyAlignment="1">
      <alignment horizontal="center" vertical="center" wrapText="1"/>
    </xf>
    <xf numFmtId="0" fontId="39" fillId="0" borderId="14" xfId="0" applyFont="1" applyBorder="1" applyAlignment="1">
      <alignment horizontal="center" vertical="center"/>
    </xf>
    <xf numFmtId="0" fontId="39" fillId="0" borderId="16" xfId="0" applyFont="1" applyBorder="1" applyAlignment="1">
      <alignment horizontal="center" vertical="center"/>
    </xf>
    <xf numFmtId="0" fontId="39" fillId="0" borderId="15" xfId="0" applyFont="1" applyBorder="1" applyAlignment="1">
      <alignment horizontal="center" vertical="center"/>
    </xf>
    <xf numFmtId="0" fontId="39" fillId="0" borderId="27" xfId="0" applyFont="1" applyBorder="1" applyAlignment="1">
      <alignment horizontal="center" vertical="center"/>
    </xf>
    <xf numFmtId="0" fontId="39" fillId="0" borderId="35" xfId="0" applyFont="1" applyBorder="1" applyAlignment="1">
      <alignment horizontal="center" vertical="center"/>
    </xf>
    <xf numFmtId="0" fontId="39" fillId="0" borderId="19" xfId="0" applyFont="1" applyBorder="1" applyAlignment="1">
      <alignment horizontal="center" vertical="center"/>
    </xf>
    <xf numFmtId="0" fontId="39" fillId="17" borderId="14" xfId="0" applyFont="1" applyFill="1" applyBorder="1" applyAlignment="1">
      <alignment horizontal="center" vertical="center" wrapText="1"/>
    </xf>
    <xf numFmtId="0" fontId="39" fillId="17" borderId="16" xfId="0" applyFont="1" applyFill="1" applyBorder="1" applyAlignment="1">
      <alignment horizontal="center" vertical="center" wrapText="1"/>
    </xf>
    <xf numFmtId="0" fontId="39" fillId="17" borderId="15" xfId="0" applyFont="1" applyFill="1" applyBorder="1" applyAlignment="1">
      <alignment horizontal="center" vertical="center" wrapText="1"/>
    </xf>
    <xf numFmtId="0" fontId="39" fillId="17" borderId="17" xfId="0" applyFont="1" applyFill="1" applyBorder="1" applyAlignment="1">
      <alignment horizontal="center" vertical="center" wrapText="1"/>
    </xf>
    <xf numFmtId="0" fontId="39" fillId="17" borderId="3" xfId="0" applyFont="1" applyFill="1" applyBorder="1" applyAlignment="1">
      <alignment horizontal="center" vertical="center" wrapText="1"/>
    </xf>
    <xf numFmtId="0" fontId="39" fillId="17" borderId="19" xfId="0" applyFont="1" applyFill="1" applyBorder="1" applyAlignment="1">
      <alignment horizontal="center" vertical="center" wrapText="1"/>
    </xf>
    <xf numFmtId="0" fontId="39" fillId="11" borderId="14" xfId="0" applyFont="1" applyFill="1" applyBorder="1" applyAlignment="1">
      <alignment horizontal="center" vertical="center" wrapText="1"/>
    </xf>
    <xf numFmtId="0" fontId="39" fillId="11" borderId="16" xfId="0" applyFont="1" applyFill="1" applyBorder="1" applyAlignment="1">
      <alignment horizontal="center" vertical="center" wrapText="1"/>
    </xf>
    <xf numFmtId="0" fontId="39" fillId="11" borderId="17" xfId="0" applyFont="1" applyFill="1" applyBorder="1" applyAlignment="1">
      <alignment horizontal="center" vertical="center" wrapText="1"/>
    </xf>
    <xf numFmtId="0" fontId="39" fillId="11" borderId="3" xfId="0" applyFont="1" applyFill="1" applyBorder="1" applyAlignment="1">
      <alignment horizontal="center" vertical="center" wrapText="1"/>
    </xf>
    <xf numFmtId="0" fontId="39" fillId="11" borderId="35" xfId="0" applyFont="1" applyFill="1" applyBorder="1" applyAlignment="1">
      <alignment horizontal="center" vertical="center" wrapText="1"/>
    </xf>
    <xf numFmtId="0" fontId="14" fillId="19" borderId="26" xfId="0" applyFont="1" applyFill="1" applyBorder="1" applyAlignment="1">
      <alignment horizontal="center" vertical="center" wrapText="1"/>
    </xf>
    <xf numFmtId="0" fontId="53" fillId="0" borderId="26" xfId="0" applyFont="1" applyBorder="1" applyAlignment="1">
      <alignment horizontal="left" vertical="center" wrapText="1"/>
    </xf>
    <xf numFmtId="0" fontId="47" fillId="0" borderId="35" xfId="0" applyFont="1" applyBorder="1" applyAlignment="1">
      <alignment horizontal="center"/>
    </xf>
    <xf numFmtId="0" fontId="48" fillId="0" borderId="26" xfId="0" applyFont="1" applyBorder="1" applyAlignment="1">
      <alignment horizontal="center" vertical="center"/>
    </xf>
    <xf numFmtId="0" fontId="49" fillId="11" borderId="26" xfId="0" applyFont="1" applyFill="1" applyBorder="1" applyAlignment="1">
      <alignment horizontal="center" vertical="center" wrapText="1"/>
    </xf>
    <xf numFmtId="14" fontId="49" fillId="11" borderId="18" xfId="0" applyNumberFormat="1" applyFont="1" applyFill="1" applyBorder="1" applyAlignment="1">
      <alignment horizontal="center" vertical="center" wrapText="1"/>
    </xf>
    <xf numFmtId="0" fontId="49" fillId="17" borderId="14" xfId="0" applyFont="1" applyFill="1" applyBorder="1" applyAlignment="1">
      <alignment horizontal="center" vertical="center" wrapText="1"/>
    </xf>
    <xf numFmtId="0" fontId="49" fillId="17" borderId="16" xfId="0" applyFont="1" applyFill="1" applyBorder="1" applyAlignment="1">
      <alignment horizontal="center" vertical="center" wrapText="1"/>
    </xf>
    <xf numFmtId="0" fontId="49" fillId="17" borderId="15" xfId="0" applyFont="1" applyFill="1" applyBorder="1" applyAlignment="1">
      <alignment horizontal="center" vertical="center" wrapText="1"/>
    </xf>
    <xf numFmtId="0" fontId="49" fillId="17" borderId="27" xfId="0" applyFont="1" applyFill="1" applyBorder="1" applyAlignment="1">
      <alignment horizontal="center" vertical="center" wrapText="1"/>
    </xf>
    <xf numFmtId="0" fontId="49" fillId="17" borderId="3" xfId="0" applyFont="1" applyFill="1" applyBorder="1" applyAlignment="1">
      <alignment horizontal="center" vertical="center" wrapText="1"/>
    </xf>
    <xf numFmtId="0" fontId="49" fillId="17" borderId="38" xfId="0" applyFont="1" applyFill="1" applyBorder="1" applyAlignment="1">
      <alignment horizontal="center" vertical="center" wrapText="1"/>
    </xf>
    <xf numFmtId="0" fontId="48" fillId="17" borderId="54" xfId="0" applyFont="1" applyFill="1" applyBorder="1" applyAlignment="1">
      <alignment horizontal="center" vertical="center" wrapText="1"/>
    </xf>
    <xf numFmtId="0" fontId="48" fillId="17" borderId="51" xfId="0" applyFont="1" applyFill="1" applyBorder="1" applyAlignment="1">
      <alignment horizontal="center" vertical="center" wrapText="1"/>
    </xf>
    <xf numFmtId="0" fontId="48" fillId="17" borderId="55" xfId="0" applyFont="1" applyFill="1" applyBorder="1" applyAlignment="1">
      <alignment horizontal="center" vertical="center" wrapText="1"/>
    </xf>
    <xf numFmtId="0" fontId="48" fillId="17" borderId="58" xfId="0" applyFont="1" applyFill="1" applyBorder="1" applyAlignment="1">
      <alignment horizontal="center" vertical="center" wrapText="1"/>
    </xf>
    <xf numFmtId="0" fontId="48" fillId="17" borderId="30" xfId="0" applyFont="1" applyFill="1" applyBorder="1" applyAlignment="1">
      <alignment horizontal="center" vertical="center" wrapText="1"/>
    </xf>
    <xf numFmtId="0" fontId="48" fillId="17" borderId="53" xfId="0" applyFont="1" applyFill="1" applyBorder="1" applyAlignment="1">
      <alignment horizontal="center" vertical="center" wrapText="1"/>
    </xf>
    <xf numFmtId="0" fontId="48" fillId="17" borderId="52" xfId="0" applyFont="1" applyFill="1" applyBorder="1" applyAlignment="1">
      <alignment horizontal="center" vertical="center" wrapText="1"/>
    </xf>
    <xf numFmtId="0" fontId="48" fillId="17" borderId="29" xfId="0" applyFont="1" applyFill="1" applyBorder="1" applyAlignment="1">
      <alignment horizontal="center" vertical="center" wrapText="1"/>
    </xf>
    <xf numFmtId="0" fontId="49" fillId="17" borderId="18" xfId="0" applyFont="1" applyFill="1" applyBorder="1" applyAlignment="1">
      <alignment horizontal="center" vertical="center" wrapText="1"/>
    </xf>
    <xf numFmtId="0" fontId="49" fillId="17" borderId="17" xfId="0" applyFont="1" applyFill="1" applyBorder="1" applyAlignment="1">
      <alignment horizontal="center" vertical="center" wrapText="1"/>
    </xf>
    <xf numFmtId="0" fontId="49" fillId="17" borderId="19" xfId="0" applyFont="1" applyFill="1" applyBorder="1" applyAlignment="1">
      <alignment horizontal="center" vertical="center" wrapText="1"/>
    </xf>
    <xf numFmtId="0" fontId="48" fillId="17" borderId="45" xfId="0" applyFont="1" applyFill="1" applyBorder="1" applyAlignment="1">
      <alignment horizontal="center" vertical="center" wrapText="1"/>
    </xf>
    <xf numFmtId="0" fontId="48" fillId="17" borderId="46" xfId="0" applyFont="1" applyFill="1" applyBorder="1" applyAlignment="1">
      <alignment horizontal="center" vertical="center" wrapText="1"/>
    </xf>
    <xf numFmtId="0" fontId="48" fillId="17" borderId="47" xfId="0" applyFont="1" applyFill="1" applyBorder="1" applyAlignment="1">
      <alignment horizontal="center" vertical="center" wrapText="1"/>
    </xf>
    <xf numFmtId="0" fontId="50" fillId="0" borderId="14" xfId="0" applyFont="1" applyBorder="1" applyAlignment="1">
      <alignment horizontal="center" vertical="center"/>
    </xf>
    <xf numFmtId="0" fontId="50" fillId="0" borderId="16" xfId="0" applyFont="1" applyBorder="1" applyAlignment="1">
      <alignment horizontal="center" vertical="center"/>
    </xf>
    <xf numFmtId="0" fontId="50" fillId="0" borderId="15" xfId="0" applyFont="1" applyBorder="1" applyAlignment="1">
      <alignment horizontal="center" vertical="center"/>
    </xf>
    <xf numFmtId="0" fontId="50" fillId="0" borderId="27" xfId="0" applyFont="1" applyBorder="1" applyAlignment="1">
      <alignment horizontal="center" vertical="center"/>
    </xf>
    <xf numFmtId="0" fontId="50" fillId="0" borderId="35" xfId="0" applyFont="1" applyBorder="1" applyAlignment="1">
      <alignment horizontal="center" vertical="center"/>
    </xf>
    <xf numFmtId="0" fontId="50" fillId="0" borderId="19" xfId="0" applyFont="1" applyBorder="1" applyAlignment="1">
      <alignment horizontal="center" vertical="center"/>
    </xf>
    <xf numFmtId="0" fontId="49" fillId="17" borderId="35" xfId="0" applyFont="1" applyFill="1" applyBorder="1" applyAlignment="1">
      <alignment horizontal="center" vertical="center" wrapText="1"/>
    </xf>
    <xf numFmtId="0" fontId="13" fillId="0" borderId="1" xfId="0" applyFont="1" applyBorder="1" applyAlignment="1">
      <alignment horizontal="center" vertical="center"/>
    </xf>
    <xf numFmtId="0" fontId="15" fillId="11" borderId="1" xfId="0" applyFont="1" applyFill="1" applyBorder="1" applyAlignment="1">
      <alignment horizontal="left" vertical="center" wrapText="1"/>
    </xf>
    <xf numFmtId="0" fontId="15" fillId="11" borderId="13" xfId="14" applyFont="1" applyFill="1" applyBorder="1" applyAlignment="1">
      <alignment horizontal="left" vertical="center" wrapText="1"/>
    </xf>
    <xf numFmtId="0" fontId="15" fillId="11" borderId="7" xfId="14" applyFont="1" applyFill="1" applyBorder="1" applyAlignment="1">
      <alignment horizontal="left" vertical="center" wrapText="1"/>
    </xf>
    <xf numFmtId="0" fontId="14" fillId="17" borderId="1" xfId="0" applyFont="1" applyFill="1" applyBorder="1" applyAlignment="1">
      <alignment vertical="center" wrapText="1"/>
    </xf>
    <xf numFmtId="0" fontId="26" fillId="11" borderId="13" xfId="14" applyFont="1" applyFill="1" applyBorder="1" applyAlignment="1">
      <alignment horizontal="left" vertical="center" wrapText="1"/>
    </xf>
    <xf numFmtId="0" fontId="26" fillId="11" borderId="7" xfId="14" applyFont="1" applyFill="1" applyBorder="1" applyAlignment="1">
      <alignment horizontal="left" vertical="center" wrapText="1"/>
    </xf>
    <xf numFmtId="0" fontId="26" fillId="11" borderId="1" xfId="0" applyFont="1" applyFill="1" applyBorder="1" applyAlignment="1">
      <alignment horizontal="left" vertical="center" wrapText="1"/>
    </xf>
    <xf numFmtId="0" fontId="14" fillId="17" borderId="6" xfId="0" applyFont="1" applyFill="1" applyBorder="1" applyAlignment="1">
      <alignment horizontal="center" vertical="center" wrapText="1"/>
    </xf>
    <xf numFmtId="0" fontId="14" fillId="17" borderId="5" xfId="0" applyFont="1" applyFill="1" applyBorder="1" applyAlignment="1">
      <alignment horizontal="center" vertical="center" wrapText="1"/>
    </xf>
    <xf numFmtId="0" fontId="14" fillId="17" borderId="1" xfId="0" applyFont="1" applyFill="1" applyBorder="1" applyAlignment="1">
      <alignment horizontal="left" vertical="center" wrapText="1"/>
    </xf>
    <xf numFmtId="0" fontId="15" fillId="11" borderId="1" xfId="14" applyFont="1" applyFill="1" applyBorder="1" applyAlignment="1">
      <alignment horizontal="left" vertical="center" wrapText="1"/>
    </xf>
    <xf numFmtId="0" fontId="14" fillId="17" borderId="1" xfId="0" applyFont="1" applyFill="1" applyBorder="1" applyAlignment="1">
      <alignment horizontal="center" vertical="center" wrapText="1"/>
    </xf>
    <xf numFmtId="0" fontId="14" fillId="17" borderId="4" xfId="0" applyFont="1" applyFill="1" applyBorder="1" applyAlignment="1">
      <alignment horizontal="center" vertical="center" wrapText="1"/>
    </xf>
    <xf numFmtId="0" fontId="16" fillId="11" borderId="13" xfId="14" applyFont="1" applyFill="1" applyBorder="1" applyAlignment="1">
      <alignment horizontal="left" vertical="center" wrapText="1"/>
    </xf>
    <xf numFmtId="0" fontId="16" fillId="11" borderId="7" xfId="14" applyFont="1" applyFill="1" applyBorder="1" applyAlignment="1">
      <alignment horizontal="left" vertical="center" wrapText="1"/>
    </xf>
  </cellXfs>
  <cellStyles count="130">
    <cellStyle name="Euro" xfId="1" xr:uid="{00000000-0005-0000-0000-000000000000}"/>
    <cellStyle name="Hipervínculo" xfId="2" builtinId="8"/>
    <cellStyle name="Hipervínculo 2" xfId="3" xr:uid="{00000000-0005-0000-0000-000002000000}"/>
    <cellStyle name="Hipervínculo visitado" xfId="42" builtinId="9" hidden="1"/>
    <cellStyle name="Hipervínculo visitado" xfId="43" builtinId="9" hidden="1"/>
    <cellStyle name="Hipervínculo visitado" xfId="44" builtinId="9" hidden="1"/>
    <cellStyle name="Hipervínculo visitado" xfId="45" builtinId="9" hidden="1"/>
    <cellStyle name="Hipervínculo visitado" xfId="46" builtinId="9" hidden="1"/>
    <cellStyle name="Hipervínculo visitado" xfId="47" builtinId="9" hidden="1"/>
    <cellStyle name="Hipervínculo visitado" xfId="48" builtinId="9" hidden="1"/>
    <cellStyle name="Hipervínculo visitado" xfId="49" builtinId="9" hidden="1"/>
    <cellStyle name="Hipervínculo visitado" xfId="50" builtinId="9" hidden="1"/>
    <cellStyle name="Hipervínculo visitado" xfId="51" builtinId="9" hidden="1"/>
    <cellStyle name="Hipervínculo visitado" xfId="52" builtinId="9" hidden="1"/>
    <cellStyle name="Hipervínculo visitado" xfId="53" builtinId="9" hidden="1"/>
    <cellStyle name="Hipervínculo visitado" xfId="54" builtinId="9" hidden="1"/>
    <cellStyle name="Hipervínculo visitado" xfId="55" builtinId="9" hidden="1"/>
    <cellStyle name="Hipervínculo visitado" xfId="56" builtinId="9" hidden="1"/>
    <cellStyle name="Hipervínculo visitado" xfId="57" builtinId="9" hidden="1"/>
    <cellStyle name="Hipervínculo visitado" xfId="58" builtinId="9" hidden="1"/>
    <cellStyle name="Hipervínculo visitado" xfId="59" builtinId="9" hidden="1"/>
    <cellStyle name="Hipervínculo visitado" xfId="60" builtinId="9" hidden="1"/>
    <cellStyle name="Hipervínculo visitado" xfId="61" builtinId="9" hidden="1"/>
    <cellStyle name="Hipervínculo visitado" xfId="62" builtinId="9" hidden="1"/>
    <cellStyle name="Hipervínculo visitado" xfId="63" builtinId="9" hidden="1"/>
    <cellStyle name="Hipervínculo visitado" xfId="64" builtinId="9" hidden="1"/>
    <cellStyle name="Hipervínculo visitado" xfId="65" builtinId="9" hidden="1"/>
    <cellStyle name="Hipervínculo visitado" xfId="66" builtinId="9" hidden="1"/>
    <cellStyle name="Hipervínculo visitado" xfId="67" builtinId="9" hidden="1"/>
    <cellStyle name="Hipervínculo visitado" xfId="68" builtinId="9" hidden="1"/>
    <cellStyle name="Hipervínculo visitado" xfId="69" builtinId="9" hidden="1"/>
    <cellStyle name="Hipervínculo visitado" xfId="70" builtinId="9" hidden="1"/>
    <cellStyle name="Hipervínculo visitado" xfId="71" builtinId="9" hidden="1"/>
    <cellStyle name="Hipervínculo visitado" xfId="72" builtinId="9" hidden="1"/>
    <cellStyle name="Hipervínculo visitado" xfId="73" builtinId="9" hidden="1"/>
    <cellStyle name="Hipervínculo visitado" xfId="74" builtinId="9" hidden="1"/>
    <cellStyle name="Hipervínculo visitado" xfId="75" builtinId="9" hidden="1"/>
    <cellStyle name="Hipervínculo visitado" xfId="76" builtinId="9" hidden="1"/>
    <cellStyle name="Hipervínculo visitado" xfId="77" builtinId="9" hidden="1"/>
    <cellStyle name="Hipervínculo visitado" xfId="78" builtinId="9" hidden="1"/>
    <cellStyle name="Hipervínculo visitado" xfId="79" builtinId="9" hidden="1"/>
    <cellStyle name="Hipervínculo visitado" xfId="80" builtinId="9" hidden="1"/>
    <cellStyle name="Hipervínculo visitado" xfId="81" builtinId="9" hidden="1"/>
    <cellStyle name="Hipervínculo visitado" xfId="82" builtinId="9" hidden="1"/>
    <cellStyle name="Hipervínculo visitado" xfId="83" builtinId="9" hidden="1"/>
    <cellStyle name="Hipervínculo visitado" xfId="84" builtinId="9" hidden="1"/>
    <cellStyle name="Hipervínculo visitado" xfId="85" builtinId="9" hidden="1"/>
    <cellStyle name="Hipervínculo visitado" xfId="86" builtinId="9" hidden="1"/>
    <cellStyle name="Hipervínculo visitado" xfId="87" builtinId="9" hidden="1"/>
    <cellStyle name="Hipervínculo visitado" xfId="88" builtinId="9" hidden="1"/>
    <cellStyle name="Hipervínculo visitado" xfId="89" builtinId="9" hidden="1"/>
    <cellStyle name="Hipervínculo visitado" xfId="90" builtinId="9" hidden="1"/>
    <cellStyle name="Hipervínculo visitado" xfId="91" builtinId="9" hidden="1"/>
    <cellStyle name="Hipervínculo visitado" xfId="92" builtinId="9" hidden="1"/>
    <cellStyle name="Hipervínculo visitado" xfId="93" builtinId="9" hidden="1"/>
    <cellStyle name="Hipervínculo visitado" xfId="94" builtinId="9" hidden="1"/>
    <cellStyle name="Hipervínculo visitado" xfId="95" builtinId="9" hidden="1"/>
    <cellStyle name="Hipervínculo visitado" xfId="96" builtinId="9" hidden="1"/>
    <cellStyle name="Hipervínculo visitado" xfId="97" builtinId="9" hidden="1"/>
    <cellStyle name="Hipervínculo visitado" xfId="98" builtinId="9" hidden="1"/>
    <cellStyle name="Hipervínculo visitado" xfId="99" builtinId="9" hidden="1"/>
    <cellStyle name="Hipervínculo visitado" xfId="100" builtinId="9" hidden="1"/>
    <cellStyle name="Hipervínculo visitado" xfId="101" builtinId="9" hidden="1"/>
    <cellStyle name="Hipervínculo visitado" xfId="102" builtinId="9" hidden="1"/>
    <cellStyle name="Hipervínculo visitado" xfId="103" builtinId="9" hidden="1"/>
    <cellStyle name="Hipervínculo visitado" xfId="104" builtinId="9" hidden="1"/>
    <cellStyle name="Hipervínculo visitado" xfId="105" builtinId="9" hidden="1"/>
    <cellStyle name="Hipervínculo visitado" xfId="106" builtinId="9" hidden="1"/>
    <cellStyle name="Hipervínculo visitado" xfId="107" builtinId="9" hidden="1"/>
    <cellStyle name="Hipervínculo visitado" xfId="108" builtinId="9" hidden="1"/>
    <cellStyle name="Hipervínculo visitado" xfId="109" builtinId="9" hidden="1"/>
    <cellStyle name="Hipervínculo visitado" xfId="110" builtinId="9" hidden="1"/>
    <cellStyle name="Hipervínculo visitado" xfId="111" builtinId="9" hidden="1"/>
    <cellStyle name="Hipervínculo visitado" xfId="112" builtinId="9" hidden="1"/>
    <cellStyle name="Hipervínculo visitado" xfId="113" builtinId="9" hidden="1"/>
    <cellStyle name="Hipervínculo visitado" xfId="114" builtinId="9" hidden="1"/>
    <cellStyle name="Hipervínculo visitado" xfId="115" builtinId="9" hidden="1"/>
    <cellStyle name="Hipervínculo visitado" xfId="116" builtinId="9" hidden="1"/>
    <cellStyle name="Hipervínculo visitado" xfId="117" builtinId="9" hidden="1"/>
    <cellStyle name="Hipervínculo visitado" xfId="118" builtinId="9" hidden="1"/>
    <cellStyle name="Hipervínculo visitado" xfId="119" builtinId="9" hidden="1"/>
    <cellStyle name="Hipervínculo visitado" xfId="120" builtinId="9" hidden="1"/>
    <cellStyle name="Hipervínculo visitado" xfId="121" builtinId="9" hidden="1"/>
    <cellStyle name="Hipervínculo visitado" xfId="122" builtinId="9" hidden="1"/>
    <cellStyle name="Hipervínculo visitado" xfId="123" builtinId="9" hidden="1"/>
    <cellStyle name="Hipervínculo visitado" xfId="124" builtinId="9" hidden="1"/>
    <cellStyle name="Hipervínculo visitado" xfId="125" builtinId="9" hidden="1"/>
    <cellStyle name="Hipervínculo visitado" xfId="126" builtinId="9" hidden="1"/>
    <cellStyle name="Hipervínculo visitado" xfId="127" builtinId="9" hidden="1"/>
    <cellStyle name="Hipervínculo visitado" xfId="128" builtinId="9" hidden="1"/>
    <cellStyle name="Hipervínculo visitado" xfId="129" builtinId="9" hidden="1"/>
    <cellStyle name="Normal" xfId="0" builtinId="0"/>
    <cellStyle name="Normal 10" xfId="4" xr:uid="{00000000-0005-0000-0000-00005C000000}"/>
    <cellStyle name="Normal 11" xfId="5" xr:uid="{00000000-0005-0000-0000-00005D000000}"/>
    <cellStyle name="Normal 12" xfId="6" xr:uid="{00000000-0005-0000-0000-00005E000000}"/>
    <cellStyle name="Normal 13" xfId="7" xr:uid="{00000000-0005-0000-0000-00005F000000}"/>
    <cellStyle name="Normal 14" xfId="8" xr:uid="{00000000-0005-0000-0000-000060000000}"/>
    <cellStyle name="Normal 15" xfId="9" xr:uid="{00000000-0005-0000-0000-000061000000}"/>
    <cellStyle name="Normal 16" xfId="10" xr:uid="{00000000-0005-0000-0000-000062000000}"/>
    <cellStyle name="Normal 17" xfId="11" xr:uid="{00000000-0005-0000-0000-000063000000}"/>
    <cellStyle name="Normal 18" xfId="12" xr:uid="{00000000-0005-0000-0000-000064000000}"/>
    <cellStyle name="Normal 19" xfId="13" xr:uid="{00000000-0005-0000-0000-000065000000}"/>
    <cellStyle name="Normal 2" xfId="14" xr:uid="{00000000-0005-0000-0000-000066000000}"/>
    <cellStyle name="Normal 2 2" xfId="15" xr:uid="{00000000-0005-0000-0000-000067000000}"/>
    <cellStyle name="Normal 2_MATRIZ DE PELIGROS RESIDENTE sgonzalez2" xfId="16" xr:uid="{00000000-0005-0000-0000-000068000000}"/>
    <cellStyle name="Normal 20" xfId="17" xr:uid="{00000000-0005-0000-0000-000069000000}"/>
    <cellStyle name="Normal 21" xfId="18" xr:uid="{00000000-0005-0000-0000-00006A000000}"/>
    <cellStyle name="Normal 22" xfId="19" xr:uid="{00000000-0005-0000-0000-00006B000000}"/>
    <cellStyle name="Normal 23" xfId="20" xr:uid="{00000000-0005-0000-0000-00006C000000}"/>
    <cellStyle name="Normal 24" xfId="21" xr:uid="{00000000-0005-0000-0000-00006D000000}"/>
    <cellStyle name="Normal 25" xfId="22" xr:uid="{00000000-0005-0000-0000-00006E000000}"/>
    <cellStyle name="Normal 26" xfId="23" xr:uid="{00000000-0005-0000-0000-00006F000000}"/>
    <cellStyle name="Normal 27" xfId="24" xr:uid="{00000000-0005-0000-0000-000070000000}"/>
    <cellStyle name="Normal 28" xfId="25" xr:uid="{00000000-0005-0000-0000-000071000000}"/>
    <cellStyle name="Normal 29" xfId="26" xr:uid="{00000000-0005-0000-0000-000072000000}"/>
    <cellStyle name="Normal 3" xfId="27" xr:uid="{00000000-0005-0000-0000-000073000000}"/>
    <cellStyle name="Normal 3 2" xfId="28" xr:uid="{00000000-0005-0000-0000-000074000000}"/>
    <cellStyle name="Normal 3 3" xfId="29" xr:uid="{00000000-0005-0000-0000-000075000000}"/>
    <cellStyle name="Normal 30" xfId="30" xr:uid="{00000000-0005-0000-0000-000076000000}"/>
    <cellStyle name="Normal 31" xfId="31" xr:uid="{00000000-0005-0000-0000-000077000000}"/>
    <cellStyle name="Normal 32" xfId="32" xr:uid="{00000000-0005-0000-0000-000078000000}"/>
    <cellStyle name="Normal 33" xfId="33" xr:uid="{00000000-0005-0000-0000-000079000000}"/>
    <cellStyle name="Normal 4" xfId="34" xr:uid="{00000000-0005-0000-0000-00007A000000}"/>
    <cellStyle name="Normal 4 2" xfId="35" xr:uid="{00000000-0005-0000-0000-00007B000000}"/>
    <cellStyle name="Normal 5" xfId="36" xr:uid="{00000000-0005-0000-0000-00007C000000}"/>
    <cellStyle name="Normal 6" xfId="37" xr:uid="{00000000-0005-0000-0000-00007D000000}"/>
    <cellStyle name="Normal 7" xfId="38" xr:uid="{00000000-0005-0000-0000-00007E000000}"/>
    <cellStyle name="Normal 8" xfId="39" xr:uid="{00000000-0005-0000-0000-00007F000000}"/>
    <cellStyle name="Normal 9" xfId="40" xr:uid="{00000000-0005-0000-0000-000080000000}"/>
    <cellStyle name="Porcentual 2" xfId="41" xr:uid="{00000000-0005-0000-0000-000081000000}"/>
  </cellStyles>
  <dxfs count="9994">
    <dxf>
      <fill>
        <patternFill>
          <bgColor rgb="FFFF0000"/>
        </patternFill>
      </fill>
    </dxf>
    <dxf>
      <fill>
        <patternFill>
          <bgColor rgb="FF00B050"/>
        </patternFill>
      </fill>
    </dxf>
    <dxf>
      <fill>
        <patternFill>
          <bgColor rgb="FF00B050"/>
        </patternFill>
      </fill>
    </dxf>
    <dxf>
      <fill>
        <patternFill>
          <bgColor rgb="FFFFFF00"/>
        </patternFill>
      </fill>
    </dxf>
    <dxf>
      <fill>
        <patternFill>
          <bgColor rgb="FFFFFF00"/>
        </patternFill>
      </fill>
    </dxf>
    <dxf>
      <fill>
        <patternFill>
          <bgColor rgb="FFFFC000"/>
        </patternFill>
      </fill>
    </dxf>
    <dxf>
      <fill>
        <patternFill>
          <bgColor rgb="FFFFC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00B050"/>
        </patternFill>
      </fill>
    </dxf>
    <dxf>
      <fill>
        <patternFill>
          <bgColor rgb="FFFFFF00"/>
        </patternFill>
      </fill>
    </dxf>
    <dxf>
      <fill>
        <patternFill>
          <bgColor rgb="FFFFFF00"/>
        </patternFill>
      </fill>
    </dxf>
    <dxf>
      <fill>
        <patternFill>
          <bgColor rgb="FFFFC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00B050"/>
        </patternFill>
      </fill>
    </dxf>
    <dxf>
      <fill>
        <patternFill>
          <bgColor rgb="FFFFC000"/>
        </patternFill>
      </fill>
    </dxf>
    <dxf>
      <fill>
        <patternFill>
          <bgColor rgb="FFFFFF00"/>
        </patternFill>
      </fill>
    </dxf>
    <dxf>
      <fill>
        <patternFill>
          <bgColor rgb="FFFF0000"/>
        </patternFill>
      </fill>
    </dxf>
    <dxf>
      <fill>
        <patternFill>
          <bgColor rgb="FF00B050"/>
        </patternFill>
      </fill>
    </dxf>
    <dxf>
      <fill>
        <patternFill>
          <bgColor rgb="FFFF0000"/>
        </patternFill>
      </fill>
    </dxf>
    <dxf>
      <fill>
        <patternFill>
          <bgColor rgb="FFFFFF00"/>
        </patternFill>
      </fill>
    </dxf>
    <dxf>
      <fill>
        <patternFill>
          <bgColor rgb="FFFFC00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00B050"/>
        </patternFill>
      </fill>
    </dxf>
    <dxf>
      <fill>
        <patternFill>
          <bgColor rgb="FF00B050"/>
        </patternFill>
      </fill>
    </dxf>
    <dxf>
      <fill>
        <patternFill>
          <bgColor rgb="FFFF000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FFFF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FFC000"/>
        </patternFill>
      </fill>
    </dxf>
    <dxf>
      <fill>
        <patternFill>
          <bgColor rgb="FF00B050"/>
        </patternFill>
      </fill>
    </dxf>
    <dxf>
      <fill>
        <patternFill>
          <bgColor rgb="FF00B050"/>
        </patternFill>
      </fill>
    </dxf>
    <dxf>
      <fill>
        <patternFill>
          <bgColor rgb="FFFFC000"/>
        </patternFill>
      </fill>
    </dxf>
    <dxf>
      <fill>
        <patternFill>
          <bgColor rgb="FFFFFF00"/>
        </patternFill>
      </fill>
    </dxf>
    <dxf>
      <fill>
        <patternFill>
          <bgColor rgb="FFFFFF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000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C0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C00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C000"/>
        </patternFill>
      </fill>
    </dxf>
    <dxf>
      <fill>
        <patternFill>
          <bgColor rgb="FFFFFF00"/>
        </patternFill>
      </fill>
    </dxf>
    <dxf>
      <fill>
        <patternFill>
          <bgColor rgb="FFFFFF00"/>
        </patternFill>
      </fill>
    </dxf>
    <dxf>
      <fill>
        <patternFill>
          <bgColor rgb="FFFFC000"/>
        </patternFill>
      </fill>
    </dxf>
    <dxf>
      <fill>
        <patternFill>
          <bgColor rgb="FFFF0000"/>
        </patternFill>
      </fill>
    </dxf>
    <dxf>
      <fill>
        <patternFill>
          <bgColor rgb="FFFFC0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FFC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FF0000"/>
        </patternFill>
      </fill>
    </dxf>
    <dxf>
      <fill>
        <patternFill>
          <bgColor rgb="FF00B050"/>
        </patternFill>
      </fill>
    </dxf>
    <dxf>
      <fill>
        <patternFill>
          <bgColor rgb="FFFFC0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FFC000"/>
        </patternFill>
      </fill>
    </dxf>
    <dxf>
      <fill>
        <patternFill>
          <bgColor rgb="FFFFFF00"/>
        </patternFill>
      </fill>
    </dxf>
    <dxf>
      <fill>
        <patternFill>
          <bgColor rgb="FFFF0000"/>
        </patternFill>
      </fill>
    </dxf>
    <dxf>
      <fill>
        <patternFill>
          <bgColor rgb="FF00B050"/>
        </patternFill>
      </fill>
    </dxf>
    <dxf>
      <fill>
        <patternFill>
          <bgColor rgb="FF00B050"/>
        </patternFill>
      </fill>
    </dxf>
    <dxf>
      <fill>
        <patternFill>
          <bgColor rgb="FFFFC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C000"/>
        </patternFill>
      </fill>
    </dxf>
    <dxf>
      <fill>
        <patternFill>
          <bgColor rgb="FF00B050"/>
        </patternFill>
      </fill>
    </dxf>
    <dxf>
      <fill>
        <patternFill>
          <bgColor rgb="FFFFFF00"/>
        </patternFill>
      </fill>
    </dxf>
    <dxf>
      <fill>
        <patternFill>
          <bgColor rgb="FFFFC000"/>
        </patternFill>
      </fill>
    </dxf>
    <dxf>
      <fill>
        <patternFill>
          <bgColor rgb="FF00B050"/>
        </patternFill>
      </fill>
    </dxf>
    <dxf>
      <fill>
        <patternFill>
          <bgColor rgb="FFFFC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00B050"/>
        </patternFill>
      </fill>
    </dxf>
    <dxf>
      <fill>
        <patternFill>
          <bgColor rgb="FFFF0000"/>
        </patternFill>
      </fill>
    </dxf>
    <dxf>
      <fill>
        <patternFill>
          <bgColor rgb="FFFFC0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FF00"/>
        </patternFill>
      </fill>
    </dxf>
    <dxf>
      <fill>
        <patternFill>
          <bgColor rgb="FFFF0000"/>
        </patternFill>
      </fill>
    </dxf>
    <dxf>
      <fill>
        <patternFill>
          <bgColor rgb="FF00B050"/>
        </patternFill>
      </fill>
    </dxf>
    <dxf>
      <fill>
        <patternFill>
          <bgColor rgb="FFFFC000"/>
        </patternFill>
      </fill>
    </dxf>
    <dxf>
      <fill>
        <patternFill>
          <bgColor rgb="FFFFC000"/>
        </patternFill>
      </fill>
    </dxf>
    <dxf>
      <fill>
        <patternFill>
          <bgColor rgb="FFFF0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00B050"/>
        </patternFill>
      </fill>
    </dxf>
    <dxf>
      <fill>
        <patternFill>
          <bgColor rgb="FFFF0000"/>
        </patternFill>
      </fill>
    </dxf>
    <dxf>
      <fill>
        <patternFill>
          <bgColor rgb="FFFFC000"/>
        </patternFill>
      </fill>
    </dxf>
    <dxf>
      <fill>
        <patternFill>
          <bgColor rgb="FFFFC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C00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00B050"/>
        </patternFill>
      </fill>
    </dxf>
    <dxf>
      <fill>
        <patternFill>
          <bgColor rgb="FFFF0000"/>
        </patternFill>
      </fill>
    </dxf>
    <dxf>
      <fill>
        <patternFill>
          <bgColor rgb="FFFFFF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00B05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FF0000"/>
        </patternFill>
      </fill>
    </dxf>
    <dxf>
      <fill>
        <patternFill>
          <bgColor rgb="FF00B050"/>
        </patternFill>
      </fill>
    </dxf>
    <dxf>
      <fill>
        <patternFill>
          <bgColor rgb="FF00B050"/>
        </patternFill>
      </fill>
    </dxf>
    <dxf>
      <fill>
        <patternFill>
          <bgColor rgb="FFFFC000"/>
        </patternFill>
      </fill>
    </dxf>
    <dxf>
      <fill>
        <patternFill>
          <bgColor rgb="FF00B050"/>
        </patternFill>
      </fill>
    </dxf>
    <dxf>
      <fill>
        <patternFill>
          <bgColor rgb="FFFFC000"/>
        </patternFill>
      </fill>
    </dxf>
    <dxf>
      <fill>
        <patternFill>
          <bgColor rgb="FFFF0000"/>
        </patternFill>
      </fill>
    </dxf>
    <dxf>
      <fill>
        <patternFill>
          <bgColor rgb="FFFFC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FFC000"/>
        </patternFill>
      </fill>
    </dxf>
    <dxf>
      <fill>
        <patternFill>
          <bgColor rgb="FF00B05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00B050"/>
        </patternFill>
      </fill>
    </dxf>
    <dxf>
      <fill>
        <patternFill>
          <bgColor rgb="FFFFFF00"/>
        </patternFill>
      </fill>
    </dxf>
    <dxf>
      <fill>
        <patternFill>
          <bgColor rgb="FFFFC000"/>
        </patternFill>
      </fill>
    </dxf>
    <dxf>
      <fill>
        <patternFill>
          <bgColor rgb="FFFFC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C000"/>
        </patternFill>
      </fill>
    </dxf>
    <dxf>
      <fill>
        <patternFill>
          <bgColor rgb="FF00B050"/>
        </patternFill>
      </fill>
    </dxf>
    <dxf>
      <fill>
        <patternFill>
          <bgColor rgb="FFFFFF00"/>
        </patternFill>
      </fill>
    </dxf>
    <dxf>
      <fill>
        <patternFill>
          <bgColor rgb="FFFF000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C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C000"/>
        </patternFill>
      </fill>
    </dxf>
    <dxf>
      <fill>
        <patternFill>
          <bgColor rgb="FFFFC000"/>
        </patternFill>
      </fill>
    </dxf>
    <dxf>
      <fill>
        <patternFill>
          <bgColor rgb="FF00B050"/>
        </patternFill>
      </fill>
    </dxf>
    <dxf>
      <fill>
        <patternFill>
          <bgColor rgb="FFFF000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C000"/>
        </patternFill>
      </fill>
    </dxf>
    <dxf>
      <fill>
        <patternFill>
          <bgColor rgb="FF00B05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C000"/>
        </patternFill>
      </fill>
    </dxf>
    <dxf>
      <fill>
        <patternFill>
          <bgColor rgb="FFFF0000"/>
        </patternFill>
      </fill>
    </dxf>
    <dxf>
      <fill>
        <patternFill>
          <bgColor rgb="FFFF0000"/>
        </patternFill>
      </fill>
    </dxf>
    <dxf>
      <fill>
        <patternFill>
          <bgColor rgb="FF00B050"/>
        </patternFill>
      </fill>
    </dxf>
    <dxf>
      <fill>
        <patternFill>
          <bgColor rgb="FFFFC00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00B050"/>
        </patternFill>
      </fill>
    </dxf>
    <dxf>
      <fill>
        <patternFill>
          <bgColor rgb="FFFFC000"/>
        </patternFill>
      </fill>
    </dxf>
    <dxf>
      <fill>
        <patternFill>
          <bgColor rgb="FFFF0000"/>
        </patternFill>
      </fill>
    </dxf>
    <dxf>
      <fill>
        <patternFill>
          <bgColor rgb="FFFF0000"/>
        </patternFill>
      </fill>
    </dxf>
    <dxf>
      <fill>
        <patternFill>
          <bgColor rgb="FF00B050"/>
        </patternFill>
      </fill>
    </dxf>
    <dxf>
      <fill>
        <patternFill>
          <bgColor rgb="FFFFC000"/>
        </patternFill>
      </fill>
    </dxf>
    <dxf>
      <fill>
        <patternFill>
          <bgColor rgb="FFFFFF00"/>
        </patternFill>
      </fill>
    </dxf>
    <dxf>
      <fill>
        <patternFill>
          <bgColor rgb="FFFF0000"/>
        </patternFill>
      </fill>
    </dxf>
    <dxf>
      <fill>
        <patternFill>
          <bgColor rgb="FF00B050"/>
        </patternFill>
      </fill>
    </dxf>
    <dxf>
      <fill>
        <patternFill>
          <bgColor rgb="FFFFC000"/>
        </patternFill>
      </fill>
    </dxf>
    <dxf>
      <fill>
        <patternFill>
          <bgColor rgb="FF00B050"/>
        </patternFill>
      </fill>
    </dxf>
    <dxf>
      <fill>
        <patternFill>
          <bgColor rgb="FFFFC000"/>
        </patternFill>
      </fill>
    </dxf>
    <dxf>
      <fill>
        <patternFill>
          <bgColor rgb="FFFF000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C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C000"/>
        </patternFill>
      </fill>
    </dxf>
    <dxf>
      <fill>
        <patternFill>
          <bgColor rgb="FFFFC000"/>
        </patternFill>
      </fill>
    </dxf>
    <dxf>
      <fill>
        <patternFill>
          <bgColor rgb="FFFF0000"/>
        </patternFill>
      </fill>
    </dxf>
    <dxf>
      <fill>
        <patternFill>
          <bgColor rgb="FF00B05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C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FFC000"/>
        </patternFill>
      </fill>
    </dxf>
    <dxf>
      <fill>
        <patternFill>
          <bgColor rgb="FF00B050"/>
        </patternFill>
      </fill>
    </dxf>
    <dxf>
      <fill>
        <patternFill>
          <bgColor rgb="FFFF0000"/>
        </patternFill>
      </fill>
    </dxf>
    <dxf>
      <fill>
        <patternFill>
          <bgColor rgb="FFFFFF00"/>
        </patternFill>
      </fill>
    </dxf>
    <dxf>
      <fill>
        <patternFill>
          <bgColor rgb="FFFF0000"/>
        </patternFill>
      </fill>
    </dxf>
    <dxf>
      <fill>
        <patternFill>
          <bgColor rgb="FF00B050"/>
        </patternFill>
      </fill>
    </dxf>
    <dxf>
      <fill>
        <patternFill>
          <bgColor rgb="FFFFC000"/>
        </patternFill>
      </fill>
    </dxf>
    <dxf>
      <fill>
        <patternFill>
          <bgColor rgb="FFFFC000"/>
        </patternFill>
      </fill>
    </dxf>
    <dxf>
      <fill>
        <patternFill>
          <bgColor rgb="FFFF0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C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FFC000"/>
        </patternFill>
      </fill>
    </dxf>
    <dxf>
      <fill>
        <patternFill>
          <bgColor rgb="FFFFC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C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C000"/>
        </patternFill>
      </fill>
    </dxf>
    <dxf>
      <fill>
        <patternFill>
          <bgColor rgb="FFFFC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00B050"/>
        </patternFill>
      </fill>
    </dxf>
    <dxf>
      <fill>
        <patternFill>
          <bgColor rgb="FFFFC000"/>
        </patternFill>
      </fill>
    </dxf>
    <dxf>
      <fill>
        <patternFill>
          <bgColor rgb="FFFF00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C000"/>
        </patternFill>
      </fill>
    </dxf>
    <dxf>
      <fill>
        <patternFill>
          <bgColor rgb="FF00B050"/>
        </patternFill>
      </fill>
    </dxf>
    <dxf>
      <fill>
        <patternFill>
          <bgColor rgb="FFFFFF00"/>
        </patternFill>
      </fill>
    </dxf>
    <dxf>
      <fill>
        <patternFill>
          <bgColor rgb="FFFF0000"/>
        </patternFill>
      </fill>
    </dxf>
    <dxf>
      <fill>
        <patternFill>
          <bgColor rgb="FFFF0000"/>
        </patternFill>
      </fill>
    </dxf>
    <dxf>
      <fill>
        <patternFill>
          <bgColor rgb="FFFFC00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00B050"/>
        </patternFill>
      </fill>
    </dxf>
    <dxf>
      <fill>
        <patternFill>
          <bgColor rgb="FFFFC00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00B050"/>
        </patternFill>
      </fill>
    </dxf>
    <dxf>
      <fill>
        <patternFill>
          <bgColor rgb="FFFFC000"/>
        </patternFill>
      </fill>
    </dxf>
    <dxf>
      <fill>
        <patternFill>
          <bgColor rgb="FF00B050"/>
        </patternFill>
      </fill>
    </dxf>
    <dxf>
      <fill>
        <patternFill>
          <bgColor rgb="FFFFFF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FFC000"/>
        </patternFill>
      </fill>
    </dxf>
    <dxf>
      <fill>
        <patternFill>
          <bgColor rgb="FF00B050"/>
        </patternFill>
      </fill>
    </dxf>
    <dxf>
      <fill>
        <patternFill>
          <bgColor rgb="FFFF000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C000"/>
        </patternFill>
      </fill>
    </dxf>
    <dxf>
      <fill>
        <patternFill>
          <bgColor rgb="FFFFFF00"/>
        </patternFill>
      </fill>
    </dxf>
    <dxf>
      <fill>
        <patternFill>
          <bgColor rgb="FFFFC000"/>
        </patternFill>
      </fill>
    </dxf>
    <dxf>
      <fill>
        <patternFill>
          <bgColor rgb="FF00B05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FFC000"/>
        </patternFill>
      </fill>
    </dxf>
    <dxf>
      <fill>
        <patternFill>
          <bgColor rgb="FF00B050"/>
        </patternFill>
      </fill>
    </dxf>
    <dxf>
      <fill>
        <patternFill>
          <bgColor rgb="FFFFC00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C000"/>
        </patternFill>
      </fill>
    </dxf>
    <dxf>
      <fill>
        <patternFill>
          <bgColor rgb="FF00B050"/>
        </patternFill>
      </fill>
    </dxf>
    <dxf>
      <fill>
        <patternFill>
          <bgColor rgb="FF00B050"/>
        </patternFill>
      </fill>
    </dxf>
    <dxf>
      <fill>
        <patternFill>
          <bgColor rgb="FFFFFF00"/>
        </patternFill>
      </fill>
    </dxf>
    <dxf>
      <fill>
        <patternFill>
          <bgColor rgb="FFFF0000"/>
        </patternFill>
      </fill>
    </dxf>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00B050"/>
        </patternFill>
      </fill>
    </dxf>
    <dxf>
      <fill>
        <patternFill>
          <bgColor rgb="FF00B050"/>
        </patternFill>
      </fill>
    </dxf>
    <dxf>
      <fill>
        <patternFill>
          <bgColor rgb="FFFF0000"/>
        </patternFill>
      </fill>
    </dxf>
    <dxf>
      <fill>
        <patternFill>
          <bgColor rgb="FFFFC00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00B05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FFC000"/>
        </patternFill>
      </fill>
    </dxf>
    <dxf>
      <fill>
        <patternFill>
          <bgColor rgb="FF00B050"/>
        </patternFill>
      </fill>
    </dxf>
    <dxf>
      <fill>
        <patternFill>
          <bgColor rgb="FFFFFF00"/>
        </patternFill>
      </fill>
    </dxf>
    <dxf>
      <fill>
        <patternFill>
          <bgColor rgb="FFFFC000"/>
        </patternFill>
      </fill>
    </dxf>
    <dxf>
      <fill>
        <patternFill>
          <bgColor rgb="FF00B050"/>
        </patternFill>
      </fill>
    </dxf>
    <dxf>
      <fill>
        <patternFill>
          <bgColor rgb="FF00B050"/>
        </patternFill>
      </fill>
    </dxf>
    <dxf>
      <fill>
        <patternFill>
          <bgColor rgb="FFFF0000"/>
        </patternFill>
      </fill>
    </dxf>
    <dxf>
      <fill>
        <patternFill>
          <bgColor rgb="FFFFC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00B050"/>
        </patternFill>
      </fill>
    </dxf>
    <dxf>
      <fill>
        <patternFill>
          <bgColor rgb="FFFF0000"/>
        </patternFill>
      </fill>
    </dxf>
    <dxf>
      <fill>
        <patternFill>
          <bgColor rgb="FFFFC0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FFC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C000"/>
        </patternFill>
      </fill>
    </dxf>
    <dxf>
      <fill>
        <patternFill>
          <bgColor rgb="FFFF0000"/>
        </patternFill>
      </fill>
    </dxf>
    <dxf>
      <fill>
        <patternFill>
          <bgColor rgb="FF00B05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C000"/>
        </patternFill>
      </fill>
    </dxf>
    <dxf>
      <fill>
        <patternFill>
          <bgColor rgb="FFFF0000"/>
        </patternFill>
      </fill>
    </dxf>
    <dxf>
      <fill>
        <patternFill>
          <bgColor rgb="FFFFC000"/>
        </patternFill>
      </fill>
    </dxf>
    <dxf>
      <fill>
        <patternFill>
          <bgColor rgb="FFFFFF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FF0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FFC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C000"/>
        </patternFill>
      </fill>
    </dxf>
    <dxf>
      <fill>
        <patternFill>
          <bgColor rgb="FFFFC000"/>
        </patternFill>
      </fill>
    </dxf>
    <dxf>
      <fill>
        <patternFill>
          <bgColor rgb="FF00B05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00B050"/>
        </patternFill>
      </fill>
    </dxf>
    <dxf>
      <fill>
        <patternFill>
          <bgColor rgb="FFFFC000"/>
        </patternFill>
      </fill>
    </dxf>
    <dxf>
      <fill>
        <patternFill>
          <bgColor rgb="FFFF000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00B05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C000"/>
        </patternFill>
      </fill>
    </dxf>
    <dxf>
      <fill>
        <patternFill>
          <bgColor rgb="FFFFC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FFC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C000"/>
        </patternFill>
      </fill>
    </dxf>
    <dxf>
      <fill>
        <patternFill>
          <bgColor rgb="FFFFC000"/>
        </patternFill>
      </fill>
    </dxf>
    <dxf>
      <fill>
        <patternFill>
          <bgColor rgb="FFFFFF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C00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FF0000"/>
        </patternFill>
      </fill>
    </dxf>
    <dxf>
      <fill>
        <patternFill>
          <bgColor rgb="FF00B05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0000"/>
        </patternFill>
      </fill>
    </dxf>
    <dxf>
      <fill>
        <patternFill>
          <bgColor rgb="FFFFC000"/>
        </patternFill>
      </fill>
    </dxf>
    <dxf>
      <fill>
        <patternFill>
          <bgColor rgb="FFFFC000"/>
        </patternFill>
      </fill>
    </dxf>
    <dxf>
      <fill>
        <patternFill>
          <bgColor rgb="FF00B05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00B050"/>
        </patternFill>
      </fill>
    </dxf>
    <dxf>
      <fill>
        <patternFill>
          <bgColor rgb="FF00B050"/>
        </patternFill>
      </fill>
    </dxf>
    <dxf>
      <fill>
        <patternFill>
          <bgColor rgb="FFFFC00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00B050"/>
        </patternFill>
      </fill>
    </dxf>
    <dxf>
      <fill>
        <patternFill>
          <bgColor rgb="FFFF0000"/>
        </patternFill>
      </fill>
    </dxf>
    <dxf>
      <fill>
        <patternFill>
          <bgColor rgb="FFFFC000"/>
        </patternFill>
      </fill>
    </dxf>
    <dxf>
      <fill>
        <patternFill>
          <bgColor rgb="FFFF0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C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C000"/>
        </patternFill>
      </fill>
    </dxf>
    <dxf>
      <fill>
        <patternFill>
          <bgColor rgb="FFFF0000"/>
        </patternFill>
      </fill>
    </dxf>
    <dxf>
      <fill>
        <patternFill>
          <bgColor rgb="FF00B050"/>
        </patternFill>
      </fill>
    </dxf>
    <dxf>
      <fill>
        <patternFill>
          <bgColor rgb="FF00B050"/>
        </patternFill>
      </fill>
    </dxf>
    <dxf>
      <fill>
        <patternFill>
          <bgColor rgb="FFFFC000"/>
        </patternFill>
      </fill>
    </dxf>
    <dxf>
      <fill>
        <patternFill>
          <bgColor rgb="FFFF0000"/>
        </patternFill>
      </fill>
    </dxf>
    <dxf>
      <fill>
        <patternFill>
          <bgColor rgb="FFFFC000"/>
        </patternFill>
      </fill>
    </dxf>
    <dxf>
      <fill>
        <patternFill>
          <bgColor rgb="FFFF0000"/>
        </patternFill>
      </fill>
    </dxf>
    <dxf>
      <fill>
        <patternFill>
          <bgColor rgb="FF00B050"/>
        </patternFill>
      </fill>
    </dxf>
    <dxf>
      <fill>
        <patternFill>
          <bgColor rgb="FF00B050"/>
        </patternFill>
      </fill>
    </dxf>
    <dxf>
      <fill>
        <patternFill>
          <bgColor rgb="FFFFC000"/>
        </patternFill>
      </fill>
    </dxf>
    <dxf>
      <fill>
        <patternFill>
          <bgColor rgb="FFFF0000"/>
        </patternFill>
      </fill>
    </dxf>
    <dxf>
      <fill>
        <patternFill>
          <bgColor rgb="FFFF0000"/>
        </patternFill>
      </fill>
    </dxf>
    <dxf>
      <fill>
        <patternFill>
          <bgColor rgb="FF00B050"/>
        </patternFill>
      </fill>
    </dxf>
    <dxf>
      <fill>
        <patternFill>
          <bgColor rgb="FFFFC0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FFC000"/>
        </patternFill>
      </fill>
    </dxf>
    <dxf>
      <fill>
        <patternFill>
          <bgColor rgb="FF00B050"/>
        </patternFill>
      </fill>
    </dxf>
    <dxf>
      <fill>
        <patternFill>
          <bgColor rgb="FF00B050"/>
        </patternFill>
      </fill>
    </dxf>
    <dxf>
      <fill>
        <patternFill>
          <bgColor rgb="FFFFC000"/>
        </patternFill>
      </fill>
    </dxf>
    <dxf>
      <fill>
        <patternFill>
          <bgColor rgb="FFFFC00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FF0000"/>
        </patternFill>
      </fill>
    </dxf>
    <dxf>
      <fill>
        <patternFill>
          <bgColor rgb="FF00B050"/>
        </patternFill>
      </fill>
    </dxf>
    <dxf>
      <fill>
        <patternFill>
          <bgColor rgb="FFFFC000"/>
        </patternFill>
      </fill>
    </dxf>
    <dxf>
      <fill>
        <patternFill>
          <bgColor rgb="FFFFC000"/>
        </patternFill>
      </fill>
    </dxf>
    <dxf>
      <fill>
        <patternFill>
          <bgColor rgb="FFFF0000"/>
        </patternFill>
      </fill>
    </dxf>
    <dxf>
      <fill>
        <patternFill>
          <bgColor rgb="FF00B050"/>
        </patternFill>
      </fill>
    </dxf>
    <dxf>
      <fill>
        <patternFill>
          <bgColor rgb="FF00B050"/>
        </patternFill>
      </fill>
    </dxf>
    <dxf>
      <fill>
        <patternFill>
          <bgColor rgb="FFFFC000"/>
        </patternFill>
      </fill>
    </dxf>
    <dxf>
      <fill>
        <patternFill>
          <bgColor rgb="FFFF0000"/>
        </patternFill>
      </fill>
    </dxf>
    <dxf>
      <fill>
        <patternFill>
          <bgColor rgb="FFFF0000"/>
        </patternFill>
      </fill>
    </dxf>
    <dxf>
      <fill>
        <patternFill>
          <bgColor rgb="FF00B050"/>
        </patternFill>
      </fill>
    </dxf>
    <dxf>
      <fill>
        <patternFill>
          <bgColor rgb="FFFFC00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00B050"/>
        </patternFill>
      </fill>
    </dxf>
    <dxf>
      <fill>
        <patternFill>
          <bgColor rgb="FF00B050"/>
        </patternFill>
      </fill>
    </dxf>
    <dxf>
      <fill>
        <patternFill>
          <bgColor rgb="FFFF000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00B05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00B050"/>
        </patternFill>
      </fill>
    </dxf>
    <dxf>
      <fill>
        <patternFill>
          <bgColor rgb="FFFFC000"/>
        </patternFill>
      </fill>
    </dxf>
    <dxf>
      <fill>
        <patternFill>
          <bgColor rgb="FFFF0000"/>
        </patternFill>
      </fill>
    </dxf>
    <dxf>
      <fill>
        <patternFill>
          <bgColor rgb="FFFF0000"/>
        </patternFill>
      </fill>
    </dxf>
    <dxf>
      <fill>
        <patternFill>
          <bgColor rgb="FF00B05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000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FF00"/>
        </patternFill>
      </fill>
    </dxf>
    <dxf>
      <fill>
        <patternFill>
          <bgColor rgb="FFFF0000"/>
        </patternFill>
      </fill>
    </dxf>
    <dxf>
      <fill>
        <patternFill>
          <bgColor rgb="FFFFC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FF00"/>
        </patternFill>
      </fill>
    </dxf>
    <dxf>
      <fill>
        <patternFill>
          <bgColor rgb="FFFFC000"/>
        </patternFill>
      </fill>
    </dxf>
    <dxf>
      <fill>
        <patternFill>
          <bgColor rgb="FFFF0000"/>
        </patternFill>
      </fill>
    </dxf>
    <dxf>
      <fill>
        <patternFill>
          <bgColor rgb="FFFFFF00"/>
        </patternFill>
      </fill>
    </dxf>
    <dxf>
      <fill>
        <patternFill>
          <bgColor rgb="FF00B05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00B05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00B050"/>
        </patternFill>
      </fill>
    </dxf>
    <dxf>
      <fill>
        <patternFill>
          <bgColor rgb="FFFFC000"/>
        </patternFill>
      </fill>
    </dxf>
    <dxf>
      <fill>
        <patternFill>
          <bgColor rgb="FFFFFF00"/>
        </patternFill>
      </fill>
    </dxf>
    <dxf>
      <fill>
        <patternFill>
          <bgColor rgb="FFFFFF00"/>
        </patternFill>
      </fill>
    </dxf>
    <dxf>
      <fill>
        <patternFill>
          <bgColor rgb="FFFF0000"/>
        </patternFill>
      </fill>
    </dxf>
    <dxf>
      <fill>
        <patternFill>
          <bgColor rgb="FFFFC000"/>
        </patternFill>
      </fill>
    </dxf>
    <dxf>
      <fill>
        <patternFill>
          <bgColor rgb="FF00B05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00B050"/>
        </patternFill>
      </fill>
    </dxf>
    <dxf>
      <fill>
        <patternFill>
          <bgColor rgb="FFFFC000"/>
        </patternFill>
      </fill>
    </dxf>
    <dxf>
      <fill>
        <patternFill>
          <bgColor rgb="FFFFFF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FFFF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00B050"/>
        </patternFill>
      </fill>
    </dxf>
    <dxf>
      <fill>
        <patternFill>
          <bgColor rgb="FFFFC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00B050"/>
        </patternFill>
      </fill>
    </dxf>
    <dxf>
      <fill>
        <patternFill>
          <bgColor rgb="FFFF0000"/>
        </patternFill>
      </fill>
    </dxf>
    <dxf>
      <fill>
        <patternFill>
          <bgColor rgb="FFFFFF00"/>
        </patternFill>
      </fill>
    </dxf>
    <dxf>
      <fill>
        <patternFill>
          <bgColor rgb="FFFF0000"/>
        </patternFill>
      </fill>
    </dxf>
    <dxf>
      <fill>
        <patternFill>
          <bgColor rgb="FF00B050"/>
        </patternFill>
      </fill>
    </dxf>
    <dxf>
      <fill>
        <patternFill>
          <bgColor rgb="FFFFC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FFFF00"/>
        </patternFill>
      </fill>
    </dxf>
    <dxf>
      <fill>
        <patternFill>
          <bgColor rgb="FFFFC000"/>
        </patternFill>
      </fill>
    </dxf>
    <dxf>
      <fill>
        <patternFill>
          <bgColor rgb="FF00B05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FFC0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00B05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0000"/>
        </patternFill>
      </fill>
    </dxf>
    <dxf>
      <fill>
        <patternFill>
          <bgColor rgb="FFFFFF00"/>
        </patternFill>
      </fill>
    </dxf>
    <dxf>
      <fill>
        <patternFill>
          <bgColor rgb="FFFFC0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FFC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FF00"/>
        </patternFill>
      </fill>
    </dxf>
    <dxf>
      <fill>
        <patternFill>
          <bgColor rgb="FFFF0000"/>
        </patternFill>
      </fill>
    </dxf>
    <dxf>
      <fill>
        <patternFill>
          <bgColor rgb="FFFFC000"/>
        </patternFill>
      </fill>
    </dxf>
    <dxf>
      <fill>
        <patternFill>
          <bgColor rgb="FF00B050"/>
        </patternFill>
      </fill>
    </dxf>
    <dxf>
      <fill>
        <patternFill>
          <bgColor rgb="FFFFFF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00B050"/>
        </patternFill>
      </fill>
    </dxf>
    <dxf>
      <fill>
        <patternFill>
          <bgColor rgb="FFFFC000"/>
        </patternFill>
      </fill>
    </dxf>
    <dxf>
      <fill>
        <patternFill>
          <bgColor rgb="FFFFC000"/>
        </patternFill>
      </fill>
    </dxf>
    <dxf>
      <fill>
        <patternFill>
          <bgColor rgb="FF00B050"/>
        </patternFill>
      </fill>
    </dxf>
    <dxf>
      <fill>
        <patternFill>
          <bgColor rgb="FFFF0000"/>
        </patternFill>
      </fill>
    </dxf>
    <dxf>
      <fill>
        <patternFill>
          <bgColor rgb="FFFFFF00"/>
        </patternFill>
      </fill>
    </dxf>
    <dxf>
      <fill>
        <patternFill>
          <bgColor rgb="FFFF0000"/>
        </patternFill>
      </fill>
    </dxf>
    <dxf>
      <fill>
        <patternFill>
          <bgColor rgb="FFFFC000"/>
        </patternFill>
      </fill>
    </dxf>
    <dxf>
      <fill>
        <patternFill>
          <bgColor rgb="FF00B050"/>
        </patternFill>
      </fill>
    </dxf>
    <dxf>
      <fill>
        <patternFill>
          <bgColor rgb="FFFFFF0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FFC000"/>
        </patternFill>
      </fill>
    </dxf>
    <dxf>
      <fill>
        <patternFill>
          <bgColor rgb="FF00B05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C000"/>
        </patternFill>
      </fill>
    </dxf>
    <dxf>
      <fill>
        <patternFill>
          <bgColor rgb="FFFF0000"/>
        </patternFill>
      </fill>
    </dxf>
    <dxf>
      <fill>
        <patternFill>
          <bgColor rgb="FFFFFF00"/>
        </patternFill>
      </fill>
    </dxf>
    <dxf>
      <fill>
        <patternFill>
          <bgColor rgb="FF00B05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FFC000"/>
        </patternFill>
      </fill>
    </dxf>
    <dxf>
      <fill>
        <patternFill>
          <bgColor rgb="FFFF0000"/>
        </patternFill>
      </fill>
    </dxf>
    <dxf>
      <fill>
        <patternFill>
          <bgColor rgb="FFFFFF00"/>
        </patternFill>
      </fill>
    </dxf>
    <dxf>
      <fill>
        <patternFill>
          <bgColor rgb="FF00B05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FF00"/>
        </patternFill>
      </fill>
    </dxf>
    <dxf>
      <fill>
        <patternFill>
          <bgColor rgb="FFFFC000"/>
        </patternFill>
      </fill>
    </dxf>
    <dxf>
      <fill>
        <patternFill>
          <bgColor rgb="FF00B050"/>
        </patternFill>
      </fill>
    </dxf>
    <dxf>
      <fill>
        <patternFill>
          <bgColor rgb="FFFFC000"/>
        </patternFill>
      </fill>
    </dxf>
    <dxf>
      <fill>
        <patternFill>
          <bgColor rgb="FF00B05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FF0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C000"/>
        </patternFill>
      </fill>
    </dxf>
    <dxf>
      <fill>
        <patternFill>
          <bgColor rgb="FF00B050"/>
        </patternFill>
      </fill>
    </dxf>
    <dxf>
      <fill>
        <patternFill>
          <bgColor rgb="FFFFC000"/>
        </patternFill>
      </fill>
    </dxf>
    <dxf>
      <fill>
        <patternFill>
          <bgColor rgb="FF00B050"/>
        </patternFill>
      </fill>
    </dxf>
    <dxf>
      <fill>
        <patternFill>
          <bgColor rgb="FFFFFF00"/>
        </patternFill>
      </fill>
    </dxf>
    <dxf>
      <fill>
        <patternFill>
          <bgColor rgb="FFFF0000"/>
        </patternFill>
      </fill>
    </dxf>
    <dxf>
      <fill>
        <patternFill>
          <bgColor rgb="FFFFC000"/>
        </patternFill>
      </fill>
    </dxf>
    <dxf>
      <fill>
        <patternFill>
          <bgColor rgb="FF00B050"/>
        </patternFill>
      </fill>
    </dxf>
    <dxf>
      <fill>
        <patternFill>
          <bgColor rgb="FF00B050"/>
        </patternFill>
      </fill>
    </dxf>
    <dxf>
      <fill>
        <patternFill>
          <bgColor rgb="FFFFFF00"/>
        </patternFill>
      </fill>
    </dxf>
    <dxf>
      <fill>
        <patternFill>
          <bgColor rgb="FFFFFF00"/>
        </patternFill>
      </fill>
    </dxf>
    <dxf>
      <fill>
        <patternFill>
          <bgColor rgb="FFFFC000"/>
        </patternFill>
      </fill>
    </dxf>
    <dxf>
      <fill>
        <patternFill>
          <bgColor rgb="FFFF0000"/>
        </patternFill>
      </fill>
    </dxf>
    <dxf>
      <fill>
        <patternFill>
          <bgColor rgb="FFFF000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FFC00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00B050"/>
        </patternFill>
      </fill>
    </dxf>
    <dxf>
      <fill>
        <patternFill>
          <bgColor rgb="FFFFFF00"/>
        </patternFill>
      </fill>
    </dxf>
    <dxf>
      <fill>
        <patternFill>
          <bgColor rgb="FFFFFF00"/>
        </patternFill>
      </fill>
    </dxf>
    <dxf>
      <fill>
        <patternFill>
          <bgColor rgb="FFFFC000"/>
        </patternFill>
      </fill>
    </dxf>
    <dxf>
      <fill>
        <patternFill>
          <bgColor rgb="FFFF00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C000"/>
        </patternFill>
      </fill>
    </dxf>
    <dxf>
      <fill>
        <patternFill>
          <bgColor rgb="FFFFFF00"/>
        </patternFill>
      </fill>
    </dxf>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FF00"/>
        </patternFill>
      </fill>
    </dxf>
    <dxf>
      <fill>
        <patternFill>
          <bgColor rgb="FFFF0000"/>
        </patternFill>
      </fill>
    </dxf>
    <dxf>
      <fill>
        <patternFill>
          <bgColor rgb="FFFFC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FF00"/>
        </patternFill>
      </fill>
    </dxf>
    <dxf>
      <fill>
        <patternFill>
          <bgColor rgb="FFFF0000"/>
        </patternFill>
      </fill>
    </dxf>
    <dxf>
      <fill>
        <patternFill>
          <bgColor rgb="FF00B05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FFC000"/>
        </patternFill>
      </fill>
    </dxf>
    <dxf>
      <fill>
        <patternFill>
          <bgColor rgb="FFFFFF00"/>
        </patternFill>
      </fill>
    </dxf>
    <dxf>
      <fill>
        <patternFill>
          <bgColor rgb="FFFFC00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FF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FF00"/>
        </patternFill>
      </fill>
    </dxf>
    <dxf>
      <fill>
        <patternFill>
          <bgColor rgb="FFFFC000"/>
        </patternFill>
      </fill>
    </dxf>
    <dxf>
      <fill>
        <patternFill>
          <bgColor rgb="FFFF0000"/>
        </patternFill>
      </fill>
    </dxf>
    <dxf>
      <fill>
        <patternFill>
          <bgColor rgb="FFFFFF00"/>
        </patternFill>
      </fill>
    </dxf>
    <dxf>
      <fill>
        <patternFill>
          <bgColor rgb="FFFF0000"/>
        </patternFill>
      </fill>
    </dxf>
    <dxf>
      <fill>
        <patternFill>
          <bgColor rgb="FF00B05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FFFF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00B050"/>
        </patternFill>
      </fill>
    </dxf>
    <dxf>
      <fill>
        <patternFill>
          <bgColor rgb="FFFFFF0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C000"/>
        </patternFill>
      </fill>
    </dxf>
    <dxf>
      <fill>
        <patternFill>
          <bgColor rgb="FFFFFF00"/>
        </patternFill>
      </fill>
    </dxf>
    <dxf>
      <fill>
        <patternFill>
          <bgColor rgb="FFFF000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FFFF00"/>
        </patternFill>
      </fill>
    </dxf>
    <dxf>
      <fill>
        <patternFill>
          <bgColor rgb="FFFFFF00"/>
        </patternFill>
      </fill>
    </dxf>
    <dxf>
      <fill>
        <patternFill>
          <bgColor rgb="FFFFC000"/>
        </patternFill>
      </fill>
    </dxf>
    <dxf>
      <fill>
        <patternFill>
          <bgColor rgb="FFFF000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00B05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FF0000"/>
        </patternFill>
      </fill>
    </dxf>
    <dxf>
      <fill>
        <patternFill>
          <bgColor rgb="FFFF0000"/>
        </patternFill>
      </fill>
    </dxf>
    <dxf>
      <fill>
        <patternFill>
          <bgColor rgb="FF00B050"/>
        </patternFill>
      </fill>
    </dxf>
    <dxf>
      <fill>
        <patternFill>
          <bgColor rgb="FFFFC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00B050"/>
        </patternFill>
      </fill>
    </dxf>
    <dxf>
      <fill>
        <patternFill>
          <bgColor rgb="FFFFC000"/>
        </patternFill>
      </fill>
    </dxf>
    <dxf>
      <fill>
        <patternFill>
          <bgColor rgb="FFFFC00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FFC000"/>
        </patternFill>
      </fill>
    </dxf>
    <dxf>
      <fill>
        <patternFill>
          <bgColor rgb="FFFFC000"/>
        </patternFill>
      </fill>
    </dxf>
    <dxf>
      <fill>
        <patternFill>
          <bgColor rgb="FFFFFF00"/>
        </patternFill>
      </fill>
    </dxf>
    <dxf>
      <fill>
        <patternFill>
          <bgColor rgb="FFFF0000"/>
        </patternFill>
      </fill>
    </dxf>
    <dxf>
      <fill>
        <patternFill>
          <bgColor rgb="FF00B05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FF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C00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C000"/>
        </patternFill>
      </fill>
    </dxf>
    <dxf>
      <fill>
        <patternFill>
          <bgColor rgb="FFFFFF00"/>
        </patternFill>
      </fill>
    </dxf>
    <dxf>
      <fill>
        <patternFill>
          <bgColor rgb="FFFFC000"/>
        </patternFill>
      </fill>
    </dxf>
    <dxf>
      <fill>
        <patternFill>
          <bgColor rgb="FFFFC00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C000"/>
        </patternFill>
      </fill>
    </dxf>
    <dxf>
      <fill>
        <patternFill>
          <bgColor rgb="FFFFC000"/>
        </patternFill>
      </fill>
    </dxf>
    <dxf>
      <fill>
        <patternFill>
          <bgColor rgb="FFFF0000"/>
        </patternFill>
      </fill>
    </dxf>
    <dxf>
      <fill>
        <patternFill>
          <bgColor rgb="FFFFC000"/>
        </patternFill>
      </fill>
    </dxf>
    <dxf>
      <fill>
        <patternFill>
          <bgColor rgb="FF00B05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00B050"/>
        </patternFill>
      </fill>
    </dxf>
    <dxf>
      <fill>
        <patternFill>
          <bgColor rgb="FFFFFF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FFC000"/>
        </patternFill>
      </fill>
    </dxf>
    <dxf>
      <fill>
        <patternFill>
          <bgColor rgb="FFFFC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C000"/>
        </patternFill>
      </fill>
    </dxf>
    <dxf>
      <fill>
        <patternFill>
          <bgColor rgb="FFFF0000"/>
        </patternFill>
      </fill>
    </dxf>
    <dxf>
      <fill>
        <patternFill>
          <bgColor rgb="FFFF0000"/>
        </patternFill>
      </fill>
    </dxf>
    <dxf>
      <fill>
        <patternFill>
          <bgColor rgb="FF00B050"/>
        </patternFill>
      </fill>
    </dxf>
    <dxf>
      <fill>
        <patternFill>
          <bgColor rgb="FFFFC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C00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FF0000"/>
        </patternFill>
      </fill>
    </dxf>
    <dxf>
      <fill>
        <patternFill>
          <bgColor rgb="FF00B050"/>
        </patternFill>
      </fill>
    </dxf>
    <dxf>
      <fill>
        <patternFill>
          <bgColor rgb="FFFFC000"/>
        </patternFill>
      </fill>
    </dxf>
    <dxf>
      <fill>
        <patternFill>
          <bgColor rgb="FFFFFF00"/>
        </patternFill>
      </fill>
    </dxf>
    <dxf>
      <fill>
        <patternFill>
          <bgColor rgb="FFFF0000"/>
        </patternFill>
      </fill>
    </dxf>
    <dxf>
      <fill>
        <patternFill>
          <bgColor rgb="FFFFC000"/>
        </patternFill>
      </fill>
    </dxf>
    <dxf>
      <fill>
        <patternFill>
          <bgColor rgb="FF00B050"/>
        </patternFill>
      </fill>
    </dxf>
    <dxf>
      <fill>
        <patternFill>
          <bgColor rgb="FF00B050"/>
        </patternFill>
      </fill>
    </dxf>
    <dxf>
      <fill>
        <patternFill>
          <bgColor rgb="FFFFC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00B050"/>
        </patternFill>
      </fill>
    </dxf>
    <dxf>
      <fill>
        <patternFill>
          <bgColor rgb="FFFF0000"/>
        </patternFill>
      </fill>
    </dxf>
    <dxf>
      <fill>
        <patternFill>
          <bgColor rgb="FFFFFF00"/>
        </patternFill>
      </fill>
    </dxf>
    <dxf>
      <fill>
        <patternFill>
          <bgColor rgb="FFFF0000"/>
        </patternFill>
      </fill>
    </dxf>
    <dxf>
      <fill>
        <patternFill>
          <bgColor rgb="FFFFC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FFC000"/>
        </patternFill>
      </fill>
    </dxf>
    <dxf>
      <fill>
        <patternFill>
          <bgColor rgb="FFFFC000"/>
        </patternFill>
      </fill>
    </dxf>
    <dxf>
      <fill>
        <patternFill>
          <bgColor rgb="FFFFFF00"/>
        </patternFill>
      </fill>
    </dxf>
    <dxf>
      <fill>
        <patternFill>
          <bgColor rgb="FFFF0000"/>
        </patternFill>
      </fill>
    </dxf>
    <dxf>
      <fill>
        <patternFill>
          <bgColor rgb="FF00B050"/>
        </patternFill>
      </fill>
    </dxf>
    <dxf>
      <fill>
        <patternFill>
          <bgColor rgb="FF00B050"/>
        </patternFill>
      </fill>
    </dxf>
    <dxf>
      <fill>
        <patternFill>
          <bgColor rgb="FFFFC000"/>
        </patternFill>
      </fill>
    </dxf>
    <dxf>
      <fill>
        <patternFill>
          <bgColor rgb="FFFFC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FFC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FFC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FFC000"/>
        </patternFill>
      </fill>
    </dxf>
    <dxf>
      <fill>
        <patternFill>
          <bgColor rgb="FFFF0000"/>
        </patternFill>
      </fill>
    </dxf>
    <dxf>
      <fill>
        <patternFill>
          <bgColor rgb="FFFFC000"/>
        </patternFill>
      </fill>
    </dxf>
    <dxf>
      <fill>
        <patternFill>
          <bgColor rgb="FFFF0000"/>
        </patternFill>
      </fill>
    </dxf>
    <dxf>
      <fill>
        <patternFill>
          <bgColor rgb="FFFFFF00"/>
        </patternFill>
      </fill>
    </dxf>
    <dxf>
      <fill>
        <patternFill>
          <bgColor rgb="FFFF0000"/>
        </patternFill>
      </fill>
    </dxf>
    <dxf>
      <fill>
        <patternFill>
          <bgColor rgb="FF00B050"/>
        </patternFill>
      </fill>
    </dxf>
    <dxf>
      <fill>
        <patternFill>
          <bgColor rgb="FF00B050"/>
        </patternFill>
      </fill>
    </dxf>
    <dxf>
      <fill>
        <patternFill>
          <bgColor rgb="FFFFC000"/>
        </patternFill>
      </fill>
    </dxf>
    <dxf>
      <fill>
        <patternFill>
          <bgColor rgb="FFFFC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FFC000"/>
        </patternFill>
      </fill>
    </dxf>
    <dxf>
      <fill>
        <patternFill>
          <bgColor rgb="FFFF0000"/>
        </patternFill>
      </fill>
    </dxf>
    <dxf>
      <fill>
        <patternFill>
          <bgColor rgb="FFFFC000"/>
        </patternFill>
      </fill>
    </dxf>
    <dxf>
      <fill>
        <patternFill>
          <bgColor rgb="FF00B050"/>
        </patternFill>
      </fill>
    </dxf>
    <dxf>
      <fill>
        <patternFill>
          <bgColor rgb="FF00B050"/>
        </patternFill>
      </fill>
    </dxf>
    <dxf>
      <fill>
        <patternFill>
          <bgColor rgb="FFFF0000"/>
        </patternFill>
      </fill>
    </dxf>
    <dxf>
      <fill>
        <patternFill>
          <bgColor rgb="FFFFFF00"/>
        </patternFill>
      </fill>
    </dxf>
    <dxf>
      <fill>
        <patternFill>
          <bgColor rgb="FFFFC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C00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FF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C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00B050"/>
        </patternFill>
      </fill>
    </dxf>
    <dxf>
      <fill>
        <patternFill>
          <bgColor rgb="FFFF0000"/>
        </patternFill>
      </fill>
    </dxf>
    <dxf>
      <fill>
        <patternFill>
          <bgColor rgb="FFFFC000"/>
        </patternFill>
      </fill>
    </dxf>
    <dxf>
      <fill>
        <patternFill>
          <bgColor rgb="FFFF0000"/>
        </patternFill>
      </fill>
    </dxf>
    <dxf>
      <fill>
        <patternFill>
          <bgColor rgb="FFFFFF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FFC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FF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FFC000"/>
        </patternFill>
      </fill>
    </dxf>
    <dxf>
      <fill>
        <patternFill>
          <bgColor rgb="FFFFFF00"/>
        </patternFill>
      </fill>
    </dxf>
    <dxf>
      <fill>
        <patternFill>
          <bgColor rgb="FF00B050"/>
        </patternFill>
      </fill>
    </dxf>
    <dxf>
      <fill>
        <patternFill>
          <bgColor rgb="FFFFC000"/>
        </patternFill>
      </fill>
    </dxf>
    <dxf>
      <fill>
        <patternFill>
          <bgColor rgb="FFFFC000"/>
        </patternFill>
      </fill>
    </dxf>
    <dxf>
      <fill>
        <patternFill>
          <bgColor rgb="FFFF0000"/>
        </patternFill>
      </fill>
    </dxf>
    <dxf>
      <fill>
        <patternFill>
          <bgColor rgb="FF00B050"/>
        </patternFill>
      </fill>
    </dxf>
    <dxf>
      <fill>
        <patternFill>
          <bgColor rgb="FFFF0000"/>
        </patternFill>
      </fill>
    </dxf>
    <dxf>
      <fill>
        <patternFill>
          <bgColor rgb="FFFFFF00"/>
        </patternFill>
      </fill>
    </dxf>
    <dxf>
      <fill>
        <patternFill>
          <bgColor rgb="FFFFC000"/>
        </patternFill>
      </fill>
    </dxf>
    <dxf>
      <fill>
        <patternFill>
          <bgColor rgb="FF00B050"/>
        </patternFill>
      </fill>
    </dxf>
    <dxf>
      <fill>
        <patternFill>
          <bgColor rgb="FFFFC00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FF00"/>
        </patternFill>
      </fill>
    </dxf>
    <dxf>
      <fill>
        <patternFill>
          <bgColor rgb="FFFFC00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C000"/>
        </patternFill>
      </fill>
    </dxf>
    <dxf>
      <fill>
        <patternFill>
          <bgColor rgb="FF00B050"/>
        </patternFill>
      </fill>
    </dxf>
    <dxf>
      <fill>
        <patternFill>
          <bgColor rgb="FF00B050"/>
        </patternFill>
      </fill>
    </dxf>
    <dxf>
      <fill>
        <patternFill>
          <bgColor rgb="FFFF0000"/>
        </patternFill>
      </fill>
    </dxf>
    <dxf>
      <fill>
        <patternFill>
          <bgColor rgb="FFFFC000"/>
        </patternFill>
      </fill>
    </dxf>
    <dxf>
      <fill>
        <patternFill>
          <bgColor rgb="FFFFC000"/>
        </patternFill>
      </fill>
    </dxf>
    <dxf>
      <fill>
        <patternFill>
          <bgColor rgb="FFFF0000"/>
        </patternFill>
      </fill>
    </dxf>
    <dxf>
      <fill>
        <patternFill>
          <bgColor rgb="FFFFFF00"/>
        </patternFill>
      </fill>
    </dxf>
    <dxf>
      <fill>
        <patternFill>
          <bgColor rgb="FF00B050"/>
        </patternFill>
      </fill>
    </dxf>
    <dxf>
      <fill>
        <patternFill>
          <bgColor rgb="FFFFC000"/>
        </patternFill>
      </fill>
    </dxf>
    <dxf>
      <fill>
        <patternFill>
          <bgColor rgb="FF00B050"/>
        </patternFill>
      </fill>
    </dxf>
    <dxf>
      <fill>
        <patternFill>
          <bgColor rgb="FFFFC000"/>
        </patternFill>
      </fill>
    </dxf>
    <dxf>
      <fill>
        <patternFill>
          <bgColor rgb="FFFF0000"/>
        </patternFill>
      </fill>
    </dxf>
    <dxf>
      <fill>
        <patternFill>
          <bgColor rgb="FFFF000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00B050"/>
        </patternFill>
      </fill>
    </dxf>
    <dxf>
      <fill>
        <patternFill>
          <bgColor rgb="FFFFC000"/>
        </patternFill>
      </fill>
    </dxf>
    <dxf>
      <fill>
        <patternFill>
          <bgColor rgb="FFFFC00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C000"/>
        </patternFill>
      </fill>
    </dxf>
    <dxf>
      <fill>
        <patternFill>
          <bgColor rgb="FFFFC00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C000"/>
        </patternFill>
      </fill>
    </dxf>
    <dxf>
      <fill>
        <patternFill>
          <bgColor rgb="FFFFC000"/>
        </patternFill>
      </fill>
    </dxf>
    <dxf>
      <fill>
        <patternFill>
          <bgColor rgb="FFFF0000"/>
        </patternFill>
      </fill>
    </dxf>
    <dxf>
      <fill>
        <patternFill>
          <bgColor rgb="FFFF0000"/>
        </patternFill>
      </fill>
    </dxf>
    <dxf>
      <fill>
        <patternFill>
          <bgColor rgb="FFFFFF00"/>
        </patternFill>
      </fill>
    </dxf>
    <dxf>
      <fill>
        <patternFill>
          <bgColor rgb="FFFFC000"/>
        </patternFill>
      </fill>
    </dxf>
    <dxf>
      <fill>
        <patternFill>
          <bgColor rgb="FFFF0000"/>
        </patternFill>
      </fill>
    </dxf>
    <dxf>
      <fill>
        <patternFill>
          <bgColor rgb="FFFFC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C0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FF0000"/>
        </patternFill>
      </fill>
    </dxf>
    <dxf>
      <fill>
        <patternFill>
          <bgColor rgb="FF00B050"/>
        </patternFill>
      </fill>
    </dxf>
    <dxf>
      <fill>
        <patternFill>
          <bgColor rgb="FFFFC00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C000"/>
        </patternFill>
      </fill>
    </dxf>
    <dxf>
      <fill>
        <patternFill>
          <bgColor rgb="FFFFFF00"/>
        </patternFill>
      </fill>
    </dxf>
    <dxf>
      <fill>
        <patternFill>
          <bgColor rgb="FFFF000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00B05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C000"/>
        </patternFill>
      </fill>
    </dxf>
    <dxf>
      <fill>
        <patternFill>
          <bgColor rgb="FFFFC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C000"/>
        </patternFill>
      </fill>
    </dxf>
    <dxf>
      <fill>
        <patternFill>
          <bgColor rgb="FFFFC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C000"/>
        </patternFill>
      </fill>
    </dxf>
    <dxf>
      <fill>
        <patternFill>
          <bgColor rgb="FF00B05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C000"/>
        </patternFill>
      </fill>
    </dxf>
    <dxf>
      <fill>
        <patternFill>
          <bgColor rgb="FFFFC000"/>
        </patternFill>
      </fill>
    </dxf>
    <dxf>
      <fill>
        <patternFill>
          <bgColor rgb="FFFF0000"/>
        </patternFill>
      </fill>
    </dxf>
    <dxf>
      <fill>
        <patternFill>
          <bgColor rgb="FFFFC0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FF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00B050"/>
        </patternFill>
      </fill>
    </dxf>
    <dxf>
      <fill>
        <patternFill>
          <bgColor rgb="FFFFC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C000"/>
        </patternFill>
      </fill>
    </dxf>
    <dxf>
      <fill>
        <patternFill>
          <bgColor rgb="FFFFFF00"/>
        </patternFill>
      </fill>
    </dxf>
    <dxf>
      <fill>
        <patternFill>
          <bgColor rgb="FFFF0000"/>
        </patternFill>
      </fill>
    </dxf>
    <dxf>
      <fill>
        <patternFill>
          <bgColor rgb="FF00B05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C000"/>
        </patternFill>
      </fill>
    </dxf>
    <dxf>
      <fill>
        <patternFill>
          <bgColor rgb="FFFFC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C00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C000"/>
        </patternFill>
      </fill>
    </dxf>
    <dxf>
      <fill>
        <patternFill>
          <bgColor rgb="FFFFFF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FFC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00B05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C000"/>
        </patternFill>
      </fill>
    </dxf>
    <dxf>
      <fill>
        <patternFill>
          <bgColor rgb="FFFFC00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C000"/>
        </patternFill>
      </fill>
    </dxf>
    <dxf>
      <fill>
        <patternFill>
          <bgColor rgb="FFFFC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C000"/>
        </patternFill>
      </fill>
    </dxf>
    <dxf>
      <fill>
        <patternFill>
          <bgColor rgb="FFFFFF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FF00"/>
        </patternFill>
      </fill>
    </dxf>
    <dxf>
      <fill>
        <patternFill>
          <bgColor rgb="FF00B050"/>
        </patternFill>
      </fill>
    </dxf>
    <dxf>
      <fill>
        <patternFill>
          <bgColor rgb="FF00B050"/>
        </patternFill>
      </fill>
    </dxf>
    <dxf>
      <fill>
        <patternFill>
          <bgColor rgb="FFFFC000"/>
        </patternFill>
      </fill>
    </dxf>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FFC000"/>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00B050"/>
        </patternFill>
      </fill>
    </dxf>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FF00"/>
        </patternFill>
      </fill>
    </dxf>
    <dxf>
      <fill>
        <patternFill>
          <bgColor rgb="FFFF0000"/>
        </patternFill>
      </fill>
    </dxf>
    <dxf>
      <fill>
        <patternFill>
          <bgColor rgb="FFFFC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C000"/>
        </patternFill>
      </fill>
    </dxf>
    <dxf>
      <fill>
        <patternFill>
          <bgColor rgb="FFFF0000"/>
        </patternFill>
      </fill>
    </dxf>
    <dxf>
      <fill>
        <patternFill>
          <bgColor rgb="FFFFC000"/>
        </patternFill>
      </fill>
    </dxf>
    <dxf>
      <fill>
        <patternFill>
          <bgColor rgb="FFFF000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00B050"/>
        </patternFill>
      </fill>
    </dxf>
    <dxf>
      <fill>
        <patternFill>
          <bgColor rgb="FF00B050"/>
        </patternFill>
      </fill>
    </dxf>
    <dxf>
      <fill>
        <patternFill>
          <bgColor rgb="FFFFFF00"/>
        </patternFill>
      </fill>
    </dxf>
    <dxf>
      <fill>
        <patternFill>
          <bgColor rgb="FFFF0000"/>
        </patternFill>
      </fill>
    </dxf>
    <dxf>
      <fill>
        <patternFill>
          <bgColor rgb="FFFF0000"/>
        </patternFill>
      </fill>
    </dxf>
    <dxf>
      <fill>
        <patternFill>
          <bgColor rgb="FF00B050"/>
        </patternFill>
      </fill>
    </dxf>
    <dxf>
      <fill>
        <patternFill>
          <bgColor rgb="FFFFC000"/>
        </patternFill>
      </fill>
    </dxf>
    <dxf>
      <fill>
        <patternFill>
          <bgColor rgb="FFFFC000"/>
        </patternFill>
      </fill>
    </dxf>
    <dxf>
      <fill>
        <patternFill>
          <bgColor rgb="FF00B05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FF0000"/>
        </patternFill>
      </fill>
    </dxf>
    <dxf>
      <fill>
        <patternFill>
          <bgColor rgb="FF00B050"/>
        </patternFill>
      </fill>
    </dxf>
    <dxf>
      <fill>
        <patternFill>
          <bgColor rgb="FFFFC000"/>
        </patternFill>
      </fill>
    </dxf>
    <dxf>
      <fill>
        <patternFill>
          <bgColor rgb="FFFFC000"/>
        </patternFill>
      </fill>
    </dxf>
    <dxf>
      <fill>
        <patternFill>
          <bgColor rgb="FF00B050"/>
        </patternFill>
      </fill>
    </dxf>
    <dxf>
      <fill>
        <patternFill>
          <bgColor rgb="FFFF0000"/>
        </patternFill>
      </fill>
    </dxf>
    <dxf>
      <fill>
        <patternFill>
          <bgColor rgb="FFFFFF00"/>
        </patternFill>
      </fill>
    </dxf>
    <dxf>
      <fill>
        <patternFill>
          <bgColor rgb="FFFF0000"/>
        </patternFill>
      </fill>
    </dxf>
    <dxf>
      <fill>
        <patternFill>
          <bgColor rgb="FFFFC000"/>
        </patternFill>
      </fill>
    </dxf>
    <dxf>
      <fill>
        <patternFill>
          <bgColor rgb="FF00B05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00B050"/>
        </patternFill>
      </fill>
    </dxf>
    <dxf>
      <fill>
        <patternFill>
          <bgColor rgb="FFFFC00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C000"/>
        </patternFill>
      </fill>
    </dxf>
    <dxf>
      <fill>
        <patternFill>
          <bgColor rgb="FFFFFF00"/>
        </patternFill>
      </fill>
    </dxf>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00B050"/>
        </patternFill>
      </fill>
    </dxf>
    <dxf>
      <fill>
        <patternFill>
          <bgColor rgb="FF00B050"/>
        </patternFill>
      </fill>
    </dxf>
    <dxf>
      <fill>
        <patternFill>
          <bgColor rgb="FFFFC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00B05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FFC000"/>
        </patternFill>
      </fill>
    </dxf>
    <dxf>
      <fill>
        <patternFill>
          <bgColor rgb="FFFFFF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FFC000"/>
        </patternFill>
      </fill>
    </dxf>
    <dxf>
      <fill>
        <patternFill>
          <bgColor rgb="FF00B050"/>
        </patternFill>
      </fill>
    </dxf>
    <dxf>
      <fill>
        <patternFill>
          <bgColor rgb="FFFF0000"/>
        </patternFill>
      </fill>
    </dxf>
    <dxf>
      <fill>
        <patternFill>
          <bgColor rgb="FFFFFF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C000"/>
        </patternFill>
      </fill>
    </dxf>
    <dxf>
      <fill>
        <patternFill>
          <bgColor rgb="FF00B05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C000"/>
        </patternFill>
      </fill>
    </dxf>
    <dxf>
      <fill>
        <patternFill>
          <bgColor rgb="FF00B050"/>
        </patternFill>
      </fill>
    </dxf>
    <dxf>
      <fill>
        <patternFill>
          <bgColor rgb="FF00B050"/>
        </patternFill>
      </fill>
    </dxf>
    <dxf>
      <fill>
        <patternFill>
          <bgColor rgb="FFFFC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C0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0000"/>
        </patternFill>
      </fill>
    </dxf>
    <dxf>
      <fill>
        <patternFill>
          <bgColor rgb="FFFFFF00"/>
        </patternFill>
      </fill>
    </dxf>
    <dxf>
      <fill>
        <patternFill>
          <bgColor rgb="FFFF0000"/>
        </patternFill>
      </fill>
    </dxf>
    <dxf>
      <fill>
        <patternFill>
          <bgColor rgb="FFFFC000"/>
        </patternFill>
      </fill>
    </dxf>
    <dxf>
      <fill>
        <patternFill>
          <bgColor rgb="FF00B050"/>
        </patternFill>
      </fill>
    </dxf>
    <dxf>
      <fill>
        <patternFill>
          <bgColor rgb="FF00B050"/>
        </patternFill>
      </fill>
    </dxf>
    <dxf>
      <fill>
        <patternFill>
          <bgColor rgb="FFFF0000"/>
        </patternFill>
      </fill>
    </dxf>
    <dxf>
      <fill>
        <patternFill>
          <bgColor rgb="FFFFC000"/>
        </patternFill>
      </fill>
    </dxf>
    <dxf>
      <fill>
        <patternFill>
          <bgColor rgb="FFFFC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FFC000"/>
        </patternFill>
      </fill>
    </dxf>
    <dxf>
      <fill>
        <patternFill>
          <bgColor rgb="FFFFC000"/>
        </patternFill>
      </fill>
    </dxf>
    <dxf>
      <fill>
        <patternFill>
          <bgColor rgb="FFFFFF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00B050"/>
        </patternFill>
      </fill>
    </dxf>
    <dxf>
      <fill>
        <patternFill>
          <bgColor rgb="FFFFC000"/>
        </patternFill>
      </fill>
    </dxf>
    <dxf>
      <fill>
        <patternFill>
          <bgColor rgb="FF00B050"/>
        </patternFill>
      </fill>
    </dxf>
    <dxf>
      <fill>
        <patternFill>
          <bgColor rgb="FF00B050"/>
        </patternFill>
      </fill>
    </dxf>
    <dxf>
      <fill>
        <patternFill>
          <bgColor rgb="FFFFC000"/>
        </patternFill>
      </fill>
    </dxf>
    <dxf>
      <fill>
        <patternFill>
          <bgColor rgb="FFFFC000"/>
        </patternFill>
      </fill>
    </dxf>
    <dxf>
      <fill>
        <patternFill>
          <bgColor rgb="FFFF0000"/>
        </patternFill>
      </fill>
    </dxf>
    <dxf>
      <fill>
        <patternFill>
          <bgColor rgb="FFFF0000"/>
        </patternFill>
      </fill>
    </dxf>
    <dxf>
      <fill>
        <patternFill>
          <bgColor rgb="FFFFFF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FF0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C000"/>
        </patternFill>
      </fill>
    </dxf>
    <dxf>
      <fill>
        <patternFill>
          <bgColor rgb="FFFFC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00B050"/>
        </patternFill>
      </fill>
    </dxf>
    <dxf>
      <fill>
        <patternFill>
          <bgColor rgb="FFFFC000"/>
        </patternFill>
      </fill>
    </dxf>
    <dxf>
      <fill>
        <patternFill>
          <bgColor rgb="FFFF0000"/>
        </patternFill>
      </fill>
    </dxf>
    <dxf>
      <fill>
        <patternFill>
          <bgColor rgb="FFFFC000"/>
        </patternFill>
      </fill>
    </dxf>
    <dxf>
      <fill>
        <patternFill>
          <bgColor rgb="FFFFC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FF0000"/>
        </patternFill>
      </fill>
    </dxf>
    <dxf>
      <fill>
        <patternFill>
          <bgColor rgb="FF00B050"/>
        </patternFill>
      </fill>
    </dxf>
    <dxf>
      <fill>
        <patternFill>
          <bgColor rgb="FFFFC000"/>
        </patternFill>
      </fill>
    </dxf>
    <dxf>
      <fill>
        <patternFill>
          <bgColor rgb="FFFFC000"/>
        </patternFill>
      </fill>
    </dxf>
    <dxf>
      <fill>
        <patternFill>
          <bgColor rgb="FFFF0000"/>
        </patternFill>
      </fill>
    </dxf>
    <dxf>
      <fill>
        <patternFill>
          <bgColor rgb="FF00B05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000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C000"/>
        </patternFill>
      </fill>
    </dxf>
    <dxf>
      <fill>
        <patternFill>
          <bgColor rgb="FFFFC000"/>
        </patternFill>
      </fill>
    </dxf>
    <dxf>
      <fill>
        <patternFill>
          <bgColor rgb="FFFFFF00"/>
        </patternFill>
      </fill>
    </dxf>
    <dxf>
      <fill>
        <patternFill>
          <bgColor rgb="FF00B050"/>
        </patternFill>
      </fill>
    </dxf>
    <dxf>
      <fill>
        <patternFill>
          <bgColor rgb="FF00B050"/>
        </patternFill>
      </fill>
    </dxf>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C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FF00"/>
        </patternFill>
      </fill>
    </dxf>
    <dxf>
      <fill>
        <patternFill>
          <bgColor rgb="FFFF0000"/>
        </patternFill>
      </fill>
    </dxf>
    <dxf>
      <fill>
        <patternFill>
          <bgColor rgb="FFFFC000"/>
        </patternFill>
      </fill>
    </dxf>
    <dxf>
      <fill>
        <patternFill>
          <bgColor rgb="FF00B050"/>
        </patternFill>
      </fill>
    </dxf>
    <dxf>
      <fill>
        <patternFill>
          <bgColor rgb="FF00B050"/>
        </patternFill>
      </fill>
    </dxf>
    <dxf>
      <fill>
        <patternFill>
          <bgColor rgb="FFFFC000"/>
        </patternFill>
      </fill>
    </dxf>
    <dxf>
      <fill>
        <patternFill>
          <bgColor rgb="FFFF00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FFC000"/>
        </patternFill>
      </fill>
    </dxf>
    <dxf>
      <fill>
        <patternFill>
          <bgColor rgb="FF00B050"/>
        </patternFill>
      </fill>
    </dxf>
    <dxf>
      <fill>
        <patternFill>
          <bgColor rgb="FFFFFF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00B05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FFC000"/>
        </patternFill>
      </fill>
    </dxf>
    <dxf>
      <fill>
        <patternFill>
          <bgColor rgb="FFFFC000"/>
        </patternFill>
      </fill>
    </dxf>
    <dxf>
      <fill>
        <patternFill>
          <bgColor rgb="FF00B050"/>
        </patternFill>
      </fill>
    </dxf>
    <dxf>
      <fill>
        <patternFill>
          <bgColor rgb="FFFF0000"/>
        </patternFill>
      </fill>
    </dxf>
    <dxf>
      <fill>
        <patternFill>
          <bgColor rgb="FF00B05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00B050"/>
        </patternFill>
      </fill>
    </dxf>
    <dxf>
      <fill>
        <patternFill>
          <bgColor rgb="FF00B050"/>
        </patternFill>
      </fill>
    </dxf>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FFC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00B05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FF00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00B050"/>
        </patternFill>
      </fill>
    </dxf>
    <dxf>
      <fill>
        <patternFill>
          <bgColor rgb="FFFFC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FF00"/>
        </patternFill>
      </fill>
    </dxf>
    <dxf>
      <fill>
        <patternFill>
          <bgColor rgb="FFFF0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C000"/>
        </patternFill>
      </fill>
    </dxf>
    <dxf>
      <fill>
        <patternFill>
          <bgColor rgb="FFFFC000"/>
        </patternFill>
      </fill>
    </dxf>
    <dxf>
      <fill>
        <patternFill>
          <bgColor rgb="FFFFC00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00B050"/>
        </patternFill>
      </fill>
    </dxf>
    <dxf>
      <fill>
        <patternFill>
          <bgColor rgb="FFFFC000"/>
        </patternFill>
      </fill>
    </dxf>
    <dxf>
      <fill>
        <patternFill>
          <bgColor rgb="FFFF0000"/>
        </patternFill>
      </fill>
    </dxf>
    <dxf>
      <fill>
        <patternFill>
          <bgColor rgb="FFFF0000"/>
        </patternFill>
      </fill>
    </dxf>
    <dxf>
      <fill>
        <patternFill>
          <bgColor rgb="FFFFC000"/>
        </patternFill>
      </fill>
    </dxf>
    <dxf>
      <fill>
        <patternFill>
          <bgColor rgb="FFFF0000"/>
        </patternFill>
      </fill>
    </dxf>
    <dxf>
      <fill>
        <patternFill>
          <bgColor rgb="FF00B050"/>
        </patternFill>
      </fill>
    </dxf>
    <dxf>
      <fill>
        <patternFill>
          <bgColor rgb="FF00B050"/>
        </patternFill>
      </fill>
    </dxf>
    <dxf>
      <fill>
        <patternFill>
          <bgColor rgb="FFFFC000"/>
        </patternFill>
      </fill>
    </dxf>
    <dxf>
      <fill>
        <patternFill>
          <bgColor rgb="FFFFFF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C000"/>
        </patternFill>
      </fill>
    </dxf>
    <dxf>
      <fill>
        <patternFill>
          <bgColor rgb="FFFFC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00B050"/>
        </patternFill>
      </fill>
    </dxf>
    <dxf>
      <fill>
        <patternFill>
          <bgColor rgb="FFFFC0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FFFF00"/>
        </patternFill>
      </fill>
    </dxf>
    <dxf>
      <fill>
        <patternFill>
          <bgColor rgb="FFFFC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C000"/>
        </patternFill>
      </fill>
    </dxf>
    <dxf>
      <fill>
        <patternFill>
          <bgColor rgb="FFFFC000"/>
        </patternFill>
      </fill>
    </dxf>
    <dxf>
      <fill>
        <patternFill>
          <bgColor rgb="FFFF000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FF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C0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C00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FF00"/>
        </patternFill>
      </fill>
    </dxf>
    <dxf>
      <fill>
        <patternFill>
          <bgColor rgb="FFFF0000"/>
        </patternFill>
      </fill>
    </dxf>
    <dxf>
      <fill>
        <patternFill>
          <bgColor rgb="FFFF0000"/>
        </patternFill>
      </fill>
    </dxf>
    <dxf>
      <fill>
        <patternFill>
          <bgColor rgb="FF00B050"/>
        </patternFill>
      </fill>
    </dxf>
    <dxf>
      <fill>
        <patternFill>
          <bgColor rgb="FFFFC000"/>
        </patternFill>
      </fill>
    </dxf>
    <dxf>
      <fill>
        <patternFill>
          <bgColor rgb="FF00B050"/>
        </patternFill>
      </fill>
    </dxf>
    <dxf>
      <fill>
        <patternFill>
          <bgColor rgb="FFFFC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FFC000"/>
        </patternFill>
      </fill>
    </dxf>
    <dxf>
      <fill>
        <patternFill>
          <bgColor rgb="FF00B05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00B050"/>
        </patternFill>
      </fill>
    </dxf>
    <dxf>
      <fill>
        <patternFill>
          <bgColor rgb="FFFFC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C000"/>
        </patternFill>
      </fill>
    </dxf>
    <dxf>
      <fill>
        <patternFill>
          <bgColor rgb="FFFF000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C000"/>
        </patternFill>
      </fill>
    </dxf>
    <dxf>
      <fill>
        <patternFill>
          <bgColor rgb="FFFF0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C000"/>
        </patternFill>
      </fill>
    </dxf>
    <dxf>
      <fill>
        <patternFill>
          <bgColor rgb="FFFFC000"/>
        </patternFill>
      </fill>
    </dxf>
    <dxf>
      <fill>
        <patternFill>
          <bgColor rgb="FF00B05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00B05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FFC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C000"/>
        </patternFill>
      </fill>
    </dxf>
    <dxf>
      <fill>
        <patternFill>
          <bgColor rgb="FFFFC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FF0000"/>
        </patternFill>
      </fill>
    </dxf>
    <dxf>
      <fill>
        <patternFill>
          <bgColor rgb="FFFFC000"/>
        </patternFill>
      </fill>
    </dxf>
    <dxf>
      <fill>
        <patternFill>
          <bgColor rgb="FFFF0000"/>
        </patternFill>
      </fill>
    </dxf>
    <dxf>
      <fill>
        <patternFill>
          <bgColor rgb="FF00B050"/>
        </patternFill>
      </fill>
    </dxf>
    <dxf>
      <fill>
        <patternFill>
          <bgColor rgb="FF00B050"/>
        </patternFill>
      </fill>
    </dxf>
    <dxf>
      <fill>
        <patternFill>
          <bgColor rgb="FFFFC000"/>
        </patternFill>
      </fill>
    </dxf>
    <dxf>
      <fill>
        <patternFill>
          <bgColor rgb="FFFFC00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C000"/>
        </patternFill>
      </fill>
    </dxf>
    <dxf>
      <fill>
        <patternFill>
          <bgColor rgb="FFFFFF00"/>
        </patternFill>
      </fill>
    </dxf>
    <dxf>
      <fill>
        <patternFill>
          <bgColor rgb="FFFF0000"/>
        </patternFill>
      </fill>
    </dxf>
    <dxf>
      <fill>
        <patternFill>
          <bgColor rgb="FF00B050"/>
        </patternFill>
      </fill>
    </dxf>
    <dxf>
      <fill>
        <patternFill>
          <bgColor rgb="FFFF0000"/>
        </patternFill>
      </fill>
    </dxf>
    <dxf>
      <fill>
        <patternFill>
          <bgColor rgb="FFFFC000"/>
        </patternFill>
      </fill>
    </dxf>
    <dxf>
      <fill>
        <patternFill>
          <bgColor rgb="FFFFC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FFC000"/>
        </patternFill>
      </fill>
    </dxf>
    <dxf>
      <fill>
        <patternFill>
          <bgColor rgb="FF00B050"/>
        </patternFill>
      </fill>
    </dxf>
    <dxf>
      <fill>
        <patternFill>
          <bgColor rgb="FFFFFF0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00B050"/>
        </patternFill>
      </fill>
    </dxf>
    <dxf>
      <fill>
        <patternFill>
          <bgColor rgb="FFFFC000"/>
        </patternFill>
      </fill>
    </dxf>
    <dxf>
      <fill>
        <patternFill>
          <bgColor rgb="FFFFFF00"/>
        </patternFill>
      </fill>
    </dxf>
    <dxf>
      <fill>
        <patternFill>
          <bgColor rgb="FFFF0000"/>
        </patternFill>
      </fill>
    </dxf>
    <dxf>
      <fill>
        <patternFill>
          <bgColor rgb="FFFFC000"/>
        </patternFill>
      </fill>
    </dxf>
    <dxf>
      <fill>
        <patternFill>
          <bgColor rgb="FFFF0000"/>
        </patternFill>
      </fill>
    </dxf>
    <dxf>
      <fill>
        <patternFill>
          <bgColor rgb="FFFFFF0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C000"/>
        </patternFill>
      </fill>
    </dxf>
    <dxf>
      <fill>
        <patternFill>
          <bgColor rgb="FFFFFF00"/>
        </patternFill>
      </fill>
    </dxf>
    <dxf>
      <fill>
        <patternFill>
          <bgColor rgb="FFFF00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FF00"/>
        </patternFill>
      </fill>
    </dxf>
    <dxf>
      <fill>
        <patternFill>
          <bgColor rgb="FFFFC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FFC000"/>
        </patternFill>
      </fill>
    </dxf>
    <dxf>
      <fill>
        <patternFill>
          <bgColor rgb="FF00B05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00B050"/>
        </patternFill>
      </fill>
    </dxf>
    <dxf>
      <fill>
        <patternFill>
          <bgColor rgb="FFFFC000"/>
        </patternFill>
      </fill>
    </dxf>
    <dxf>
      <fill>
        <patternFill>
          <bgColor rgb="FF00B050"/>
        </patternFill>
      </fill>
    </dxf>
    <dxf>
      <fill>
        <patternFill>
          <bgColor rgb="FFFFFF00"/>
        </patternFill>
      </fill>
    </dxf>
    <dxf>
      <fill>
        <patternFill>
          <bgColor rgb="FFFF0000"/>
        </patternFill>
      </fill>
    </dxf>
    <dxf>
      <fill>
        <patternFill>
          <bgColor rgb="FFFFC0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FF0000"/>
        </patternFill>
      </fill>
    </dxf>
    <dxf>
      <fill>
        <patternFill>
          <bgColor rgb="FFFFC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00B050"/>
        </patternFill>
      </fill>
    </dxf>
    <dxf>
      <fill>
        <patternFill>
          <bgColor rgb="FFFFFF00"/>
        </patternFill>
      </fill>
    </dxf>
    <dxf>
      <fill>
        <patternFill>
          <bgColor rgb="FFFFC00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FFC00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C000"/>
        </patternFill>
      </fill>
    </dxf>
    <dxf>
      <fill>
        <patternFill>
          <bgColor rgb="FFFFFF00"/>
        </patternFill>
      </fill>
    </dxf>
    <dxf>
      <fill>
        <patternFill>
          <bgColor rgb="FFFF0000"/>
        </patternFill>
      </fill>
    </dxf>
    <dxf>
      <fill>
        <patternFill>
          <bgColor rgb="FF00B05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FF00"/>
        </patternFill>
      </fill>
    </dxf>
    <dxf>
      <fill>
        <patternFill>
          <bgColor rgb="FFFF0000"/>
        </patternFill>
      </fill>
    </dxf>
    <dxf>
      <fill>
        <patternFill>
          <bgColor rgb="FFFFC0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FF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FF0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FFC000"/>
        </patternFill>
      </fill>
    </dxf>
    <dxf>
      <fill>
        <patternFill>
          <bgColor rgb="FF00B050"/>
        </patternFill>
      </fill>
    </dxf>
    <dxf>
      <fill>
        <patternFill>
          <bgColor rgb="FFFFC000"/>
        </patternFill>
      </fill>
    </dxf>
    <dxf>
      <fill>
        <patternFill>
          <bgColor rgb="FFFFFF00"/>
        </patternFill>
      </fill>
    </dxf>
    <dxf>
      <fill>
        <patternFill>
          <bgColor rgb="FFFF0000"/>
        </patternFill>
      </fill>
    </dxf>
    <dxf>
      <fill>
        <patternFill>
          <bgColor rgb="FF00B050"/>
        </patternFill>
      </fill>
    </dxf>
    <dxf>
      <fill>
        <patternFill>
          <bgColor rgb="FFFFC000"/>
        </patternFill>
      </fill>
    </dxf>
    <dxf>
      <fill>
        <patternFill>
          <bgColor rgb="FFFFFF00"/>
        </patternFill>
      </fill>
    </dxf>
    <dxf>
      <fill>
        <patternFill>
          <bgColor rgb="FFFF0000"/>
        </patternFill>
      </fill>
    </dxf>
    <dxf>
      <fill>
        <patternFill>
          <bgColor rgb="FFFFC000"/>
        </patternFill>
      </fill>
    </dxf>
    <dxf>
      <fill>
        <patternFill>
          <bgColor rgb="FFFFFF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FF0000"/>
        </patternFill>
      </fill>
    </dxf>
    <dxf>
      <fill>
        <patternFill>
          <bgColor rgb="FFFFFF00"/>
        </patternFill>
      </fill>
    </dxf>
    <dxf>
      <fill>
        <patternFill>
          <bgColor rgb="FFFFC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FF00"/>
        </patternFill>
      </fill>
    </dxf>
    <dxf>
      <fill>
        <patternFill>
          <bgColor rgb="FFFFFF00"/>
        </patternFill>
      </fill>
    </dxf>
    <dxf>
      <fill>
        <patternFill>
          <bgColor rgb="FFFF0000"/>
        </patternFill>
      </fill>
    </dxf>
    <dxf>
      <fill>
        <patternFill>
          <bgColor rgb="FFFFC000"/>
        </patternFill>
      </fill>
    </dxf>
    <dxf>
      <fill>
        <patternFill>
          <bgColor rgb="FF00B05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C000"/>
        </patternFill>
      </fill>
    </dxf>
    <dxf>
      <fill>
        <patternFill>
          <bgColor rgb="FFFFFF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FF00"/>
        </patternFill>
      </fill>
    </dxf>
    <dxf>
      <fill>
        <patternFill>
          <bgColor rgb="FFFF0000"/>
        </patternFill>
      </fill>
    </dxf>
    <dxf>
      <fill>
        <patternFill>
          <bgColor rgb="FFFFC000"/>
        </patternFill>
      </fill>
    </dxf>
    <dxf>
      <fill>
        <patternFill>
          <bgColor rgb="FF00B050"/>
        </patternFill>
      </fill>
    </dxf>
    <dxf>
      <fill>
        <patternFill>
          <bgColor rgb="FFFFFF0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FF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FF00"/>
        </patternFill>
      </fill>
    </dxf>
    <dxf>
      <fill>
        <patternFill>
          <bgColor rgb="FFFFC0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00B050"/>
        </patternFill>
      </fill>
    </dxf>
    <dxf>
      <fill>
        <patternFill>
          <bgColor rgb="FFFF000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C000"/>
        </patternFill>
      </fill>
    </dxf>
    <dxf>
      <fill>
        <patternFill>
          <bgColor rgb="FFFF0000"/>
        </patternFill>
      </fill>
    </dxf>
    <dxf>
      <fill>
        <patternFill>
          <bgColor rgb="FFFFFF00"/>
        </patternFill>
      </fill>
    </dxf>
    <dxf>
      <fill>
        <patternFill>
          <bgColor rgb="FF00B05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FFFF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C00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FFFF00"/>
        </patternFill>
      </fill>
    </dxf>
    <dxf>
      <fill>
        <patternFill>
          <bgColor rgb="FF00B05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FFC000"/>
        </patternFill>
      </fill>
    </dxf>
    <dxf>
      <fill>
        <patternFill>
          <bgColor rgb="FF00B050"/>
        </patternFill>
      </fill>
    </dxf>
    <dxf>
      <fill>
        <patternFill>
          <bgColor rgb="FFFFFF0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FFC00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C000"/>
        </patternFill>
      </fill>
    </dxf>
    <dxf>
      <fill>
        <patternFill>
          <bgColor rgb="FFFFFF0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0000"/>
        </patternFill>
      </fill>
    </dxf>
    <dxf>
      <fill>
        <patternFill>
          <bgColor rgb="FFFFFF00"/>
        </patternFill>
      </fill>
    </dxf>
    <dxf>
      <fill>
        <patternFill>
          <bgColor rgb="FFFFC00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00B05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FFC000"/>
        </patternFill>
      </fill>
    </dxf>
    <dxf>
      <fill>
        <patternFill>
          <bgColor rgb="FF00B050"/>
        </patternFill>
      </fill>
    </dxf>
    <dxf>
      <fill>
        <patternFill>
          <bgColor rgb="FFFFFF0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C000"/>
        </patternFill>
      </fill>
    </dxf>
    <dxf>
      <fill>
        <patternFill>
          <bgColor rgb="FFFFFF00"/>
        </patternFill>
      </fill>
    </dxf>
    <dxf>
      <fill>
        <patternFill>
          <bgColor rgb="FFFFFF00"/>
        </patternFill>
      </fill>
    </dxf>
    <dxf>
      <fill>
        <patternFill>
          <bgColor rgb="FFFF0000"/>
        </patternFill>
      </fill>
    </dxf>
    <dxf>
      <fill>
        <patternFill>
          <bgColor rgb="FF00B050"/>
        </patternFill>
      </fill>
    </dxf>
    <dxf>
      <fill>
        <patternFill>
          <bgColor rgb="FFFFC00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0000"/>
        </patternFill>
      </fill>
    </dxf>
    <dxf>
      <fill>
        <patternFill>
          <bgColor rgb="FFFFFF00"/>
        </patternFill>
      </fill>
    </dxf>
    <dxf>
      <fill>
        <patternFill>
          <bgColor rgb="FFFFC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C000"/>
        </patternFill>
      </fill>
    </dxf>
    <dxf>
      <fill>
        <patternFill>
          <bgColor rgb="FFFFFF00"/>
        </patternFill>
      </fill>
    </dxf>
    <dxf>
      <fill>
        <patternFill>
          <bgColor rgb="FFFF0000"/>
        </patternFill>
      </fill>
    </dxf>
    <dxf>
      <fill>
        <patternFill>
          <bgColor rgb="FFFFC000"/>
        </patternFill>
      </fill>
    </dxf>
    <dxf>
      <fill>
        <patternFill>
          <bgColor rgb="FFFF0000"/>
        </patternFill>
      </fill>
    </dxf>
    <dxf>
      <fill>
        <patternFill>
          <bgColor rgb="FFFFFF00"/>
        </patternFill>
      </fill>
    </dxf>
    <dxf>
      <fill>
        <patternFill>
          <bgColor rgb="FF00B050"/>
        </patternFill>
      </fill>
    </dxf>
    <dxf>
      <fill>
        <patternFill>
          <bgColor rgb="FFFFC000"/>
        </patternFill>
      </fill>
    </dxf>
    <dxf>
      <fill>
        <patternFill>
          <bgColor rgb="FF00B050"/>
        </patternFill>
      </fill>
    </dxf>
    <dxf>
      <fill>
        <patternFill>
          <bgColor rgb="FFFF000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FF00"/>
        </patternFill>
      </fill>
    </dxf>
    <dxf>
      <fill>
        <patternFill>
          <bgColor rgb="FFFFC0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FFFF00"/>
        </patternFill>
      </fill>
    </dxf>
    <dxf>
      <fill>
        <patternFill>
          <bgColor rgb="FF00B050"/>
        </patternFill>
      </fill>
    </dxf>
    <dxf>
      <fill>
        <patternFill>
          <bgColor rgb="FFFFC00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C000"/>
        </patternFill>
      </fill>
    </dxf>
    <dxf>
      <fill>
        <patternFill>
          <bgColor rgb="FFFFFF00"/>
        </patternFill>
      </fill>
    </dxf>
    <dxf>
      <fill>
        <patternFill>
          <bgColor rgb="FFFF00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FF00"/>
        </patternFill>
      </fill>
    </dxf>
    <dxf>
      <fill>
        <patternFill>
          <bgColor rgb="FFFFC000"/>
        </patternFill>
      </fill>
    </dxf>
    <dxf>
      <fill>
        <patternFill>
          <bgColor rgb="FFFF0000"/>
        </patternFill>
      </fill>
    </dxf>
    <dxf>
      <fill>
        <patternFill>
          <bgColor rgb="FFFFFF00"/>
        </patternFill>
      </fill>
    </dxf>
    <dxf>
      <fill>
        <patternFill>
          <bgColor rgb="FF00B05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C000"/>
        </patternFill>
      </fill>
    </dxf>
    <dxf>
      <fill>
        <patternFill>
          <bgColor rgb="FFFFFF00"/>
        </patternFill>
      </fill>
    </dxf>
    <dxf>
      <fill>
        <patternFill>
          <bgColor rgb="FFFFFF00"/>
        </patternFill>
      </fill>
    </dxf>
    <dxf>
      <fill>
        <patternFill>
          <bgColor rgb="FFFFC000"/>
        </patternFill>
      </fill>
    </dxf>
    <dxf>
      <fill>
        <patternFill>
          <bgColor rgb="FF00B05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FF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FF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FF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FF00"/>
        </patternFill>
      </fill>
    </dxf>
    <dxf>
      <fill>
        <patternFill>
          <bgColor rgb="FFFFFF00"/>
        </patternFill>
      </fill>
    </dxf>
    <dxf>
      <fill>
        <patternFill>
          <bgColor rgb="FF00B050"/>
        </patternFill>
      </fill>
    </dxf>
    <dxf>
      <fill>
        <patternFill>
          <bgColor rgb="FFFF0000"/>
        </patternFill>
      </fill>
    </dxf>
    <dxf>
      <fill>
        <patternFill>
          <bgColor rgb="FFFF0000"/>
        </patternFill>
      </fill>
    </dxf>
    <dxf>
      <fill>
        <patternFill>
          <bgColor rgb="FFFFFF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FF0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00B050"/>
        </patternFill>
      </fill>
    </dxf>
    <dxf>
      <fill>
        <patternFill>
          <bgColor rgb="FFFFFF00"/>
        </patternFill>
      </fill>
    </dxf>
    <dxf>
      <fill>
        <patternFill>
          <bgColor rgb="FFFF0000"/>
        </patternFill>
      </fill>
    </dxf>
    <dxf>
      <fill>
        <patternFill>
          <bgColor rgb="FFFFC000"/>
        </patternFill>
      </fill>
    </dxf>
    <dxf>
      <fill>
        <patternFill>
          <bgColor rgb="FFFFC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FF00"/>
        </patternFill>
      </fill>
    </dxf>
    <dxf>
      <fill>
        <patternFill>
          <bgColor rgb="FFFF0000"/>
        </patternFill>
      </fill>
    </dxf>
    <dxf>
      <fill>
        <patternFill>
          <bgColor rgb="FF00B050"/>
        </patternFill>
      </fill>
    </dxf>
    <dxf>
      <fill>
        <patternFill>
          <bgColor rgb="FFFFC000"/>
        </patternFill>
      </fill>
    </dxf>
    <dxf>
      <fill>
        <patternFill>
          <bgColor rgb="FFFFC000"/>
        </patternFill>
      </fill>
    </dxf>
    <dxf>
      <fill>
        <patternFill>
          <bgColor rgb="FF00B050"/>
        </patternFill>
      </fill>
    </dxf>
    <dxf>
      <fill>
        <patternFill>
          <bgColor rgb="FFFFFF00"/>
        </patternFill>
      </fill>
    </dxf>
    <dxf>
      <fill>
        <patternFill>
          <bgColor rgb="FFFF000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FF00"/>
        </patternFill>
      </fill>
    </dxf>
    <dxf>
      <fill>
        <patternFill>
          <bgColor rgb="FFFFC000"/>
        </patternFill>
      </fill>
    </dxf>
    <dxf>
      <fill>
        <patternFill>
          <bgColor rgb="FF00B05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FF00"/>
        </patternFill>
      </fill>
    </dxf>
    <dxf>
      <fill>
        <patternFill>
          <bgColor rgb="FFFFC000"/>
        </patternFill>
      </fill>
    </dxf>
    <dxf>
      <fill>
        <patternFill>
          <bgColor rgb="FF00B050"/>
        </patternFill>
      </fill>
    </dxf>
    <dxf>
      <fill>
        <patternFill>
          <bgColor rgb="FF00B050"/>
        </patternFill>
      </fill>
    </dxf>
    <dxf>
      <fill>
        <patternFill>
          <bgColor rgb="FFFF0000"/>
        </patternFill>
      </fill>
    </dxf>
    <dxf>
      <fill>
        <patternFill>
          <bgColor rgb="FFFFFF00"/>
        </patternFill>
      </fill>
    </dxf>
    <dxf>
      <fill>
        <patternFill>
          <bgColor rgb="FFFFC00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FFC0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FFFF00"/>
        </patternFill>
      </fill>
    </dxf>
    <dxf>
      <fill>
        <patternFill>
          <bgColor rgb="FFFFC0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C00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FFC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FFFF00"/>
        </patternFill>
      </fill>
    </dxf>
    <dxf>
      <fill>
        <patternFill>
          <bgColor rgb="FF00B05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FF00"/>
        </patternFill>
      </fill>
    </dxf>
    <dxf>
      <fill>
        <patternFill>
          <bgColor rgb="FFFF00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FFFF00"/>
        </patternFill>
      </fill>
    </dxf>
    <dxf>
      <fill>
        <patternFill>
          <bgColor rgb="FF00B050"/>
        </patternFill>
      </fill>
    </dxf>
    <dxf>
      <fill>
        <patternFill>
          <bgColor rgb="FFFFC000"/>
        </patternFill>
      </fill>
    </dxf>
    <dxf>
      <fill>
        <patternFill>
          <bgColor rgb="FF00B050"/>
        </patternFill>
      </fill>
    </dxf>
    <dxf>
      <fill>
        <patternFill>
          <bgColor rgb="FFFFC000"/>
        </patternFill>
      </fill>
    </dxf>
    <dxf>
      <fill>
        <patternFill>
          <bgColor rgb="FFFFFF00"/>
        </patternFill>
      </fill>
    </dxf>
    <dxf>
      <fill>
        <patternFill>
          <bgColor rgb="FFFF0000"/>
        </patternFill>
      </fill>
    </dxf>
    <dxf>
      <fill>
        <patternFill>
          <bgColor rgb="FFFF0000"/>
        </patternFill>
      </fill>
    </dxf>
    <dxf>
      <fill>
        <patternFill>
          <bgColor rgb="FF00B050"/>
        </patternFill>
      </fill>
    </dxf>
    <dxf>
      <fill>
        <patternFill>
          <bgColor rgb="FFFFC000"/>
        </patternFill>
      </fill>
    </dxf>
    <dxf>
      <fill>
        <patternFill>
          <bgColor rgb="FFFFFF0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FF0000"/>
        </patternFill>
      </fill>
    </dxf>
    <dxf>
      <fill>
        <patternFill>
          <bgColor rgb="FFFFFF00"/>
        </patternFill>
      </fill>
    </dxf>
    <dxf>
      <fill>
        <patternFill>
          <bgColor rgb="FF00B05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FF0000"/>
        </patternFill>
      </fill>
    </dxf>
    <dxf>
      <fill>
        <patternFill>
          <bgColor rgb="FFFFFF00"/>
        </patternFill>
      </fill>
    </dxf>
    <dxf>
      <fill>
        <patternFill>
          <bgColor rgb="FFFFC00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C000"/>
        </patternFill>
      </fill>
    </dxf>
    <dxf>
      <fill>
        <patternFill>
          <bgColor rgb="FFFFFF00"/>
        </patternFill>
      </fill>
    </dxf>
    <dxf>
      <fill>
        <patternFill>
          <bgColor rgb="FFFFFF00"/>
        </patternFill>
      </fill>
    </dxf>
    <dxf>
      <fill>
        <patternFill>
          <bgColor rgb="FFFFC000"/>
        </patternFill>
      </fill>
    </dxf>
    <dxf>
      <fill>
        <patternFill>
          <bgColor rgb="FF00B05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FFC000"/>
        </patternFill>
      </fill>
    </dxf>
    <dxf>
      <fill>
        <patternFill>
          <bgColor rgb="FFFFFF00"/>
        </patternFill>
      </fill>
    </dxf>
    <dxf>
      <fill>
        <patternFill>
          <bgColor rgb="FFFF0000"/>
        </patternFill>
      </fill>
    </dxf>
    <dxf>
      <fill>
        <patternFill>
          <bgColor rgb="FFFFC000"/>
        </patternFill>
      </fill>
    </dxf>
    <dxf>
      <fill>
        <patternFill>
          <bgColor rgb="FF00B050"/>
        </patternFill>
      </fill>
    </dxf>
    <dxf>
      <fill>
        <patternFill>
          <bgColor rgb="FFFFC000"/>
        </patternFill>
      </fill>
    </dxf>
    <dxf>
      <fill>
        <patternFill>
          <bgColor rgb="FFFFFF00"/>
        </patternFill>
      </fill>
    </dxf>
    <dxf>
      <fill>
        <patternFill>
          <bgColor rgb="FFFF0000"/>
        </patternFill>
      </fill>
    </dxf>
    <dxf>
      <fill>
        <patternFill>
          <bgColor rgb="FF00B05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FFFF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00B050"/>
        </patternFill>
      </fill>
    </dxf>
    <dxf>
      <fill>
        <patternFill>
          <bgColor rgb="FFFFC000"/>
        </patternFill>
      </fill>
    </dxf>
    <dxf>
      <fill>
        <patternFill>
          <bgColor rgb="FFFFFF0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FF0000"/>
        </patternFill>
      </fill>
    </dxf>
    <dxf>
      <fill>
        <patternFill>
          <bgColor rgb="FF00B05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FFC00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0000"/>
        </patternFill>
      </fill>
    </dxf>
    <dxf>
      <fill>
        <patternFill>
          <bgColor rgb="FFFFFF00"/>
        </patternFill>
      </fill>
    </dxf>
    <dxf>
      <fill>
        <patternFill>
          <bgColor rgb="FFFFC000"/>
        </patternFill>
      </fill>
    </dxf>
    <dxf>
      <fill>
        <patternFill>
          <bgColor rgb="FF00B050"/>
        </patternFill>
      </fill>
    </dxf>
    <dxf>
      <fill>
        <patternFill>
          <bgColor rgb="FFFFFF00"/>
        </patternFill>
      </fill>
    </dxf>
    <dxf>
      <fill>
        <patternFill>
          <bgColor rgb="FFFF0000"/>
        </patternFill>
      </fill>
    </dxf>
    <dxf>
      <fill>
        <patternFill>
          <bgColor rgb="FFFFC000"/>
        </patternFill>
      </fill>
    </dxf>
    <dxf>
      <fill>
        <patternFill>
          <bgColor rgb="FF00B050"/>
        </patternFill>
      </fill>
    </dxf>
    <dxf>
      <fill>
        <patternFill>
          <bgColor rgb="FFFFC000"/>
        </patternFill>
      </fill>
    </dxf>
    <dxf>
      <fill>
        <patternFill>
          <bgColor rgb="FFFFFF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00B05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C000"/>
        </patternFill>
      </fill>
    </dxf>
    <dxf>
      <fill>
        <patternFill>
          <bgColor rgb="FF00B05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FF0000"/>
        </patternFill>
      </fill>
    </dxf>
    <dxf>
      <fill>
        <patternFill>
          <bgColor rgb="FF00B05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FF0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FF00"/>
        </patternFill>
      </fill>
    </dxf>
    <dxf>
      <fill>
        <patternFill>
          <bgColor rgb="FFFFFF00"/>
        </patternFill>
      </fill>
    </dxf>
    <dxf>
      <fill>
        <patternFill>
          <bgColor rgb="FFFF0000"/>
        </patternFill>
      </fill>
    </dxf>
    <dxf>
      <fill>
        <patternFill>
          <bgColor rgb="FF00B050"/>
        </patternFill>
      </fill>
    </dxf>
    <dxf>
      <fill>
        <patternFill>
          <bgColor rgb="FFFFC0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C000"/>
        </patternFill>
      </fill>
    </dxf>
    <dxf>
      <fill>
        <patternFill>
          <bgColor rgb="FFFFFF0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00B050"/>
        </patternFill>
      </fill>
    </dxf>
    <dxf>
      <fill>
        <patternFill>
          <bgColor rgb="FFFF0000"/>
        </patternFill>
      </fill>
    </dxf>
    <dxf>
      <fill>
        <patternFill>
          <bgColor rgb="FFFFFF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FFFF00"/>
        </patternFill>
      </fill>
    </dxf>
    <dxf>
      <fill>
        <patternFill>
          <bgColor rgb="FFFF0000"/>
        </patternFill>
      </fill>
    </dxf>
    <dxf>
      <fill>
        <patternFill>
          <bgColor rgb="FFFFC000"/>
        </patternFill>
      </fill>
    </dxf>
    <dxf>
      <fill>
        <patternFill>
          <bgColor rgb="FF00B050"/>
        </patternFill>
      </fill>
    </dxf>
    <dxf>
      <fill>
        <patternFill>
          <bgColor rgb="FFFFFF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FF0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FFC000"/>
        </patternFill>
      </fill>
    </dxf>
    <dxf>
      <fill>
        <patternFill>
          <bgColor rgb="FFFFFF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FF00"/>
        </patternFill>
      </fill>
    </dxf>
    <dxf>
      <fill>
        <patternFill>
          <bgColor rgb="FFFFC000"/>
        </patternFill>
      </fill>
    </dxf>
    <dxf>
      <fill>
        <patternFill>
          <bgColor rgb="FFFFFF00"/>
        </patternFill>
      </fill>
    </dxf>
    <dxf>
      <fill>
        <patternFill>
          <bgColor rgb="FFFF0000"/>
        </patternFill>
      </fill>
    </dxf>
    <dxf>
      <fill>
        <patternFill>
          <bgColor rgb="FFFFC000"/>
        </patternFill>
      </fill>
    </dxf>
    <dxf>
      <fill>
        <patternFill>
          <bgColor rgb="FF00B050"/>
        </patternFill>
      </fill>
    </dxf>
    <dxf>
      <fill>
        <patternFill>
          <bgColor rgb="FF00B050"/>
        </patternFill>
      </fill>
    </dxf>
    <dxf>
      <fill>
        <patternFill>
          <bgColor rgb="FFFFFF00"/>
        </patternFill>
      </fill>
    </dxf>
    <dxf>
      <fill>
        <patternFill>
          <bgColor rgb="FFFF000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FF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FFC000"/>
        </patternFill>
      </fill>
    </dxf>
    <dxf>
      <fill>
        <patternFill>
          <bgColor rgb="FF00B050"/>
        </patternFill>
      </fill>
    </dxf>
    <dxf>
      <fill>
        <patternFill>
          <bgColor rgb="FFFFFF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FFC0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00B050"/>
        </patternFill>
      </fill>
    </dxf>
    <dxf>
      <fill>
        <patternFill>
          <bgColor rgb="FFFF0000"/>
        </patternFill>
      </fill>
    </dxf>
    <dxf>
      <fill>
        <patternFill>
          <bgColor rgb="FFFFFF00"/>
        </patternFill>
      </fill>
    </dxf>
    <dxf>
      <fill>
        <patternFill>
          <bgColor rgb="FFFFC000"/>
        </patternFill>
      </fill>
    </dxf>
    <dxf>
      <fill>
        <patternFill>
          <bgColor rgb="FFFFFF00"/>
        </patternFill>
      </fill>
    </dxf>
    <dxf>
      <fill>
        <patternFill>
          <bgColor rgb="FFFF0000"/>
        </patternFill>
      </fill>
    </dxf>
    <dxf>
      <fill>
        <patternFill>
          <bgColor rgb="FF00B05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FF0000"/>
        </patternFill>
      </fill>
    </dxf>
    <dxf>
      <fill>
        <patternFill>
          <bgColor rgb="FF00B050"/>
        </patternFill>
      </fill>
    </dxf>
    <dxf>
      <fill>
        <patternFill>
          <bgColor rgb="FFFFC000"/>
        </patternFill>
      </fill>
    </dxf>
    <dxf>
      <fill>
        <patternFill>
          <bgColor rgb="FFFFFF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000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FFC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FFFF00"/>
        </patternFill>
      </fill>
    </dxf>
    <dxf>
      <fill>
        <patternFill>
          <bgColor rgb="FFFF0000"/>
        </patternFill>
      </fill>
    </dxf>
    <dxf>
      <fill>
        <patternFill>
          <bgColor rgb="FF00B050"/>
        </patternFill>
      </fill>
    </dxf>
    <dxf>
      <fill>
        <patternFill>
          <bgColor rgb="FFFFC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FFC000"/>
        </patternFill>
      </fill>
    </dxf>
    <dxf>
      <fill>
        <patternFill>
          <bgColor rgb="FFFFFF00"/>
        </patternFill>
      </fill>
    </dxf>
    <dxf>
      <fill>
        <patternFill>
          <bgColor rgb="FFFF0000"/>
        </patternFill>
      </fill>
    </dxf>
    <dxf>
      <fill>
        <patternFill>
          <bgColor rgb="FF00B050"/>
        </patternFill>
      </fill>
    </dxf>
    <dxf>
      <fill>
        <patternFill>
          <bgColor rgb="FFFF0000"/>
        </patternFill>
      </fill>
    </dxf>
    <dxf>
      <fill>
        <patternFill>
          <bgColor rgb="FFFFFF00"/>
        </patternFill>
      </fill>
    </dxf>
    <dxf>
      <fill>
        <patternFill>
          <bgColor rgb="FFFFC000"/>
        </patternFill>
      </fill>
    </dxf>
    <dxf>
      <fill>
        <patternFill>
          <bgColor rgb="FF00B050"/>
        </patternFill>
      </fill>
    </dxf>
    <dxf>
      <fill>
        <patternFill>
          <bgColor rgb="FF00B050"/>
        </patternFill>
      </fill>
    </dxf>
    <dxf>
      <fill>
        <patternFill>
          <bgColor rgb="FFFFFF00"/>
        </patternFill>
      </fill>
    </dxf>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C00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FF00"/>
        </patternFill>
      </fill>
    </dxf>
    <dxf>
      <fill>
        <patternFill>
          <bgColor rgb="FFFF0000"/>
        </patternFill>
      </fill>
    </dxf>
    <dxf>
      <fill>
        <patternFill>
          <bgColor rgb="FFFFFF00"/>
        </patternFill>
      </fill>
    </dxf>
    <dxf>
      <fill>
        <patternFill>
          <bgColor rgb="FF00B050"/>
        </patternFill>
      </fill>
    </dxf>
    <dxf>
      <fill>
        <patternFill>
          <bgColor rgb="FFFFC0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0000"/>
        </patternFill>
      </fill>
    </dxf>
    <dxf>
      <fill>
        <patternFill>
          <bgColor rgb="FFFFFF00"/>
        </patternFill>
      </fill>
    </dxf>
    <dxf>
      <fill>
        <patternFill>
          <bgColor rgb="FFFFC000"/>
        </patternFill>
      </fill>
    </dxf>
    <dxf>
      <fill>
        <patternFill>
          <bgColor rgb="FF00B05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FFC000"/>
        </patternFill>
      </fill>
    </dxf>
    <dxf>
      <fill>
        <patternFill>
          <bgColor rgb="FF00B050"/>
        </patternFill>
      </fill>
    </dxf>
    <dxf>
      <fill>
        <patternFill>
          <bgColor rgb="FFFFC000"/>
        </patternFill>
      </fill>
    </dxf>
    <dxf>
      <fill>
        <patternFill>
          <bgColor rgb="FFFFFF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FF000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FFC000"/>
        </patternFill>
      </fill>
    </dxf>
    <dxf>
      <fill>
        <patternFill>
          <bgColor rgb="FFFFC000"/>
        </patternFill>
      </fill>
    </dxf>
    <dxf>
      <fill>
        <patternFill>
          <bgColor rgb="FF00B050"/>
        </patternFill>
      </fill>
    </dxf>
    <dxf>
      <fill>
        <patternFill>
          <bgColor rgb="FFFFFF00"/>
        </patternFill>
      </fill>
    </dxf>
    <dxf>
      <fill>
        <patternFill>
          <bgColor rgb="FFFF0000"/>
        </patternFill>
      </fill>
    </dxf>
    <dxf>
      <fill>
        <patternFill>
          <bgColor rgb="FFFFFF00"/>
        </patternFill>
      </fill>
    </dxf>
    <dxf>
      <fill>
        <patternFill>
          <bgColor rgb="FFFFC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00B050"/>
        </patternFill>
      </fill>
    </dxf>
    <dxf>
      <fill>
        <patternFill>
          <bgColor rgb="FFFFC000"/>
        </patternFill>
      </fill>
    </dxf>
    <dxf>
      <fill>
        <patternFill>
          <bgColor rgb="FFFFFF00"/>
        </patternFill>
      </fill>
    </dxf>
    <dxf>
      <fill>
        <patternFill>
          <bgColor rgb="FFFF0000"/>
        </patternFill>
      </fill>
    </dxf>
    <dxf>
      <fill>
        <patternFill>
          <bgColor rgb="FF00B050"/>
        </patternFill>
      </fill>
    </dxf>
    <dxf>
      <fill>
        <patternFill>
          <bgColor rgb="FFFF0000"/>
        </patternFill>
      </fill>
    </dxf>
    <dxf>
      <fill>
        <patternFill>
          <bgColor rgb="FFFFFF00"/>
        </patternFill>
      </fill>
    </dxf>
    <dxf>
      <fill>
        <patternFill>
          <bgColor rgb="FFFFC000"/>
        </patternFill>
      </fill>
    </dxf>
    <dxf>
      <fill>
        <patternFill>
          <bgColor rgb="FFFFC000"/>
        </patternFill>
      </fill>
    </dxf>
    <dxf>
      <fill>
        <patternFill>
          <bgColor rgb="FF00B050"/>
        </patternFill>
      </fill>
    </dxf>
    <dxf>
      <fill>
        <patternFill>
          <bgColor rgb="FFFF0000"/>
        </patternFill>
      </fill>
    </dxf>
    <dxf>
      <fill>
        <patternFill>
          <bgColor rgb="FFFFFF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FFC000"/>
        </patternFill>
      </fill>
    </dxf>
    <dxf>
      <fill>
        <patternFill>
          <bgColor rgb="FFFFFF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00B050"/>
        </patternFill>
      </fill>
    </dxf>
    <dxf>
      <fill>
        <patternFill>
          <bgColor rgb="FFFFC000"/>
        </patternFill>
      </fill>
    </dxf>
    <dxf>
      <fill>
        <patternFill>
          <bgColor rgb="FFFFFF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C000"/>
        </patternFill>
      </fill>
    </dxf>
    <dxf>
      <fill>
        <patternFill>
          <bgColor rgb="FFFFC000"/>
        </patternFill>
      </fill>
    </dxf>
    <dxf>
      <fill>
        <patternFill>
          <bgColor rgb="FFFFFF00"/>
        </patternFill>
      </fill>
    </dxf>
    <dxf>
      <fill>
        <patternFill>
          <bgColor rgb="FFFF0000"/>
        </patternFill>
      </fill>
    </dxf>
    <dxf>
      <fill>
        <patternFill>
          <bgColor rgb="FF00B05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FF0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0000"/>
        </patternFill>
      </fill>
    </dxf>
    <dxf>
      <fill>
        <patternFill>
          <bgColor rgb="FFFFFF00"/>
        </patternFill>
      </fill>
    </dxf>
    <dxf>
      <fill>
        <patternFill>
          <bgColor rgb="FFFFC000"/>
        </patternFill>
      </fill>
    </dxf>
    <dxf>
      <fill>
        <patternFill>
          <bgColor rgb="FFFF0000"/>
        </patternFill>
      </fill>
    </dxf>
    <dxf>
      <fill>
        <patternFill>
          <bgColor rgb="FFFFFF00"/>
        </patternFill>
      </fill>
    </dxf>
    <dxf>
      <fill>
        <patternFill>
          <bgColor rgb="FFFFC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FF00"/>
        </patternFill>
      </fill>
    </dxf>
    <dxf>
      <fill>
        <patternFill>
          <bgColor rgb="FFFFC00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FF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FFC00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FF00"/>
        </patternFill>
      </fill>
    </dxf>
    <dxf>
      <fill>
        <patternFill>
          <bgColor rgb="FFFF0000"/>
        </patternFill>
      </fill>
    </dxf>
    <dxf>
      <fill>
        <patternFill>
          <bgColor rgb="FFFFC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FF0000"/>
        </patternFill>
      </fill>
    </dxf>
    <dxf>
      <fill>
        <patternFill>
          <bgColor rgb="FF00B050"/>
        </patternFill>
      </fill>
    </dxf>
    <dxf>
      <fill>
        <patternFill>
          <bgColor rgb="FFFFC000"/>
        </patternFill>
      </fill>
    </dxf>
    <dxf>
      <fill>
        <patternFill>
          <bgColor rgb="FFFFFF0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C000"/>
        </patternFill>
      </fill>
    </dxf>
    <dxf>
      <fill>
        <patternFill>
          <bgColor rgb="FFFFFF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FFC000"/>
        </patternFill>
      </fill>
    </dxf>
    <dxf>
      <fill>
        <patternFill>
          <bgColor rgb="FF00B05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FF0000"/>
        </patternFill>
      </fill>
    </dxf>
    <dxf>
      <fill>
        <patternFill>
          <bgColor rgb="FF00B05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FF00"/>
        </patternFill>
      </fill>
    </dxf>
    <dxf>
      <fill>
        <patternFill>
          <bgColor rgb="FFFF0000"/>
        </patternFill>
      </fill>
    </dxf>
    <dxf>
      <fill>
        <patternFill>
          <bgColor rgb="FFFFC000"/>
        </patternFill>
      </fill>
    </dxf>
    <dxf>
      <fill>
        <patternFill>
          <bgColor rgb="FF00B050"/>
        </patternFill>
      </fill>
    </dxf>
    <dxf>
      <fill>
        <patternFill>
          <bgColor rgb="FFFFFF0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FF0000"/>
        </patternFill>
      </fill>
    </dxf>
    <dxf>
      <fill>
        <patternFill>
          <bgColor rgb="FF00B050"/>
        </patternFill>
      </fill>
    </dxf>
    <dxf>
      <fill>
        <patternFill>
          <bgColor rgb="FFFFC000"/>
        </patternFill>
      </fill>
    </dxf>
    <dxf>
      <fill>
        <patternFill>
          <bgColor rgb="FFFFC00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000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FFFF00"/>
        </patternFill>
      </fill>
    </dxf>
    <dxf>
      <fill>
        <patternFill>
          <bgColor rgb="FFFFC000"/>
        </patternFill>
      </fill>
    </dxf>
    <dxf>
      <fill>
        <patternFill>
          <bgColor rgb="FF00B05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FFFF00"/>
        </patternFill>
      </fill>
    </dxf>
    <dxf>
      <fill>
        <patternFill>
          <bgColor rgb="FFFF0000"/>
        </patternFill>
      </fill>
    </dxf>
    <dxf>
      <fill>
        <patternFill>
          <bgColor rgb="FF00B050"/>
        </patternFill>
      </fill>
    </dxf>
    <dxf>
      <fill>
        <patternFill>
          <bgColor rgb="FFFFC000"/>
        </patternFill>
      </fill>
    </dxf>
    <dxf>
      <fill>
        <patternFill>
          <bgColor rgb="FFFFFF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00B050"/>
        </patternFill>
      </fill>
    </dxf>
    <dxf>
      <fill>
        <patternFill>
          <bgColor rgb="FFFFC000"/>
        </patternFill>
      </fill>
    </dxf>
    <dxf>
      <fill>
        <patternFill>
          <bgColor rgb="FFFFFF0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0000"/>
        </patternFill>
      </fill>
    </dxf>
    <dxf>
      <fill>
        <patternFill>
          <bgColor rgb="FFFFFF00"/>
        </patternFill>
      </fill>
    </dxf>
    <dxf>
      <fill>
        <patternFill>
          <bgColor rgb="FFFFC000"/>
        </patternFill>
      </fill>
    </dxf>
    <dxf>
      <fill>
        <patternFill>
          <bgColor rgb="FF00B050"/>
        </patternFill>
      </fill>
    </dxf>
    <dxf>
      <fill>
        <patternFill>
          <bgColor rgb="FF00B050"/>
        </patternFill>
      </fill>
    </dxf>
    <dxf>
      <fill>
        <patternFill>
          <bgColor rgb="FFFF0000"/>
        </patternFill>
      </fill>
    </dxf>
    <dxf>
      <fill>
        <patternFill>
          <bgColor rgb="FFFFFF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FF0000"/>
        </patternFill>
      </fill>
    </dxf>
    <dxf>
      <fill>
        <patternFill>
          <bgColor rgb="FFFFFF00"/>
        </patternFill>
      </fill>
    </dxf>
    <dxf>
      <fill>
        <patternFill>
          <bgColor rgb="FFFFC000"/>
        </patternFill>
      </fill>
    </dxf>
    <dxf>
      <fill>
        <patternFill>
          <bgColor rgb="FF00B05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C000"/>
        </patternFill>
      </fill>
    </dxf>
    <dxf>
      <fill>
        <patternFill>
          <bgColor rgb="FFFFFF00"/>
        </patternFill>
      </fill>
    </dxf>
    <dxf>
      <fill>
        <patternFill>
          <bgColor rgb="FFFFC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FFFF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FF00"/>
        </patternFill>
      </fill>
    </dxf>
    <dxf>
      <fill>
        <patternFill>
          <bgColor rgb="FFFFC000"/>
        </patternFill>
      </fill>
    </dxf>
    <dxf>
      <fill>
        <patternFill>
          <bgColor rgb="FF00B050"/>
        </patternFill>
      </fill>
    </dxf>
    <dxf>
      <fill>
        <patternFill>
          <bgColor rgb="FFFF0000"/>
        </patternFill>
      </fill>
    </dxf>
    <dxf>
      <fill>
        <patternFill>
          <bgColor rgb="FFFFFF00"/>
        </patternFill>
      </fill>
    </dxf>
    <dxf>
      <fill>
        <patternFill>
          <bgColor rgb="FFFFC000"/>
        </patternFill>
      </fill>
    </dxf>
    <dxf>
      <fill>
        <patternFill>
          <bgColor rgb="FF00B05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FF00"/>
        </patternFill>
      </fill>
    </dxf>
    <dxf>
      <fill>
        <patternFill>
          <bgColor rgb="FFFFC000"/>
        </patternFill>
      </fill>
    </dxf>
    <dxf>
      <fill>
        <patternFill>
          <bgColor rgb="FFFFFF00"/>
        </patternFill>
      </fill>
    </dxf>
    <dxf>
      <fill>
        <patternFill>
          <bgColor rgb="FFFF0000"/>
        </patternFill>
      </fill>
    </dxf>
    <dxf>
      <fill>
        <patternFill>
          <bgColor rgb="FF00B05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000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FFC00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FF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FF00"/>
        </patternFill>
      </fill>
    </dxf>
    <dxf>
      <fill>
        <patternFill>
          <bgColor rgb="FFFF0000"/>
        </patternFill>
      </fill>
    </dxf>
    <dxf>
      <fill>
        <patternFill>
          <bgColor rgb="FFFFFF00"/>
        </patternFill>
      </fill>
    </dxf>
    <dxf>
      <fill>
        <patternFill>
          <bgColor rgb="FF00B050"/>
        </patternFill>
      </fill>
    </dxf>
    <dxf>
      <fill>
        <patternFill>
          <bgColor rgb="FFFFC00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C000"/>
        </patternFill>
      </fill>
    </dxf>
    <dxf>
      <fill>
        <patternFill>
          <bgColor rgb="FFFF0000"/>
        </patternFill>
      </fill>
    </dxf>
    <dxf>
      <fill>
        <patternFill>
          <bgColor rgb="FFFFFF00"/>
        </patternFill>
      </fill>
    </dxf>
    <dxf>
      <fill>
        <patternFill>
          <bgColor rgb="FF00B05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FF0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FF0000"/>
        </patternFill>
      </fill>
    </dxf>
    <dxf>
      <fill>
        <patternFill>
          <bgColor rgb="FFFFFF00"/>
        </patternFill>
      </fill>
    </dxf>
    <dxf>
      <fill>
        <patternFill>
          <bgColor rgb="FFFFC000"/>
        </patternFill>
      </fill>
    </dxf>
    <dxf>
      <fill>
        <patternFill>
          <bgColor rgb="FF00B05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FFC000"/>
        </patternFill>
      </fill>
    </dxf>
    <dxf>
      <fill>
        <patternFill>
          <bgColor rgb="FF00B050"/>
        </patternFill>
      </fill>
    </dxf>
    <dxf>
      <fill>
        <patternFill>
          <bgColor rgb="FFFFFF0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FF0000"/>
        </patternFill>
      </fill>
    </dxf>
    <dxf>
      <fill>
        <patternFill>
          <bgColor rgb="FF00B050"/>
        </patternFill>
      </fill>
    </dxf>
    <dxf>
      <fill>
        <patternFill>
          <bgColor rgb="FFFFC0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FFC000"/>
        </patternFill>
      </fill>
    </dxf>
    <dxf>
      <fill>
        <patternFill>
          <bgColor rgb="FF00B05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FF00"/>
        </patternFill>
      </fill>
    </dxf>
    <dxf>
      <fill>
        <patternFill>
          <bgColor rgb="FFFF0000"/>
        </patternFill>
      </fill>
    </dxf>
    <dxf>
      <fill>
        <patternFill>
          <bgColor rgb="FFFFC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FF00"/>
        </patternFill>
      </fill>
    </dxf>
    <dxf>
      <fill>
        <patternFill>
          <bgColor rgb="FFFF0000"/>
        </patternFill>
      </fill>
    </dxf>
    <dxf>
      <fill>
        <patternFill>
          <bgColor rgb="FFFFC000"/>
        </patternFill>
      </fill>
    </dxf>
    <dxf>
      <fill>
        <patternFill>
          <bgColor rgb="FF00B050"/>
        </patternFill>
      </fill>
    </dxf>
    <dxf>
      <fill>
        <patternFill>
          <bgColor rgb="FFFFFF00"/>
        </patternFill>
      </fill>
    </dxf>
    <dxf>
      <fill>
        <patternFill>
          <bgColor rgb="FFFFC0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FF0000"/>
        </patternFill>
      </fill>
    </dxf>
    <dxf>
      <fill>
        <patternFill>
          <bgColor rgb="FF00B050"/>
        </patternFill>
      </fill>
    </dxf>
    <dxf>
      <fill>
        <patternFill>
          <bgColor rgb="FFFFC00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00B050"/>
        </patternFill>
      </fill>
    </dxf>
    <dxf>
      <fill>
        <patternFill>
          <bgColor rgb="FFFFFF00"/>
        </patternFill>
      </fill>
    </dxf>
    <dxf>
      <fill>
        <patternFill>
          <bgColor rgb="FFFF0000"/>
        </patternFill>
      </fill>
    </dxf>
    <dxf>
      <fill>
        <patternFill>
          <bgColor rgb="FFFFC000"/>
        </patternFill>
      </fill>
    </dxf>
    <dxf>
      <fill>
        <patternFill>
          <bgColor rgb="FFFFC000"/>
        </patternFill>
      </fill>
    </dxf>
    <dxf>
      <fill>
        <patternFill>
          <bgColor rgb="FFFF0000"/>
        </patternFill>
      </fill>
    </dxf>
    <dxf>
      <fill>
        <patternFill>
          <bgColor rgb="FFFFFF00"/>
        </patternFill>
      </fill>
    </dxf>
    <dxf>
      <fill>
        <patternFill>
          <bgColor rgb="FF00B05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C0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FFC00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C000"/>
        </patternFill>
      </fill>
    </dxf>
    <dxf>
      <fill>
        <patternFill>
          <bgColor rgb="FFFFFF0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FFFF00"/>
        </patternFill>
      </fill>
    </dxf>
    <dxf>
      <fill>
        <patternFill>
          <bgColor rgb="FFFFC000"/>
        </patternFill>
      </fill>
    </dxf>
    <dxf>
      <fill>
        <patternFill>
          <bgColor rgb="FF00B05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FFC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FF00"/>
        </patternFill>
      </fill>
    </dxf>
    <dxf>
      <fill>
        <patternFill>
          <bgColor rgb="FFFFC000"/>
        </patternFill>
      </fill>
    </dxf>
    <dxf>
      <fill>
        <patternFill>
          <bgColor rgb="FFFFC000"/>
        </patternFill>
      </fill>
    </dxf>
    <dxf>
      <fill>
        <patternFill>
          <bgColor rgb="FFFF0000"/>
        </patternFill>
      </fill>
    </dxf>
    <dxf>
      <fill>
        <patternFill>
          <bgColor rgb="FFFFFF00"/>
        </patternFill>
      </fill>
    </dxf>
    <dxf>
      <fill>
        <patternFill>
          <bgColor rgb="FF00B05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C000"/>
        </patternFill>
      </fill>
    </dxf>
    <dxf>
      <fill>
        <patternFill>
          <bgColor rgb="FFFF0000"/>
        </patternFill>
      </fill>
    </dxf>
    <dxf>
      <fill>
        <patternFill>
          <bgColor rgb="FFFFC000"/>
        </patternFill>
      </fill>
    </dxf>
    <dxf>
      <fill>
        <patternFill>
          <bgColor rgb="FFFFFF00"/>
        </patternFill>
      </fill>
    </dxf>
    <dxf>
      <fill>
        <patternFill>
          <bgColor rgb="FFFF0000"/>
        </patternFill>
      </fill>
    </dxf>
    <dxf>
      <fill>
        <patternFill>
          <bgColor rgb="FFFFFF00"/>
        </patternFill>
      </fill>
    </dxf>
    <dxf>
      <fill>
        <patternFill>
          <bgColor rgb="FFFFC000"/>
        </patternFill>
      </fill>
    </dxf>
    <dxf>
      <fill>
        <patternFill>
          <bgColor rgb="FFFF0000"/>
        </patternFill>
      </fill>
    </dxf>
    <dxf>
      <fill>
        <patternFill>
          <bgColor rgb="FFFFFF00"/>
        </patternFill>
      </fill>
    </dxf>
    <dxf>
      <fill>
        <patternFill>
          <bgColor rgb="FFFFC000"/>
        </patternFill>
      </fill>
    </dxf>
    <dxf>
      <fill>
        <patternFill>
          <bgColor rgb="FFFF0000"/>
        </patternFill>
      </fill>
    </dxf>
    <dxf>
      <fill>
        <patternFill>
          <bgColor rgb="FFFFC000"/>
        </patternFill>
      </fill>
    </dxf>
    <dxf>
      <fill>
        <patternFill>
          <bgColor rgb="FFFFFF00"/>
        </patternFill>
      </fill>
    </dxf>
    <dxf>
      <fill>
        <patternFill>
          <bgColor rgb="FFFFFF00"/>
        </patternFill>
      </fill>
    </dxf>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FFFF00"/>
        </patternFill>
      </fill>
    </dxf>
    <dxf>
      <fill>
        <patternFill>
          <bgColor rgb="FFFFC000"/>
        </patternFill>
      </fill>
    </dxf>
    <dxf>
      <fill>
        <patternFill>
          <bgColor rgb="FFFF0000"/>
        </patternFill>
      </fill>
    </dxf>
    <dxf>
      <fill>
        <patternFill>
          <bgColor rgb="FFFFFF00"/>
        </patternFill>
      </fill>
    </dxf>
    <dxf>
      <fill>
        <patternFill>
          <bgColor rgb="FFFF0000"/>
        </patternFill>
      </fill>
    </dxf>
    <dxf>
      <fill>
        <patternFill>
          <bgColor rgb="FFFFC000"/>
        </patternFill>
      </fill>
    </dxf>
    <dxf>
      <fill>
        <patternFill>
          <bgColor rgb="FFFFFF00"/>
        </patternFill>
      </fill>
    </dxf>
    <dxf>
      <fill>
        <patternFill>
          <bgColor rgb="FFFFC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C000"/>
        </patternFill>
      </fill>
    </dxf>
    <dxf>
      <fill>
        <patternFill>
          <bgColor rgb="FFFF0000"/>
        </patternFill>
      </fill>
    </dxf>
    <dxf>
      <fill>
        <patternFill>
          <bgColor rgb="FFFFC000"/>
        </patternFill>
      </fill>
    </dxf>
    <dxf>
      <fill>
        <patternFill>
          <bgColor rgb="FFFFFF00"/>
        </patternFill>
      </fill>
    </dxf>
    <dxf>
      <fill>
        <patternFill>
          <bgColor rgb="FFFF0000"/>
        </patternFill>
      </fill>
    </dxf>
    <dxf>
      <fill>
        <patternFill>
          <bgColor rgb="FFFFC000"/>
        </patternFill>
      </fill>
    </dxf>
    <dxf>
      <fill>
        <patternFill>
          <bgColor rgb="FFFFFF00"/>
        </patternFill>
      </fill>
    </dxf>
    <dxf>
      <fill>
        <patternFill>
          <bgColor rgb="FFFFFF00"/>
        </patternFill>
      </fill>
    </dxf>
    <dxf>
      <fill>
        <patternFill>
          <bgColor rgb="FFFF0000"/>
        </patternFill>
      </fill>
    </dxf>
    <dxf>
      <fill>
        <patternFill>
          <bgColor rgb="FFFFC000"/>
        </patternFill>
      </fill>
    </dxf>
    <dxf>
      <fill>
        <patternFill>
          <bgColor rgb="FFFFFF00"/>
        </patternFill>
      </fill>
    </dxf>
    <dxf>
      <fill>
        <patternFill>
          <bgColor rgb="FFFF0000"/>
        </patternFill>
      </fill>
    </dxf>
    <dxf>
      <fill>
        <patternFill>
          <bgColor rgb="FFFFC000"/>
        </patternFill>
      </fill>
    </dxf>
    <dxf>
      <fill>
        <patternFill>
          <bgColor rgb="FFFFC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C000"/>
        </patternFill>
      </fill>
    </dxf>
    <dxf>
      <fill>
        <patternFill>
          <bgColor rgb="FFFFFF00"/>
        </patternFill>
      </fill>
    </dxf>
    <dxf>
      <fill>
        <patternFill>
          <bgColor rgb="FFFFC000"/>
        </patternFill>
      </fill>
    </dxf>
    <dxf>
      <fill>
        <patternFill>
          <bgColor rgb="FFFF0000"/>
        </patternFill>
      </fill>
    </dxf>
    <dxf>
      <fill>
        <patternFill>
          <bgColor rgb="FFFFC000"/>
        </patternFill>
      </fill>
    </dxf>
    <dxf>
      <fill>
        <patternFill>
          <bgColor rgb="FFFF0000"/>
        </patternFill>
      </fill>
    </dxf>
    <dxf>
      <fill>
        <patternFill>
          <bgColor rgb="FFFFFF00"/>
        </patternFill>
      </fill>
    </dxf>
    <dxf>
      <fill>
        <patternFill>
          <bgColor rgb="FFFFC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C000"/>
        </patternFill>
      </fill>
    </dxf>
    <dxf>
      <fill>
        <patternFill>
          <bgColor rgb="FFFF0000"/>
        </patternFill>
      </fill>
    </dxf>
    <dxf>
      <fill>
        <patternFill>
          <bgColor rgb="FFFFFF00"/>
        </patternFill>
      </fill>
    </dxf>
    <dxf>
      <fill>
        <patternFill>
          <bgColor rgb="FFFFC000"/>
        </patternFill>
      </fill>
    </dxf>
    <dxf>
      <fill>
        <patternFill>
          <bgColor rgb="FFFFC000"/>
        </patternFill>
      </fill>
    </dxf>
    <dxf>
      <fill>
        <patternFill>
          <bgColor rgb="FFFFFF00"/>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FFFF00"/>
        </patternFill>
      </fill>
    </dxf>
    <dxf>
      <fill>
        <patternFill>
          <bgColor rgb="FFFF0000"/>
        </patternFill>
      </fill>
    </dxf>
    <dxf>
      <fill>
        <patternFill>
          <bgColor rgb="FFFFC000"/>
        </patternFill>
      </fill>
    </dxf>
    <dxf>
      <fill>
        <patternFill>
          <bgColor rgb="FFFFFF00"/>
        </patternFill>
      </fill>
    </dxf>
    <dxf>
      <fill>
        <patternFill>
          <bgColor rgb="FFFFC000"/>
        </patternFill>
      </fill>
    </dxf>
    <dxf>
      <fill>
        <patternFill>
          <bgColor rgb="FFFF0000"/>
        </patternFill>
      </fill>
    </dxf>
    <dxf>
      <fill>
        <patternFill>
          <bgColor rgb="FFFFFF00"/>
        </patternFill>
      </fill>
    </dxf>
    <dxf>
      <fill>
        <patternFill>
          <bgColor rgb="FFFFC000"/>
        </patternFill>
      </fill>
    </dxf>
    <dxf>
      <fill>
        <patternFill>
          <bgColor rgb="FFFF0000"/>
        </patternFill>
      </fill>
    </dxf>
    <dxf>
      <fill>
        <patternFill>
          <bgColor rgb="FFFFC000"/>
        </patternFill>
      </fill>
    </dxf>
    <dxf>
      <fill>
        <patternFill>
          <bgColor rgb="FFFFFF00"/>
        </patternFill>
      </fill>
    </dxf>
    <dxf>
      <fill>
        <patternFill>
          <bgColor rgb="FFFF0000"/>
        </patternFill>
      </fill>
    </dxf>
    <dxf>
      <fill>
        <patternFill>
          <bgColor rgb="FFFFC000"/>
        </patternFill>
      </fill>
    </dxf>
    <dxf>
      <fill>
        <patternFill>
          <bgColor rgb="FFFFFF00"/>
        </patternFill>
      </fill>
    </dxf>
    <dxf>
      <fill>
        <patternFill>
          <bgColor rgb="FFFF0000"/>
        </patternFill>
      </fill>
    </dxf>
    <dxf>
      <fill>
        <patternFill>
          <bgColor rgb="FFFFC000"/>
        </patternFill>
      </fill>
    </dxf>
    <dxf>
      <fill>
        <patternFill>
          <bgColor rgb="FFFF0000"/>
        </patternFill>
      </fill>
    </dxf>
    <dxf>
      <fill>
        <patternFill>
          <bgColor rgb="FFFFFF00"/>
        </patternFill>
      </fill>
    </dxf>
    <dxf>
      <fill>
        <patternFill>
          <bgColor rgb="FFFFC00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FFC000"/>
        </patternFill>
      </fill>
    </dxf>
    <dxf>
      <fill>
        <patternFill>
          <bgColor rgb="FFFF0000"/>
        </patternFill>
      </fill>
    </dxf>
    <dxf>
      <fill>
        <patternFill>
          <bgColor rgb="FFFFC000"/>
        </patternFill>
      </fill>
    </dxf>
    <dxf>
      <fill>
        <patternFill>
          <bgColor rgb="FFFFFF00"/>
        </patternFill>
      </fill>
    </dxf>
    <dxf>
      <fill>
        <patternFill>
          <bgColor rgb="FFFFFF00"/>
        </patternFill>
      </fill>
    </dxf>
    <dxf>
      <fill>
        <patternFill>
          <bgColor rgb="FFFF0000"/>
        </patternFill>
      </fill>
    </dxf>
    <dxf>
      <fill>
        <patternFill>
          <bgColor rgb="FFFFC000"/>
        </patternFill>
      </fill>
    </dxf>
    <dxf>
      <fill>
        <patternFill>
          <bgColor rgb="FFFFC000"/>
        </patternFill>
      </fill>
    </dxf>
    <dxf>
      <fill>
        <patternFill>
          <bgColor rgb="FFFF0000"/>
        </patternFill>
      </fill>
    </dxf>
    <dxf>
      <fill>
        <patternFill>
          <bgColor rgb="FFFFFF00"/>
        </patternFill>
      </fill>
    </dxf>
    <dxf>
      <fill>
        <patternFill>
          <bgColor rgb="FFFFFF00"/>
        </patternFill>
      </fill>
    </dxf>
    <dxf>
      <fill>
        <patternFill>
          <bgColor rgb="FFFFC000"/>
        </patternFill>
      </fill>
    </dxf>
    <dxf>
      <fill>
        <patternFill>
          <bgColor rgb="FFFF0000"/>
        </patternFill>
      </fill>
    </dxf>
    <dxf>
      <fill>
        <patternFill>
          <bgColor rgb="FFFFC000"/>
        </patternFill>
      </fill>
    </dxf>
    <dxf>
      <fill>
        <patternFill>
          <bgColor rgb="FFFFFF00"/>
        </patternFill>
      </fill>
    </dxf>
    <dxf>
      <fill>
        <patternFill>
          <bgColor rgb="FFFF0000"/>
        </patternFill>
      </fill>
    </dxf>
    <dxf>
      <fill>
        <patternFill>
          <bgColor rgb="FFFFC000"/>
        </patternFill>
      </fill>
    </dxf>
    <dxf>
      <fill>
        <patternFill>
          <bgColor rgb="FFFF0000"/>
        </patternFill>
      </fill>
    </dxf>
    <dxf>
      <fill>
        <patternFill>
          <bgColor rgb="FFFFFF00"/>
        </patternFill>
      </fill>
    </dxf>
    <dxf>
      <fill>
        <patternFill>
          <bgColor rgb="FFFFC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C000"/>
        </patternFill>
      </fill>
    </dxf>
    <dxf>
      <fill>
        <patternFill>
          <bgColor rgb="FFFFFF00"/>
        </patternFill>
      </fill>
    </dxf>
    <dxf>
      <fill>
        <patternFill>
          <bgColor rgb="FFFF0000"/>
        </patternFill>
      </fill>
    </dxf>
    <dxf>
      <fill>
        <patternFill>
          <bgColor rgb="FFFFC000"/>
        </patternFill>
      </fill>
    </dxf>
    <dxf>
      <fill>
        <patternFill>
          <bgColor rgb="FFFFFF00"/>
        </patternFill>
      </fill>
    </dxf>
    <dxf>
      <fill>
        <patternFill>
          <bgColor rgb="FFFFC000"/>
        </patternFill>
      </fill>
    </dxf>
    <dxf>
      <fill>
        <patternFill>
          <bgColor rgb="FFFF0000"/>
        </patternFill>
      </fill>
    </dxf>
    <dxf>
      <fill>
        <patternFill>
          <bgColor rgb="FFFFC000"/>
        </patternFill>
      </fill>
    </dxf>
    <dxf>
      <fill>
        <patternFill>
          <bgColor rgb="FFFF0000"/>
        </patternFill>
      </fill>
    </dxf>
    <dxf>
      <fill>
        <patternFill>
          <bgColor rgb="FFFFFF00"/>
        </patternFill>
      </fill>
    </dxf>
    <dxf>
      <fill>
        <patternFill>
          <bgColor rgb="FFFFFF00"/>
        </patternFill>
      </fill>
    </dxf>
    <dxf>
      <fill>
        <patternFill>
          <bgColor rgb="FFFFC000"/>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FF0000"/>
        </patternFill>
      </fill>
    </dxf>
    <dxf>
      <fill>
        <patternFill>
          <bgColor rgb="FFFFC000"/>
        </patternFill>
      </fill>
    </dxf>
    <dxf>
      <fill>
        <patternFill>
          <bgColor rgb="FFFFFF00"/>
        </patternFill>
      </fill>
    </dxf>
    <dxf>
      <fill>
        <patternFill>
          <bgColor rgb="FFFFC000"/>
        </patternFill>
      </fill>
    </dxf>
    <dxf>
      <fill>
        <patternFill>
          <bgColor rgb="FFFF0000"/>
        </patternFill>
      </fill>
    </dxf>
    <dxf>
      <fill>
        <patternFill>
          <bgColor rgb="FFFFFF00"/>
        </patternFill>
      </fill>
    </dxf>
    <dxf>
      <fill>
        <patternFill>
          <bgColor rgb="FFFFC000"/>
        </patternFill>
      </fill>
    </dxf>
    <dxf>
      <fill>
        <patternFill>
          <bgColor rgb="FFFF0000"/>
        </patternFill>
      </fill>
    </dxf>
    <dxf>
      <fill>
        <patternFill>
          <bgColor rgb="FFFFFF00"/>
        </patternFill>
      </fill>
    </dxf>
    <dxf>
      <fill>
        <patternFill>
          <bgColor rgb="FFFFC00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FF00"/>
        </patternFill>
      </fill>
    </dxf>
    <dxf>
      <fill>
        <patternFill>
          <bgColor rgb="FFFFC0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FF0000"/>
        </patternFill>
      </fill>
    </dxf>
    <dxf>
      <fill>
        <patternFill>
          <bgColor rgb="FFFFC000"/>
        </patternFill>
      </fill>
    </dxf>
    <dxf>
      <fill>
        <patternFill>
          <bgColor rgb="FF00B050"/>
        </patternFill>
      </fill>
    </dxf>
    <dxf>
      <fill>
        <patternFill>
          <bgColor rgb="FF00B050"/>
        </patternFill>
      </fill>
    </dxf>
    <dxf>
      <fill>
        <patternFill>
          <bgColor rgb="FFFF0000"/>
        </patternFill>
      </fill>
    </dxf>
    <dxf>
      <fill>
        <patternFill>
          <bgColor rgb="FFFFFF00"/>
        </patternFill>
      </fill>
    </dxf>
    <dxf>
      <fill>
        <patternFill>
          <bgColor rgb="FFFFC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00B050"/>
        </patternFill>
      </fill>
    </dxf>
    <dxf>
      <fill>
        <patternFill>
          <bgColor rgb="FFFFFF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00B050"/>
        </patternFill>
      </fill>
    </dxf>
    <dxf>
      <fill>
        <patternFill>
          <bgColor rgb="FFFFC0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00B050"/>
        </patternFill>
      </fill>
    </dxf>
    <dxf>
      <fill>
        <patternFill>
          <bgColor rgb="FFFF000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00B050"/>
        </patternFill>
      </fill>
    </dxf>
    <dxf>
      <fill>
        <patternFill>
          <bgColor rgb="FFFF000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C000"/>
        </patternFill>
      </fill>
    </dxf>
    <dxf>
      <fill>
        <patternFill>
          <bgColor rgb="FFFFFF00"/>
        </patternFill>
      </fill>
    </dxf>
    <dxf>
      <fill>
        <patternFill>
          <bgColor rgb="FFFF0000"/>
        </patternFill>
      </fill>
    </dxf>
    <dxf>
      <fill>
        <patternFill>
          <bgColor rgb="FF00B050"/>
        </patternFill>
      </fill>
    </dxf>
    <dxf>
      <fill>
        <patternFill>
          <bgColor rgb="FFFFC000"/>
        </patternFill>
      </fill>
    </dxf>
    <dxf>
      <fill>
        <patternFill>
          <bgColor rgb="FFFFFF00"/>
        </patternFill>
      </fill>
    </dxf>
    <dxf>
      <fill>
        <patternFill>
          <bgColor rgb="FFFF00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FFC000"/>
        </patternFill>
      </fill>
    </dxf>
    <dxf>
      <fill>
        <patternFill>
          <bgColor rgb="FFFF0000"/>
        </patternFill>
      </fill>
    </dxf>
    <dxf>
      <fill>
        <patternFill>
          <bgColor rgb="FFFFFF00"/>
        </patternFill>
      </fill>
    </dxf>
    <dxf>
      <fill>
        <patternFill>
          <bgColor rgb="FF00B05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00B050"/>
        </patternFill>
      </fill>
    </dxf>
    <dxf>
      <fill>
        <patternFill>
          <bgColor rgb="FFFF000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FF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C000"/>
        </patternFill>
      </fill>
    </dxf>
    <dxf>
      <fill>
        <patternFill>
          <bgColor rgb="FF00B050"/>
        </patternFill>
      </fill>
    </dxf>
    <dxf>
      <fill>
        <patternFill>
          <bgColor rgb="FFFF0000"/>
        </patternFill>
      </fill>
    </dxf>
    <dxf>
      <fill>
        <patternFill>
          <bgColor rgb="FFFFFF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C000"/>
        </patternFill>
      </fill>
    </dxf>
    <dxf>
      <fill>
        <patternFill>
          <bgColor rgb="FFFFFF0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FFC000"/>
        </patternFill>
      </fill>
    </dxf>
    <dxf>
      <fill>
        <patternFill>
          <bgColor rgb="FF00B050"/>
        </patternFill>
      </fill>
    </dxf>
    <dxf>
      <fill>
        <patternFill>
          <bgColor rgb="FFFFFF0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FF0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FF0000"/>
        </patternFill>
      </fill>
    </dxf>
    <dxf>
      <fill>
        <patternFill>
          <bgColor rgb="FFFFFF00"/>
        </patternFill>
      </fill>
    </dxf>
    <dxf>
      <fill>
        <patternFill>
          <bgColor rgb="FF00B050"/>
        </patternFill>
      </fill>
    </dxf>
    <dxf>
      <fill>
        <patternFill>
          <bgColor rgb="FFFFC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FF0000"/>
        </patternFill>
      </fill>
    </dxf>
    <dxf>
      <fill>
        <patternFill>
          <bgColor rgb="FF00B050"/>
        </patternFill>
      </fill>
    </dxf>
    <dxf>
      <fill>
        <patternFill>
          <bgColor rgb="FFFFC00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FF00"/>
        </patternFill>
      </fill>
    </dxf>
    <dxf>
      <fill>
        <patternFill>
          <bgColor rgb="FFFF000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C000"/>
        </patternFill>
      </fill>
    </dxf>
    <dxf>
      <fill>
        <patternFill>
          <bgColor rgb="FFFFFF0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FF000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FFFF00"/>
        </patternFill>
      </fill>
    </dxf>
    <dxf>
      <fill>
        <patternFill>
          <bgColor rgb="FFFFC000"/>
        </patternFill>
      </fill>
    </dxf>
    <dxf>
      <fill>
        <patternFill>
          <bgColor rgb="FF00B05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C000"/>
        </patternFill>
      </fill>
    </dxf>
    <dxf>
      <fill>
        <patternFill>
          <bgColor rgb="FFFFFF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FF00"/>
        </patternFill>
      </fill>
    </dxf>
    <dxf>
      <fill>
        <patternFill>
          <bgColor rgb="FFFFC000"/>
        </patternFill>
      </fill>
    </dxf>
    <dxf>
      <fill>
        <patternFill>
          <bgColor rgb="FF00B050"/>
        </patternFill>
      </fill>
    </dxf>
    <dxf>
      <fill>
        <patternFill>
          <bgColor rgb="FFFF0000"/>
        </patternFill>
      </fill>
    </dxf>
    <dxf>
      <fill>
        <patternFill>
          <bgColor rgb="FFFFFF00"/>
        </patternFill>
      </fill>
    </dxf>
    <dxf>
      <fill>
        <patternFill>
          <bgColor rgb="FFFF0000"/>
        </patternFill>
      </fill>
    </dxf>
    <dxf>
      <fill>
        <patternFill>
          <bgColor rgb="FF00B050"/>
        </patternFill>
      </fill>
    </dxf>
    <dxf>
      <fill>
        <patternFill>
          <bgColor rgb="FFFFC000"/>
        </patternFill>
      </fill>
    </dxf>
    <dxf>
      <fill>
        <patternFill>
          <bgColor rgb="FF00B050"/>
        </patternFill>
      </fill>
    </dxf>
    <dxf>
      <fill>
        <patternFill>
          <bgColor rgb="FFFFC00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FFC000"/>
        </patternFill>
      </fill>
    </dxf>
    <dxf>
      <fill>
        <patternFill>
          <bgColor rgb="FF00B05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C000"/>
        </patternFill>
      </fill>
    </dxf>
    <dxf>
      <fill>
        <patternFill>
          <bgColor rgb="FFFFFF00"/>
        </patternFill>
      </fill>
    </dxf>
    <dxf>
      <fill>
        <patternFill>
          <bgColor rgb="FFFF0000"/>
        </patternFill>
      </fill>
    </dxf>
    <dxf>
      <fill>
        <patternFill>
          <bgColor rgb="FF00B050"/>
        </patternFill>
      </fill>
    </dxf>
    <dxf>
      <fill>
        <patternFill>
          <bgColor rgb="FFFFC000"/>
        </patternFill>
      </fill>
    </dxf>
    <dxf>
      <fill>
        <patternFill>
          <bgColor rgb="FFFFFF0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C00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FF0000"/>
        </patternFill>
      </fill>
    </dxf>
    <dxf>
      <fill>
        <patternFill>
          <bgColor rgb="FF00B050"/>
        </patternFill>
      </fill>
    </dxf>
    <dxf>
      <fill>
        <patternFill>
          <bgColor rgb="FFFFC000"/>
        </patternFill>
      </fill>
    </dxf>
    <dxf>
      <fill>
        <patternFill>
          <bgColor rgb="FFFFFF00"/>
        </patternFill>
      </fill>
    </dxf>
    <dxf>
      <fill>
        <patternFill>
          <bgColor rgb="FFFF0000"/>
        </patternFill>
      </fill>
    </dxf>
    <dxf>
      <fill>
        <patternFill>
          <bgColor rgb="FF00B050"/>
        </patternFill>
      </fill>
    </dxf>
    <dxf>
      <fill>
        <patternFill>
          <bgColor rgb="FFFFC000"/>
        </patternFill>
      </fill>
    </dxf>
    <dxf>
      <fill>
        <patternFill>
          <bgColor rgb="FF00B050"/>
        </patternFill>
      </fill>
    </dxf>
    <dxf>
      <fill>
        <patternFill>
          <bgColor rgb="FFFF0000"/>
        </patternFill>
      </fill>
    </dxf>
    <dxf>
      <fill>
        <patternFill>
          <bgColor rgb="FFFFFF00"/>
        </patternFill>
      </fill>
    </dxf>
    <dxf>
      <fill>
        <patternFill>
          <bgColor rgb="FFFFC000"/>
        </patternFill>
      </fill>
    </dxf>
    <dxf>
      <fill>
        <patternFill>
          <bgColor rgb="FFFFFF00"/>
        </patternFill>
      </fill>
    </dxf>
    <dxf>
      <fill>
        <patternFill>
          <bgColor rgb="FFFF0000"/>
        </patternFill>
      </fill>
    </dxf>
    <dxf>
      <fill>
        <patternFill>
          <bgColor rgb="FF00B05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FFC0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C000"/>
        </patternFill>
      </fill>
    </dxf>
    <dxf>
      <fill>
        <patternFill>
          <bgColor rgb="FFFFFF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00B05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FFC000"/>
        </patternFill>
      </fill>
    </dxf>
    <dxf>
      <fill>
        <patternFill>
          <bgColor rgb="FF00B050"/>
        </patternFill>
      </fill>
    </dxf>
    <dxf>
      <fill>
        <patternFill>
          <bgColor rgb="FFFFFF0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C000"/>
        </patternFill>
      </fill>
    </dxf>
    <dxf>
      <fill>
        <patternFill>
          <bgColor rgb="FFFFFF00"/>
        </patternFill>
      </fill>
    </dxf>
    <dxf>
      <fill>
        <patternFill>
          <bgColor rgb="FFFF0000"/>
        </patternFill>
      </fill>
    </dxf>
    <dxf>
      <fill>
        <patternFill>
          <bgColor rgb="FFFFC000"/>
        </patternFill>
      </fill>
    </dxf>
    <dxf>
      <fill>
        <patternFill>
          <bgColor rgb="FFFFFF00"/>
        </patternFill>
      </fill>
    </dxf>
    <dxf>
      <fill>
        <patternFill>
          <bgColor rgb="FFFF0000"/>
        </patternFill>
      </fill>
    </dxf>
    <dxf>
      <fill>
        <patternFill>
          <bgColor rgb="FF00B05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FFC000"/>
        </patternFill>
      </fill>
    </dxf>
    <dxf>
      <fill>
        <patternFill>
          <bgColor rgb="FF00B050"/>
        </patternFill>
      </fill>
    </dxf>
    <dxf>
      <fill>
        <patternFill>
          <bgColor rgb="FFFF000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FF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00B05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FF00"/>
        </patternFill>
      </fill>
    </dxf>
    <dxf>
      <fill>
        <patternFill>
          <bgColor rgb="FFFFFF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00B050"/>
        </patternFill>
      </fill>
    </dxf>
    <dxf>
      <fill>
        <patternFill>
          <bgColor rgb="FFFF0000"/>
        </patternFill>
      </fill>
    </dxf>
    <dxf>
      <fill>
        <patternFill>
          <bgColor rgb="FFFFFF00"/>
        </patternFill>
      </fill>
    </dxf>
    <dxf>
      <fill>
        <patternFill>
          <bgColor rgb="FFFFC000"/>
        </patternFill>
      </fill>
    </dxf>
    <dxf>
      <fill>
        <patternFill>
          <bgColor rgb="FFFFC000"/>
        </patternFill>
      </fill>
    </dxf>
    <dxf>
      <fill>
        <patternFill>
          <bgColor rgb="FFFFFF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C000"/>
        </patternFill>
      </fill>
    </dxf>
    <dxf>
      <fill>
        <patternFill>
          <bgColor rgb="FFFFFF00"/>
        </patternFill>
      </fill>
    </dxf>
    <dxf>
      <fill>
        <patternFill>
          <bgColor rgb="FFFFFF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00B050"/>
        </patternFill>
      </fill>
    </dxf>
    <dxf>
      <fill>
        <patternFill>
          <bgColor rgb="FFFFC000"/>
        </patternFill>
      </fill>
    </dxf>
    <dxf>
      <fill>
        <patternFill>
          <bgColor rgb="FFFFFF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00B050"/>
        </patternFill>
      </fill>
    </dxf>
    <dxf>
      <fill>
        <patternFill>
          <bgColor rgb="FFFF0000"/>
        </patternFill>
      </fill>
    </dxf>
    <dxf>
      <fill>
        <patternFill>
          <bgColor rgb="FFFFFF00"/>
        </patternFill>
      </fill>
    </dxf>
    <dxf>
      <fill>
        <patternFill>
          <bgColor rgb="FFFFC000"/>
        </patternFill>
      </fill>
    </dxf>
    <dxf>
      <fill>
        <patternFill>
          <bgColor rgb="FF00B050"/>
        </patternFill>
      </fill>
    </dxf>
    <dxf>
      <fill>
        <patternFill>
          <bgColor rgb="FFFFC000"/>
        </patternFill>
      </fill>
    </dxf>
    <dxf>
      <fill>
        <patternFill>
          <bgColor rgb="FFFFFF00"/>
        </patternFill>
      </fill>
    </dxf>
    <dxf>
      <fill>
        <patternFill>
          <bgColor rgb="FFFF00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FF0000"/>
        </patternFill>
      </fill>
    </dxf>
    <dxf>
      <fill>
        <patternFill>
          <bgColor rgb="FFFFFF00"/>
        </patternFill>
      </fill>
    </dxf>
    <dxf>
      <fill>
        <patternFill>
          <bgColor rgb="FFFFC000"/>
        </patternFill>
      </fill>
    </dxf>
    <dxf>
      <fill>
        <patternFill>
          <bgColor rgb="FF00B050"/>
        </patternFill>
      </fill>
    </dxf>
    <dxf>
      <fill>
        <patternFill>
          <bgColor rgb="FFFFC0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C00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FFFF00"/>
        </patternFill>
      </fill>
    </dxf>
    <dxf>
      <fill>
        <patternFill>
          <bgColor rgb="FFFFC000"/>
        </patternFill>
      </fill>
    </dxf>
    <dxf>
      <fill>
        <patternFill>
          <bgColor rgb="FF00B050"/>
        </patternFill>
      </fill>
    </dxf>
    <dxf>
      <fill>
        <patternFill>
          <bgColor rgb="FF00B050"/>
        </patternFill>
      </fill>
    </dxf>
    <dxf>
      <fill>
        <patternFill>
          <bgColor rgb="FFFFC000"/>
        </patternFill>
      </fill>
    </dxf>
    <dxf>
      <fill>
        <patternFill>
          <bgColor rgb="FFFFFF00"/>
        </patternFill>
      </fill>
    </dxf>
    <dxf>
      <fill>
        <patternFill>
          <bgColor rgb="FFFF0000"/>
        </patternFill>
      </fill>
    </dxf>
    <dxf>
      <fill>
        <patternFill>
          <bgColor rgb="FFFF0000"/>
        </patternFill>
      </fill>
    </dxf>
    <dxf>
      <fill>
        <patternFill>
          <bgColor rgb="FF00B05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FFC00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00B050"/>
        </patternFill>
      </fill>
    </dxf>
    <dxf>
      <fill>
        <patternFill>
          <bgColor rgb="FFFFC000"/>
        </patternFill>
      </fill>
    </dxf>
    <dxf>
      <fill>
        <patternFill>
          <bgColor rgb="FFFFFF00"/>
        </patternFill>
      </fill>
    </dxf>
    <dxf>
      <fill>
        <patternFill>
          <bgColor rgb="FFFF0000"/>
        </patternFill>
      </fill>
    </dxf>
    <dxf>
      <fill>
        <patternFill>
          <bgColor rgb="FFFFC000"/>
        </patternFill>
      </fill>
    </dxf>
    <dxf>
      <fill>
        <patternFill>
          <bgColor rgb="FF00B050"/>
        </patternFill>
      </fill>
    </dxf>
    <dxf>
      <fill>
        <patternFill>
          <bgColor rgb="FFFFFF00"/>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0000"/>
        </patternFill>
      </fill>
    </dxf>
    <dxf>
      <fill>
        <patternFill>
          <bgColor rgb="FFFFFF00"/>
        </patternFill>
      </fill>
    </dxf>
    <dxf>
      <fill>
        <patternFill>
          <bgColor rgb="FF00B050"/>
        </patternFill>
      </fill>
    </dxf>
    <dxf>
      <fill>
        <patternFill>
          <bgColor rgb="FFFFC00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00B050"/>
        </patternFill>
      </fill>
    </dxf>
    <dxf>
      <fill>
        <patternFill>
          <bgColor rgb="FFFFC00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FF0000"/>
        </patternFill>
      </fill>
    </dxf>
    <dxf>
      <fill>
        <patternFill>
          <bgColor rgb="FFFFFF00"/>
        </patternFill>
      </fill>
    </dxf>
    <dxf>
      <fill>
        <patternFill>
          <bgColor rgb="FF00B050"/>
        </patternFill>
      </fill>
    </dxf>
    <dxf>
      <fill>
        <patternFill>
          <bgColor rgb="FFFFC000"/>
        </patternFill>
      </fill>
    </dxf>
    <dxf>
      <fill>
        <patternFill>
          <bgColor rgb="FFFFC000"/>
        </patternFill>
      </fill>
    </dxf>
    <dxf>
      <fill>
        <patternFill>
          <bgColor rgb="FF00B050"/>
        </patternFill>
      </fill>
    </dxf>
    <dxf>
      <fill>
        <patternFill>
          <bgColor rgb="FFFF000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FF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FF00"/>
        </patternFill>
      </fill>
    </dxf>
    <dxf>
      <fill>
        <patternFill>
          <bgColor rgb="FFFF0000"/>
        </patternFill>
      </fill>
    </dxf>
    <dxf>
      <fill>
        <patternFill>
          <bgColor rgb="FFFFC000"/>
        </patternFill>
      </fill>
    </dxf>
    <dxf>
      <fill>
        <patternFill>
          <bgColor rgb="FFFFFF00"/>
        </patternFill>
      </fill>
    </dxf>
    <dxf>
      <fill>
        <patternFill>
          <bgColor rgb="FFFF0000"/>
        </patternFill>
      </fill>
    </dxf>
    <dxf>
      <fill>
        <patternFill>
          <bgColor rgb="FFFFC000"/>
        </patternFill>
      </fill>
    </dxf>
    <dxf>
      <fill>
        <patternFill>
          <bgColor rgb="FF00B05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FF00"/>
        </patternFill>
      </fill>
    </dxf>
    <dxf>
      <fill>
        <patternFill>
          <bgColor rgb="FFFFC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FFC00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FF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C000"/>
        </patternFill>
      </fill>
    </dxf>
    <dxf>
      <fill>
        <patternFill>
          <bgColor rgb="FFFFFF00"/>
        </patternFill>
      </fill>
    </dxf>
    <dxf>
      <fill>
        <patternFill>
          <bgColor rgb="FFFFC000"/>
        </patternFill>
      </fill>
    </dxf>
    <dxf>
      <fill>
        <patternFill>
          <bgColor rgb="FF00B050"/>
        </patternFill>
      </fill>
    </dxf>
    <dxf>
      <fill>
        <patternFill>
          <bgColor rgb="FFFF000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00B050"/>
        </patternFill>
      </fill>
    </dxf>
    <dxf>
      <fill>
        <patternFill>
          <bgColor rgb="FFFF0000"/>
        </patternFill>
      </fill>
    </dxf>
    <dxf>
      <fill>
        <patternFill>
          <bgColor rgb="FFFFFF00"/>
        </patternFill>
      </fill>
    </dxf>
    <dxf>
      <fill>
        <patternFill>
          <bgColor rgb="FFFFC00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FF0000"/>
        </patternFill>
      </fill>
    </dxf>
    <dxf>
      <fill>
        <patternFill>
          <bgColor rgb="FF00B050"/>
        </patternFill>
      </fill>
    </dxf>
    <dxf>
      <fill>
        <patternFill>
          <bgColor rgb="FFFFC000"/>
        </patternFill>
      </fill>
    </dxf>
    <dxf>
      <fill>
        <patternFill>
          <bgColor rgb="FFFFFF0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FF00"/>
        </patternFill>
      </fill>
    </dxf>
    <dxf>
      <fill>
        <patternFill>
          <bgColor rgb="FFFF0000"/>
        </patternFill>
      </fill>
    </dxf>
    <dxf>
      <fill>
        <patternFill>
          <bgColor rgb="FFFFC0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FF0000"/>
        </patternFill>
      </fill>
    </dxf>
    <dxf>
      <fill>
        <patternFill>
          <bgColor rgb="FFFFFF00"/>
        </patternFill>
      </fill>
    </dxf>
    <dxf>
      <fill>
        <patternFill>
          <bgColor rgb="FF00B050"/>
        </patternFill>
      </fill>
    </dxf>
    <dxf>
      <fill>
        <patternFill>
          <bgColor rgb="FFFFC000"/>
        </patternFill>
      </fill>
    </dxf>
    <dxf>
      <fill>
        <patternFill>
          <bgColor rgb="FFFFC000"/>
        </patternFill>
      </fill>
    </dxf>
    <dxf>
      <fill>
        <patternFill>
          <bgColor rgb="FFFFFF00"/>
        </patternFill>
      </fill>
    </dxf>
    <dxf>
      <fill>
        <patternFill>
          <bgColor rgb="FFFF0000"/>
        </patternFill>
      </fill>
    </dxf>
    <dxf>
      <fill>
        <patternFill>
          <bgColor rgb="FF00B050"/>
        </patternFill>
      </fill>
    </dxf>
    <dxf>
      <fill>
        <patternFill>
          <bgColor rgb="FFFF0000"/>
        </patternFill>
      </fill>
    </dxf>
    <dxf>
      <fill>
        <patternFill>
          <bgColor rgb="FFFFFF00"/>
        </patternFill>
      </fill>
    </dxf>
    <dxf>
      <fill>
        <patternFill>
          <bgColor rgb="FFFFC000"/>
        </patternFill>
      </fill>
    </dxf>
    <dxf>
      <fill>
        <patternFill>
          <bgColor rgb="FF00B05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FFFF00"/>
        </patternFill>
      </fill>
    </dxf>
    <dxf>
      <fill>
        <patternFill>
          <bgColor rgb="FFFFC000"/>
        </patternFill>
      </fill>
    </dxf>
    <dxf>
      <fill>
        <patternFill>
          <bgColor rgb="FF00B05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FFFF00"/>
        </patternFill>
      </fill>
    </dxf>
    <dxf>
      <fill>
        <patternFill>
          <bgColor rgb="FFFFC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FF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FFC0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FF00"/>
        </patternFill>
      </fill>
    </dxf>
    <dxf>
      <fill>
        <patternFill>
          <bgColor rgb="FFFF0000"/>
        </patternFill>
      </fill>
    </dxf>
    <dxf>
      <fill>
        <patternFill>
          <bgColor rgb="FFFFFF00"/>
        </patternFill>
      </fill>
    </dxf>
    <dxf>
      <fill>
        <patternFill>
          <bgColor rgb="FF00B050"/>
        </patternFill>
      </fill>
    </dxf>
    <dxf>
      <fill>
        <patternFill>
          <bgColor rgb="FFFFC0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FF0000"/>
        </patternFill>
      </fill>
    </dxf>
    <dxf>
      <fill>
        <patternFill>
          <bgColor rgb="FFFFFF00"/>
        </patternFill>
      </fill>
    </dxf>
    <dxf>
      <fill>
        <patternFill>
          <bgColor rgb="FF00B050"/>
        </patternFill>
      </fill>
    </dxf>
    <dxf>
      <fill>
        <patternFill>
          <bgColor rgb="FF00B050"/>
        </patternFill>
      </fill>
    </dxf>
    <dxf>
      <fill>
        <patternFill>
          <bgColor rgb="FFFFFF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FFC000"/>
        </patternFill>
      </fill>
    </dxf>
    <dxf>
      <fill>
        <patternFill>
          <bgColor rgb="FF00B050"/>
        </patternFill>
      </fill>
    </dxf>
    <dxf>
      <fill>
        <patternFill>
          <bgColor rgb="FFFFFF0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FFFF00"/>
        </patternFill>
      </fill>
    </dxf>
    <dxf>
      <fill>
        <patternFill>
          <bgColor rgb="FF00B050"/>
        </patternFill>
      </fill>
    </dxf>
    <dxf>
      <fill>
        <patternFill>
          <bgColor rgb="FFFFC000"/>
        </patternFill>
      </fill>
    </dxf>
    <dxf>
      <fill>
        <patternFill>
          <bgColor rgb="FFFFC00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00B050"/>
        </patternFill>
      </fill>
    </dxf>
    <dxf>
      <fill>
        <patternFill>
          <bgColor rgb="FFFFFF00"/>
        </patternFill>
      </fill>
    </dxf>
    <dxf>
      <fill>
        <patternFill>
          <bgColor rgb="FFFFC000"/>
        </patternFill>
      </fill>
    </dxf>
    <dxf>
      <fill>
        <patternFill>
          <bgColor rgb="FFFFFF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C000"/>
        </patternFill>
      </fill>
    </dxf>
    <dxf>
      <fill>
        <patternFill>
          <bgColor rgb="FFFFFF00"/>
        </patternFill>
      </fill>
    </dxf>
    <dxf>
      <fill>
        <patternFill>
          <bgColor rgb="FFFFFF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FF00"/>
        </patternFill>
      </fill>
    </dxf>
    <dxf>
      <fill>
        <patternFill>
          <bgColor rgb="FFFFC000"/>
        </patternFill>
      </fill>
    </dxf>
    <dxf>
      <fill>
        <patternFill>
          <bgColor rgb="FF00B05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C000"/>
        </patternFill>
      </fill>
    </dxf>
    <dxf>
      <fill>
        <patternFill>
          <bgColor rgb="FFFFFF00"/>
        </patternFill>
      </fill>
    </dxf>
    <dxf>
      <fill>
        <patternFill>
          <bgColor rgb="FFFF0000"/>
        </patternFill>
      </fill>
    </dxf>
    <dxf>
      <fill>
        <patternFill>
          <bgColor rgb="FFFF0000"/>
        </patternFill>
      </fill>
    </dxf>
    <dxf>
      <fill>
        <patternFill>
          <bgColor rgb="FF00B050"/>
        </patternFill>
      </fill>
    </dxf>
    <dxf>
      <fill>
        <patternFill>
          <bgColor rgb="FFFFC000"/>
        </patternFill>
      </fill>
    </dxf>
    <dxf>
      <fill>
        <patternFill>
          <bgColor rgb="FFFFFF0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C000"/>
        </patternFill>
      </fill>
    </dxf>
    <dxf>
      <fill>
        <patternFill>
          <bgColor rgb="FFFFFF00"/>
        </patternFill>
      </fill>
    </dxf>
    <dxf>
      <fill>
        <patternFill>
          <bgColor rgb="FFFF0000"/>
        </patternFill>
      </fill>
    </dxf>
    <dxf>
      <fill>
        <patternFill>
          <bgColor rgb="FF00B050"/>
        </patternFill>
      </fill>
    </dxf>
    <dxf>
      <fill>
        <patternFill>
          <bgColor rgb="FF00B050"/>
        </patternFill>
      </fill>
    </dxf>
    <dxf>
      <fill>
        <patternFill>
          <bgColor rgb="FFFFFF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FF00"/>
        </patternFill>
      </fill>
    </dxf>
    <dxf>
      <fill>
        <patternFill>
          <bgColor rgb="FFFF0000"/>
        </patternFill>
      </fill>
    </dxf>
    <dxf>
      <fill>
        <patternFill>
          <bgColor rgb="FFFFC00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00B050"/>
        </patternFill>
      </fill>
    </dxf>
    <dxf>
      <fill>
        <patternFill>
          <bgColor rgb="FFFFC000"/>
        </patternFill>
      </fill>
    </dxf>
    <dxf>
      <fill>
        <patternFill>
          <bgColor rgb="FF00B050"/>
        </patternFill>
      </fill>
    </dxf>
    <dxf>
      <fill>
        <patternFill>
          <bgColor rgb="FFFFFF00"/>
        </patternFill>
      </fill>
    </dxf>
    <dxf>
      <fill>
        <patternFill>
          <bgColor rgb="FFFF0000"/>
        </patternFill>
      </fill>
    </dxf>
    <dxf>
      <fill>
        <patternFill>
          <bgColor rgb="FFFFC000"/>
        </patternFill>
      </fill>
    </dxf>
    <dxf>
      <fill>
        <patternFill>
          <bgColor rgb="FFFFC00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FF00"/>
        </patternFill>
      </fill>
    </dxf>
    <dxf>
      <fill>
        <patternFill>
          <bgColor rgb="FFFFC000"/>
        </patternFill>
      </fill>
    </dxf>
    <dxf>
      <fill>
        <patternFill>
          <bgColor rgb="FFFFFF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FFC000"/>
        </patternFill>
      </fill>
    </dxf>
    <dxf>
      <fill>
        <patternFill>
          <bgColor rgb="FFFFFF0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C000"/>
        </patternFill>
      </fill>
    </dxf>
    <dxf>
      <fill>
        <patternFill>
          <bgColor rgb="FFFFFF00"/>
        </patternFill>
      </fill>
    </dxf>
    <dxf>
      <fill>
        <patternFill>
          <bgColor rgb="FFFF0000"/>
        </patternFill>
      </fill>
    </dxf>
    <dxf>
      <fill>
        <patternFill>
          <bgColor rgb="FFFFFF0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C000"/>
        </patternFill>
      </fill>
    </dxf>
    <dxf>
      <fill>
        <patternFill>
          <bgColor rgb="FF00B050"/>
        </patternFill>
      </fill>
    </dxf>
    <dxf>
      <fill>
        <patternFill>
          <bgColor rgb="FFFFFF00"/>
        </patternFill>
      </fill>
    </dxf>
    <dxf>
      <fill>
        <patternFill>
          <bgColor rgb="FFFF000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FF0000"/>
        </patternFill>
      </fill>
    </dxf>
    <dxf>
      <fill>
        <patternFill>
          <bgColor rgb="FF00B050"/>
        </patternFill>
      </fill>
    </dxf>
    <dxf>
      <fill>
        <patternFill>
          <bgColor rgb="FFFFC000"/>
        </patternFill>
      </fill>
    </dxf>
    <dxf>
      <fill>
        <patternFill>
          <bgColor rgb="FFFFFF0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00B05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FF0000"/>
        </patternFill>
      </fill>
    </dxf>
    <dxf>
      <fill>
        <patternFill>
          <bgColor rgb="FFFFC000"/>
        </patternFill>
      </fill>
    </dxf>
    <dxf>
      <fill>
        <patternFill>
          <bgColor rgb="FF00B050"/>
        </patternFill>
      </fill>
    </dxf>
    <dxf>
      <fill>
        <patternFill>
          <bgColor rgb="FFFFFF0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00B050"/>
        </patternFill>
      </fill>
    </dxf>
    <dxf>
      <fill>
        <patternFill>
          <bgColor rgb="FFFF0000"/>
        </patternFill>
      </fill>
    </dxf>
    <dxf>
      <fill>
        <patternFill>
          <bgColor rgb="FFFFFF00"/>
        </patternFill>
      </fill>
    </dxf>
    <dxf>
      <fill>
        <patternFill>
          <bgColor rgb="FFFF0000"/>
        </patternFill>
      </fill>
    </dxf>
    <dxf>
      <fill>
        <patternFill>
          <bgColor rgb="FF00B050"/>
        </patternFill>
      </fill>
    </dxf>
    <dxf>
      <fill>
        <patternFill>
          <bgColor rgb="FFFFC000"/>
        </patternFill>
      </fill>
    </dxf>
    <dxf>
      <fill>
        <patternFill>
          <bgColor rgb="FFFFC000"/>
        </patternFill>
      </fill>
    </dxf>
    <dxf>
      <fill>
        <patternFill>
          <bgColor rgb="FF00B05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00B050"/>
        </patternFill>
      </fill>
    </dxf>
    <dxf>
      <fill>
        <patternFill>
          <bgColor rgb="FFFFC00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FF0000"/>
        </patternFill>
      </fill>
    </dxf>
    <dxf>
      <fill>
        <patternFill>
          <bgColor rgb="FF00B050"/>
        </patternFill>
      </fill>
    </dxf>
    <dxf>
      <fill>
        <patternFill>
          <bgColor rgb="FFFFC0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0000"/>
        </patternFill>
      </fill>
    </dxf>
    <dxf>
      <fill>
        <patternFill>
          <bgColor rgb="FFFFFF00"/>
        </patternFill>
      </fill>
    </dxf>
    <dxf>
      <fill>
        <patternFill>
          <bgColor rgb="FFFFC000"/>
        </patternFill>
      </fill>
    </dxf>
    <dxf>
      <fill>
        <patternFill>
          <bgColor rgb="FF00B05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C000"/>
        </patternFill>
      </fill>
    </dxf>
    <dxf>
      <fill>
        <patternFill>
          <bgColor rgb="FFFFFF00"/>
        </patternFill>
      </fill>
    </dxf>
    <dxf>
      <fill>
        <patternFill>
          <bgColor rgb="FFFF0000"/>
        </patternFill>
      </fill>
    </dxf>
    <dxf>
      <fill>
        <patternFill>
          <bgColor rgb="FF00B050"/>
        </patternFill>
      </fill>
    </dxf>
    <dxf>
      <fill>
        <patternFill>
          <bgColor rgb="FFFFC000"/>
        </patternFill>
      </fill>
    </dxf>
    <dxf>
      <fill>
        <patternFill>
          <bgColor rgb="FF00B050"/>
        </patternFill>
      </fill>
    </dxf>
    <dxf>
      <fill>
        <patternFill>
          <bgColor rgb="FFFFFF00"/>
        </patternFill>
      </fill>
    </dxf>
    <dxf>
      <fill>
        <patternFill>
          <bgColor rgb="FFFF0000"/>
        </patternFill>
      </fill>
    </dxf>
    <dxf>
      <fill>
        <patternFill>
          <bgColor rgb="FFFFFF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FF00"/>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FF00"/>
        </patternFill>
      </fill>
    </dxf>
    <dxf>
      <fill>
        <patternFill>
          <bgColor rgb="FFFFC0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FFC000"/>
        </patternFill>
      </fill>
    </dxf>
    <dxf>
      <fill>
        <patternFill>
          <bgColor rgb="FFFFFF00"/>
        </patternFill>
      </fill>
    </dxf>
    <dxf>
      <fill>
        <patternFill>
          <bgColor rgb="FFFFC000"/>
        </patternFill>
      </fill>
    </dxf>
    <dxf>
      <fill>
        <patternFill>
          <bgColor rgb="FFFF0000"/>
        </patternFill>
      </fill>
    </dxf>
    <dxf>
      <fill>
        <patternFill>
          <bgColor rgb="FFFF0000"/>
        </patternFill>
      </fill>
    </dxf>
    <dxf>
      <fill>
        <patternFill>
          <bgColor rgb="FFFFFF00"/>
        </patternFill>
      </fill>
    </dxf>
    <dxf>
      <fill>
        <patternFill>
          <bgColor rgb="FFFFC00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theme="0" tint="-0.14996795556505021"/>
        </patternFill>
      </fill>
    </dxf>
    <dxf>
      <fill>
        <patternFill>
          <bgColor theme="5" tint="0.79998168889431442"/>
        </patternFill>
      </fill>
    </dxf>
    <dxf>
      <fill>
        <patternFill>
          <bgColor theme="6" tint="0.39994506668294322"/>
        </patternFill>
      </fill>
    </dxf>
    <dxf>
      <fill>
        <patternFill>
          <bgColor theme="8" tint="0.39994506668294322"/>
        </patternFill>
      </fill>
    </dxf>
    <dxf>
      <fill>
        <patternFill>
          <bgColor theme="6" tint="0.39994506668294322"/>
        </patternFill>
      </fill>
    </dxf>
    <dxf>
      <fill>
        <patternFill>
          <bgColor theme="5" tint="0.59996337778862885"/>
        </patternFill>
      </fill>
    </dxf>
    <dxf>
      <fill>
        <patternFill>
          <bgColor theme="8" tint="0.59996337778862885"/>
        </patternFill>
      </fill>
    </dxf>
    <dxf>
      <fill>
        <patternFill>
          <bgColor theme="6" tint="0.39994506668294322"/>
        </patternFill>
      </fill>
    </dxf>
    <dxf>
      <fill>
        <patternFill>
          <bgColor theme="7" tint="0.59996337778862885"/>
        </patternFill>
      </fill>
    </dxf>
    <dxf>
      <fill>
        <patternFill>
          <bgColor theme="9" tint="0.79998168889431442"/>
        </patternFill>
      </fill>
    </dxf>
    <dxf>
      <fill>
        <patternFill>
          <bgColor theme="0" tint="-0.14996795556505021"/>
        </patternFill>
      </fill>
    </dxf>
    <dxf>
      <fill>
        <patternFill>
          <bgColor theme="6" tint="0.39994506668294322"/>
        </patternFill>
      </fill>
    </dxf>
    <dxf>
      <fill>
        <patternFill>
          <bgColor theme="8" tint="0.39994506668294322"/>
        </patternFill>
      </fill>
    </dxf>
    <dxf>
      <fill>
        <patternFill>
          <bgColor theme="0" tint="-0.14996795556505021"/>
        </patternFill>
      </fill>
    </dxf>
    <dxf>
      <fill>
        <patternFill>
          <bgColor theme="6" tint="0.39994506668294322"/>
        </patternFill>
      </fill>
    </dxf>
    <dxf>
      <fill>
        <patternFill>
          <bgColor theme="0" tint="-0.14996795556505021"/>
        </patternFill>
      </fill>
    </dxf>
    <dxf>
      <fill>
        <patternFill>
          <bgColor theme="9" tint="0.79998168889431442"/>
        </patternFill>
      </fill>
    </dxf>
    <dxf>
      <fill>
        <patternFill>
          <bgColor theme="5" tint="0.59996337778862885"/>
        </patternFill>
      </fill>
    </dxf>
    <dxf>
      <fill>
        <patternFill>
          <bgColor theme="5" tint="0.79998168889431442"/>
        </patternFill>
      </fill>
    </dxf>
    <dxf>
      <fill>
        <patternFill>
          <bgColor theme="8" tint="0.59996337778862885"/>
        </patternFill>
      </fill>
    </dxf>
    <dxf>
      <fill>
        <patternFill>
          <bgColor theme="7" tint="0.59996337778862885"/>
        </patternFill>
      </fill>
    </dxf>
    <dxf>
      <fill>
        <patternFill>
          <bgColor theme="6" tint="0.39994506668294322"/>
        </patternFill>
      </fill>
    </dxf>
    <dxf>
      <fill>
        <patternFill>
          <bgColor theme="9" tint="0.79998168889431442"/>
        </patternFill>
      </fill>
    </dxf>
    <dxf>
      <fill>
        <patternFill>
          <bgColor theme="0" tint="-0.14996795556505021"/>
        </patternFill>
      </fill>
    </dxf>
    <dxf>
      <fill>
        <patternFill>
          <bgColor theme="5" tint="0.59996337778862885"/>
        </patternFill>
      </fill>
    </dxf>
    <dxf>
      <fill>
        <patternFill>
          <bgColor theme="6" tint="0.39994506668294322"/>
        </patternFill>
      </fill>
    </dxf>
    <dxf>
      <fill>
        <patternFill>
          <bgColor theme="8" tint="0.59996337778862885"/>
        </patternFill>
      </fill>
    </dxf>
    <dxf>
      <fill>
        <patternFill>
          <bgColor theme="0" tint="-0.14996795556505021"/>
        </patternFill>
      </fill>
    </dxf>
    <dxf>
      <fill>
        <patternFill>
          <bgColor theme="6" tint="0.39994506668294322"/>
        </patternFill>
      </fill>
    </dxf>
    <dxf>
      <fill>
        <patternFill>
          <bgColor theme="6" tint="0.39994506668294322"/>
        </patternFill>
      </fill>
    </dxf>
    <dxf>
      <fill>
        <patternFill>
          <bgColor theme="7" tint="0.59996337778862885"/>
        </patternFill>
      </fill>
    </dxf>
    <dxf>
      <fill>
        <patternFill>
          <bgColor theme="5" tint="0.79998168889431442"/>
        </patternFill>
      </fill>
    </dxf>
    <dxf>
      <fill>
        <patternFill>
          <bgColor theme="8" tint="0.39994506668294322"/>
        </patternFill>
      </fill>
    </dxf>
    <dxf>
      <fill>
        <patternFill>
          <bgColor theme="8" tint="0.39994506668294322"/>
        </patternFill>
      </fill>
    </dxf>
    <dxf>
      <fill>
        <patternFill>
          <bgColor theme="6" tint="0.39994506668294322"/>
        </patternFill>
      </fill>
    </dxf>
    <dxf>
      <fill>
        <patternFill>
          <bgColor theme="5" tint="0.79998168889431442"/>
        </patternFill>
      </fill>
    </dxf>
    <dxf>
      <fill>
        <patternFill>
          <bgColor theme="8" tint="0.59996337778862885"/>
        </patternFill>
      </fill>
    </dxf>
    <dxf>
      <fill>
        <patternFill>
          <bgColor theme="6" tint="0.39994506668294322"/>
        </patternFill>
      </fill>
    </dxf>
    <dxf>
      <fill>
        <patternFill>
          <bgColor theme="6" tint="0.39994506668294322"/>
        </patternFill>
      </fill>
    </dxf>
    <dxf>
      <fill>
        <patternFill>
          <bgColor theme="7" tint="0.59996337778862885"/>
        </patternFill>
      </fill>
    </dxf>
    <dxf>
      <fill>
        <patternFill>
          <bgColor theme="9" tint="0.79998168889431442"/>
        </patternFill>
      </fill>
    </dxf>
    <dxf>
      <fill>
        <patternFill>
          <bgColor theme="5" tint="0.59996337778862885"/>
        </patternFill>
      </fill>
    </dxf>
    <dxf>
      <fill>
        <patternFill>
          <bgColor theme="0" tint="-0.14996795556505021"/>
        </patternFill>
      </fill>
    </dxf>
    <dxf>
      <fill>
        <patternFill>
          <bgColor theme="0" tint="-0.14996795556505021"/>
        </patternFill>
      </fill>
    </dxf>
    <dxf>
      <fill>
        <patternFill>
          <bgColor theme="7" tint="0.59996337778862885"/>
        </patternFill>
      </fill>
    </dxf>
    <dxf>
      <fill>
        <patternFill>
          <bgColor theme="9" tint="0.79998168889431442"/>
        </patternFill>
      </fill>
    </dxf>
    <dxf>
      <fill>
        <patternFill>
          <bgColor theme="5" tint="0.59996337778862885"/>
        </patternFill>
      </fill>
    </dxf>
    <dxf>
      <fill>
        <patternFill>
          <bgColor theme="0" tint="-0.14996795556505021"/>
        </patternFill>
      </fill>
    </dxf>
    <dxf>
      <fill>
        <patternFill>
          <bgColor theme="8" tint="0.39994506668294322"/>
        </patternFill>
      </fill>
    </dxf>
    <dxf>
      <fill>
        <patternFill>
          <bgColor theme="6" tint="0.39994506668294322"/>
        </patternFill>
      </fill>
    </dxf>
    <dxf>
      <fill>
        <patternFill>
          <bgColor theme="5" tint="0.79998168889431442"/>
        </patternFill>
      </fill>
    </dxf>
    <dxf>
      <fill>
        <patternFill>
          <bgColor theme="6" tint="0.39994506668294322"/>
        </patternFill>
      </fill>
    </dxf>
    <dxf>
      <fill>
        <patternFill>
          <bgColor theme="0" tint="-0.14996795556505021"/>
        </patternFill>
      </fill>
    </dxf>
    <dxf>
      <fill>
        <patternFill>
          <bgColor theme="8" tint="0.59996337778862885"/>
        </patternFill>
      </fill>
    </dxf>
    <dxf>
      <fill>
        <patternFill>
          <bgColor theme="6" tint="0.39994506668294322"/>
        </patternFill>
      </fill>
    </dxf>
    <dxf>
      <fill>
        <patternFill>
          <bgColor theme="8" tint="0.39994506668294322"/>
        </patternFill>
      </fill>
    </dxf>
    <dxf>
      <fill>
        <patternFill>
          <bgColor theme="6" tint="0.39994506668294322"/>
        </patternFill>
      </fill>
    </dxf>
    <dxf>
      <fill>
        <patternFill>
          <bgColor theme="5" tint="0.79998168889431442"/>
        </patternFill>
      </fill>
    </dxf>
    <dxf>
      <fill>
        <patternFill>
          <bgColor theme="6" tint="0.39994506668294322"/>
        </patternFill>
      </fill>
    </dxf>
    <dxf>
      <fill>
        <patternFill>
          <bgColor theme="0" tint="-0.14996795556505021"/>
        </patternFill>
      </fill>
    </dxf>
    <dxf>
      <fill>
        <patternFill>
          <bgColor theme="5" tint="0.59996337778862885"/>
        </patternFill>
      </fill>
    </dxf>
    <dxf>
      <fill>
        <patternFill>
          <bgColor theme="8" tint="0.59996337778862885"/>
        </patternFill>
      </fill>
    </dxf>
    <dxf>
      <fill>
        <patternFill>
          <bgColor theme="6" tint="0.39994506668294322"/>
        </patternFill>
      </fill>
    </dxf>
    <dxf>
      <fill>
        <patternFill>
          <bgColor theme="7" tint="0.59996337778862885"/>
        </patternFill>
      </fill>
    </dxf>
    <dxf>
      <fill>
        <patternFill>
          <bgColor theme="9" tint="0.79998168889431442"/>
        </patternFill>
      </fill>
    </dxf>
    <dxf>
      <fill>
        <patternFill>
          <bgColor theme="0" tint="-0.14996795556505021"/>
        </patternFill>
      </fill>
    </dxf>
    <dxf>
      <fill>
        <patternFill>
          <bgColor theme="6" tint="0.39994506668294322"/>
        </patternFill>
      </fill>
    </dxf>
    <dxf>
      <fill>
        <patternFill>
          <bgColor theme="7" tint="0.59996337778862885"/>
        </patternFill>
      </fill>
    </dxf>
    <dxf>
      <fill>
        <patternFill>
          <bgColor theme="5" tint="0.79998168889431442"/>
        </patternFill>
      </fill>
    </dxf>
    <dxf>
      <fill>
        <patternFill>
          <bgColor theme="6" tint="0.39994506668294322"/>
        </patternFill>
      </fill>
    </dxf>
    <dxf>
      <fill>
        <patternFill>
          <bgColor theme="6" tint="0.39994506668294322"/>
        </patternFill>
      </fill>
    </dxf>
    <dxf>
      <fill>
        <patternFill>
          <bgColor theme="8" tint="0.39994506668294322"/>
        </patternFill>
      </fill>
    </dxf>
    <dxf>
      <fill>
        <patternFill>
          <bgColor theme="8" tint="0.59996337778862885"/>
        </patternFill>
      </fill>
    </dxf>
    <dxf>
      <fill>
        <patternFill>
          <bgColor theme="5" tint="0.59996337778862885"/>
        </patternFill>
      </fill>
    </dxf>
    <dxf>
      <fill>
        <patternFill>
          <bgColor theme="0" tint="-0.14996795556505021"/>
        </patternFill>
      </fill>
    </dxf>
    <dxf>
      <fill>
        <patternFill>
          <bgColor theme="9" tint="0.79998168889431442"/>
        </patternFill>
      </fill>
    </dxf>
    <dxf>
      <fill>
        <patternFill>
          <bgColor theme="0" tint="-0.14996795556505021"/>
        </patternFill>
      </fill>
    </dxf>
    <dxf>
      <fill>
        <patternFill>
          <bgColor theme="6" tint="0.39994506668294322"/>
        </patternFill>
      </fill>
    </dxf>
    <dxf>
      <fill>
        <patternFill>
          <bgColor theme="8" tint="0.59996337778862885"/>
        </patternFill>
      </fill>
    </dxf>
    <dxf>
      <fill>
        <patternFill>
          <bgColor theme="5" tint="0.59996337778862885"/>
        </patternFill>
      </fill>
    </dxf>
    <dxf>
      <fill>
        <patternFill>
          <bgColor theme="0" tint="-0.14996795556505021"/>
        </patternFill>
      </fill>
    </dxf>
    <dxf>
      <fill>
        <patternFill>
          <bgColor theme="8" tint="0.39994506668294322"/>
        </patternFill>
      </fill>
    </dxf>
    <dxf>
      <fill>
        <patternFill>
          <bgColor theme="0" tint="-0.14996795556505021"/>
        </patternFill>
      </fill>
    </dxf>
    <dxf>
      <fill>
        <patternFill>
          <bgColor theme="6" tint="0.39994506668294322"/>
        </patternFill>
      </fill>
    </dxf>
    <dxf>
      <fill>
        <patternFill>
          <bgColor theme="5" tint="0.79998168889431442"/>
        </patternFill>
      </fill>
    </dxf>
    <dxf>
      <fill>
        <patternFill>
          <bgColor theme="6" tint="0.39994506668294322"/>
        </patternFill>
      </fill>
    </dxf>
    <dxf>
      <fill>
        <patternFill>
          <bgColor theme="9" tint="0.79998168889431442"/>
        </patternFill>
      </fill>
    </dxf>
    <dxf>
      <fill>
        <patternFill>
          <bgColor theme="7" tint="0.59996337778862885"/>
        </patternFill>
      </fill>
    </dxf>
    <dxf>
      <fill>
        <patternFill>
          <bgColor theme="0" tint="-0.14996795556505021"/>
        </patternFill>
      </fill>
    </dxf>
    <dxf>
      <fill>
        <patternFill>
          <bgColor theme="6" tint="0.39994506668294322"/>
        </patternFill>
      </fill>
    </dxf>
    <dxf>
      <fill>
        <patternFill>
          <bgColor theme="5" tint="0.79998168889431442"/>
        </patternFill>
      </fill>
    </dxf>
    <dxf>
      <fill>
        <patternFill>
          <bgColor theme="6" tint="0.39994506668294322"/>
        </patternFill>
      </fill>
    </dxf>
    <dxf>
      <fill>
        <patternFill>
          <bgColor theme="8" tint="0.39994506668294322"/>
        </patternFill>
      </fill>
    </dxf>
    <dxf>
      <fill>
        <patternFill>
          <bgColor theme="6" tint="0.39994506668294322"/>
        </patternFill>
      </fill>
    </dxf>
    <dxf>
      <fill>
        <patternFill>
          <bgColor theme="8" tint="0.59996337778862885"/>
        </patternFill>
      </fill>
    </dxf>
    <dxf>
      <fill>
        <patternFill>
          <bgColor theme="0" tint="-0.14996795556505021"/>
        </patternFill>
      </fill>
    </dxf>
    <dxf>
      <fill>
        <patternFill>
          <bgColor theme="9" tint="0.79998168889431442"/>
        </patternFill>
      </fill>
    </dxf>
    <dxf>
      <fill>
        <patternFill>
          <bgColor theme="7" tint="0.59996337778862885"/>
        </patternFill>
      </fill>
    </dxf>
    <dxf>
      <fill>
        <patternFill>
          <bgColor theme="5" tint="0.59996337778862885"/>
        </patternFill>
      </fill>
    </dxf>
    <dxf>
      <fill>
        <patternFill>
          <bgColor theme="7" tint="0.59996337778862885"/>
        </patternFill>
      </fill>
    </dxf>
    <dxf>
      <fill>
        <patternFill>
          <bgColor theme="6" tint="0.39994506668294322"/>
        </patternFill>
      </fill>
    </dxf>
    <dxf>
      <fill>
        <patternFill>
          <bgColor theme="8" tint="0.59996337778862885"/>
        </patternFill>
      </fill>
    </dxf>
    <dxf>
      <fill>
        <patternFill>
          <bgColor theme="0" tint="-0.14996795556505021"/>
        </patternFill>
      </fill>
    </dxf>
    <dxf>
      <fill>
        <patternFill>
          <bgColor theme="0" tint="-0.14996795556505021"/>
        </patternFill>
      </fill>
    </dxf>
    <dxf>
      <fill>
        <patternFill>
          <bgColor theme="6" tint="0.39994506668294322"/>
        </patternFill>
      </fill>
    </dxf>
    <dxf>
      <fill>
        <patternFill>
          <bgColor theme="5" tint="0.59996337778862885"/>
        </patternFill>
      </fill>
    </dxf>
    <dxf>
      <fill>
        <patternFill>
          <bgColor theme="9" tint="0.79998168889431442"/>
        </patternFill>
      </fill>
    </dxf>
    <dxf>
      <fill>
        <patternFill>
          <bgColor theme="8" tint="0.39994506668294322"/>
        </patternFill>
      </fill>
    </dxf>
    <dxf>
      <fill>
        <patternFill>
          <bgColor theme="6" tint="0.39994506668294322"/>
        </patternFill>
      </fill>
    </dxf>
    <dxf>
      <fill>
        <patternFill>
          <bgColor theme="5" tint="0.79998168889431442"/>
        </patternFill>
      </fill>
    </dxf>
    <dxf>
      <fill>
        <patternFill>
          <bgColor theme="8" tint="0.59996337778862885"/>
        </patternFill>
      </fill>
    </dxf>
    <dxf>
      <fill>
        <patternFill>
          <bgColor theme="0" tint="-0.14996795556505021"/>
        </patternFill>
      </fill>
    </dxf>
    <dxf>
      <fill>
        <patternFill>
          <bgColor theme="5" tint="0.59996337778862885"/>
        </patternFill>
      </fill>
    </dxf>
    <dxf>
      <fill>
        <patternFill>
          <bgColor theme="9" tint="0.79998168889431442"/>
        </patternFill>
      </fill>
    </dxf>
    <dxf>
      <fill>
        <patternFill>
          <bgColor theme="6" tint="0.39994506668294322"/>
        </patternFill>
      </fill>
    </dxf>
    <dxf>
      <fill>
        <patternFill>
          <bgColor theme="0" tint="-0.14996795556505021"/>
        </patternFill>
      </fill>
    </dxf>
    <dxf>
      <fill>
        <patternFill>
          <bgColor theme="6" tint="0.39994506668294322"/>
        </patternFill>
      </fill>
    </dxf>
    <dxf>
      <fill>
        <patternFill>
          <bgColor theme="5" tint="0.79998168889431442"/>
        </patternFill>
      </fill>
    </dxf>
    <dxf>
      <fill>
        <patternFill>
          <bgColor theme="6" tint="0.39994506668294322"/>
        </patternFill>
      </fill>
    </dxf>
    <dxf>
      <fill>
        <patternFill>
          <bgColor theme="8" tint="0.39994506668294322"/>
        </patternFill>
      </fill>
    </dxf>
    <dxf>
      <fill>
        <patternFill>
          <bgColor theme="7" tint="0.59996337778862885"/>
        </patternFill>
      </fill>
    </dxf>
    <dxf>
      <fill>
        <patternFill>
          <bgColor theme="0" tint="-0.14996795556505021"/>
        </patternFill>
      </fill>
    </dxf>
    <dxf>
      <fill>
        <patternFill>
          <bgColor theme="8" tint="0.59996337778862885"/>
        </patternFill>
      </fill>
    </dxf>
    <dxf>
      <fill>
        <patternFill>
          <bgColor theme="9" tint="0.79998168889431442"/>
        </patternFill>
      </fill>
    </dxf>
    <dxf>
      <fill>
        <patternFill>
          <bgColor theme="7" tint="0.59996337778862885"/>
        </patternFill>
      </fill>
    </dxf>
    <dxf>
      <fill>
        <patternFill>
          <bgColor theme="6" tint="0.39994506668294322"/>
        </patternFill>
      </fill>
    </dxf>
    <dxf>
      <fill>
        <patternFill>
          <bgColor theme="0" tint="-0.14996795556505021"/>
        </patternFill>
      </fill>
    </dxf>
    <dxf>
      <fill>
        <patternFill>
          <bgColor theme="6" tint="0.39994506668294322"/>
        </patternFill>
      </fill>
    </dxf>
    <dxf>
      <fill>
        <patternFill>
          <bgColor theme="5" tint="0.79998168889431442"/>
        </patternFill>
      </fill>
    </dxf>
    <dxf>
      <fill>
        <patternFill>
          <bgColor theme="6" tint="0.39994506668294322"/>
        </patternFill>
      </fill>
    </dxf>
    <dxf>
      <fill>
        <patternFill>
          <bgColor theme="5" tint="0.59996337778862885"/>
        </patternFill>
      </fill>
    </dxf>
    <dxf>
      <fill>
        <patternFill>
          <bgColor theme="8" tint="0.39994506668294322"/>
        </patternFill>
      </fill>
    </dxf>
    <dxf>
      <fill>
        <patternFill>
          <bgColor theme="6" tint="0.39994506668294322"/>
        </patternFill>
      </fill>
    </dxf>
    <dxf>
      <fill>
        <patternFill>
          <bgColor theme="6" tint="0.39994506668294322"/>
        </patternFill>
      </fill>
    </dxf>
    <dxf>
      <fill>
        <patternFill>
          <bgColor theme="0" tint="-0.14996795556505021"/>
        </patternFill>
      </fill>
    </dxf>
    <dxf>
      <fill>
        <patternFill>
          <bgColor theme="0" tint="-0.14996795556505021"/>
        </patternFill>
      </fill>
    </dxf>
    <dxf>
      <fill>
        <patternFill>
          <bgColor theme="8" tint="0.39994506668294322"/>
        </patternFill>
      </fill>
    </dxf>
    <dxf>
      <fill>
        <patternFill>
          <bgColor theme="7" tint="0.59996337778862885"/>
        </patternFill>
      </fill>
    </dxf>
    <dxf>
      <fill>
        <patternFill>
          <bgColor theme="5" tint="0.59996337778862885"/>
        </patternFill>
      </fill>
    </dxf>
    <dxf>
      <fill>
        <patternFill>
          <bgColor theme="8" tint="0.59996337778862885"/>
        </patternFill>
      </fill>
    </dxf>
    <dxf>
      <fill>
        <patternFill>
          <bgColor theme="6" tint="0.39994506668294322"/>
        </patternFill>
      </fill>
    </dxf>
    <dxf>
      <fill>
        <patternFill>
          <bgColor theme="9" tint="0.79998168889431442"/>
        </patternFill>
      </fill>
    </dxf>
    <dxf>
      <fill>
        <patternFill>
          <bgColor theme="5" tint="0.79998168889431442"/>
        </patternFill>
      </fill>
    </dxf>
    <dxf>
      <fill>
        <patternFill>
          <bgColor theme="7" tint="0.59996337778862885"/>
        </patternFill>
      </fill>
    </dxf>
    <dxf>
      <fill>
        <patternFill>
          <bgColor theme="6" tint="0.39994506668294322"/>
        </patternFill>
      </fill>
    </dxf>
    <dxf>
      <fill>
        <patternFill>
          <bgColor theme="8" tint="0.59996337778862885"/>
        </patternFill>
      </fill>
    </dxf>
    <dxf>
      <fill>
        <patternFill>
          <bgColor theme="5" tint="0.59996337778862885"/>
        </patternFill>
      </fill>
    </dxf>
    <dxf>
      <fill>
        <patternFill>
          <bgColor theme="0" tint="-0.14996795556505021"/>
        </patternFill>
      </fill>
    </dxf>
    <dxf>
      <fill>
        <patternFill>
          <bgColor theme="6" tint="0.39994506668294322"/>
        </patternFill>
      </fill>
    </dxf>
    <dxf>
      <fill>
        <patternFill>
          <bgColor theme="6" tint="0.39994506668294322"/>
        </patternFill>
      </fill>
    </dxf>
    <dxf>
      <fill>
        <patternFill>
          <bgColor theme="5" tint="0.79998168889431442"/>
        </patternFill>
      </fill>
    </dxf>
    <dxf>
      <fill>
        <patternFill>
          <bgColor theme="8" tint="0.39994506668294322"/>
        </patternFill>
      </fill>
    </dxf>
    <dxf>
      <fill>
        <patternFill>
          <bgColor theme="0" tint="-0.14996795556505021"/>
        </patternFill>
      </fill>
    </dxf>
    <dxf>
      <fill>
        <patternFill>
          <bgColor theme="9" tint="0.79998168889431442"/>
        </patternFill>
      </fill>
    </dxf>
    <dxf>
      <fill>
        <patternFill>
          <bgColor theme="8" tint="0.39994506668294322"/>
        </patternFill>
      </fill>
    </dxf>
    <dxf>
      <fill>
        <patternFill>
          <bgColor theme="5" tint="0.79998168889431442"/>
        </patternFill>
      </fill>
    </dxf>
    <dxf>
      <fill>
        <patternFill>
          <bgColor theme="0" tint="-0.14996795556505021"/>
        </patternFill>
      </fill>
    </dxf>
    <dxf>
      <fill>
        <patternFill>
          <bgColor theme="5" tint="0.59996337778862885"/>
        </patternFill>
      </fill>
    </dxf>
    <dxf>
      <fill>
        <patternFill>
          <bgColor theme="8" tint="0.59996337778862885"/>
        </patternFill>
      </fill>
    </dxf>
    <dxf>
      <fill>
        <patternFill>
          <bgColor theme="6" tint="0.39994506668294322"/>
        </patternFill>
      </fill>
    </dxf>
    <dxf>
      <fill>
        <patternFill>
          <bgColor theme="7" tint="0.59996337778862885"/>
        </patternFill>
      </fill>
    </dxf>
    <dxf>
      <fill>
        <patternFill>
          <bgColor theme="9" tint="0.79998168889431442"/>
        </patternFill>
      </fill>
    </dxf>
    <dxf>
      <fill>
        <patternFill>
          <bgColor theme="0" tint="-0.14996795556505021"/>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0" tint="-0.14996795556505021"/>
        </patternFill>
      </fill>
    </dxf>
    <dxf>
      <fill>
        <patternFill>
          <bgColor theme="5" tint="0.59996337778862885"/>
        </patternFill>
      </fill>
    </dxf>
    <dxf>
      <fill>
        <patternFill>
          <bgColor theme="8" tint="0.59996337778862885"/>
        </patternFill>
      </fill>
    </dxf>
    <dxf>
      <fill>
        <patternFill>
          <bgColor theme="6" tint="0.39994506668294322"/>
        </patternFill>
      </fill>
    </dxf>
    <dxf>
      <fill>
        <patternFill>
          <bgColor theme="8" tint="0.39994506668294322"/>
        </patternFill>
      </fill>
    </dxf>
    <dxf>
      <fill>
        <patternFill>
          <bgColor theme="7" tint="0.59996337778862885"/>
        </patternFill>
      </fill>
    </dxf>
    <dxf>
      <fill>
        <patternFill>
          <bgColor theme="6" tint="0.39994506668294322"/>
        </patternFill>
      </fill>
    </dxf>
    <dxf>
      <fill>
        <patternFill>
          <bgColor theme="9" tint="0.79998168889431442"/>
        </patternFill>
      </fill>
    </dxf>
    <dxf>
      <fill>
        <patternFill>
          <bgColor theme="0" tint="-0.14996795556505021"/>
        </patternFill>
      </fill>
    </dxf>
    <dxf>
      <fill>
        <patternFill>
          <bgColor theme="5" tint="0.79998168889431442"/>
        </patternFill>
      </fill>
    </dxf>
    <dxf>
      <fill>
        <patternFill>
          <bgColor theme="6" tint="0.39994506668294322"/>
        </patternFill>
      </fill>
    </dxf>
    <dxf>
      <fill>
        <patternFill>
          <bgColor theme="6" tint="0.39994506668294322"/>
        </patternFill>
      </fill>
    </dxf>
    <dxf>
      <fill>
        <patternFill>
          <bgColor theme="5" tint="0.79998168889431442"/>
        </patternFill>
      </fill>
    </dxf>
    <dxf>
      <fill>
        <patternFill>
          <bgColor theme="5" tint="0.59996337778862885"/>
        </patternFill>
      </fill>
    </dxf>
    <dxf>
      <fill>
        <patternFill>
          <bgColor theme="9" tint="0.79998168889431442"/>
        </patternFill>
      </fill>
    </dxf>
    <dxf>
      <fill>
        <patternFill>
          <bgColor theme="0" tint="-0.14996795556505021"/>
        </patternFill>
      </fill>
    </dxf>
    <dxf>
      <fill>
        <patternFill>
          <bgColor theme="8" tint="0.39994506668294322"/>
        </patternFill>
      </fill>
    </dxf>
    <dxf>
      <fill>
        <patternFill>
          <bgColor theme="7" tint="0.59996337778862885"/>
        </patternFill>
      </fill>
    </dxf>
    <dxf>
      <fill>
        <patternFill>
          <bgColor theme="6" tint="0.39994506668294322"/>
        </patternFill>
      </fill>
    </dxf>
    <dxf>
      <fill>
        <patternFill>
          <bgColor theme="8" tint="0.59996337778862885"/>
        </patternFill>
      </fill>
    </dxf>
    <dxf>
      <fill>
        <patternFill>
          <bgColor theme="0" tint="-0.14996795556505021"/>
        </patternFill>
      </fill>
    </dxf>
    <dxf>
      <fill>
        <patternFill>
          <bgColor theme="5" tint="0.79998168889431442"/>
        </patternFill>
      </fill>
    </dxf>
    <dxf>
      <fill>
        <patternFill>
          <bgColor theme="6" tint="0.39994506668294322"/>
        </patternFill>
      </fill>
    </dxf>
    <dxf>
      <fill>
        <patternFill>
          <bgColor theme="8" tint="0.59996337778862885"/>
        </patternFill>
      </fill>
    </dxf>
    <dxf>
      <fill>
        <patternFill>
          <bgColor theme="6" tint="0.39994506668294322"/>
        </patternFill>
      </fill>
    </dxf>
    <dxf>
      <fill>
        <patternFill>
          <bgColor theme="5" tint="0.59996337778862885"/>
        </patternFill>
      </fill>
    </dxf>
    <dxf>
      <fill>
        <patternFill>
          <bgColor theme="0" tint="-0.14996795556505021"/>
        </patternFill>
      </fill>
    </dxf>
    <dxf>
      <fill>
        <patternFill>
          <bgColor theme="8" tint="0.39994506668294322"/>
        </patternFill>
      </fill>
    </dxf>
    <dxf>
      <fill>
        <patternFill>
          <bgColor theme="6" tint="0.39994506668294322"/>
        </patternFill>
      </fill>
    </dxf>
    <dxf>
      <fill>
        <patternFill>
          <bgColor theme="7" tint="0.59996337778862885"/>
        </patternFill>
      </fill>
    </dxf>
    <dxf>
      <fill>
        <patternFill>
          <bgColor theme="9" tint="0.79998168889431442"/>
        </patternFill>
      </fill>
    </dxf>
    <dxf>
      <fill>
        <patternFill>
          <bgColor theme="0" tint="-0.14996795556505021"/>
        </patternFill>
      </fill>
    </dxf>
    <dxf>
      <fill>
        <patternFill>
          <bgColor theme="8" tint="0.39994506668294322"/>
        </patternFill>
      </fill>
    </dxf>
    <dxf>
      <fill>
        <patternFill>
          <bgColor theme="9" tint="0.79998168889431442"/>
        </patternFill>
      </fill>
    </dxf>
    <dxf>
      <fill>
        <patternFill>
          <bgColor theme="5" tint="0.79998168889431442"/>
        </patternFill>
      </fill>
    </dxf>
    <dxf>
      <fill>
        <patternFill>
          <bgColor theme="7" tint="0.59996337778862885"/>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8" tint="0.59996337778862885"/>
        </patternFill>
      </fill>
    </dxf>
    <dxf>
      <fill>
        <patternFill>
          <bgColor theme="5" tint="0.59996337778862885"/>
        </patternFill>
      </fill>
    </dxf>
    <dxf>
      <fill>
        <patternFill>
          <bgColor theme="0" tint="-0.14996795556505021"/>
        </patternFill>
      </fill>
    </dxf>
    <dxf>
      <fill>
        <patternFill>
          <bgColor theme="0" tint="-0.14996795556505021"/>
        </patternFill>
      </fill>
    </dxf>
    <dxf>
      <fill>
        <patternFill>
          <bgColor theme="8" tint="0.59996337778862885"/>
        </patternFill>
      </fill>
    </dxf>
    <dxf>
      <fill>
        <patternFill>
          <bgColor theme="5" tint="0.59996337778862885"/>
        </patternFill>
      </fill>
    </dxf>
    <dxf>
      <fill>
        <patternFill>
          <bgColor theme="0" tint="-0.14996795556505021"/>
        </patternFill>
      </fill>
    </dxf>
    <dxf>
      <fill>
        <patternFill>
          <bgColor theme="6" tint="0.39994506668294322"/>
        </patternFill>
      </fill>
    </dxf>
    <dxf>
      <fill>
        <patternFill>
          <bgColor theme="8" tint="0.39994506668294322"/>
        </patternFill>
      </fill>
    </dxf>
    <dxf>
      <fill>
        <patternFill>
          <bgColor theme="0" tint="-0.14996795556505021"/>
        </patternFill>
      </fill>
    </dxf>
    <dxf>
      <fill>
        <patternFill>
          <bgColor theme="5" tint="0.79998168889431442"/>
        </patternFill>
      </fill>
    </dxf>
    <dxf>
      <fill>
        <patternFill>
          <bgColor theme="7" tint="0.59996337778862885"/>
        </patternFill>
      </fill>
    </dxf>
    <dxf>
      <fill>
        <patternFill>
          <bgColor theme="6" tint="0.39994506668294322"/>
        </patternFill>
      </fill>
    </dxf>
    <dxf>
      <fill>
        <patternFill>
          <bgColor theme="6" tint="0.39994506668294322"/>
        </patternFill>
      </fill>
    </dxf>
    <dxf>
      <fill>
        <patternFill>
          <bgColor theme="9" tint="0.79998168889431442"/>
        </patternFill>
      </fill>
    </dxf>
    <dxf>
      <fill>
        <patternFill>
          <bgColor theme="9" tint="0.79998168889431442"/>
        </patternFill>
      </fill>
    </dxf>
    <dxf>
      <fill>
        <patternFill>
          <bgColor theme="8" tint="0.39994506668294322"/>
        </patternFill>
      </fill>
    </dxf>
    <dxf>
      <fill>
        <patternFill>
          <bgColor theme="0" tint="-0.14996795556505021"/>
        </patternFill>
      </fill>
    </dxf>
    <dxf>
      <fill>
        <patternFill>
          <bgColor theme="7" tint="0.59996337778862885"/>
        </patternFill>
      </fill>
    </dxf>
    <dxf>
      <fill>
        <patternFill>
          <bgColor theme="6" tint="0.39994506668294322"/>
        </patternFill>
      </fill>
    </dxf>
    <dxf>
      <fill>
        <patternFill>
          <bgColor theme="5" tint="0.59996337778862885"/>
        </patternFill>
      </fill>
    </dxf>
    <dxf>
      <fill>
        <patternFill>
          <bgColor theme="6" tint="0.39994506668294322"/>
        </patternFill>
      </fill>
    </dxf>
    <dxf>
      <fill>
        <patternFill>
          <bgColor theme="0" tint="-0.14996795556505021"/>
        </patternFill>
      </fill>
    </dxf>
    <dxf>
      <fill>
        <patternFill>
          <bgColor theme="5" tint="0.79998168889431442"/>
        </patternFill>
      </fill>
    </dxf>
    <dxf>
      <fill>
        <patternFill>
          <bgColor theme="8" tint="0.59996337778862885"/>
        </patternFill>
      </fill>
    </dxf>
    <dxf>
      <fill>
        <patternFill>
          <bgColor theme="6" tint="0.39994506668294322"/>
        </patternFill>
      </fill>
    </dxf>
    <dxf>
      <fill>
        <patternFill>
          <bgColor theme="7" tint="0.59996337778862885"/>
        </patternFill>
      </fill>
    </dxf>
    <dxf>
      <fill>
        <patternFill>
          <bgColor theme="9" tint="0.79998168889431442"/>
        </patternFill>
      </fill>
    </dxf>
    <dxf>
      <fill>
        <patternFill>
          <bgColor theme="0" tint="-0.14996795556505021"/>
        </patternFill>
      </fill>
    </dxf>
    <dxf>
      <fill>
        <patternFill>
          <bgColor theme="8" tint="0.39994506668294322"/>
        </patternFill>
      </fill>
    </dxf>
    <dxf>
      <fill>
        <patternFill>
          <bgColor theme="6" tint="0.39994506668294322"/>
        </patternFill>
      </fill>
    </dxf>
    <dxf>
      <fill>
        <patternFill>
          <bgColor theme="6" tint="0.39994506668294322"/>
        </patternFill>
      </fill>
    </dxf>
    <dxf>
      <fill>
        <patternFill>
          <bgColor theme="5" tint="0.79998168889431442"/>
        </patternFill>
      </fill>
    </dxf>
    <dxf>
      <fill>
        <patternFill>
          <bgColor theme="6" tint="0.39994506668294322"/>
        </patternFill>
      </fill>
    </dxf>
    <dxf>
      <fill>
        <patternFill>
          <bgColor theme="0" tint="-0.14996795556505021"/>
        </patternFill>
      </fill>
    </dxf>
    <dxf>
      <fill>
        <patternFill>
          <bgColor theme="5" tint="0.59996337778862885"/>
        </patternFill>
      </fill>
    </dxf>
    <dxf>
      <fill>
        <patternFill>
          <bgColor theme="8" tint="0.59996337778862885"/>
        </patternFill>
      </fill>
    </dxf>
    <dxf>
      <fill>
        <patternFill>
          <bgColor theme="6" tint="0.39994506668294322"/>
        </patternFill>
      </fill>
    </dxf>
    <dxf>
      <fill>
        <patternFill>
          <bgColor theme="7" tint="0.59996337778862885"/>
        </patternFill>
      </fill>
    </dxf>
    <dxf>
      <fill>
        <patternFill>
          <bgColor theme="8" tint="0.59996337778862885"/>
        </patternFill>
      </fill>
    </dxf>
    <dxf>
      <fill>
        <patternFill>
          <bgColor theme="5" tint="0.59996337778862885"/>
        </patternFill>
      </fill>
    </dxf>
    <dxf>
      <fill>
        <patternFill>
          <bgColor theme="6" tint="0.39994506668294322"/>
        </patternFill>
      </fill>
    </dxf>
    <dxf>
      <fill>
        <patternFill>
          <bgColor theme="5" tint="0.79998168889431442"/>
        </patternFill>
      </fill>
    </dxf>
    <dxf>
      <fill>
        <patternFill>
          <bgColor theme="6" tint="0.39994506668294322"/>
        </patternFill>
      </fill>
    </dxf>
    <dxf>
      <fill>
        <patternFill>
          <bgColor theme="8" tint="0.39994506668294322"/>
        </patternFill>
      </fill>
    </dxf>
    <dxf>
      <fill>
        <patternFill>
          <bgColor theme="0" tint="-0.14996795556505021"/>
        </patternFill>
      </fill>
    </dxf>
    <dxf>
      <fill>
        <patternFill>
          <bgColor theme="0" tint="-0.14996795556505021"/>
        </patternFill>
      </fill>
    </dxf>
    <dxf>
      <fill>
        <patternFill>
          <bgColor theme="9" tint="0.79998168889431442"/>
        </patternFill>
      </fill>
    </dxf>
    <dxf>
      <fill>
        <patternFill>
          <bgColor theme="6" tint="0.39994506668294322"/>
        </patternFill>
      </fill>
    </dxf>
    <dxf>
      <fill>
        <patternFill>
          <bgColor theme="8" tint="0.59996337778862885"/>
        </patternFill>
      </fill>
    </dxf>
    <dxf>
      <fill>
        <patternFill>
          <bgColor theme="6" tint="0.39994506668294322"/>
        </patternFill>
      </fill>
    </dxf>
    <dxf>
      <fill>
        <patternFill>
          <bgColor theme="0" tint="-0.14996795556505021"/>
        </patternFill>
      </fill>
    </dxf>
    <dxf>
      <fill>
        <patternFill>
          <bgColor theme="9" tint="0.79998168889431442"/>
        </patternFill>
      </fill>
    </dxf>
    <dxf>
      <fill>
        <patternFill>
          <bgColor theme="8" tint="0.39994506668294322"/>
        </patternFill>
      </fill>
    </dxf>
    <dxf>
      <fill>
        <patternFill>
          <bgColor theme="5" tint="0.79998168889431442"/>
        </patternFill>
      </fill>
    </dxf>
    <dxf>
      <fill>
        <patternFill>
          <bgColor theme="6" tint="0.39994506668294322"/>
        </patternFill>
      </fill>
    </dxf>
    <dxf>
      <fill>
        <patternFill>
          <bgColor theme="0" tint="-0.14996795556505021"/>
        </patternFill>
      </fill>
    </dxf>
    <dxf>
      <fill>
        <patternFill>
          <bgColor theme="5" tint="0.59996337778862885"/>
        </patternFill>
      </fill>
    </dxf>
    <dxf>
      <fill>
        <patternFill>
          <bgColor theme="7" tint="0.59996337778862885"/>
        </patternFill>
      </fill>
    </dxf>
    <dxf>
      <fill>
        <patternFill>
          <bgColor theme="8" tint="0.59996337778862885"/>
        </patternFill>
      </fill>
    </dxf>
    <dxf>
      <fill>
        <patternFill>
          <bgColor theme="5" tint="0.59996337778862885"/>
        </patternFill>
      </fill>
    </dxf>
    <dxf>
      <fill>
        <patternFill>
          <bgColor theme="6" tint="0.39994506668294322"/>
        </patternFill>
      </fill>
    </dxf>
    <dxf>
      <fill>
        <patternFill>
          <bgColor theme="0" tint="-0.14996795556505021"/>
        </patternFill>
      </fill>
    </dxf>
    <dxf>
      <fill>
        <patternFill>
          <bgColor theme="8" tint="0.39994506668294322"/>
        </patternFill>
      </fill>
    </dxf>
    <dxf>
      <fill>
        <patternFill>
          <bgColor theme="6" tint="0.39994506668294322"/>
        </patternFill>
      </fill>
    </dxf>
    <dxf>
      <fill>
        <patternFill>
          <bgColor theme="5" tint="0.79998168889431442"/>
        </patternFill>
      </fill>
    </dxf>
    <dxf>
      <fill>
        <patternFill>
          <bgColor theme="0" tint="-0.14996795556505021"/>
        </patternFill>
      </fill>
    </dxf>
    <dxf>
      <fill>
        <patternFill>
          <bgColor theme="9" tint="0.79998168889431442"/>
        </patternFill>
      </fill>
    </dxf>
    <dxf>
      <fill>
        <patternFill>
          <bgColor theme="7" tint="0.59996337778862885"/>
        </patternFill>
      </fill>
    </dxf>
    <dxf>
      <fill>
        <patternFill>
          <bgColor theme="6" tint="0.39994506668294322"/>
        </patternFill>
      </fill>
    </dxf>
    <dxf>
      <fill>
        <patternFill>
          <bgColor theme="6" tint="0.39994506668294322"/>
        </patternFill>
      </fill>
    </dxf>
    <dxf>
      <fill>
        <patternFill>
          <bgColor theme="5" tint="0.79998168889431442"/>
        </patternFill>
      </fill>
    </dxf>
    <dxf>
      <fill>
        <patternFill>
          <bgColor theme="6" tint="0.39994506668294322"/>
        </patternFill>
      </fill>
    </dxf>
    <dxf>
      <fill>
        <patternFill>
          <bgColor theme="8" tint="0.39994506668294322"/>
        </patternFill>
      </fill>
    </dxf>
    <dxf>
      <fill>
        <patternFill>
          <bgColor theme="0" tint="-0.14996795556505021"/>
        </patternFill>
      </fill>
    </dxf>
    <dxf>
      <fill>
        <patternFill>
          <bgColor theme="9" tint="0.79998168889431442"/>
        </patternFill>
      </fill>
    </dxf>
    <dxf>
      <fill>
        <patternFill>
          <bgColor theme="7" tint="0.59996337778862885"/>
        </patternFill>
      </fill>
    </dxf>
    <dxf>
      <fill>
        <patternFill>
          <bgColor theme="6" tint="0.39994506668294322"/>
        </patternFill>
      </fill>
    </dxf>
    <dxf>
      <fill>
        <patternFill>
          <bgColor theme="8" tint="0.59996337778862885"/>
        </patternFill>
      </fill>
    </dxf>
    <dxf>
      <fill>
        <patternFill>
          <bgColor theme="5" tint="0.59996337778862885"/>
        </patternFill>
      </fill>
    </dxf>
    <dxf>
      <fill>
        <patternFill>
          <bgColor theme="0" tint="-0.14996795556505021"/>
        </patternFill>
      </fill>
    </dxf>
    <dxf>
      <fill>
        <patternFill>
          <bgColor theme="0" tint="-0.14996795556505021"/>
        </patternFill>
      </fill>
    </dxf>
    <dxf>
      <fill>
        <patternFill>
          <bgColor theme="6" tint="0.39994506668294322"/>
        </patternFill>
      </fill>
    </dxf>
    <dxf>
      <fill>
        <patternFill>
          <bgColor theme="8" tint="0.39994506668294322"/>
        </patternFill>
      </fill>
    </dxf>
    <dxf>
      <fill>
        <patternFill>
          <bgColor theme="8" tint="0.59996337778862885"/>
        </patternFill>
      </fill>
    </dxf>
    <dxf>
      <fill>
        <patternFill>
          <bgColor theme="6" tint="0.39994506668294322"/>
        </patternFill>
      </fill>
    </dxf>
    <dxf>
      <fill>
        <patternFill>
          <bgColor theme="7" tint="0.59996337778862885"/>
        </patternFill>
      </fill>
    </dxf>
    <dxf>
      <fill>
        <patternFill>
          <bgColor theme="5" tint="0.79998168889431442"/>
        </patternFill>
      </fill>
    </dxf>
    <dxf>
      <fill>
        <patternFill>
          <bgColor theme="6" tint="0.39994506668294322"/>
        </patternFill>
      </fill>
    </dxf>
    <dxf>
      <fill>
        <patternFill>
          <bgColor theme="5" tint="0.59996337778862885"/>
        </patternFill>
      </fill>
    </dxf>
    <dxf>
      <fill>
        <patternFill>
          <bgColor theme="0" tint="-0.14996795556505021"/>
        </patternFill>
      </fill>
    </dxf>
    <dxf>
      <fill>
        <patternFill>
          <bgColor theme="9" tint="0.79998168889431442"/>
        </patternFill>
      </fill>
    </dxf>
    <dxf>
      <fill>
        <patternFill>
          <bgColor theme="5" tint="0.79998168889431442"/>
        </patternFill>
      </fill>
    </dxf>
    <dxf>
      <fill>
        <patternFill>
          <bgColor theme="0" tint="-0.14996795556505021"/>
        </patternFill>
      </fill>
    </dxf>
    <dxf>
      <fill>
        <patternFill>
          <bgColor theme="8" tint="0.59996337778862885"/>
        </patternFill>
      </fill>
    </dxf>
    <dxf>
      <fill>
        <patternFill>
          <bgColor theme="6" tint="0.39994506668294322"/>
        </patternFill>
      </fill>
    </dxf>
    <dxf>
      <fill>
        <patternFill>
          <bgColor theme="7" tint="0.59996337778862885"/>
        </patternFill>
      </fill>
    </dxf>
    <dxf>
      <fill>
        <patternFill>
          <bgColor theme="9" tint="0.79998168889431442"/>
        </patternFill>
      </fill>
    </dxf>
    <dxf>
      <fill>
        <patternFill>
          <bgColor theme="0" tint="-0.14996795556505021"/>
        </patternFill>
      </fill>
    </dxf>
    <dxf>
      <fill>
        <patternFill>
          <bgColor theme="5" tint="0.59996337778862885"/>
        </patternFill>
      </fill>
    </dxf>
    <dxf>
      <fill>
        <patternFill>
          <bgColor theme="6" tint="0.39994506668294322"/>
        </patternFill>
      </fill>
    </dxf>
    <dxf>
      <fill>
        <patternFill>
          <bgColor theme="6" tint="0.39994506668294322"/>
        </patternFill>
      </fill>
    </dxf>
    <dxf>
      <fill>
        <patternFill>
          <bgColor theme="8" tint="0.39994506668294322"/>
        </patternFill>
      </fill>
    </dxf>
    <dxf>
      <fill>
        <patternFill>
          <bgColor theme="8" tint="0.39994506668294322"/>
        </patternFill>
      </fill>
    </dxf>
    <dxf>
      <fill>
        <patternFill>
          <bgColor theme="7" tint="0.59996337778862885"/>
        </patternFill>
      </fill>
    </dxf>
    <dxf>
      <fill>
        <patternFill>
          <bgColor theme="6" tint="0.39994506668294322"/>
        </patternFill>
      </fill>
    </dxf>
    <dxf>
      <fill>
        <patternFill>
          <bgColor theme="9" tint="0.79998168889431442"/>
        </patternFill>
      </fill>
    </dxf>
    <dxf>
      <fill>
        <patternFill>
          <bgColor theme="0" tint="-0.14996795556505021"/>
        </patternFill>
      </fill>
    </dxf>
    <dxf>
      <fill>
        <patternFill>
          <bgColor theme="6" tint="0.39994506668294322"/>
        </patternFill>
      </fill>
    </dxf>
    <dxf>
      <fill>
        <patternFill>
          <bgColor theme="5" tint="0.79998168889431442"/>
        </patternFill>
      </fill>
    </dxf>
    <dxf>
      <fill>
        <patternFill>
          <bgColor theme="5" tint="0.59996337778862885"/>
        </patternFill>
      </fill>
    </dxf>
    <dxf>
      <fill>
        <patternFill>
          <bgColor theme="0" tint="-0.14996795556505021"/>
        </patternFill>
      </fill>
    </dxf>
    <dxf>
      <fill>
        <patternFill>
          <bgColor theme="8" tint="0.59996337778862885"/>
        </patternFill>
      </fill>
    </dxf>
    <dxf>
      <fill>
        <patternFill>
          <bgColor theme="6" tint="0.39994506668294322"/>
        </patternFill>
      </fill>
    </dxf>
    <dxf>
      <fill>
        <patternFill>
          <bgColor theme="7" tint="0.59996337778862885"/>
        </patternFill>
      </fill>
    </dxf>
    <dxf>
      <fill>
        <patternFill>
          <bgColor theme="9" tint="0.79998168889431442"/>
        </patternFill>
      </fill>
    </dxf>
    <dxf>
      <fill>
        <patternFill>
          <bgColor theme="6" tint="0.39994506668294322"/>
        </patternFill>
      </fill>
    </dxf>
    <dxf>
      <fill>
        <patternFill>
          <bgColor theme="6" tint="0.39994506668294322"/>
        </patternFill>
      </fill>
    </dxf>
    <dxf>
      <fill>
        <patternFill>
          <bgColor theme="0" tint="-0.14996795556505021"/>
        </patternFill>
      </fill>
    </dxf>
    <dxf>
      <fill>
        <patternFill>
          <bgColor theme="6" tint="0.39994506668294322"/>
        </patternFill>
      </fill>
    </dxf>
    <dxf>
      <fill>
        <patternFill>
          <bgColor theme="5" tint="0.79998168889431442"/>
        </patternFill>
      </fill>
    </dxf>
    <dxf>
      <fill>
        <patternFill>
          <bgColor theme="8" tint="0.39994506668294322"/>
        </patternFill>
      </fill>
    </dxf>
    <dxf>
      <fill>
        <patternFill>
          <bgColor theme="0" tint="-0.14996795556505021"/>
        </patternFill>
      </fill>
    </dxf>
    <dxf>
      <fill>
        <patternFill>
          <bgColor theme="5" tint="0.59996337778862885"/>
        </patternFill>
      </fill>
    </dxf>
    <dxf>
      <fill>
        <patternFill>
          <bgColor theme="8" tint="0.59996337778862885"/>
        </patternFill>
      </fill>
    </dxf>
    <dxf>
      <fill>
        <patternFill>
          <bgColor theme="8" tint="0.59996337778862885"/>
        </patternFill>
      </fill>
    </dxf>
    <dxf>
      <fill>
        <patternFill>
          <bgColor theme="0" tint="-0.14996795556505021"/>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5" tint="0.59996337778862885"/>
        </patternFill>
      </fill>
    </dxf>
    <dxf>
      <fill>
        <patternFill>
          <bgColor theme="5" tint="0.79998168889431442"/>
        </patternFill>
      </fill>
    </dxf>
    <dxf>
      <fill>
        <patternFill>
          <bgColor theme="8" tint="0.39994506668294322"/>
        </patternFill>
      </fill>
    </dxf>
    <dxf>
      <fill>
        <patternFill>
          <bgColor theme="0" tint="-0.14996795556505021"/>
        </patternFill>
      </fill>
    </dxf>
    <dxf>
      <fill>
        <patternFill>
          <bgColor theme="9" tint="0.79998168889431442"/>
        </patternFill>
      </fill>
    </dxf>
    <dxf>
      <fill>
        <patternFill>
          <bgColor theme="7" tint="0.59996337778862885"/>
        </patternFill>
      </fill>
    </dxf>
    <dxf>
      <fill>
        <patternFill>
          <bgColor theme="6" tint="0.39994506668294322"/>
        </patternFill>
      </fill>
    </dxf>
    <dxf>
      <fill>
        <patternFill>
          <bgColor theme="5" tint="0.79998168889431442"/>
        </patternFill>
      </fill>
    </dxf>
    <dxf>
      <fill>
        <patternFill>
          <bgColor theme="6" tint="0.39994506668294322"/>
        </patternFill>
      </fill>
    </dxf>
    <dxf>
      <fill>
        <patternFill>
          <bgColor theme="0" tint="-0.14996795556505021"/>
        </patternFill>
      </fill>
    </dxf>
    <dxf>
      <fill>
        <patternFill>
          <bgColor theme="8" tint="0.59996337778862885"/>
        </patternFill>
      </fill>
    </dxf>
    <dxf>
      <fill>
        <patternFill>
          <bgColor theme="6" tint="0.39994506668294322"/>
        </patternFill>
      </fill>
    </dxf>
    <dxf>
      <fill>
        <patternFill>
          <bgColor theme="7" tint="0.59996337778862885"/>
        </patternFill>
      </fill>
    </dxf>
    <dxf>
      <fill>
        <patternFill>
          <bgColor theme="9" tint="0.79998168889431442"/>
        </patternFill>
      </fill>
    </dxf>
    <dxf>
      <fill>
        <patternFill>
          <bgColor theme="0" tint="-0.14996795556505021"/>
        </patternFill>
      </fill>
    </dxf>
    <dxf>
      <fill>
        <patternFill>
          <bgColor theme="5" tint="0.59996337778862885"/>
        </patternFill>
      </fill>
    </dxf>
    <dxf>
      <fill>
        <patternFill>
          <bgColor theme="8" tint="0.39994506668294322"/>
        </patternFill>
      </fill>
    </dxf>
    <dxf>
      <fill>
        <patternFill>
          <bgColor theme="6" tint="0.39994506668294322"/>
        </patternFill>
      </fill>
    </dxf>
    <dxf>
      <fill>
        <patternFill>
          <bgColor theme="8" tint="0.39994506668294322"/>
        </patternFill>
      </fill>
    </dxf>
    <dxf>
      <fill>
        <patternFill>
          <bgColor theme="0" tint="-0.14996795556505021"/>
        </patternFill>
      </fill>
    </dxf>
    <dxf>
      <fill>
        <patternFill>
          <bgColor theme="0" tint="-0.14996795556505021"/>
        </patternFill>
      </fill>
    </dxf>
    <dxf>
      <fill>
        <patternFill>
          <bgColor theme="9" tint="0.79998168889431442"/>
        </patternFill>
      </fill>
    </dxf>
    <dxf>
      <fill>
        <patternFill>
          <bgColor theme="6" tint="0.39994506668294322"/>
        </patternFill>
      </fill>
    </dxf>
    <dxf>
      <fill>
        <patternFill>
          <bgColor theme="5" tint="0.59996337778862885"/>
        </patternFill>
      </fill>
    </dxf>
    <dxf>
      <fill>
        <patternFill>
          <bgColor theme="7" tint="0.59996337778862885"/>
        </patternFill>
      </fill>
    </dxf>
    <dxf>
      <fill>
        <patternFill>
          <bgColor theme="8" tint="0.59996337778862885"/>
        </patternFill>
      </fill>
    </dxf>
    <dxf>
      <fill>
        <patternFill>
          <bgColor theme="6" tint="0.39994506668294322"/>
        </patternFill>
      </fill>
    </dxf>
    <dxf>
      <fill>
        <patternFill>
          <bgColor theme="5" tint="0.79998168889431442"/>
        </patternFill>
      </fill>
    </dxf>
    <dxf>
      <fill>
        <patternFill>
          <bgColor theme="7" tint="0.59996337778862885"/>
        </patternFill>
      </fill>
    </dxf>
    <dxf>
      <fill>
        <patternFill>
          <bgColor theme="9" tint="0.79998168889431442"/>
        </patternFill>
      </fill>
    </dxf>
    <dxf>
      <fill>
        <patternFill>
          <bgColor theme="0" tint="-0.14996795556505021"/>
        </patternFill>
      </fill>
    </dxf>
    <dxf>
      <fill>
        <patternFill>
          <bgColor theme="0" tint="-0.14996795556505021"/>
        </patternFill>
      </fill>
    </dxf>
    <dxf>
      <fill>
        <patternFill>
          <bgColor theme="8" tint="0.39994506668294322"/>
        </patternFill>
      </fill>
    </dxf>
    <dxf>
      <fill>
        <patternFill>
          <bgColor theme="6" tint="0.39994506668294322"/>
        </patternFill>
      </fill>
    </dxf>
    <dxf>
      <fill>
        <patternFill>
          <bgColor theme="6" tint="0.39994506668294322"/>
        </patternFill>
      </fill>
    </dxf>
    <dxf>
      <fill>
        <patternFill>
          <bgColor theme="5" tint="0.79998168889431442"/>
        </patternFill>
      </fill>
    </dxf>
    <dxf>
      <fill>
        <patternFill>
          <bgColor theme="5" tint="0.59996337778862885"/>
        </patternFill>
      </fill>
    </dxf>
    <dxf>
      <fill>
        <patternFill>
          <bgColor theme="8" tint="0.59996337778862885"/>
        </patternFill>
      </fill>
    </dxf>
    <dxf>
      <fill>
        <patternFill>
          <bgColor theme="6" tint="0.39994506668294322"/>
        </patternFill>
      </fill>
    </dxf>
    <dxf>
      <fill>
        <patternFill>
          <bgColor theme="6" tint="0.39994506668294322"/>
        </patternFill>
      </fill>
    </dxf>
    <dxf>
      <fill>
        <patternFill>
          <bgColor theme="0" tint="-0.14996795556505021"/>
        </patternFill>
      </fill>
    </dxf>
    <dxf>
      <fill>
        <patternFill>
          <bgColor theme="9" tint="0.79998168889431442"/>
        </patternFill>
      </fill>
    </dxf>
    <dxf>
      <fill>
        <patternFill>
          <bgColor theme="7" tint="0.59996337778862885"/>
        </patternFill>
      </fill>
    </dxf>
    <dxf>
      <fill>
        <patternFill>
          <bgColor theme="8" tint="0.39994506668294322"/>
        </patternFill>
      </fill>
    </dxf>
    <dxf>
      <fill>
        <patternFill>
          <bgColor theme="6" tint="0.39994506668294322"/>
        </patternFill>
      </fill>
    </dxf>
    <dxf>
      <fill>
        <patternFill>
          <bgColor theme="8" tint="0.59996337778862885"/>
        </patternFill>
      </fill>
    </dxf>
    <dxf>
      <fill>
        <patternFill>
          <bgColor theme="5" tint="0.59996337778862885"/>
        </patternFill>
      </fill>
    </dxf>
    <dxf>
      <fill>
        <patternFill>
          <bgColor theme="5" tint="0.79998168889431442"/>
        </patternFill>
      </fill>
    </dxf>
    <dxf>
      <fill>
        <patternFill>
          <bgColor theme="0" tint="-0.14996795556505021"/>
        </patternFill>
      </fill>
    </dxf>
    <dxf>
      <fill>
        <patternFill>
          <bgColor theme="6" tint="0.39994506668294322"/>
        </patternFill>
      </fill>
    </dxf>
    <dxf>
      <fill>
        <patternFill>
          <bgColor theme="6" tint="0.39994506668294322"/>
        </patternFill>
      </fill>
    </dxf>
    <dxf>
      <fill>
        <patternFill>
          <bgColor theme="5" tint="0.79998168889431442"/>
        </patternFill>
      </fill>
    </dxf>
    <dxf>
      <fill>
        <patternFill>
          <bgColor theme="6" tint="0.39994506668294322"/>
        </patternFill>
      </fill>
    </dxf>
    <dxf>
      <fill>
        <patternFill>
          <bgColor theme="8" tint="0.39994506668294322"/>
        </patternFill>
      </fill>
    </dxf>
    <dxf>
      <fill>
        <patternFill>
          <bgColor theme="7" tint="0.59996337778862885"/>
        </patternFill>
      </fill>
    </dxf>
    <dxf>
      <fill>
        <patternFill>
          <bgColor theme="6" tint="0.39994506668294322"/>
        </patternFill>
      </fill>
    </dxf>
    <dxf>
      <fill>
        <patternFill>
          <bgColor theme="8" tint="0.59996337778862885"/>
        </patternFill>
      </fill>
    </dxf>
    <dxf>
      <fill>
        <patternFill>
          <bgColor theme="5" tint="0.59996337778862885"/>
        </patternFill>
      </fill>
    </dxf>
    <dxf>
      <fill>
        <patternFill>
          <bgColor theme="0" tint="-0.14996795556505021"/>
        </patternFill>
      </fill>
    </dxf>
    <dxf>
      <fill>
        <patternFill>
          <bgColor theme="0" tint="-0.14996795556505021"/>
        </patternFill>
      </fill>
    </dxf>
    <dxf>
      <fill>
        <patternFill>
          <bgColor theme="9" tint="0.79998168889431442"/>
        </patternFill>
      </fill>
    </dxf>
    <dxf>
      <fill>
        <patternFill>
          <bgColor theme="0" tint="-0.14996795556505021"/>
        </patternFill>
      </fill>
    </dxf>
    <dxf>
      <fill>
        <patternFill>
          <bgColor theme="8" tint="0.39994506668294322"/>
        </patternFill>
      </fill>
    </dxf>
    <dxf>
      <fill>
        <patternFill>
          <bgColor theme="6" tint="0.39994506668294322"/>
        </patternFill>
      </fill>
    </dxf>
    <dxf>
      <fill>
        <patternFill>
          <bgColor theme="5" tint="0.79998168889431442"/>
        </patternFill>
      </fill>
    </dxf>
    <dxf>
      <fill>
        <patternFill>
          <bgColor theme="6" tint="0.39994506668294322"/>
        </patternFill>
      </fill>
    </dxf>
    <dxf>
      <fill>
        <patternFill>
          <bgColor theme="9" tint="0.79998168889431442"/>
        </patternFill>
      </fill>
    </dxf>
    <dxf>
      <fill>
        <patternFill>
          <bgColor theme="7" tint="0.59996337778862885"/>
        </patternFill>
      </fill>
    </dxf>
    <dxf>
      <fill>
        <patternFill>
          <bgColor theme="6" tint="0.39994506668294322"/>
        </patternFill>
      </fill>
    </dxf>
    <dxf>
      <fill>
        <patternFill>
          <bgColor theme="8" tint="0.59996337778862885"/>
        </patternFill>
      </fill>
    </dxf>
    <dxf>
      <fill>
        <patternFill>
          <bgColor theme="5" tint="0.59996337778862885"/>
        </patternFill>
      </fill>
    </dxf>
    <dxf>
      <fill>
        <patternFill>
          <bgColor theme="0" tint="-0.14996795556505021"/>
        </patternFill>
      </fill>
    </dxf>
    <dxf>
      <fill>
        <patternFill>
          <bgColor theme="5" tint="0.59996337778862885"/>
        </patternFill>
      </fill>
    </dxf>
    <dxf>
      <fill>
        <patternFill>
          <bgColor theme="6" tint="0.39994506668294322"/>
        </patternFill>
      </fill>
    </dxf>
    <dxf>
      <fill>
        <patternFill>
          <bgColor theme="5" tint="0.79998168889431442"/>
        </patternFill>
      </fill>
    </dxf>
    <dxf>
      <fill>
        <patternFill>
          <bgColor theme="6" tint="0.39994506668294322"/>
        </patternFill>
      </fill>
    </dxf>
    <dxf>
      <fill>
        <patternFill>
          <bgColor theme="8" tint="0.39994506668294322"/>
        </patternFill>
      </fill>
    </dxf>
    <dxf>
      <fill>
        <patternFill>
          <bgColor theme="0" tint="-0.14996795556505021"/>
        </patternFill>
      </fill>
    </dxf>
    <dxf>
      <fill>
        <patternFill>
          <bgColor theme="9" tint="0.79998168889431442"/>
        </patternFill>
      </fill>
    </dxf>
    <dxf>
      <fill>
        <patternFill>
          <bgColor theme="7" tint="0.59996337778862885"/>
        </patternFill>
      </fill>
    </dxf>
    <dxf>
      <fill>
        <patternFill>
          <bgColor theme="6" tint="0.39994506668294322"/>
        </patternFill>
      </fill>
    </dxf>
    <dxf>
      <fill>
        <patternFill>
          <bgColor theme="8" tint="0.59996337778862885"/>
        </patternFill>
      </fill>
    </dxf>
    <dxf>
      <fill>
        <patternFill>
          <bgColor theme="0" tint="-0.14996795556505021"/>
        </patternFill>
      </fill>
    </dxf>
    <dxf>
      <fill>
        <patternFill>
          <bgColor theme="5" tint="0.79998168889431442"/>
        </patternFill>
      </fill>
    </dxf>
    <dxf>
      <fill>
        <patternFill>
          <bgColor theme="6" tint="0.39994506668294322"/>
        </patternFill>
      </fill>
    </dxf>
    <dxf>
      <fill>
        <patternFill>
          <bgColor theme="8" tint="0.59996337778862885"/>
        </patternFill>
      </fill>
    </dxf>
    <dxf>
      <fill>
        <patternFill>
          <bgColor theme="0" tint="-0.14996795556505021"/>
        </patternFill>
      </fill>
    </dxf>
    <dxf>
      <fill>
        <patternFill>
          <bgColor theme="5" tint="0.59996337778862885"/>
        </patternFill>
      </fill>
    </dxf>
    <dxf>
      <fill>
        <patternFill>
          <bgColor theme="6" tint="0.39994506668294322"/>
        </patternFill>
      </fill>
    </dxf>
    <dxf>
      <fill>
        <patternFill>
          <bgColor theme="9" tint="0.79998168889431442"/>
        </patternFill>
      </fill>
    </dxf>
    <dxf>
      <fill>
        <patternFill>
          <bgColor theme="7" tint="0.59996337778862885"/>
        </patternFill>
      </fill>
    </dxf>
    <dxf>
      <fill>
        <patternFill>
          <bgColor theme="0" tint="-0.14996795556505021"/>
        </patternFill>
      </fill>
    </dxf>
    <dxf>
      <fill>
        <patternFill>
          <bgColor theme="8" tint="0.39994506668294322"/>
        </patternFill>
      </fill>
    </dxf>
    <dxf>
      <fill>
        <patternFill>
          <bgColor theme="6" tint="0.39994506668294322"/>
        </patternFill>
      </fill>
    </dxf>
    <dxf>
      <fill>
        <patternFill>
          <bgColor theme="5" tint="0.59996337778862885"/>
        </patternFill>
      </fill>
    </dxf>
    <dxf>
      <fill>
        <patternFill>
          <bgColor theme="8" tint="0.59996337778862885"/>
        </patternFill>
      </fill>
    </dxf>
    <dxf>
      <fill>
        <patternFill>
          <bgColor theme="6" tint="0.39994506668294322"/>
        </patternFill>
      </fill>
    </dxf>
    <dxf>
      <fill>
        <patternFill>
          <bgColor theme="7" tint="0.59996337778862885"/>
        </patternFill>
      </fill>
    </dxf>
    <dxf>
      <fill>
        <patternFill>
          <bgColor theme="9" tint="0.79998168889431442"/>
        </patternFill>
      </fill>
    </dxf>
    <dxf>
      <fill>
        <patternFill>
          <bgColor theme="0" tint="-0.14996795556505021"/>
        </patternFill>
      </fill>
    </dxf>
    <dxf>
      <fill>
        <patternFill>
          <bgColor theme="6" tint="0.39994506668294322"/>
        </patternFill>
      </fill>
    </dxf>
    <dxf>
      <fill>
        <patternFill>
          <bgColor theme="5" tint="0.79998168889431442"/>
        </patternFill>
      </fill>
    </dxf>
    <dxf>
      <fill>
        <patternFill>
          <bgColor theme="6" tint="0.39994506668294322"/>
        </patternFill>
      </fill>
    </dxf>
    <dxf>
      <fill>
        <patternFill>
          <bgColor theme="8" tint="0.39994506668294322"/>
        </patternFill>
      </fill>
    </dxf>
    <dxf>
      <fill>
        <patternFill>
          <bgColor theme="0" tint="-0.14996795556505021"/>
        </patternFill>
      </fill>
    </dxf>
    <dxf>
      <fill>
        <patternFill>
          <bgColor theme="9" tint="0.79998168889431442"/>
        </patternFill>
      </fill>
    </dxf>
    <dxf>
      <fill>
        <patternFill>
          <bgColor theme="0" tint="-0.14996795556505021"/>
        </patternFill>
      </fill>
    </dxf>
    <dxf>
      <fill>
        <patternFill>
          <bgColor theme="8" tint="0.39994506668294322"/>
        </patternFill>
      </fill>
    </dxf>
    <dxf>
      <fill>
        <patternFill>
          <bgColor theme="8" tint="0.59996337778862885"/>
        </patternFill>
      </fill>
    </dxf>
    <dxf>
      <fill>
        <patternFill>
          <bgColor theme="5" tint="0.59996337778862885"/>
        </patternFill>
      </fill>
    </dxf>
    <dxf>
      <fill>
        <patternFill>
          <bgColor theme="0" tint="-0.14996795556505021"/>
        </patternFill>
      </fill>
    </dxf>
    <dxf>
      <fill>
        <patternFill>
          <bgColor theme="6" tint="0.39994506668294322"/>
        </patternFill>
      </fill>
    </dxf>
    <dxf>
      <fill>
        <patternFill>
          <bgColor theme="5" tint="0.79998168889431442"/>
        </patternFill>
      </fill>
    </dxf>
    <dxf>
      <fill>
        <patternFill>
          <bgColor theme="6" tint="0.39994506668294322"/>
        </patternFill>
      </fill>
    </dxf>
    <dxf>
      <fill>
        <patternFill>
          <bgColor theme="6" tint="0.39994506668294322"/>
        </patternFill>
      </fill>
    </dxf>
    <dxf>
      <fill>
        <patternFill>
          <bgColor theme="7" tint="0.59996337778862885"/>
        </patternFill>
      </fill>
    </dxf>
    <dxf>
      <fill>
        <patternFill>
          <bgColor theme="0" tint="-0.14996795556505021"/>
        </patternFill>
      </fill>
    </dxf>
    <dxf>
      <fill>
        <patternFill>
          <bgColor theme="8" tint="0.39994506668294322"/>
        </patternFill>
      </fill>
    </dxf>
    <dxf>
      <fill>
        <patternFill>
          <bgColor theme="6" tint="0.39994506668294322"/>
        </patternFill>
      </fill>
    </dxf>
    <dxf>
      <fill>
        <patternFill>
          <bgColor theme="5" tint="0.79998168889431442"/>
        </patternFill>
      </fill>
    </dxf>
    <dxf>
      <fill>
        <patternFill>
          <bgColor theme="6" tint="0.39994506668294322"/>
        </patternFill>
      </fill>
    </dxf>
    <dxf>
      <fill>
        <patternFill>
          <bgColor theme="0" tint="-0.14996795556505021"/>
        </patternFill>
      </fill>
    </dxf>
    <dxf>
      <fill>
        <patternFill>
          <bgColor theme="5" tint="0.59996337778862885"/>
        </patternFill>
      </fill>
    </dxf>
    <dxf>
      <fill>
        <patternFill>
          <bgColor theme="8" tint="0.59996337778862885"/>
        </patternFill>
      </fill>
    </dxf>
    <dxf>
      <fill>
        <patternFill>
          <bgColor theme="6" tint="0.39994506668294322"/>
        </patternFill>
      </fill>
    </dxf>
    <dxf>
      <fill>
        <patternFill>
          <bgColor theme="7" tint="0.59996337778862885"/>
        </patternFill>
      </fill>
    </dxf>
    <dxf>
      <fill>
        <patternFill>
          <bgColor theme="9" tint="0.79998168889431442"/>
        </patternFill>
      </fill>
    </dxf>
    <dxf>
      <fill>
        <patternFill>
          <bgColor theme="6" tint="0.39994506668294322"/>
        </patternFill>
      </fill>
    </dxf>
    <dxf>
      <fill>
        <patternFill>
          <bgColor theme="8" tint="0.39994506668294322"/>
        </patternFill>
      </fill>
    </dxf>
    <dxf>
      <fill>
        <patternFill>
          <bgColor theme="0" tint="-0.14996795556505021"/>
        </patternFill>
      </fill>
    </dxf>
    <dxf>
      <fill>
        <patternFill>
          <bgColor theme="9" tint="0.79998168889431442"/>
        </patternFill>
      </fill>
    </dxf>
    <dxf>
      <fill>
        <patternFill>
          <bgColor theme="5" tint="0.59996337778862885"/>
        </patternFill>
      </fill>
    </dxf>
    <dxf>
      <fill>
        <patternFill>
          <bgColor theme="8" tint="0.59996337778862885"/>
        </patternFill>
      </fill>
    </dxf>
    <dxf>
      <fill>
        <patternFill>
          <bgColor theme="7" tint="0.59996337778862885"/>
        </patternFill>
      </fill>
    </dxf>
    <dxf>
      <fill>
        <patternFill>
          <bgColor theme="0" tint="-0.14996795556505021"/>
        </patternFill>
      </fill>
    </dxf>
    <dxf>
      <fill>
        <patternFill>
          <bgColor theme="6" tint="0.39994506668294322"/>
        </patternFill>
      </fill>
    </dxf>
    <dxf>
      <fill>
        <patternFill>
          <bgColor theme="5" tint="0.79998168889431442"/>
        </patternFill>
      </fill>
    </dxf>
    <dxf>
      <fill>
        <patternFill>
          <bgColor theme="6" tint="0.39994506668294322"/>
        </patternFill>
      </fill>
    </dxf>
    <dxf>
      <fill>
        <patternFill>
          <bgColor theme="8" tint="0.59996337778862885"/>
        </patternFill>
      </fill>
    </dxf>
    <dxf>
      <fill>
        <patternFill>
          <bgColor theme="5" tint="0.59996337778862885"/>
        </patternFill>
      </fill>
    </dxf>
    <dxf>
      <fill>
        <patternFill>
          <bgColor theme="0" tint="-0.14996795556505021"/>
        </patternFill>
      </fill>
    </dxf>
    <dxf>
      <fill>
        <patternFill>
          <bgColor theme="6" tint="0.39994506668294322"/>
        </patternFill>
      </fill>
    </dxf>
    <dxf>
      <fill>
        <patternFill>
          <bgColor theme="5" tint="0.79998168889431442"/>
        </patternFill>
      </fill>
    </dxf>
    <dxf>
      <fill>
        <patternFill>
          <bgColor theme="8" tint="0.39994506668294322"/>
        </patternFill>
      </fill>
    </dxf>
    <dxf>
      <fill>
        <patternFill>
          <bgColor theme="7" tint="0.59996337778862885"/>
        </patternFill>
      </fill>
    </dxf>
    <dxf>
      <fill>
        <patternFill>
          <bgColor theme="6" tint="0.39994506668294322"/>
        </patternFill>
      </fill>
    </dxf>
    <dxf>
      <fill>
        <patternFill>
          <bgColor theme="6" tint="0.39994506668294322"/>
        </patternFill>
      </fill>
    </dxf>
    <dxf>
      <fill>
        <patternFill>
          <bgColor theme="9" tint="0.79998168889431442"/>
        </patternFill>
      </fill>
    </dxf>
    <dxf>
      <fill>
        <patternFill>
          <bgColor theme="0" tint="-0.14996795556505021"/>
        </patternFill>
      </fill>
    </dxf>
    <dxf>
      <fill>
        <patternFill>
          <bgColor theme="5" tint="0.59996337778862885"/>
        </patternFill>
      </fill>
    </dxf>
    <dxf>
      <fill>
        <patternFill>
          <bgColor theme="0" tint="-0.14996795556505021"/>
        </patternFill>
      </fill>
    </dxf>
    <dxf>
      <fill>
        <patternFill>
          <bgColor theme="8" tint="0.39994506668294322"/>
        </patternFill>
      </fill>
    </dxf>
    <dxf>
      <fill>
        <patternFill>
          <bgColor theme="6" tint="0.39994506668294322"/>
        </patternFill>
      </fill>
    </dxf>
    <dxf>
      <fill>
        <patternFill>
          <bgColor theme="0" tint="-0.14996795556505021"/>
        </patternFill>
      </fill>
    </dxf>
    <dxf>
      <fill>
        <patternFill>
          <bgColor theme="5" tint="0.79998168889431442"/>
        </patternFill>
      </fill>
    </dxf>
    <dxf>
      <fill>
        <patternFill>
          <bgColor theme="6" tint="0.39994506668294322"/>
        </patternFill>
      </fill>
    </dxf>
    <dxf>
      <fill>
        <patternFill>
          <bgColor theme="9" tint="0.79998168889431442"/>
        </patternFill>
      </fill>
    </dxf>
    <dxf>
      <fill>
        <patternFill>
          <bgColor theme="7" tint="0.59996337778862885"/>
        </patternFill>
      </fill>
    </dxf>
    <dxf>
      <fill>
        <patternFill>
          <bgColor theme="6" tint="0.39994506668294322"/>
        </patternFill>
      </fill>
    </dxf>
    <dxf>
      <fill>
        <patternFill>
          <bgColor theme="8" tint="0.59996337778862885"/>
        </patternFill>
      </fill>
    </dxf>
    <dxf>
      <fill>
        <patternFill>
          <bgColor theme="8" tint="0.39994506668294322"/>
        </patternFill>
      </fill>
    </dxf>
    <dxf>
      <fill>
        <patternFill>
          <bgColor theme="8" tint="0.59996337778862885"/>
        </patternFill>
      </fill>
    </dxf>
    <dxf>
      <fill>
        <patternFill>
          <bgColor theme="9" tint="0.79998168889431442"/>
        </patternFill>
      </fill>
    </dxf>
    <dxf>
      <fill>
        <patternFill>
          <bgColor theme="6" tint="0.39994506668294322"/>
        </patternFill>
      </fill>
    </dxf>
    <dxf>
      <fill>
        <patternFill>
          <bgColor theme="5" tint="0.79998168889431442"/>
        </patternFill>
      </fill>
    </dxf>
    <dxf>
      <fill>
        <patternFill>
          <bgColor theme="6" tint="0.39994506668294322"/>
        </patternFill>
      </fill>
    </dxf>
    <dxf>
      <fill>
        <patternFill>
          <bgColor theme="7" tint="0.59996337778862885"/>
        </patternFill>
      </fill>
    </dxf>
    <dxf>
      <fill>
        <patternFill>
          <bgColor theme="6" tint="0.39994506668294322"/>
        </patternFill>
      </fill>
    </dxf>
    <dxf>
      <fill>
        <patternFill>
          <bgColor theme="0" tint="-0.14996795556505021"/>
        </patternFill>
      </fill>
    </dxf>
    <dxf>
      <fill>
        <patternFill>
          <bgColor theme="5" tint="0.59996337778862885"/>
        </patternFill>
      </fill>
    </dxf>
    <dxf>
      <fill>
        <patternFill>
          <bgColor theme="0" tint="-0.14996795556505021"/>
        </patternFill>
      </fill>
    </dxf>
    <dxf>
      <fill>
        <patternFill>
          <bgColor theme="0" tint="-0.14996795556505021"/>
        </patternFill>
      </fill>
    </dxf>
    <dxf>
      <fill>
        <patternFill>
          <bgColor theme="5" tint="0.59996337778862885"/>
        </patternFill>
      </fill>
    </dxf>
    <dxf>
      <fill>
        <patternFill>
          <bgColor theme="0" tint="-0.14996795556505021"/>
        </patternFill>
      </fill>
    </dxf>
    <dxf>
      <fill>
        <patternFill>
          <bgColor theme="7" tint="0.59996337778862885"/>
        </patternFill>
      </fill>
    </dxf>
    <dxf>
      <fill>
        <patternFill>
          <bgColor theme="6" tint="0.39994506668294322"/>
        </patternFill>
      </fill>
    </dxf>
    <dxf>
      <fill>
        <patternFill>
          <bgColor theme="8" tint="0.59996337778862885"/>
        </patternFill>
      </fill>
    </dxf>
    <dxf>
      <fill>
        <patternFill>
          <bgColor theme="8" tint="0.39994506668294322"/>
        </patternFill>
      </fill>
    </dxf>
    <dxf>
      <fill>
        <patternFill>
          <bgColor theme="6" tint="0.39994506668294322"/>
        </patternFill>
      </fill>
    </dxf>
    <dxf>
      <fill>
        <patternFill>
          <bgColor theme="9" tint="0.79998168889431442"/>
        </patternFill>
      </fill>
    </dxf>
    <dxf>
      <fill>
        <patternFill>
          <bgColor theme="6" tint="0.39994506668294322"/>
        </patternFill>
      </fill>
    </dxf>
    <dxf>
      <fill>
        <patternFill>
          <bgColor theme="5" tint="0.79998168889431442"/>
        </patternFill>
      </fill>
    </dxf>
    <dxf>
      <fill>
        <patternFill>
          <bgColor theme="0" tint="-0.14996795556505021"/>
        </patternFill>
      </fill>
    </dxf>
    <dxf>
      <fill>
        <patternFill>
          <bgColor theme="8" tint="0.39994506668294322"/>
        </patternFill>
      </fill>
    </dxf>
    <dxf>
      <fill>
        <patternFill>
          <bgColor theme="0" tint="-0.14996795556505021"/>
        </patternFill>
      </fill>
    </dxf>
    <dxf>
      <fill>
        <patternFill>
          <bgColor theme="9" tint="0.79998168889431442"/>
        </patternFill>
      </fill>
    </dxf>
    <dxf>
      <fill>
        <patternFill>
          <bgColor theme="7" tint="0.59996337778862885"/>
        </patternFill>
      </fill>
    </dxf>
    <dxf>
      <fill>
        <patternFill>
          <bgColor theme="8" tint="0.59996337778862885"/>
        </patternFill>
      </fill>
    </dxf>
    <dxf>
      <fill>
        <patternFill>
          <bgColor theme="5" tint="0.59996337778862885"/>
        </patternFill>
      </fill>
    </dxf>
    <dxf>
      <fill>
        <patternFill>
          <bgColor theme="6" tint="0.39994506668294322"/>
        </patternFill>
      </fill>
    </dxf>
    <dxf>
      <fill>
        <patternFill>
          <bgColor theme="5" tint="0.79998168889431442"/>
        </patternFill>
      </fill>
    </dxf>
    <dxf>
      <fill>
        <patternFill>
          <bgColor theme="6" tint="0.39994506668294322"/>
        </patternFill>
      </fill>
    </dxf>
    <dxf>
      <fill>
        <patternFill>
          <bgColor theme="6" tint="0.39994506668294322"/>
        </patternFill>
      </fill>
    </dxf>
    <dxf>
      <fill>
        <patternFill>
          <bgColor theme="0" tint="-0.14996795556505021"/>
        </patternFill>
      </fill>
    </dxf>
    <dxf>
      <fill>
        <patternFill>
          <bgColor theme="9" tint="0.79998168889431442"/>
        </patternFill>
      </fill>
    </dxf>
    <dxf>
      <fill>
        <patternFill>
          <bgColor theme="7" tint="0.59996337778862885"/>
        </patternFill>
      </fill>
    </dxf>
    <dxf>
      <fill>
        <patternFill>
          <bgColor theme="5" tint="0.59996337778862885"/>
        </patternFill>
      </fill>
    </dxf>
    <dxf>
      <fill>
        <patternFill>
          <bgColor theme="8" tint="0.59996337778862885"/>
        </patternFill>
      </fill>
    </dxf>
    <dxf>
      <fill>
        <patternFill>
          <bgColor theme="6" tint="0.39994506668294322"/>
        </patternFill>
      </fill>
    </dxf>
    <dxf>
      <fill>
        <patternFill>
          <bgColor theme="5" tint="0.79998168889431442"/>
        </patternFill>
      </fill>
    </dxf>
    <dxf>
      <fill>
        <patternFill>
          <bgColor theme="6" tint="0.39994506668294322"/>
        </patternFill>
      </fill>
    </dxf>
    <dxf>
      <fill>
        <patternFill>
          <bgColor theme="6" tint="0.39994506668294322"/>
        </patternFill>
      </fill>
    </dxf>
    <dxf>
      <fill>
        <patternFill>
          <bgColor theme="8" tint="0.39994506668294322"/>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6" tint="0.39994506668294322"/>
        </patternFill>
      </fill>
    </dxf>
    <dxf>
      <fill>
        <patternFill>
          <bgColor theme="5" tint="0.79998168889431442"/>
        </patternFill>
      </fill>
    </dxf>
    <dxf>
      <fill>
        <patternFill>
          <bgColor theme="6" tint="0.39994506668294322"/>
        </patternFill>
      </fill>
    </dxf>
    <dxf>
      <fill>
        <patternFill>
          <bgColor theme="7" tint="0.59996337778862885"/>
        </patternFill>
      </fill>
    </dxf>
    <dxf>
      <fill>
        <patternFill>
          <bgColor theme="8" tint="0.39994506668294322"/>
        </patternFill>
      </fill>
    </dxf>
    <dxf>
      <fill>
        <patternFill>
          <bgColor theme="9" tint="0.79998168889431442"/>
        </patternFill>
      </fill>
    </dxf>
    <dxf>
      <fill>
        <patternFill>
          <bgColor theme="6" tint="0.39994506668294322"/>
        </patternFill>
      </fill>
    </dxf>
    <dxf>
      <fill>
        <patternFill>
          <bgColor theme="5" tint="0.59996337778862885"/>
        </patternFill>
      </fill>
    </dxf>
    <dxf>
      <fill>
        <patternFill>
          <bgColor theme="8" tint="0.59996337778862885"/>
        </patternFill>
      </fill>
    </dxf>
    <dxf>
      <fill>
        <patternFill>
          <bgColor theme="0" tint="-0.14996795556505021"/>
        </patternFill>
      </fill>
    </dxf>
    <dxf>
      <fill>
        <patternFill>
          <bgColor theme="5" tint="0.59996337778862885"/>
        </patternFill>
      </fill>
    </dxf>
    <dxf>
      <fill>
        <patternFill>
          <bgColor theme="8" tint="0.59996337778862885"/>
        </patternFill>
      </fill>
    </dxf>
    <dxf>
      <fill>
        <patternFill>
          <bgColor theme="6" tint="0.39994506668294322"/>
        </patternFill>
      </fill>
    </dxf>
    <dxf>
      <fill>
        <patternFill>
          <bgColor theme="7" tint="0.59996337778862885"/>
        </patternFill>
      </fill>
    </dxf>
    <dxf>
      <fill>
        <patternFill>
          <bgColor theme="6" tint="0.39994506668294322"/>
        </patternFill>
      </fill>
    </dxf>
    <dxf>
      <fill>
        <patternFill>
          <bgColor theme="9" tint="0.79998168889431442"/>
        </patternFill>
      </fill>
    </dxf>
    <dxf>
      <fill>
        <patternFill>
          <bgColor theme="0" tint="-0.14996795556505021"/>
        </patternFill>
      </fill>
    </dxf>
    <dxf>
      <fill>
        <patternFill>
          <bgColor theme="8" tint="0.39994506668294322"/>
        </patternFill>
      </fill>
    </dxf>
    <dxf>
      <fill>
        <patternFill>
          <bgColor theme="6" tint="0.39994506668294322"/>
        </patternFill>
      </fill>
    </dxf>
    <dxf>
      <fill>
        <patternFill>
          <bgColor theme="5" tint="0.79998168889431442"/>
        </patternFill>
      </fill>
    </dxf>
    <dxf>
      <fill>
        <patternFill>
          <bgColor theme="7" tint="0.59996337778862885"/>
        </patternFill>
      </fill>
    </dxf>
    <dxf>
      <fill>
        <patternFill>
          <bgColor theme="6" tint="0.39994506668294322"/>
        </patternFill>
      </fill>
    </dxf>
    <dxf>
      <fill>
        <patternFill>
          <bgColor theme="8" tint="0.59996337778862885"/>
        </patternFill>
      </fill>
    </dxf>
    <dxf>
      <fill>
        <patternFill>
          <bgColor theme="5" tint="0.59996337778862885"/>
        </patternFill>
      </fill>
    </dxf>
    <dxf>
      <fill>
        <patternFill>
          <bgColor theme="0" tint="-0.14996795556505021"/>
        </patternFill>
      </fill>
    </dxf>
    <dxf>
      <fill>
        <patternFill>
          <bgColor theme="9" tint="0.79998168889431442"/>
        </patternFill>
      </fill>
    </dxf>
    <dxf>
      <fill>
        <patternFill>
          <bgColor theme="0" tint="-0.14996795556505021"/>
        </patternFill>
      </fill>
    </dxf>
    <dxf>
      <fill>
        <patternFill>
          <bgColor theme="8" tint="0.39994506668294322"/>
        </patternFill>
      </fill>
    </dxf>
    <dxf>
      <fill>
        <patternFill>
          <bgColor theme="6" tint="0.39994506668294322"/>
        </patternFill>
      </fill>
    </dxf>
    <dxf>
      <fill>
        <patternFill>
          <bgColor theme="5" tint="0.79998168889431442"/>
        </patternFill>
      </fill>
    </dxf>
    <dxf>
      <fill>
        <patternFill>
          <bgColor theme="6" tint="0.39994506668294322"/>
        </patternFill>
      </fill>
    </dxf>
    <dxf>
      <fill>
        <patternFill>
          <bgColor theme="7" tint="0.59996337778862885"/>
        </patternFill>
      </fill>
    </dxf>
    <dxf>
      <fill>
        <patternFill>
          <bgColor theme="8" tint="0.39994506668294322"/>
        </patternFill>
      </fill>
    </dxf>
    <dxf>
      <fill>
        <patternFill>
          <bgColor theme="0" tint="-0.14996795556505021"/>
        </patternFill>
      </fill>
    </dxf>
    <dxf>
      <fill>
        <patternFill>
          <bgColor theme="9" tint="0.79998168889431442"/>
        </patternFill>
      </fill>
    </dxf>
    <dxf>
      <fill>
        <patternFill>
          <bgColor theme="5" tint="0.79998168889431442"/>
        </patternFill>
      </fill>
    </dxf>
    <dxf>
      <fill>
        <patternFill>
          <bgColor theme="6" tint="0.39994506668294322"/>
        </patternFill>
      </fill>
    </dxf>
    <dxf>
      <fill>
        <patternFill>
          <bgColor theme="8" tint="0.59996337778862885"/>
        </patternFill>
      </fill>
    </dxf>
    <dxf>
      <fill>
        <patternFill>
          <bgColor theme="0" tint="-0.14996795556505021"/>
        </patternFill>
      </fill>
    </dxf>
    <dxf>
      <fill>
        <patternFill>
          <bgColor theme="6" tint="0.39994506668294322"/>
        </patternFill>
      </fill>
    </dxf>
    <dxf>
      <fill>
        <patternFill>
          <bgColor theme="6" tint="0.39994506668294322"/>
        </patternFill>
      </fill>
    </dxf>
    <dxf>
      <fill>
        <patternFill>
          <bgColor theme="5" tint="0.59996337778862885"/>
        </patternFill>
      </fill>
    </dxf>
    <dxf>
      <fill>
        <patternFill>
          <bgColor theme="5" tint="0.59996337778862885"/>
        </patternFill>
      </fill>
    </dxf>
    <dxf>
      <fill>
        <patternFill>
          <bgColor theme="8" tint="0.59996337778862885"/>
        </patternFill>
      </fill>
    </dxf>
    <dxf>
      <fill>
        <patternFill>
          <bgColor theme="6" tint="0.39994506668294322"/>
        </patternFill>
      </fill>
    </dxf>
    <dxf>
      <fill>
        <patternFill>
          <bgColor theme="9" tint="0.79998168889431442"/>
        </patternFill>
      </fill>
    </dxf>
    <dxf>
      <fill>
        <patternFill>
          <bgColor theme="6" tint="0.39994506668294322"/>
        </patternFill>
      </fill>
    </dxf>
    <dxf>
      <fill>
        <patternFill>
          <bgColor theme="8" tint="0.39994506668294322"/>
        </patternFill>
      </fill>
    </dxf>
    <dxf>
      <fill>
        <patternFill>
          <bgColor theme="0" tint="-0.14996795556505021"/>
        </patternFill>
      </fill>
    </dxf>
    <dxf>
      <fill>
        <patternFill>
          <bgColor theme="7" tint="0.59996337778862885"/>
        </patternFill>
      </fill>
    </dxf>
    <dxf>
      <fill>
        <patternFill>
          <bgColor theme="6" tint="0.39994506668294322"/>
        </patternFill>
      </fill>
    </dxf>
    <dxf>
      <fill>
        <patternFill>
          <bgColor theme="0" tint="-0.14996795556505021"/>
        </patternFill>
      </fill>
    </dxf>
    <dxf>
      <fill>
        <patternFill>
          <bgColor theme="5" tint="0.79998168889431442"/>
        </patternFill>
      </fill>
    </dxf>
    <dxf>
      <fill>
        <patternFill>
          <bgColor theme="6" tint="0.39994506668294322"/>
        </patternFill>
      </fill>
    </dxf>
    <dxf>
      <fill>
        <patternFill>
          <bgColor theme="0" tint="-0.14996795556505021"/>
        </patternFill>
      </fill>
    </dxf>
    <dxf>
      <fill>
        <patternFill>
          <bgColor theme="5" tint="0.79998168889431442"/>
        </patternFill>
      </fill>
    </dxf>
    <dxf>
      <fill>
        <patternFill>
          <bgColor theme="6" tint="0.39994506668294322"/>
        </patternFill>
      </fill>
    </dxf>
    <dxf>
      <fill>
        <patternFill>
          <bgColor theme="8" tint="0.39994506668294322"/>
        </patternFill>
      </fill>
    </dxf>
    <dxf>
      <fill>
        <patternFill>
          <bgColor theme="0" tint="-0.14996795556505021"/>
        </patternFill>
      </fill>
    </dxf>
    <dxf>
      <fill>
        <patternFill>
          <bgColor theme="9" tint="0.79998168889431442"/>
        </patternFill>
      </fill>
    </dxf>
    <dxf>
      <fill>
        <patternFill>
          <bgColor theme="7" tint="0.59996337778862885"/>
        </patternFill>
      </fill>
    </dxf>
    <dxf>
      <fill>
        <patternFill>
          <bgColor theme="6" tint="0.39994506668294322"/>
        </patternFill>
      </fill>
    </dxf>
    <dxf>
      <fill>
        <patternFill>
          <bgColor theme="8" tint="0.59996337778862885"/>
        </patternFill>
      </fill>
    </dxf>
    <dxf>
      <fill>
        <patternFill>
          <bgColor theme="5" tint="0.59996337778862885"/>
        </patternFill>
      </fill>
    </dxf>
    <dxf>
      <fill>
        <patternFill>
          <bgColor theme="7" tint="0.59996337778862885"/>
        </patternFill>
      </fill>
    </dxf>
    <dxf>
      <fill>
        <patternFill>
          <bgColor theme="6" tint="0.39994506668294322"/>
        </patternFill>
      </fill>
    </dxf>
    <dxf>
      <fill>
        <patternFill>
          <bgColor theme="8" tint="0.59996337778862885"/>
        </patternFill>
      </fill>
    </dxf>
    <dxf>
      <fill>
        <patternFill>
          <bgColor theme="5" tint="0.59996337778862885"/>
        </patternFill>
      </fill>
    </dxf>
    <dxf>
      <fill>
        <patternFill>
          <bgColor theme="0" tint="-0.14996795556505021"/>
        </patternFill>
      </fill>
    </dxf>
    <dxf>
      <fill>
        <patternFill>
          <bgColor theme="0" tint="-0.14996795556505021"/>
        </patternFill>
      </fill>
    </dxf>
    <dxf>
      <fill>
        <patternFill>
          <bgColor theme="6" tint="0.39994506668294322"/>
        </patternFill>
      </fill>
    </dxf>
    <dxf>
      <fill>
        <patternFill>
          <bgColor theme="5" tint="0.79998168889431442"/>
        </patternFill>
      </fill>
    </dxf>
    <dxf>
      <fill>
        <patternFill>
          <bgColor theme="6" tint="0.39994506668294322"/>
        </patternFill>
      </fill>
    </dxf>
    <dxf>
      <fill>
        <patternFill>
          <bgColor theme="8" tint="0.39994506668294322"/>
        </patternFill>
      </fill>
    </dxf>
    <dxf>
      <fill>
        <patternFill>
          <bgColor theme="9" tint="0.79998168889431442"/>
        </patternFill>
      </fill>
    </dxf>
    <dxf>
      <fill>
        <patternFill>
          <bgColor theme="8" tint="0.39994506668294322"/>
        </patternFill>
      </fill>
    </dxf>
    <dxf>
      <fill>
        <patternFill>
          <bgColor theme="6" tint="0.39994506668294322"/>
        </patternFill>
      </fill>
    </dxf>
    <dxf>
      <fill>
        <patternFill>
          <bgColor theme="5" tint="0.79998168889431442"/>
        </patternFill>
      </fill>
    </dxf>
    <dxf>
      <fill>
        <patternFill>
          <bgColor theme="6" tint="0.39994506668294322"/>
        </patternFill>
      </fill>
    </dxf>
    <dxf>
      <fill>
        <patternFill>
          <bgColor theme="0" tint="-0.14996795556505021"/>
        </patternFill>
      </fill>
    </dxf>
    <dxf>
      <fill>
        <patternFill>
          <bgColor theme="5" tint="0.59996337778862885"/>
        </patternFill>
      </fill>
    </dxf>
    <dxf>
      <fill>
        <patternFill>
          <bgColor theme="8" tint="0.59996337778862885"/>
        </patternFill>
      </fill>
    </dxf>
    <dxf>
      <fill>
        <patternFill>
          <bgColor theme="6" tint="0.39994506668294322"/>
        </patternFill>
      </fill>
    </dxf>
    <dxf>
      <fill>
        <patternFill>
          <bgColor theme="7" tint="0.59996337778862885"/>
        </patternFill>
      </fill>
    </dxf>
    <dxf>
      <fill>
        <patternFill>
          <bgColor theme="9" tint="0.79998168889431442"/>
        </patternFill>
      </fill>
    </dxf>
    <dxf>
      <fill>
        <patternFill>
          <bgColor theme="0" tint="-0.14996795556505021"/>
        </patternFill>
      </fill>
    </dxf>
    <dxf>
      <fill>
        <patternFill>
          <bgColor theme="9" tint="0.79998168889431442"/>
        </patternFill>
      </fill>
    </dxf>
    <dxf>
      <fill>
        <patternFill>
          <bgColor theme="6" tint="0.39994506668294322"/>
        </patternFill>
      </fill>
    </dxf>
    <dxf>
      <fill>
        <patternFill>
          <bgColor theme="5" tint="0.79998168889431442"/>
        </patternFill>
      </fill>
    </dxf>
    <dxf>
      <fill>
        <patternFill>
          <bgColor theme="8" tint="0.39994506668294322"/>
        </patternFill>
      </fill>
    </dxf>
    <dxf>
      <fill>
        <patternFill>
          <bgColor theme="0" tint="-0.14996795556505021"/>
        </patternFill>
      </fill>
    </dxf>
    <dxf>
      <fill>
        <patternFill>
          <bgColor theme="7" tint="0.59996337778862885"/>
        </patternFill>
      </fill>
    </dxf>
    <dxf>
      <fill>
        <patternFill>
          <bgColor theme="6" tint="0.39994506668294322"/>
        </patternFill>
      </fill>
    </dxf>
    <dxf>
      <fill>
        <patternFill>
          <bgColor theme="8" tint="0.59996337778862885"/>
        </patternFill>
      </fill>
    </dxf>
    <dxf>
      <fill>
        <patternFill>
          <bgColor theme="5" tint="0.59996337778862885"/>
        </patternFill>
      </fill>
    </dxf>
    <dxf>
      <fill>
        <patternFill>
          <bgColor theme="0" tint="-0.14996795556505021"/>
        </patternFill>
      </fill>
    </dxf>
    <dxf>
      <fill>
        <patternFill>
          <bgColor theme="6" tint="0.39994506668294322"/>
        </patternFill>
      </fill>
    </dxf>
    <dxf>
      <fill>
        <patternFill>
          <bgColor theme="6" tint="0.39994506668294322"/>
        </patternFill>
      </fill>
    </dxf>
    <dxf>
      <fill>
        <patternFill>
          <bgColor theme="5" tint="0.79998168889431442"/>
        </patternFill>
      </fill>
    </dxf>
    <dxf>
      <fill>
        <patternFill>
          <bgColor theme="9" tint="0.79998168889431442"/>
        </patternFill>
      </fill>
    </dxf>
    <dxf>
      <fill>
        <patternFill>
          <bgColor theme="0" tint="-0.14996795556505021"/>
        </patternFill>
      </fill>
    </dxf>
    <dxf>
      <fill>
        <patternFill>
          <bgColor theme="6" tint="0.39994506668294322"/>
        </patternFill>
      </fill>
    </dxf>
    <dxf>
      <fill>
        <patternFill>
          <bgColor theme="8" tint="0.39994506668294322"/>
        </patternFill>
      </fill>
    </dxf>
    <dxf>
      <fill>
        <patternFill>
          <bgColor theme="0" tint="-0.14996795556505021"/>
        </patternFill>
      </fill>
    </dxf>
    <dxf>
      <fill>
        <patternFill>
          <bgColor theme="5" tint="0.59996337778862885"/>
        </patternFill>
      </fill>
    </dxf>
    <dxf>
      <fill>
        <patternFill>
          <bgColor theme="8" tint="0.59996337778862885"/>
        </patternFill>
      </fill>
    </dxf>
    <dxf>
      <fill>
        <patternFill>
          <bgColor theme="6" tint="0.39994506668294322"/>
        </patternFill>
      </fill>
    </dxf>
    <dxf>
      <fill>
        <patternFill>
          <bgColor theme="7" tint="0.59996337778862885"/>
        </patternFill>
      </fill>
    </dxf>
    <dxf>
      <fill>
        <patternFill>
          <bgColor theme="6" tint="0.39994506668294322"/>
        </patternFill>
      </fill>
    </dxf>
    <dxf>
      <fill>
        <patternFill>
          <bgColor theme="8" tint="0.59996337778862885"/>
        </patternFill>
      </fill>
    </dxf>
    <dxf>
      <fill>
        <patternFill>
          <bgColor theme="6" tint="0.39994506668294322"/>
        </patternFill>
      </fill>
    </dxf>
    <dxf>
      <fill>
        <patternFill>
          <bgColor theme="7" tint="0.59996337778862885"/>
        </patternFill>
      </fill>
    </dxf>
    <dxf>
      <fill>
        <patternFill>
          <bgColor theme="9" tint="0.79998168889431442"/>
        </patternFill>
      </fill>
    </dxf>
    <dxf>
      <fill>
        <patternFill>
          <bgColor theme="0" tint="-0.14996795556505021"/>
        </patternFill>
      </fill>
    </dxf>
    <dxf>
      <fill>
        <patternFill>
          <bgColor theme="5" tint="0.59996337778862885"/>
        </patternFill>
      </fill>
    </dxf>
    <dxf>
      <fill>
        <patternFill>
          <bgColor theme="6" tint="0.39994506668294322"/>
        </patternFill>
      </fill>
    </dxf>
    <dxf>
      <fill>
        <patternFill>
          <bgColor theme="8" tint="0.39994506668294322"/>
        </patternFill>
      </fill>
    </dxf>
    <dxf>
      <fill>
        <patternFill>
          <bgColor theme="5" tint="0.79998168889431442"/>
        </patternFill>
      </fill>
    </dxf>
    <dxf>
      <fill>
        <patternFill>
          <bgColor theme="0" tint="-0.14996795556505021"/>
        </patternFill>
      </fill>
    </dxf>
    <dxf>
      <fill>
        <patternFill>
          <bgColor theme="8" tint="0.59996337778862885"/>
        </patternFill>
      </fill>
    </dxf>
    <dxf>
      <fill>
        <patternFill>
          <bgColor theme="5" tint="0.59996337778862885"/>
        </patternFill>
      </fill>
    </dxf>
    <dxf>
      <fill>
        <patternFill>
          <bgColor theme="0" tint="-0.14996795556505021"/>
        </patternFill>
      </fill>
    </dxf>
    <dxf>
      <fill>
        <patternFill>
          <bgColor theme="6" tint="0.39994506668294322"/>
        </patternFill>
      </fill>
    </dxf>
    <dxf>
      <fill>
        <patternFill>
          <bgColor theme="8" tint="0.39994506668294322"/>
        </patternFill>
      </fill>
    </dxf>
    <dxf>
      <fill>
        <patternFill>
          <bgColor theme="5" tint="0.79998168889431442"/>
        </patternFill>
      </fill>
    </dxf>
    <dxf>
      <fill>
        <patternFill>
          <bgColor theme="6" tint="0.39994506668294322"/>
        </patternFill>
      </fill>
    </dxf>
    <dxf>
      <fill>
        <patternFill>
          <bgColor theme="0" tint="-0.14996795556505021"/>
        </patternFill>
      </fill>
    </dxf>
    <dxf>
      <fill>
        <patternFill>
          <bgColor theme="9" tint="0.79998168889431442"/>
        </patternFill>
      </fill>
    </dxf>
    <dxf>
      <fill>
        <patternFill>
          <bgColor theme="7" tint="0.59996337778862885"/>
        </patternFill>
      </fill>
    </dxf>
    <dxf>
      <fill>
        <patternFill>
          <bgColor theme="6" tint="0.39994506668294322"/>
        </patternFill>
      </fill>
    </dxf>
    <dxf>
      <fill>
        <patternFill>
          <bgColor theme="7" tint="0.59996337778862885"/>
        </patternFill>
      </fill>
    </dxf>
    <dxf>
      <fill>
        <patternFill>
          <bgColor theme="6" tint="0.39994506668294322"/>
        </patternFill>
      </fill>
    </dxf>
    <dxf>
      <fill>
        <patternFill>
          <bgColor theme="8" tint="0.59996337778862885"/>
        </patternFill>
      </fill>
    </dxf>
    <dxf>
      <fill>
        <patternFill>
          <bgColor theme="5" tint="0.59996337778862885"/>
        </patternFill>
      </fill>
    </dxf>
    <dxf>
      <fill>
        <patternFill>
          <bgColor theme="0" tint="-0.14996795556505021"/>
        </patternFill>
      </fill>
    </dxf>
    <dxf>
      <fill>
        <patternFill>
          <bgColor theme="8" tint="0.39994506668294322"/>
        </patternFill>
      </fill>
    </dxf>
    <dxf>
      <fill>
        <patternFill>
          <bgColor theme="6" tint="0.39994506668294322"/>
        </patternFill>
      </fill>
    </dxf>
    <dxf>
      <fill>
        <patternFill>
          <bgColor theme="5" tint="0.79998168889431442"/>
        </patternFill>
      </fill>
    </dxf>
    <dxf>
      <fill>
        <patternFill>
          <bgColor theme="6" tint="0.39994506668294322"/>
        </patternFill>
      </fill>
    </dxf>
    <dxf>
      <fill>
        <patternFill>
          <bgColor theme="0" tint="-0.14996795556505021"/>
        </patternFill>
      </fill>
    </dxf>
    <dxf>
      <fill>
        <patternFill>
          <bgColor theme="9" tint="0.79998168889431442"/>
        </patternFill>
      </fill>
    </dxf>
    <dxf>
      <fill>
        <patternFill>
          <bgColor theme="5" tint="0.59996337778862885"/>
        </patternFill>
      </fill>
    </dxf>
    <dxf>
      <fill>
        <patternFill>
          <bgColor theme="9" tint="0.79998168889431442"/>
        </patternFill>
      </fill>
    </dxf>
    <dxf>
      <fill>
        <patternFill>
          <bgColor theme="0" tint="-0.14996795556505021"/>
        </patternFill>
      </fill>
    </dxf>
    <dxf>
      <fill>
        <patternFill>
          <bgColor theme="0" tint="-0.14996795556505021"/>
        </patternFill>
      </fill>
    </dxf>
    <dxf>
      <fill>
        <patternFill>
          <bgColor theme="6" tint="0.39994506668294322"/>
        </patternFill>
      </fill>
    </dxf>
    <dxf>
      <fill>
        <patternFill>
          <bgColor theme="6" tint="0.39994506668294322"/>
        </patternFill>
      </fill>
    </dxf>
    <dxf>
      <fill>
        <patternFill>
          <bgColor theme="7" tint="0.59996337778862885"/>
        </patternFill>
      </fill>
    </dxf>
    <dxf>
      <fill>
        <patternFill>
          <bgColor theme="8" tint="0.39994506668294322"/>
        </patternFill>
      </fill>
    </dxf>
    <dxf>
      <fill>
        <patternFill>
          <bgColor theme="5" tint="0.79998168889431442"/>
        </patternFill>
      </fill>
    </dxf>
    <dxf>
      <fill>
        <patternFill>
          <bgColor theme="6" tint="0.39994506668294322"/>
        </patternFill>
      </fill>
    </dxf>
    <dxf>
      <fill>
        <patternFill>
          <bgColor theme="8" tint="0.59996337778862885"/>
        </patternFill>
      </fill>
    </dxf>
    <dxf>
      <fill>
        <patternFill>
          <bgColor theme="8" tint="0.39994506668294322"/>
        </patternFill>
      </fill>
    </dxf>
    <dxf>
      <fill>
        <patternFill>
          <bgColor theme="0" tint="-0.14996795556505021"/>
        </patternFill>
      </fill>
    </dxf>
    <dxf>
      <fill>
        <patternFill>
          <bgColor theme="5" tint="0.59996337778862885"/>
        </patternFill>
      </fill>
    </dxf>
    <dxf>
      <fill>
        <patternFill>
          <bgColor theme="8" tint="0.59996337778862885"/>
        </patternFill>
      </fill>
    </dxf>
    <dxf>
      <fill>
        <patternFill>
          <bgColor theme="6" tint="0.39994506668294322"/>
        </patternFill>
      </fill>
    </dxf>
    <dxf>
      <fill>
        <patternFill>
          <bgColor theme="7" tint="0.59996337778862885"/>
        </patternFill>
      </fill>
    </dxf>
    <dxf>
      <fill>
        <patternFill>
          <bgColor theme="9" tint="0.79998168889431442"/>
        </patternFill>
      </fill>
    </dxf>
    <dxf>
      <fill>
        <patternFill>
          <bgColor theme="0" tint="-0.14996795556505021"/>
        </patternFill>
      </fill>
    </dxf>
    <dxf>
      <fill>
        <patternFill>
          <bgColor theme="6" tint="0.39994506668294322"/>
        </patternFill>
      </fill>
    </dxf>
    <dxf>
      <fill>
        <patternFill>
          <bgColor theme="5" tint="0.79998168889431442"/>
        </patternFill>
      </fill>
    </dxf>
    <dxf>
      <fill>
        <patternFill>
          <bgColor theme="6" tint="0.39994506668294322"/>
        </patternFill>
      </fill>
    </dxf>
    <dxf>
      <fill>
        <patternFill>
          <bgColor theme="7" tint="0.59996337778862885"/>
        </patternFill>
      </fill>
    </dxf>
    <dxf>
      <fill>
        <patternFill>
          <bgColor theme="6" tint="0.39994506668294322"/>
        </patternFill>
      </fill>
    </dxf>
    <dxf>
      <fill>
        <patternFill>
          <bgColor theme="6" tint="0.39994506668294322"/>
        </patternFill>
      </fill>
    </dxf>
    <dxf>
      <fill>
        <patternFill>
          <bgColor theme="5" tint="0.79998168889431442"/>
        </patternFill>
      </fill>
    </dxf>
    <dxf>
      <fill>
        <patternFill>
          <bgColor theme="8" tint="0.59996337778862885"/>
        </patternFill>
      </fill>
    </dxf>
    <dxf>
      <fill>
        <patternFill>
          <bgColor theme="6" tint="0.39994506668294322"/>
        </patternFill>
      </fill>
    </dxf>
    <dxf>
      <fill>
        <patternFill>
          <bgColor theme="8" tint="0.39994506668294322"/>
        </patternFill>
      </fill>
    </dxf>
    <dxf>
      <fill>
        <patternFill>
          <bgColor theme="0" tint="-0.14996795556505021"/>
        </patternFill>
      </fill>
    </dxf>
    <dxf>
      <fill>
        <patternFill>
          <bgColor theme="9" tint="0.79998168889431442"/>
        </patternFill>
      </fill>
    </dxf>
    <dxf>
      <fill>
        <patternFill>
          <bgColor theme="0" tint="-0.14996795556505021"/>
        </patternFill>
      </fill>
    </dxf>
    <dxf>
      <fill>
        <patternFill>
          <bgColor theme="5" tint="0.59996337778862885"/>
        </patternFill>
      </fill>
    </dxf>
    <dxf>
      <fill>
        <patternFill>
          <bgColor theme="6" tint="0.39994506668294322"/>
        </patternFill>
      </fill>
    </dxf>
    <dxf>
      <fill>
        <patternFill>
          <bgColor theme="8" tint="0.39994506668294322"/>
        </patternFill>
      </fill>
    </dxf>
    <dxf>
      <fill>
        <patternFill>
          <bgColor theme="7" tint="0.59996337778862885"/>
        </patternFill>
      </fill>
    </dxf>
    <dxf>
      <fill>
        <patternFill>
          <bgColor theme="8" tint="0.59996337778862885"/>
        </patternFill>
      </fill>
    </dxf>
    <dxf>
      <fill>
        <patternFill>
          <bgColor theme="5" tint="0.59996337778862885"/>
        </patternFill>
      </fill>
    </dxf>
    <dxf>
      <fill>
        <patternFill>
          <bgColor theme="6" tint="0.39994506668294322"/>
        </patternFill>
      </fill>
    </dxf>
    <dxf>
      <fill>
        <patternFill>
          <bgColor theme="9" tint="0.79998168889431442"/>
        </patternFill>
      </fill>
    </dxf>
    <dxf>
      <fill>
        <patternFill>
          <bgColor theme="5" tint="0.79998168889431442"/>
        </patternFill>
      </fill>
    </dxf>
    <dxf>
      <fill>
        <patternFill>
          <bgColor theme="6" tint="0.39994506668294322"/>
        </patternFill>
      </fill>
    </dxf>
    <dxf>
      <fill>
        <patternFill>
          <bgColor theme="0" tint="-0.14996795556505021"/>
        </patternFill>
      </fill>
    </dxf>
    <dxf>
      <fill>
        <patternFill>
          <bgColor theme="0" tint="-0.14996795556505021"/>
        </patternFill>
      </fill>
    </dxf>
    <dxf>
      <fill>
        <patternFill>
          <bgColor theme="9" tint="0.79998168889431442"/>
        </patternFill>
      </fill>
    </dxf>
    <dxf>
      <fill>
        <patternFill>
          <bgColor theme="0" tint="-0.14996795556505021"/>
        </patternFill>
      </fill>
    </dxf>
    <dxf>
      <fill>
        <patternFill>
          <bgColor theme="8" tint="0.39994506668294322"/>
        </patternFill>
      </fill>
    </dxf>
    <dxf>
      <fill>
        <patternFill>
          <bgColor theme="6" tint="0.39994506668294322"/>
        </patternFill>
      </fill>
    </dxf>
    <dxf>
      <fill>
        <patternFill>
          <bgColor theme="5" tint="0.79998168889431442"/>
        </patternFill>
      </fill>
    </dxf>
    <dxf>
      <fill>
        <patternFill>
          <bgColor theme="6" tint="0.39994506668294322"/>
        </patternFill>
      </fill>
    </dxf>
    <dxf>
      <fill>
        <patternFill>
          <bgColor theme="0" tint="-0.14996795556505021"/>
        </patternFill>
      </fill>
    </dxf>
    <dxf>
      <fill>
        <patternFill>
          <bgColor theme="8" tint="0.59996337778862885"/>
        </patternFill>
      </fill>
    </dxf>
    <dxf>
      <fill>
        <patternFill>
          <bgColor theme="6" tint="0.39994506668294322"/>
        </patternFill>
      </fill>
    </dxf>
    <dxf>
      <fill>
        <patternFill>
          <bgColor theme="7" tint="0.59996337778862885"/>
        </patternFill>
      </fill>
    </dxf>
    <dxf>
      <fill>
        <patternFill>
          <bgColor theme="5" tint="0.59996337778862885"/>
        </patternFill>
      </fill>
    </dxf>
    <dxf>
      <fill>
        <patternFill>
          <bgColor theme="0" tint="-0.14996795556505021"/>
        </patternFill>
      </fill>
    </dxf>
    <dxf>
      <fill>
        <patternFill>
          <bgColor theme="6" tint="0.39994506668294322"/>
        </patternFill>
      </fill>
    </dxf>
    <dxf>
      <fill>
        <patternFill>
          <bgColor theme="5" tint="0.79998168889431442"/>
        </patternFill>
      </fill>
    </dxf>
    <dxf>
      <fill>
        <patternFill>
          <bgColor theme="0" tint="-0.14996795556505021"/>
        </patternFill>
      </fill>
    </dxf>
    <dxf>
      <fill>
        <patternFill>
          <bgColor theme="7" tint="0.59996337778862885"/>
        </patternFill>
      </fill>
    </dxf>
    <dxf>
      <fill>
        <patternFill>
          <bgColor theme="9" tint="0.79998168889431442"/>
        </patternFill>
      </fill>
    </dxf>
    <dxf>
      <fill>
        <patternFill>
          <bgColor theme="5" tint="0.59996337778862885"/>
        </patternFill>
      </fill>
    </dxf>
    <dxf>
      <fill>
        <patternFill>
          <bgColor theme="6" tint="0.39994506668294322"/>
        </patternFill>
      </fill>
    </dxf>
    <dxf>
      <fill>
        <patternFill>
          <bgColor theme="6" tint="0.39994506668294322"/>
        </patternFill>
      </fill>
    </dxf>
    <dxf>
      <fill>
        <patternFill>
          <bgColor theme="8" tint="0.39994506668294322"/>
        </patternFill>
      </fill>
    </dxf>
    <dxf>
      <fill>
        <patternFill>
          <bgColor theme="8" tint="0.59996337778862885"/>
        </patternFill>
      </fill>
    </dxf>
    <dxf>
      <fill>
        <patternFill>
          <bgColor theme="8" tint="0.59996337778862885"/>
        </patternFill>
      </fill>
    </dxf>
    <dxf>
      <fill>
        <patternFill>
          <bgColor theme="6" tint="0.39994506668294322"/>
        </patternFill>
      </fill>
    </dxf>
    <dxf>
      <fill>
        <patternFill>
          <bgColor theme="7" tint="0.59996337778862885"/>
        </patternFill>
      </fill>
    </dxf>
    <dxf>
      <fill>
        <patternFill>
          <bgColor theme="9" tint="0.79998168889431442"/>
        </patternFill>
      </fill>
    </dxf>
    <dxf>
      <fill>
        <patternFill>
          <bgColor theme="0" tint="-0.14996795556505021"/>
        </patternFill>
      </fill>
    </dxf>
    <dxf>
      <fill>
        <patternFill>
          <bgColor theme="8" tint="0.39994506668294322"/>
        </patternFill>
      </fill>
    </dxf>
    <dxf>
      <fill>
        <patternFill>
          <bgColor theme="6" tint="0.39994506668294322"/>
        </patternFill>
      </fill>
    </dxf>
    <dxf>
      <fill>
        <patternFill>
          <bgColor theme="5" tint="0.79998168889431442"/>
        </patternFill>
      </fill>
    </dxf>
    <dxf>
      <fill>
        <patternFill>
          <bgColor theme="6" tint="0.39994506668294322"/>
        </patternFill>
      </fill>
    </dxf>
    <dxf>
      <fill>
        <patternFill>
          <bgColor theme="5" tint="0.59996337778862885"/>
        </patternFill>
      </fill>
    </dxf>
    <dxf>
      <fill>
        <patternFill>
          <bgColor theme="0" tint="-0.14996795556505021"/>
        </patternFill>
      </fill>
    </dxf>
    <dxf>
      <fill>
        <patternFill>
          <bgColor theme="6" tint="0.39994506668294322"/>
        </patternFill>
      </fill>
    </dxf>
    <dxf>
      <fill>
        <patternFill>
          <bgColor theme="5" tint="0.59996337778862885"/>
        </patternFill>
      </fill>
    </dxf>
    <dxf>
      <fill>
        <patternFill>
          <bgColor theme="5" tint="0.79998168889431442"/>
        </patternFill>
      </fill>
    </dxf>
    <dxf>
      <fill>
        <patternFill>
          <bgColor theme="9" tint="0.79998168889431442"/>
        </patternFill>
      </fill>
    </dxf>
    <dxf>
      <fill>
        <patternFill>
          <bgColor theme="0" tint="-0.14996795556505021"/>
        </patternFill>
      </fill>
    </dxf>
    <dxf>
      <fill>
        <patternFill>
          <bgColor theme="8" tint="0.59996337778862885"/>
        </patternFill>
      </fill>
    </dxf>
    <dxf>
      <fill>
        <patternFill>
          <bgColor theme="6" tint="0.39994506668294322"/>
        </patternFill>
      </fill>
    </dxf>
    <dxf>
      <fill>
        <patternFill>
          <bgColor theme="8" tint="0.39994506668294322"/>
        </patternFill>
      </fill>
    </dxf>
    <dxf>
      <fill>
        <patternFill>
          <bgColor theme="0" tint="-0.14996795556505021"/>
        </patternFill>
      </fill>
    </dxf>
    <dxf>
      <fill>
        <patternFill>
          <bgColor theme="6" tint="0.39994506668294322"/>
        </patternFill>
      </fill>
    </dxf>
    <dxf>
      <fill>
        <patternFill>
          <bgColor theme="7" tint="0.59996337778862885"/>
        </patternFill>
      </fill>
    </dxf>
    <dxf>
      <fill>
        <patternFill>
          <bgColor theme="6" tint="0.39994506668294322"/>
        </patternFill>
      </fill>
    </dxf>
    <dxf>
      <fill>
        <patternFill>
          <bgColor theme="9" tint="0.79998168889431442"/>
        </patternFill>
      </fill>
    </dxf>
    <dxf>
      <fill>
        <patternFill>
          <bgColor theme="7" tint="0.59996337778862885"/>
        </patternFill>
      </fill>
    </dxf>
    <dxf>
      <fill>
        <patternFill>
          <bgColor theme="6" tint="0.39994506668294322"/>
        </patternFill>
      </fill>
    </dxf>
    <dxf>
      <fill>
        <patternFill>
          <bgColor theme="5" tint="0.79998168889431442"/>
        </patternFill>
      </fill>
    </dxf>
    <dxf>
      <fill>
        <patternFill>
          <bgColor theme="6" tint="0.39994506668294322"/>
        </patternFill>
      </fill>
    </dxf>
    <dxf>
      <fill>
        <patternFill>
          <bgColor theme="5" tint="0.59996337778862885"/>
        </patternFill>
      </fill>
    </dxf>
    <dxf>
      <fill>
        <patternFill>
          <bgColor theme="0" tint="-0.14996795556505021"/>
        </patternFill>
      </fill>
    </dxf>
    <dxf>
      <fill>
        <patternFill>
          <bgColor theme="8" tint="0.39994506668294322"/>
        </patternFill>
      </fill>
    </dxf>
    <dxf>
      <fill>
        <patternFill>
          <bgColor theme="0" tint="-0.14996795556505021"/>
        </patternFill>
      </fill>
    </dxf>
    <dxf>
      <fill>
        <patternFill>
          <bgColor theme="8" tint="0.59996337778862885"/>
        </patternFill>
      </fill>
    </dxf>
    <dxf>
      <fill>
        <patternFill>
          <bgColor theme="0" tint="-0.14996795556505021"/>
        </patternFill>
      </fill>
    </dxf>
    <dxf>
      <fill>
        <patternFill>
          <bgColor theme="8" tint="0.39994506668294322"/>
        </patternFill>
      </fill>
    </dxf>
    <dxf>
      <fill>
        <patternFill>
          <bgColor theme="6" tint="0.39994506668294322"/>
        </patternFill>
      </fill>
    </dxf>
    <dxf>
      <fill>
        <patternFill>
          <bgColor theme="5" tint="0.79998168889431442"/>
        </patternFill>
      </fill>
    </dxf>
    <dxf>
      <fill>
        <patternFill>
          <bgColor theme="6" tint="0.39994506668294322"/>
        </patternFill>
      </fill>
    </dxf>
    <dxf>
      <fill>
        <patternFill>
          <bgColor theme="0" tint="-0.14996795556505021"/>
        </patternFill>
      </fill>
    </dxf>
    <dxf>
      <fill>
        <patternFill>
          <bgColor theme="5" tint="0.59996337778862885"/>
        </patternFill>
      </fill>
    </dxf>
    <dxf>
      <fill>
        <patternFill>
          <bgColor theme="8" tint="0.59996337778862885"/>
        </patternFill>
      </fill>
    </dxf>
    <dxf>
      <fill>
        <patternFill>
          <bgColor theme="6" tint="0.39994506668294322"/>
        </patternFill>
      </fill>
    </dxf>
    <dxf>
      <fill>
        <patternFill>
          <bgColor theme="7" tint="0.59996337778862885"/>
        </patternFill>
      </fill>
    </dxf>
    <dxf>
      <fill>
        <patternFill>
          <bgColor theme="9" tint="0.79998168889431442"/>
        </patternFill>
      </fill>
    </dxf>
    <dxf>
      <fill>
        <patternFill>
          <bgColor theme="6" tint="0.39994506668294322"/>
        </patternFill>
      </fill>
    </dxf>
    <dxf>
      <fill>
        <patternFill>
          <bgColor theme="7" tint="0.59996337778862885"/>
        </patternFill>
      </fill>
    </dxf>
    <dxf>
      <fill>
        <patternFill>
          <bgColor theme="5" tint="0.59996337778862885"/>
        </patternFill>
      </fill>
    </dxf>
    <dxf>
      <fill>
        <patternFill>
          <bgColor theme="8" tint="0.59996337778862885"/>
        </patternFill>
      </fill>
    </dxf>
    <dxf>
      <fill>
        <patternFill>
          <bgColor theme="6" tint="0.39994506668294322"/>
        </patternFill>
      </fill>
    </dxf>
    <dxf>
      <fill>
        <patternFill>
          <bgColor theme="0" tint="-0.14996795556505021"/>
        </patternFill>
      </fill>
    </dxf>
    <dxf>
      <fill>
        <patternFill>
          <bgColor theme="9" tint="0.79998168889431442"/>
        </patternFill>
      </fill>
    </dxf>
    <dxf>
      <fill>
        <patternFill>
          <bgColor theme="0" tint="-0.14996795556505021"/>
        </patternFill>
      </fill>
    </dxf>
    <dxf>
      <fill>
        <patternFill>
          <bgColor theme="8" tint="0.39994506668294322"/>
        </patternFill>
      </fill>
    </dxf>
    <dxf>
      <fill>
        <patternFill>
          <bgColor theme="6" tint="0.39994506668294322"/>
        </patternFill>
      </fill>
    </dxf>
    <dxf>
      <fill>
        <patternFill>
          <bgColor theme="5" tint="0.79998168889431442"/>
        </patternFill>
      </fill>
    </dxf>
    <dxf>
      <fill>
        <patternFill>
          <bgColor theme="9" tint="0.79998168889431442"/>
        </patternFill>
      </fill>
    </dxf>
    <dxf>
      <fill>
        <patternFill>
          <bgColor theme="7" tint="0.59996337778862885"/>
        </patternFill>
      </fill>
    </dxf>
    <dxf>
      <fill>
        <patternFill>
          <bgColor theme="8" tint="0.59996337778862885"/>
        </patternFill>
      </fill>
    </dxf>
    <dxf>
      <fill>
        <patternFill>
          <bgColor theme="5" tint="0.59996337778862885"/>
        </patternFill>
      </fill>
    </dxf>
    <dxf>
      <fill>
        <patternFill>
          <bgColor theme="0" tint="-0.14996795556505021"/>
        </patternFill>
      </fill>
    </dxf>
    <dxf>
      <fill>
        <patternFill>
          <bgColor theme="6" tint="0.39994506668294322"/>
        </patternFill>
      </fill>
    </dxf>
    <dxf>
      <fill>
        <patternFill>
          <bgColor theme="6" tint="0.39994506668294322"/>
        </patternFill>
      </fill>
    </dxf>
    <dxf>
      <fill>
        <patternFill>
          <bgColor theme="5" tint="0.79998168889431442"/>
        </patternFill>
      </fill>
    </dxf>
    <dxf>
      <fill>
        <patternFill>
          <bgColor theme="6" tint="0.39994506668294322"/>
        </patternFill>
      </fill>
    </dxf>
    <dxf>
      <fill>
        <patternFill>
          <bgColor theme="8" tint="0.39994506668294322"/>
        </patternFill>
      </fill>
    </dxf>
    <dxf>
      <fill>
        <patternFill>
          <bgColor theme="0" tint="-0.14996795556505021"/>
        </patternFill>
      </fill>
    </dxf>
    <dxf>
      <fill>
        <patternFill>
          <bgColor theme="7" tint="0.59996337778862885"/>
        </patternFill>
      </fill>
    </dxf>
    <dxf>
      <fill>
        <patternFill>
          <bgColor theme="9" tint="0.79998168889431442"/>
        </patternFill>
      </fill>
    </dxf>
    <dxf>
      <fill>
        <patternFill>
          <bgColor theme="0" tint="-0.14996795556505021"/>
        </patternFill>
      </fill>
    </dxf>
    <dxf>
      <fill>
        <patternFill>
          <bgColor theme="5" tint="0.59996337778862885"/>
        </patternFill>
      </fill>
    </dxf>
    <dxf>
      <fill>
        <patternFill>
          <bgColor theme="8" tint="0.39994506668294322"/>
        </patternFill>
      </fill>
    </dxf>
    <dxf>
      <fill>
        <patternFill>
          <bgColor theme="6" tint="0.39994506668294322"/>
        </patternFill>
      </fill>
    </dxf>
    <dxf>
      <fill>
        <patternFill>
          <bgColor theme="5" tint="0.79998168889431442"/>
        </patternFill>
      </fill>
    </dxf>
    <dxf>
      <fill>
        <patternFill>
          <bgColor theme="6" tint="0.39994506668294322"/>
        </patternFill>
      </fill>
    </dxf>
    <dxf>
      <fill>
        <patternFill>
          <bgColor theme="0" tint="-0.14996795556505021"/>
        </patternFill>
      </fill>
    </dxf>
    <dxf>
      <fill>
        <patternFill>
          <bgColor theme="8" tint="0.59996337778862885"/>
        </patternFill>
      </fill>
    </dxf>
    <dxf>
      <fill>
        <patternFill>
          <bgColor theme="6" tint="0.39994506668294322"/>
        </patternFill>
      </fill>
    </dxf>
    <dxf>
      <fill>
        <patternFill>
          <bgColor theme="6" tint="0.39994506668294322"/>
        </patternFill>
      </fill>
    </dxf>
    <dxf>
      <fill>
        <patternFill>
          <bgColor theme="5" tint="0.79998168889431442"/>
        </patternFill>
      </fill>
    </dxf>
    <dxf>
      <fill>
        <patternFill>
          <bgColor theme="6" tint="0.39994506668294322"/>
        </patternFill>
      </fill>
    </dxf>
    <dxf>
      <fill>
        <patternFill>
          <bgColor theme="7" tint="0.59996337778862885"/>
        </patternFill>
      </fill>
    </dxf>
    <dxf>
      <fill>
        <patternFill>
          <bgColor theme="8" tint="0.39994506668294322"/>
        </patternFill>
      </fill>
    </dxf>
    <dxf>
      <fill>
        <patternFill>
          <bgColor theme="9" tint="0.79998168889431442"/>
        </patternFill>
      </fill>
    </dxf>
    <dxf>
      <fill>
        <patternFill>
          <bgColor theme="5" tint="0.59996337778862885"/>
        </patternFill>
      </fill>
    </dxf>
    <dxf>
      <fill>
        <patternFill>
          <bgColor theme="0" tint="-0.14996795556505021"/>
        </patternFill>
      </fill>
    </dxf>
    <dxf>
      <fill>
        <patternFill>
          <bgColor theme="8" tint="0.59996337778862885"/>
        </patternFill>
      </fill>
    </dxf>
    <dxf>
      <fill>
        <patternFill>
          <bgColor theme="6" tint="0.39994506668294322"/>
        </patternFill>
      </fill>
    </dxf>
    <dxf>
      <fill>
        <patternFill>
          <bgColor theme="0" tint="-0.14996795556505021"/>
        </patternFill>
      </fill>
    </dxf>
    <dxf>
      <fill>
        <patternFill>
          <bgColor theme="5" tint="0.79998168889431442"/>
        </patternFill>
      </fill>
    </dxf>
    <dxf>
      <fill>
        <patternFill>
          <bgColor theme="6" tint="0.39994506668294322"/>
        </patternFill>
      </fill>
    </dxf>
    <dxf>
      <fill>
        <patternFill>
          <bgColor theme="6" tint="0.39994506668294322"/>
        </patternFill>
      </fill>
    </dxf>
    <dxf>
      <fill>
        <patternFill>
          <bgColor theme="7" tint="0.59996337778862885"/>
        </patternFill>
      </fill>
    </dxf>
    <dxf>
      <fill>
        <patternFill>
          <bgColor theme="6" tint="0.39994506668294322"/>
        </patternFill>
      </fill>
    </dxf>
    <dxf>
      <fill>
        <patternFill>
          <bgColor theme="0" tint="-0.14996795556505021"/>
        </patternFill>
      </fill>
    </dxf>
    <dxf>
      <fill>
        <patternFill>
          <bgColor theme="5" tint="0.59996337778862885"/>
        </patternFill>
      </fill>
    </dxf>
    <dxf>
      <fill>
        <patternFill>
          <bgColor theme="8" tint="0.59996337778862885"/>
        </patternFill>
      </fill>
    </dxf>
    <dxf>
      <fill>
        <patternFill>
          <bgColor theme="0" tint="-0.14996795556505021"/>
        </patternFill>
      </fill>
    </dxf>
    <dxf>
      <fill>
        <patternFill>
          <bgColor theme="8" tint="0.39994506668294322"/>
        </patternFill>
      </fill>
    </dxf>
    <dxf>
      <fill>
        <patternFill>
          <bgColor theme="9" tint="0.79998168889431442"/>
        </patternFill>
      </fill>
    </dxf>
    <dxf>
      <fill>
        <patternFill>
          <bgColor theme="5" tint="0.79998168889431442"/>
        </patternFill>
      </fill>
    </dxf>
    <dxf>
      <fill>
        <patternFill>
          <bgColor theme="6" tint="0.39994506668294322"/>
        </patternFill>
      </fill>
    </dxf>
    <dxf>
      <fill>
        <patternFill>
          <bgColor theme="0" tint="-0.14996795556505021"/>
        </patternFill>
      </fill>
    </dxf>
    <dxf>
      <fill>
        <patternFill>
          <bgColor theme="5" tint="0.59996337778862885"/>
        </patternFill>
      </fill>
    </dxf>
    <dxf>
      <fill>
        <patternFill>
          <bgColor theme="8" tint="0.39994506668294322"/>
        </patternFill>
      </fill>
    </dxf>
    <dxf>
      <fill>
        <patternFill>
          <bgColor theme="0" tint="-0.14996795556505021"/>
        </patternFill>
      </fill>
    </dxf>
    <dxf>
      <fill>
        <patternFill>
          <bgColor theme="8" tint="0.59996337778862885"/>
        </patternFill>
      </fill>
    </dxf>
    <dxf>
      <fill>
        <patternFill>
          <bgColor theme="6" tint="0.39994506668294322"/>
        </patternFill>
      </fill>
    </dxf>
    <dxf>
      <fill>
        <patternFill>
          <bgColor theme="7" tint="0.59996337778862885"/>
        </patternFill>
      </fill>
    </dxf>
    <dxf>
      <fill>
        <patternFill>
          <bgColor theme="9" tint="0.79998168889431442"/>
        </patternFill>
      </fill>
    </dxf>
    <dxf>
      <fill>
        <patternFill>
          <bgColor theme="6" tint="0.39994506668294322"/>
        </patternFill>
      </fill>
    </dxf>
    <dxf>
      <fill>
        <patternFill>
          <bgColor theme="0" tint="-0.14996795556505021"/>
        </patternFill>
      </fill>
    </dxf>
    <dxf>
      <fill>
        <patternFill>
          <bgColor theme="5" tint="0.79998168889431442"/>
        </patternFill>
      </fill>
    </dxf>
    <dxf>
      <fill>
        <patternFill>
          <bgColor theme="6" tint="0.39994506668294322"/>
        </patternFill>
      </fill>
    </dxf>
    <dxf>
      <fill>
        <patternFill>
          <bgColor theme="8" tint="0.39994506668294322"/>
        </patternFill>
      </fill>
    </dxf>
    <dxf>
      <fill>
        <patternFill>
          <bgColor theme="0" tint="-0.14996795556505021"/>
        </patternFill>
      </fill>
    </dxf>
    <dxf>
      <fill>
        <patternFill>
          <bgColor theme="5" tint="0.59996337778862885"/>
        </patternFill>
      </fill>
    </dxf>
    <dxf>
      <fill>
        <patternFill>
          <bgColor theme="8" tint="0.59996337778862885"/>
        </patternFill>
      </fill>
    </dxf>
    <dxf>
      <fill>
        <patternFill>
          <bgColor theme="6" tint="0.39994506668294322"/>
        </patternFill>
      </fill>
    </dxf>
    <dxf>
      <fill>
        <patternFill>
          <bgColor theme="7" tint="0.59996337778862885"/>
        </patternFill>
      </fill>
    </dxf>
    <dxf>
      <fill>
        <patternFill>
          <bgColor theme="9" tint="0.79998168889431442"/>
        </patternFill>
      </fill>
    </dxf>
    <dxf>
      <fill>
        <patternFill>
          <bgColor theme="6" tint="0.39994506668294322"/>
        </patternFill>
      </fill>
    </dxf>
    <dxf>
      <fill>
        <patternFill>
          <bgColor theme="0" tint="-0.14996795556505021"/>
        </patternFill>
      </fill>
    </dxf>
    <dxf>
      <fill>
        <patternFill>
          <bgColor theme="5" tint="0.59996337778862885"/>
        </patternFill>
      </fill>
    </dxf>
    <dxf>
      <fill>
        <patternFill>
          <bgColor theme="6" tint="0.39994506668294322"/>
        </patternFill>
      </fill>
    </dxf>
    <dxf>
      <fill>
        <patternFill>
          <bgColor theme="8" tint="0.39994506668294322"/>
        </patternFill>
      </fill>
    </dxf>
    <dxf>
      <fill>
        <patternFill>
          <bgColor theme="6" tint="0.39994506668294322"/>
        </patternFill>
      </fill>
    </dxf>
    <dxf>
      <fill>
        <patternFill>
          <bgColor theme="7" tint="0.59996337778862885"/>
        </patternFill>
      </fill>
    </dxf>
    <dxf>
      <fill>
        <patternFill>
          <bgColor theme="9" tint="0.79998168889431442"/>
        </patternFill>
      </fill>
    </dxf>
    <dxf>
      <fill>
        <patternFill>
          <bgColor theme="5" tint="0.79998168889431442"/>
        </patternFill>
      </fill>
    </dxf>
    <dxf>
      <fill>
        <patternFill>
          <bgColor theme="6" tint="0.39994506668294322"/>
        </patternFill>
      </fill>
    </dxf>
    <dxf>
      <fill>
        <patternFill>
          <bgColor theme="8" tint="0.59996337778862885"/>
        </patternFill>
      </fill>
    </dxf>
    <dxf>
      <fill>
        <patternFill>
          <bgColor theme="0" tint="-0.14996795556505021"/>
        </patternFill>
      </fill>
    </dxf>
    <dxf>
      <fill>
        <patternFill>
          <bgColor theme="0" tint="-0.14996795556505021"/>
        </patternFill>
      </fill>
    </dxf>
    <dxf>
      <fill>
        <patternFill>
          <bgColor theme="8" tint="0.39994506668294322"/>
        </patternFill>
      </fill>
    </dxf>
    <dxf>
      <fill>
        <patternFill>
          <bgColor theme="6" tint="0.39994506668294322"/>
        </patternFill>
      </fill>
    </dxf>
    <dxf>
      <fill>
        <patternFill>
          <bgColor theme="5" tint="0.79998168889431442"/>
        </patternFill>
      </fill>
    </dxf>
    <dxf>
      <fill>
        <patternFill>
          <bgColor theme="6" tint="0.39994506668294322"/>
        </patternFill>
      </fill>
    </dxf>
    <dxf>
      <fill>
        <patternFill>
          <bgColor theme="9" tint="0.79998168889431442"/>
        </patternFill>
      </fill>
    </dxf>
    <dxf>
      <fill>
        <patternFill>
          <bgColor theme="0" tint="-0.14996795556505021"/>
        </patternFill>
      </fill>
    </dxf>
    <dxf>
      <fill>
        <patternFill>
          <bgColor theme="5" tint="0.59996337778862885"/>
        </patternFill>
      </fill>
    </dxf>
    <dxf>
      <fill>
        <patternFill>
          <bgColor theme="8" tint="0.59996337778862885"/>
        </patternFill>
      </fill>
    </dxf>
    <dxf>
      <fill>
        <patternFill>
          <bgColor theme="6" tint="0.39994506668294322"/>
        </patternFill>
      </fill>
    </dxf>
    <dxf>
      <fill>
        <patternFill>
          <bgColor theme="7" tint="0.59996337778862885"/>
        </patternFill>
      </fill>
    </dxf>
    <dxf>
      <fill>
        <patternFill>
          <bgColor theme="6" tint="0.39994506668294322"/>
        </patternFill>
      </fill>
    </dxf>
    <dxf>
      <fill>
        <patternFill>
          <bgColor theme="6" tint="0.39994506668294322"/>
        </patternFill>
      </fill>
    </dxf>
    <dxf>
      <fill>
        <patternFill>
          <bgColor theme="8" tint="0.39994506668294322"/>
        </patternFill>
      </fill>
    </dxf>
    <dxf>
      <fill>
        <patternFill>
          <bgColor theme="0" tint="-0.14996795556505021"/>
        </patternFill>
      </fill>
    </dxf>
    <dxf>
      <fill>
        <patternFill>
          <bgColor theme="0" tint="-0.14996795556505021"/>
        </patternFill>
      </fill>
    </dxf>
    <dxf>
      <fill>
        <patternFill>
          <bgColor theme="9" tint="0.79998168889431442"/>
        </patternFill>
      </fill>
    </dxf>
    <dxf>
      <fill>
        <patternFill>
          <bgColor theme="6" tint="0.39994506668294322"/>
        </patternFill>
      </fill>
    </dxf>
    <dxf>
      <fill>
        <patternFill>
          <bgColor theme="7" tint="0.59996337778862885"/>
        </patternFill>
      </fill>
    </dxf>
    <dxf>
      <fill>
        <patternFill>
          <bgColor theme="5" tint="0.79998168889431442"/>
        </patternFill>
      </fill>
    </dxf>
    <dxf>
      <fill>
        <patternFill>
          <bgColor theme="5" tint="0.59996337778862885"/>
        </patternFill>
      </fill>
    </dxf>
    <dxf>
      <fill>
        <patternFill>
          <bgColor theme="8" tint="0.59996337778862885"/>
        </patternFill>
      </fill>
    </dxf>
    <dxf>
      <fill>
        <patternFill>
          <bgColor theme="6" tint="0.39994506668294322"/>
        </patternFill>
      </fill>
    </dxf>
    <dxf>
      <fill>
        <patternFill>
          <bgColor theme="8" tint="0.39994506668294322"/>
        </patternFill>
      </fill>
    </dxf>
    <dxf>
      <fill>
        <patternFill>
          <bgColor theme="0" tint="-0.14996795556505021"/>
        </patternFill>
      </fill>
    </dxf>
    <dxf>
      <fill>
        <patternFill>
          <bgColor theme="9" tint="0.79998168889431442"/>
        </patternFill>
      </fill>
    </dxf>
    <dxf>
      <fill>
        <patternFill>
          <bgColor theme="0" tint="-0.14996795556505021"/>
        </patternFill>
      </fill>
    </dxf>
    <dxf>
      <fill>
        <patternFill>
          <bgColor theme="5" tint="0.59996337778862885"/>
        </patternFill>
      </fill>
    </dxf>
    <dxf>
      <fill>
        <patternFill>
          <bgColor theme="7" tint="0.59996337778862885"/>
        </patternFill>
      </fill>
    </dxf>
    <dxf>
      <fill>
        <patternFill>
          <bgColor theme="8" tint="0.59996337778862885"/>
        </patternFill>
      </fill>
    </dxf>
    <dxf>
      <fill>
        <patternFill>
          <bgColor theme="6" tint="0.39994506668294322"/>
        </patternFill>
      </fill>
    </dxf>
    <dxf>
      <fill>
        <patternFill>
          <bgColor theme="6" tint="0.39994506668294322"/>
        </patternFill>
      </fill>
    </dxf>
    <dxf>
      <fill>
        <patternFill>
          <bgColor theme="5" tint="0.79998168889431442"/>
        </patternFill>
      </fill>
    </dxf>
    <dxf>
      <fill>
        <patternFill>
          <bgColor theme="8" tint="0.59996337778862885"/>
        </patternFill>
      </fill>
    </dxf>
    <dxf>
      <fill>
        <patternFill>
          <bgColor theme="9" tint="0.79998168889431442"/>
        </patternFill>
      </fill>
    </dxf>
    <dxf>
      <fill>
        <patternFill>
          <bgColor theme="8" tint="0.39994506668294322"/>
        </patternFill>
      </fill>
    </dxf>
    <dxf>
      <fill>
        <patternFill>
          <bgColor theme="7" tint="0.59996337778862885"/>
        </patternFill>
      </fill>
    </dxf>
    <dxf>
      <fill>
        <patternFill>
          <bgColor theme="6" tint="0.39994506668294322"/>
        </patternFill>
      </fill>
    </dxf>
    <dxf>
      <fill>
        <patternFill>
          <bgColor theme="5" tint="0.59996337778862885"/>
        </patternFill>
      </fill>
    </dxf>
    <dxf>
      <fill>
        <patternFill>
          <bgColor theme="0" tint="-0.14996795556505021"/>
        </patternFill>
      </fill>
    </dxf>
    <dxf>
      <fill>
        <patternFill>
          <bgColor theme="6" tint="0.39994506668294322"/>
        </patternFill>
      </fill>
    </dxf>
    <dxf>
      <fill>
        <patternFill>
          <bgColor theme="5" tint="0.79998168889431442"/>
        </patternFill>
      </fill>
    </dxf>
    <dxf>
      <fill>
        <patternFill>
          <bgColor theme="0" tint="-0.14996795556505021"/>
        </patternFill>
      </fill>
    </dxf>
    <dxf>
      <fill>
        <patternFill>
          <bgColor theme="6" tint="0.39994506668294322"/>
        </patternFill>
      </fill>
    </dxf>
    <dxf>
      <fill>
        <patternFill>
          <bgColor theme="6" tint="0.39994506668294322"/>
        </patternFill>
      </fill>
    </dxf>
    <dxf>
      <fill>
        <patternFill>
          <bgColor theme="9" tint="0.79998168889431442"/>
        </patternFill>
      </fill>
    </dxf>
    <dxf>
      <fill>
        <patternFill>
          <bgColor theme="8" tint="0.59996337778862885"/>
        </patternFill>
      </fill>
    </dxf>
    <dxf>
      <fill>
        <patternFill>
          <bgColor theme="5" tint="0.79998168889431442"/>
        </patternFill>
      </fill>
    </dxf>
    <dxf>
      <fill>
        <patternFill>
          <bgColor theme="6" tint="0.39994506668294322"/>
        </patternFill>
      </fill>
    </dxf>
    <dxf>
      <fill>
        <patternFill>
          <bgColor theme="5" tint="0.59996337778862885"/>
        </patternFill>
      </fill>
    </dxf>
    <dxf>
      <fill>
        <patternFill>
          <bgColor theme="0" tint="-0.14996795556505021"/>
        </patternFill>
      </fill>
    </dxf>
    <dxf>
      <fill>
        <patternFill>
          <bgColor theme="8" tint="0.39994506668294322"/>
        </patternFill>
      </fill>
    </dxf>
    <dxf>
      <fill>
        <patternFill>
          <bgColor theme="0" tint="-0.14996795556505021"/>
        </patternFill>
      </fill>
    </dxf>
    <dxf>
      <fill>
        <patternFill>
          <bgColor theme="7" tint="0.59996337778862885"/>
        </patternFill>
      </fill>
    </dxf>
    <dxf>
      <fill>
        <patternFill>
          <bgColor theme="6" tint="0.39994506668294322"/>
        </patternFill>
      </fill>
    </dxf>
    <dxf>
      <fill>
        <patternFill>
          <bgColor theme="7" tint="0.59996337778862885"/>
        </patternFill>
      </fill>
    </dxf>
    <dxf>
      <fill>
        <patternFill>
          <bgColor theme="6" tint="0.39994506668294322"/>
        </patternFill>
      </fill>
    </dxf>
    <dxf>
      <fill>
        <patternFill>
          <bgColor theme="8" tint="0.59996337778862885"/>
        </patternFill>
      </fill>
    </dxf>
    <dxf>
      <fill>
        <patternFill>
          <bgColor theme="5" tint="0.59996337778862885"/>
        </patternFill>
      </fill>
    </dxf>
    <dxf>
      <fill>
        <patternFill>
          <bgColor theme="0" tint="-0.14996795556505021"/>
        </patternFill>
      </fill>
    </dxf>
    <dxf>
      <fill>
        <patternFill>
          <bgColor theme="9" tint="0.79998168889431442"/>
        </patternFill>
      </fill>
    </dxf>
    <dxf>
      <fill>
        <patternFill>
          <bgColor theme="6" tint="0.39994506668294322"/>
        </patternFill>
      </fill>
    </dxf>
    <dxf>
      <fill>
        <patternFill>
          <bgColor theme="5" tint="0.79998168889431442"/>
        </patternFill>
      </fill>
    </dxf>
    <dxf>
      <fill>
        <patternFill>
          <bgColor theme="6" tint="0.39994506668294322"/>
        </patternFill>
      </fill>
    </dxf>
    <dxf>
      <fill>
        <patternFill>
          <bgColor theme="8" tint="0.39994506668294322"/>
        </patternFill>
      </fill>
    </dxf>
    <dxf>
      <fill>
        <patternFill>
          <bgColor theme="0" tint="-0.14996795556505021"/>
        </patternFill>
      </fill>
    </dxf>
    <dxf>
      <fill>
        <patternFill>
          <bgColor theme="9" tint="0.79998168889431442"/>
        </patternFill>
      </fill>
    </dxf>
    <dxf>
      <fill>
        <patternFill>
          <bgColor theme="6" tint="0.39994506668294322"/>
        </patternFill>
      </fill>
    </dxf>
    <dxf>
      <fill>
        <patternFill>
          <bgColor theme="8" tint="0.59996337778862885"/>
        </patternFill>
      </fill>
    </dxf>
    <dxf>
      <fill>
        <patternFill>
          <bgColor theme="5" tint="0.59996337778862885"/>
        </patternFill>
      </fill>
    </dxf>
    <dxf>
      <fill>
        <patternFill>
          <bgColor theme="0" tint="-0.14996795556505021"/>
        </patternFill>
      </fill>
    </dxf>
    <dxf>
      <fill>
        <patternFill>
          <bgColor theme="6" tint="0.39994506668294322"/>
        </patternFill>
      </fill>
    </dxf>
    <dxf>
      <fill>
        <patternFill>
          <bgColor theme="7" tint="0.59996337778862885"/>
        </patternFill>
      </fill>
    </dxf>
    <dxf>
      <fill>
        <patternFill>
          <bgColor theme="6" tint="0.39994506668294322"/>
        </patternFill>
      </fill>
    </dxf>
    <dxf>
      <fill>
        <patternFill>
          <bgColor theme="8" tint="0.39994506668294322"/>
        </patternFill>
      </fill>
    </dxf>
    <dxf>
      <fill>
        <patternFill>
          <bgColor theme="5" tint="0.79998168889431442"/>
        </patternFill>
      </fill>
    </dxf>
    <dxf>
      <fill>
        <patternFill>
          <bgColor theme="0" tint="-0.14996795556505021"/>
        </patternFill>
      </fill>
    </dxf>
    <dxf>
      <fill>
        <patternFill>
          <bgColor theme="8" tint="0.39994506668294322"/>
        </patternFill>
      </fill>
    </dxf>
    <dxf>
      <fill>
        <patternFill>
          <bgColor theme="0" tint="-0.14996795556505021"/>
        </patternFill>
      </fill>
    </dxf>
    <dxf>
      <fill>
        <patternFill>
          <bgColor theme="0" tint="-0.14996795556505021"/>
        </patternFill>
      </fill>
    </dxf>
    <dxf>
      <fill>
        <patternFill>
          <bgColor theme="5" tint="0.59996337778862885"/>
        </patternFill>
      </fill>
    </dxf>
    <dxf>
      <fill>
        <patternFill>
          <bgColor theme="7" tint="0.59996337778862885"/>
        </patternFill>
      </fill>
    </dxf>
    <dxf>
      <fill>
        <patternFill>
          <bgColor theme="9" tint="0.79998168889431442"/>
        </patternFill>
      </fill>
    </dxf>
    <dxf>
      <fill>
        <patternFill>
          <bgColor theme="8" tint="0.59996337778862885"/>
        </patternFill>
      </fill>
    </dxf>
    <dxf>
      <fill>
        <patternFill>
          <bgColor theme="6" tint="0.39994506668294322"/>
        </patternFill>
      </fill>
    </dxf>
    <dxf>
      <fill>
        <patternFill>
          <bgColor theme="6" tint="0.39994506668294322"/>
        </patternFill>
      </fill>
    </dxf>
    <dxf>
      <fill>
        <patternFill>
          <bgColor theme="5" tint="0.79998168889431442"/>
        </patternFill>
      </fill>
    </dxf>
    <dxf>
      <fill>
        <patternFill>
          <bgColor theme="6" tint="0.39994506668294322"/>
        </patternFill>
      </fill>
    </dxf>
    <dxf>
      <fill>
        <patternFill>
          <bgColor theme="7" tint="0.59996337778862885"/>
        </patternFill>
      </fill>
    </dxf>
    <dxf>
      <fill>
        <patternFill>
          <bgColor theme="5" tint="0.59996337778862885"/>
        </patternFill>
      </fill>
    </dxf>
    <dxf>
      <fill>
        <patternFill>
          <bgColor theme="6" tint="0.39994506668294322"/>
        </patternFill>
      </fill>
    </dxf>
    <dxf>
      <fill>
        <patternFill>
          <bgColor theme="5" tint="0.79998168889431442"/>
        </patternFill>
      </fill>
    </dxf>
    <dxf>
      <fill>
        <patternFill>
          <bgColor theme="6" tint="0.39994506668294322"/>
        </patternFill>
      </fill>
    </dxf>
    <dxf>
      <fill>
        <patternFill>
          <bgColor theme="0" tint="-0.14996795556505021"/>
        </patternFill>
      </fill>
    </dxf>
    <dxf>
      <fill>
        <patternFill>
          <bgColor theme="9" tint="0.79998168889431442"/>
        </patternFill>
      </fill>
    </dxf>
    <dxf>
      <fill>
        <patternFill>
          <bgColor theme="8" tint="0.59996337778862885"/>
        </patternFill>
      </fill>
    </dxf>
    <dxf>
      <fill>
        <patternFill>
          <bgColor theme="0" tint="-0.14996795556505021"/>
        </patternFill>
      </fill>
    </dxf>
    <dxf>
      <fill>
        <patternFill>
          <bgColor theme="8" tint="0.39994506668294322"/>
        </patternFill>
      </fill>
    </dxf>
    <dxf>
      <fill>
        <patternFill>
          <bgColor theme="6" tint="0.39994506668294322"/>
        </patternFill>
      </fill>
    </dxf>
    <dxf>
      <fill>
        <patternFill>
          <bgColor theme="0" tint="-0.14996795556505021"/>
        </patternFill>
      </fill>
    </dxf>
    <dxf>
      <fill>
        <patternFill>
          <bgColor theme="8" tint="0.39994506668294322"/>
        </patternFill>
      </fill>
    </dxf>
    <dxf>
      <fill>
        <patternFill>
          <bgColor theme="6" tint="0.39994506668294322"/>
        </patternFill>
      </fill>
    </dxf>
    <dxf>
      <fill>
        <patternFill>
          <bgColor theme="5" tint="0.79998168889431442"/>
        </patternFill>
      </fill>
    </dxf>
    <dxf>
      <fill>
        <patternFill>
          <bgColor theme="6" tint="0.39994506668294322"/>
        </patternFill>
      </fill>
    </dxf>
    <dxf>
      <fill>
        <patternFill>
          <bgColor theme="0" tint="-0.14996795556505021"/>
        </patternFill>
      </fill>
    </dxf>
    <dxf>
      <fill>
        <patternFill>
          <bgColor theme="9" tint="0.79998168889431442"/>
        </patternFill>
      </fill>
    </dxf>
    <dxf>
      <fill>
        <patternFill>
          <bgColor theme="5" tint="0.59996337778862885"/>
        </patternFill>
      </fill>
    </dxf>
    <dxf>
      <fill>
        <patternFill>
          <bgColor theme="8" tint="0.59996337778862885"/>
        </patternFill>
      </fill>
    </dxf>
    <dxf>
      <fill>
        <patternFill>
          <bgColor theme="6" tint="0.39994506668294322"/>
        </patternFill>
      </fill>
    </dxf>
    <dxf>
      <fill>
        <patternFill>
          <bgColor theme="7" tint="0.59996337778862885"/>
        </patternFill>
      </fill>
    </dxf>
    <dxf>
      <fill>
        <patternFill>
          <bgColor theme="6" tint="0.39994506668294322"/>
        </patternFill>
      </fill>
    </dxf>
    <dxf>
      <fill>
        <patternFill>
          <bgColor theme="8" tint="0.59996337778862885"/>
        </patternFill>
      </fill>
    </dxf>
    <dxf>
      <fill>
        <patternFill>
          <bgColor theme="9" tint="0.79998168889431442"/>
        </patternFill>
      </fill>
    </dxf>
    <dxf>
      <fill>
        <patternFill>
          <bgColor theme="0" tint="-0.14996795556505021"/>
        </patternFill>
      </fill>
    </dxf>
    <dxf>
      <fill>
        <patternFill>
          <bgColor theme="8" tint="0.39994506668294322"/>
        </patternFill>
      </fill>
    </dxf>
    <dxf>
      <fill>
        <patternFill>
          <bgColor theme="6" tint="0.39994506668294322"/>
        </patternFill>
      </fill>
    </dxf>
    <dxf>
      <fill>
        <patternFill>
          <bgColor theme="7" tint="0.59996337778862885"/>
        </patternFill>
      </fill>
    </dxf>
    <dxf>
      <fill>
        <patternFill>
          <bgColor theme="6" tint="0.39994506668294322"/>
        </patternFill>
      </fill>
    </dxf>
    <dxf>
      <fill>
        <patternFill>
          <bgColor theme="5" tint="0.59996337778862885"/>
        </patternFill>
      </fill>
    </dxf>
    <dxf>
      <fill>
        <patternFill>
          <bgColor theme="5" tint="0.79998168889431442"/>
        </patternFill>
      </fill>
    </dxf>
    <dxf>
      <fill>
        <patternFill>
          <bgColor theme="0" tint="-0.14996795556505021"/>
        </patternFill>
      </fill>
    </dxf>
    <dxf>
      <fill>
        <patternFill>
          <bgColor theme="8" tint="0.39994506668294322"/>
        </patternFill>
      </fill>
    </dxf>
    <dxf>
      <fill>
        <patternFill>
          <bgColor theme="6" tint="0.39994506668294322"/>
        </patternFill>
      </fill>
    </dxf>
    <dxf>
      <fill>
        <patternFill>
          <bgColor theme="5" tint="0.79998168889431442"/>
        </patternFill>
      </fill>
    </dxf>
    <dxf>
      <fill>
        <patternFill>
          <bgColor theme="6" tint="0.39994506668294322"/>
        </patternFill>
      </fill>
    </dxf>
    <dxf>
      <fill>
        <patternFill>
          <bgColor theme="0" tint="-0.14996795556505021"/>
        </patternFill>
      </fill>
    </dxf>
    <dxf>
      <fill>
        <patternFill>
          <bgColor theme="5" tint="0.59996337778862885"/>
        </patternFill>
      </fill>
    </dxf>
    <dxf>
      <fill>
        <patternFill>
          <bgColor theme="8" tint="0.59996337778862885"/>
        </patternFill>
      </fill>
    </dxf>
    <dxf>
      <fill>
        <patternFill>
          <bgColor theme="6" tint="0.39994506668294322"/>
        </patternFill>
      </fill>
    </dxf>
    <dxf>
      <fill>
        <patternFill>
          <bgColor theme="7" tint="0.59996337778862885"/>
        </patternFill>
      </fill>
    </dxf>
    <dxf>
      <fill>
        <patternFill>
          <bgColor theme="9" tint="0.79998168889431442"/>
        </patternFill>
      </fill>
    </dxf>
    <dxf>
      <fill>
        <patternFill>
          <bgColor theme="0" tint="-0.14996795556505021"/>
        </patternFill>
      </fill>
    </dxf>
    <dxf>
      <fill>
        <patternFill>
          <bgColor theme="7" tint="0.59996337778862885"/>
        </patternFill>
      </fill>
    </dxf>
    <dxf>
      <fill>
        <patternFill>
          <bgColor theme="5" tint="0.79998168889431442"/>
        </patternFill>
      </fill>
    </dxf>
    <dxf>
      <fill>
        <patternFill>
          <bgColor theme="9" tint="0.79998168889431442"/>
        </patternFill>
      </fill>
    </dxf>
    <dxf>
      <fill>
        <patternFill>
          <bgColor theme="6" tint="0.39994506668294322"/>
        </patternFill>
      </fill>
    </dxf>
    <dxf>
      <fill>
        <patternFill>
          <bgColor theme="0" tint="-0.14996795556505021"/>
        </patternFill>
      </fill>
    </dxf>
    <dxf>
      <fill>
        <patternFill>
          <bgColor theme="5" tint="0.59996337778862885"/>
        </patternFill>
      </fill>
    </dxf>
    <dxf>
      <fill>
        <patternFill>
          <bgColor theme="8" tint="0.39994506668294322"/>
        </patternFill>
      </fill>
    </dxf>
    <dxf>
      <fill>
        <patternFill>
          <bgColor theme="6" tint="0.39994506668294322"/>
        </patternFill>
      </fill>
    </dxf>
    <dxf>
      <fill>
        <patternFill>
          <bgColor theme="0" tint="-0.14996795556505021"/>
        </patternFill>
      </fill>
    </dxf>
    <dxf>
      <fill>
        <patternFill>
          <bgColor theme="6" tint="0.39994506668294322"/>
        </patternFill>
      </fill>
    </dxf>
    <dxf>
      <fill>
        <patternFill>
          <bgColor theme="8" tint="0.59996337778862885"/>
        </patternFill>
      </fill>
    </dxf>
    <dxf>
      <fill>
        <patternFill>
          <bgColor theme="0" tint="-0.14996795556505021"/>
        </patternFill>
      </fill>
    </dxf>
    <dxf>
      <fill>
        <patternFill>
          <bgColor theme="6" tint="0.39994506668294322"/>
        </patternFill>
      </fill>
    </dxf>
    <dxf>
      <fill>
        <patternFill>
          <bgColor theme="5" tint="0.79998168889431442"/>
        </patternFill>
      </fill>
    </dxf>
    <dxf>
      <fill>
        <patternFill>
          <bgColor theme="5" tint="0.59996337778862885"/>
        </patternFill>
      </fill>
    </dxf>
    <dxf>
      <fill>
        <patternFill>
          <bgColor theme="6" tint="0.39994506668294322"/>
        </patternFill>
      </fill>
    </dxf>
    <dxf>
      <fill>
        <patternFill>
          <bgColor theme="8" tint="0.39994506668294322"/>
        </patternFill>
      </fill>
    </dxf>
    <dxf>
      <fill>
        <patternFill>
          <bgColor theme="7" tint="0.59996337778862885"/>
        </patternFill>
      </fill>
    </dxf>
    <dxf>
      <fill>
        <patternFill>
          <bgColor theme="8" tint="0.59996337778862885"/>
        </patternFill>
      </fill>
    </dxf>
    <dxf>
      <fill>
        <patternFill>
          <bgColor theme="0" tint="-0.14996795556505021"/>
        </patternFill>
      </fill>
    </dxf>
    <dxf>
      <fill>
        <patternFill>
          <bgColor theme="6" tint="0.39994506668294322"/>
        </patternFill>
      </fill>
    </dxf>
    <dxf>
      <fill>
        <patternFill>
          <bgColor theme="9" tint="0.79998168889431442"/>
        </patternFill>
      </fill>
    </dxf>
    <dxf>
      <fill>
        <patternFill>
          <bgColor theme="5" tint="0.59996337778862885"/>
        </patternFill>
      </fill>
    </dxf>
    <dxf>
      <fill>
        <patternFill>
          <bgColor theme="6" tint="0.39994506668294322"/>
        </patternFill>
      </fill>
    </dxf>
    <dxf>
      <fill>
        <patternFill>
          <bgColor theme="9" tint="0.79998168889431442"/>
        </patternFill>
      </fill>
    </dxf>
    <dxf>
      <fill>
        <patternFill>
          <bgColor theme="6" tint="0.39994506668294322"/>
        </patternFill>
      </fill>
    </dxf>
    <dxf>
      <fill>
        <patternFill>
          <bgColor theme="0" tint="-0.14996795556505021"/>
        </patternFill>
      </fill>
    </dxf>
    <dxf>
      <fill>
        <patternFill>
          <bgColor theme="0" tint="-0.14996795556505021"/>
        </patternFill>
      </fill>
    </dxf>
    <dxf>
      <fill>
        <patternFill>
          <bgColor theme="7" tint="0.59996337778862885"/>
        </patternFill>
      </fill>
    </dxf>
    <dxf>
      <fill>
        <patternFill>
          <bgColor theme="6" tint="0.39994506668294322"/>
        </patternFill>
      </fill>
    </dxf>
    <dxf>
      <fill>
        <patternFill>
          <bgColor theme="8" tint="0.59996337778862885"/>
        </patternFill>
      </fill>
    </dxf>
    <dxf>
      <fill>
        <patternFill>
          <bgColor theme="8" tint="0.39994506668294322"/>
        </patternFill>
      </fill>
    </dxf>
    <dxf>
      <fill>
        <patternFill>
          <bgColor theme="5" tint="0.79998168889431442"/>
        </patternFill>
      </fill>
    </dxf>
    <dxf>
      <fill>
        <patternFill>
          <bgColor theme="6" tint="0.39994506668294322"/>
        </patternFill>
      </fill>
    </dxf>
    <dxf>
      <fill>
        <patternFill>
          <bgColor theme="5" tint="0.79998168889431442"/>
        </patternFill>
      </fill>
    </dxf>
    <dxf>
      <fill>
        <patternFill>
          <bgColor theme="7" tint="0.59996337778862885"/>
        </patternFill>
      </fill>
    </dxf>
    <dxf>
      <fill>
        <patternFill>
          <bgColor theme="6" tint="0.39994506668294322"/>
        </patternFill>
      </fill>
    </dxf>
    <dxf>
      <fill>
        <patternFill>
          <bgColor theme="8" tint="0.39994506668294322"/>
        </patternFill>
      </fill>
    </dxf>
    <dxf>
      <fill>
        <patternFill>
          <bgColor theme="0" tint="-0.14996795556505021"/>
        </patternFill>
      </fill>
    </dxf>
    <dxf>
      <fill>
        <patternFill>
          <bgColor theme="9" tint="0.79998168889431442"/>
        </patternFill>
      </fill>
    </dxf>
    <dxf>
      <fill>
        <patternFill>
          <bgColor theme="8" tint="0.59996337778862885"/>
        </patternFill>
      </fill>
    </dxf>
    <dxf>
      <fill>
        <patternFill>
          <bgColor theme="5" tint="0.59996337778862885"/>
        </patternFill>
      </fill>
    </dxf>
    <dxf>
      <fill>
        <patternFill>
          <bgColor theme="0" tint="-0.14996795556505021"/>
        </patternFill>
      </fill>
    </dxf>
    <dxf>
      <fill>
        <patternFill>
          <bgColor theme="6" tint="0.39994506668294322"/>
        </patternFill>
      </fill>
    </dxf>
    <dxf>
      <fill>
        <patternFill>
          <bgColor theme="5" tint="0.79998168889431442"/>
        </patternFill>
      </fill>
    </dxf>
    <dxf>
      <fill>
        <patternFill>
          <bgColor theme="6" tint="0.39994506668294322"/>
        </patternFill>
      </fill>
    </dxf>
    <dxf>
      <fill>
        <patternFill>
          <bgColor theme="8" tint="0.59996337778862885"/>
        </patternFill>
      </fill>
    </dxf>
    <dxf>
      <fill>
        <patternFill>
          <bgColor theme="9" tint="0.79998168889431442"/>
        </patternFill>
      </fill>
    </dxf>
    <dxf>
      <fill>
        <patternFill>
          <bgColor theme="6" tint="0.39994506668294322"/>
        </patternFill>
      </fill>
    </dxf>
    <dxf>
      <fill>
        <patternFill>
          <bgColor theme="7" tint="0.59996337778862885"/>
        </patternFill>
      </fill>
    </dxf>
    <dxf>
      <fill>
        <patternFill>
          <bgColor theme="6" tint="0.39994506668294322"/>
        </patternFill>
      </fill>
    </dxf>
    <dxf>
      <fill>
        <patternFill>
          <bgColor theme="5" tint="0.59996337778862885"/>
        </patternFill>
      </fill>
    </dxf>
    <dxf>
      <fill>
        <patternFill>
          <bgColor theme="0" tint="-0.14996795556505021"/>
        </patternFill>
      </fill>
    </dxf>
    <dxf>
      <fill>
        <patternFill>
          <bgColor theme="0" tint="-0.14996795556505021"/>
        </patternFill>
      </fill>
    </dxf>
    <dxf>
      <fill>
        <patternFill>
          <bgColor theme="8" tint="0.39994506668294322"/>
        </patternFill>
      </fill>
    </dxf>
    <dxf>
      <fill>
        <patternFill>
          <bgColor theme="6" tint="0.39994506668294322"/>
        </patternFill>
      </fill>
    </dxf>
    <dxf>
      <fill>
        <patternFill>
          <bgColor theme="6" tint="0.39994506668294322"/>
        </patternFill>
      </fill>
    </dxf>
    <dxf>
      <fill>
        <patternFill>
          <bgColor theme="0" tint="-0.14996795556505021"/>
        </patternFill>
      </fill>
    </dxf>
    <dxf>
      <fill>
        <patternFill>
          <bgColor theme="0" tint="-0.14996795556505021"/>
        </patternFill>
      </fill>
    </dxf>
    <dxf>
      <fill>
        <patternFill>
          <bgColor theme="6" tint="0.39994506668294322"/>
        </patternFill>
      </fill>
    </dxf>
    <dxf>
      <fill>
        <patternFill>
          <bgColor theme="5" tint="0.79998168889431442"/>
        </patternFill>
      </fill>
    </dxf>
    <dxf>
      <fill>
        <patternFill>
          <bgColor theme="5" tint="0.59996337778862885"/>
        </patternFill>
      </fill>
    </dxf>
    <dxf>
      <fill>
        <patternFill>
          <bgColor theme="8" tint="0.59996337778862885"/>
        </patternFill>
      </fill>
    </dxf>
    <dxf>
      <fill>
        <patternFill>
          <bgColor theme="8" tint="0.39994506668294322"/>
        </patternFill>
      </fill>
    </dxf>
    <dxf>
      <fill>
        <patternFill>
          <bgColor theme="7" tint="0.59996337778862885"/>
        </patternFill>
      </fill>
    </dxf>
    <dxf>
      <fill>
        <patternFill>
          <bgColor theme="9" tint="0.79998168889431442"/>
        </patternFill>
      </fill>
    </dxf>
    <dxf>
      <fill>
        <patternFill>
          <bgColor theme="0" tint="-0.14996795556505021"/>
        </patternFill>
      </fill>
    </dxf>
    <dxf>
      <fill>
        <patternFill>
          <bgColor theme="8" tint="0.39994506668294322"/>
        </patternFill>
      </fill>
    </dxf>
    <dxf>
      <fill>
        <patternFill>
          <bgColor theme="6" tint="0.39994506668294322"/>
        </patternFill>
      </fill>
    </dxf>
    <dxf>
      <fill>
        <patternFill>
          <bgColor theme="5" tint="0.79998168889431442"/>
        </patternFill>
      </fill>
    </dxf>
    <dxf>
      <fill>
        <patternFill>
          <bgColor theme="6" tint="0.39994506668294322"/>
        </patternFill>
      </fill>
    </dxf>
    <dxf>
      <fill>
        <patternFill>
          <bgColor theme="5" tint="0.59996337778862885"/>
        </patternFill>
      </fill>
    </dxf>
    <dxf>
      <fill>
        <patternFill>
          <bgColor theme="0" tint="-0.14996795556505021"/>
        </patternFill>
      </fill>
    </dxf>
    <dxf>
      <fill>
        <patternFill>
          <bgColor theme="8" tint="0.59996337778862885"/>
        </patternFill>
      </fill>
    </dxf>
    <dxf>
      <fill>
        <patternFill>
          <bgColor theme="6" tint="0.39994506668294322"/>
        </patternFill>
      </fill>
    </dxf>
    <dxf>
      <fill>
        <patternFill>
          <bgColor theme="7" tint="0.59996337778862885"/>
        </patternFill>
      </fill>
    </dxf>
    <dxf>
      <fill>
        <patternFill>
          <bgColor theme="9" tint="0.79998168889431442"/>
        </patternFill>
      </fill>
    </dxf>
    <dxf>
      <fill>
        <patternFill>
          <bgColor theme="8" tint="0.39994506668294322"/>
        </patternFill>
      </fill>
    </dxf>
    <dxf>
      <fill>
        <patternFill>
          <bgColor theme="9" tint="0.79998168889431442"/>
        </patternFill>
      </fill>
    </dxf>
    <dxf>
      <fill>
        <patternFill>
          <bgColor theme="5" tint="0.79998168889431442"/>
        </patternFill>
      </fill>
    </dxf>
    <dxf>
      <fill>
        <patternFill>
          <bgColor theme="6" tint="0.39994506668294322"/>
        </patternFill>
      </fill>
    </dxf>
    <dxf>
      <fill>
        <patternFill>
          <bgColor theme="0" tint="-0.14996795556505021"/>
        </patternFill>
      </fill>
    </dxf>
    <dxf>
      <fill>
        <patternFill>
          <bgColor theme="7" tint="0.59996337778862885"/>
        </patternFill>
      </fill>
    </dxf>
    <dxf>
      <fill>
        <patternFill>
          <bgColor theme="8" tint="0.59996337778862885"/>
        </patternFill>
      </fill>
    </dxf>
    <dxf>
      <fill>
        <patternFill>
          <bgColor theme="0" tint="-0.14996795556505021"/>
        </patternFill>
      </fill>
    </dxf>
    <dxf>
      <fill>
        <patternFill>
          <bgColor theme="6" tint="0.39994506668294322"/>
        </patternFill>
      </fill>
    </dxf>
    <dxf>
      <fill>
        <patternFill>
          <bgColor theme="5" tint="0.59996337778862885"/>
        </patternFill>
      </fill>
    </dxf>
    <dxf>
      <fill>
        <patternFill>
          <bgColor theme="6" tint="0.39994506668294322"/>
        </patternFill>
      </fill>
    </dxf>
    <dxf>
      <fill>
        <patternFill>
          <bgColor theme="0" tint="-0.14996795556505021"/>
        </patternFill>
      </fill>
    </dxf>
    <dxf>
      <fill>
        <patternFill>
          <bgColor theme="5" tint="0.59996337778862885"/>
        </patternFill>
      </fill>
    </dxf>
    <dxf>
      <fill>
        <patternFill>
          <bgColor theme="8" tint="0.59996337778862885"/>
        </patternFill>
      </fill>
    </dxf>
    <dxf>
      <fill>
        <patternFill>
          <bgColor theme="6" tint="0.39994506668294322"/>
        </patternFill>
      </fill>
    </dxf>
    <dxf>
      <fill>
        <patternFill>
          <bgColor theme="5" tint="0.79998168889431442"/>
        </patternFill>
      </fill>
    </dxf>
    <dxf>
      <fill>
        <patternFill>
          <bgColor theme="6" tint="0.39994506668294322"/>
        </patternFill>
      </fill>
    </dxf>
    <dxf>
      <fill>
        <patternFill>
          <bgColor theme="6" tint="0.39994506668294322"/>
        </patternFill>
      </fill>
    </dxf>
    <dxf>
      <fill>
        <patternFill>
          <bgColor theme="7" tint="0.59996337778862885"/>
        </patternFill>
      </fill>
    </dxf>
    <dxf>
      <fill>
        <patternFill>
          <bgColor theme="0" tint="-0.14996795556505021"/>
        </patternFill>
      </fill>
    </dxf>
    <dxf>
      <fill>
        <patternFill>
          <bgColor theme="9" tint="0.79998168889431442"/>
        </patternFill>
      </fill>
    </dxf>
    <dxf>
      <fill>
        <patternFill>
          <bgColor theme="8" tint="0.39994506668294322"/>
        </patternFill>
      </fill>
    </dxf>
    <dxf>
      <fill>
        <patternFill>
          <bgColor theme="8" tint="0.59996337778862885"/>
        </patternFill>
      </fill>
    </dxf>
    <dxf>
      <fill>
        <patternFill>
          <bgColor theme="0" tint="-0.14996795556505021"/>
        </patternFill>
      </fill>
    </dxf>
    <dxf>
      <fill>
        <patternFill>
          <bgColor theme="5" tint="0.59996337778862885"/>
        </patternFill>
      </fill>
    </dxf>
    <dxf>
      <fill>
        <patternFill>
          <bgColor theme="0" tint="-0.14996795556505021"/>
        </patternFill>
      </fill>
    </dxf>
    <dxf>
      <fill>
        <patternFill>
          <bgColor theme="6" tint="0.39994506668294322"/>
        </patternFill>
      </fill>
    </dxf>
    <dxf>
      <fill>
        <patternFill>
          <bgColor theme="9" tint="0.79998168889431442"/>
        </patternFill>
      </fill>
    </dxf>
    <dxf>
      <fill>
        <patternFill>
          <bgColor theme="8" tint="0.39994506668294322"/>
        </patternFill>
      </fill>
    </dxf>
    <dxf>
      <fill>
        <patternFill>
          <bgColor theme="6" tint="0.39994506668294322"/>
        </patternFill>
      </fill>
    </dxf>
    <dxf>
      <fill>
        <patternFill>
          <bgColor theme="6" tint="0.39994506668294322"/>
        </patternFill>
      </fill>
    </dxf>
    <dxf>
      <fill>
        <patternFill>
          <bgColor theme="5" tint="0.79998168889431442"/>
        </patternFill>
      </fill>
    </dxf>
    <dxf>
      <fill>
        <patternFill>
          <bgColor theme="7" tint="0.59996337778862885"/>
        </patternFill>
      </fill>
    </dxf>
    <dxf>
      <fill>
        <patternFill>
          <bgColor theme="0" tint="-0.14996795556505021"/>
        </patternFill>
      </fill>
    </dxf>
    <dxf>
      <fill>
        <patternFill>
          <bgColor theme="6" tint="0.39994506668294322"/>
        </patternFill>
      </fill>
    </dxf>
    <dxf>
      <fill>
        <patternFill>
          <bgColor theme="8" tint="0.59996337778862885"/>
        </patternFill>
      </fill>
    </dxf>
    <dxf>
      <fill>
        <patternFill>
          <bgColor theme="0" tint="-0.14996795556505021"/>
        </patternFill>
      </fill>
    </dxf>
    <dxf>
      <fill>
        <patternFill>
          <bgColor theme="7" tint="0.59996337778862885"/>
        </patternFill>
      </fill>
    </dxf>
    <dxf>
      <fill>
        <patternFill>
          <bgColor theme="6" tint="0.39994506668294322"/>
        </patternFill>
      </fill>
    </dxf>
    <dxf>
      <fill>
        <patternFill>
          <bgColor theme="9" tint="0.79998168889431442"/>
        </patternFill>
      </fill>
    </dxf>
    <dxf>
      <fill>
        <patternFill>
          <bgColor theme="8" tint="0.39994506668294322"/>
        </patternFill>
      </fill>
    </dxf>
    <dxf>
      <fill>
        <patternFill>
          <bgColor theme="6" tint="0.39994506668294322"/>
        </patternFill>
      </fill>
    </dxf>
    <dxf>
      <fill>
        <patternFill>
          <bgColor theme="5" tint="0.79998168889431442"/>
        </patternFill>
      </fill>
    </dxf>
    <dxf>
      <fill>
        <patternFill>
          <bgColor theme="5" tint="0.59996337778862885"/>
        </patternFill>
      </fill>
    </dxf>
    <dxf>
      <fill>
        <patternFill>
          <bgColor theme="9" tint="0.79998168889431442"/>
        </patternFill>
      </fill>
    </dxf>
    <dxf>
      <fill>
        <patternFill>
          <bgColor theme="8" tint="0.39994506668294322"/>
        </patternFill>
      </fill>
    </dxf>
    <dxf>
      <fill>
        <patternFill>
          <bgColor theme="6" tint="0.39994506668294322"/>
        </patternFill>
      </fill>
    </dxf>
    <dxf>
      <fill>
        <patternFill>
          <bgColor theme="5" tint="0.79998168889431442"/>
        </patternFill>
      </fill>
    </dxf>
    <dxf>
      <fill>
        <patternFill>
          <bgColor theme="6" tint="0.39994506668294322"/>
        </patternFill>
      </fill>
    </dxf>
    <dxf>
      <fill>
        <patternFill>
          <bgColor theme="0" tint="-0.14996795556505021"/>
        </patternFill>
      </fill>
    </dxf>
    <dxf>
      <fill>
        <patternFill>
          <bgColor theme="0" tint="-0.14996795556505021"/>
        </patternFill>
      </fill>
    </dxf>
    <dxf>
      <fill>
        <patternFill>
          <bgColor theme="5" tint="0.59996337778862885"/>
        </patternFill>
      </fill>
    </dxf>
    <dxf>
      <fill>
        <patternFill>
          <bgColor theme="8" tint="0.59996337778862885"/>
        </patternFill>
      </fill>
    </dxf>
    <dxf>
      <fill>
        <patternFill>
          <bgColor theme="6" tint="0.39994506668294322"/>
        </patternFill>
      </fill>
    </dxf>
    <dxf>
      <fill>
        <patternFill>
          <bgColor theme="7" tint="0.59996337778862885"/>
        </patternFill>
      </fill>
    </dxf>
    <dxf>
      <fill>
        <patternFill>
          <bgColor theme="0" tint="-0.14996795556505021"/>
        </patternFill>
      </fill>
    </dxf>
    <dxf>
      <fill>
        <patternFill>
          <bgColor theme="6" tint="0.39994506668294322"/>
        </patternFill>
      </fill>
    </dxf>
    <dxf>
      <fill>
        <patternFill>
          <bgColor theme="6" tint="0.39994506668294322"/>
        </patternFill>
      </fill>
    </dxf>
    <dxf>
      <fill>
        <patternFill>
          <bgColor theme="8" tint="0.39994506668294322"/>
        </patternFill>
      </fill>
    </dxf>
    <dxf>
      <fill>
        <patternFill>
          <bgColor theme="5" tint="0.79998168889431442"/>
        </patternFill>
      </fill>
    </dxf>
    <dxf>
      <fill>
        <patternFill>
          <bgColor theme="5" tint="0.59996337778862885"/>
        </patternFill>
      </fill>
    </dxf>
    <dxf>
      <fill>
        <patternFill>
          <bgColor theme="8" tint="0.59996337778862885"/>
        </patternFill>
      </fill>
    </dxf>
    <dxf>
      <fill>
        <patternFill>
          <bgColor theme="6" tint="0.39994506668294322"/>
        </patternFill>
      </fill>
    </dxf>
    <dxf>
      <fill>
        <patternFill>
          <bgColor theme="7" tint="0.59996337778862885"/>
        </patternFill>
      </fill>
    </dxf>
    <dxf>
      <fill>
        <patternFill>
          <bgColor theme="9" tint="0.79998168889431442"/>
        </patternFill>
      </fill>
    </dxf>
    <dxf>
      <fill>
        <patternFill>
          <bgColor theme="0" tint="-0.14996795556505021"/>
        </patternFill>
      </fill>
    </dxf>
    <dxf>
      <fill>
        <patternFill>
          <bgColor theme="5" tint="0.59996337778862885"/>
        </patternFill>
      </fill>
    </dxf>
    <dxf>
      <fill>
        <patternFill>
          <bgColor theme="5" tint="0.79998168889431442"/>
        </patternFill>
      </fill>
    </dxf>
    <dxf>
      <fill>
        <patternFill>
          <bgColor theme="6" tint="0.39994506668294322"/>
        </patternFill>
      </fill>
    </dxf>
    <dxf>
      <fill>
        <patternFill>
          <bgColor theme="8" tint="0.39994506668294322"/>
        </patternFill>
      </fill>
    </dxf>
    <dxf>
      <fill>
        <patternFill>
          <bgColor theme="0" tint="-0.14996795556505021"/>
        </patternFill>
      </fill>
    </dxf>
    <dxf>
      <fill>
        <patternFill>
          <bgColor theme="0" tint="-0.14996795556505021"/>
        </patternFill>
      </fill>
    </dxf>
    <dxf>
      <fill>
        <patternFill>
          <bgColor theme="9" tint="0.79998168889431442"/>
        </patternFill>
      </fill>
    </dxf>
    <dxf>
      <fill>
        <patternFill>
          <bgColor theme="7" tint="0.59996337778862885"/>
        </patternFill>
      </fill>
    </dxf>
    <dxf>
      <fill>
        <patternFill>
          <bgColor theme="6" tint="0.39994506668294322"/>
        </patternFill>
      </fill>
    </dxf>
    <dxf>
      <fill>
        <patternFill>
          <bgColor theme="8" tint="0.59996337778862885"/>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0" tint="-0.14996795556505021"/>
        </patternFill>
      </fill>
    </dxf>
    <dxf>
      <fill>
        <patternFill>
          <bgColor theme="6" tint="0.39994506668294322"/>
        </patternFill>
      </fill>
    </dxf>
    <dxf>
      <fill>
        <patternFill>
          <bgColor theme="8" tint="0.39994506668294322"/>
        </patternFill>
      </fill>
    </dxf>
    <dxf>
      <fill>
        <patternFill>
          <bgColor theme="0" tint="-0.14996795556505021"/>
        </patternFill>
      </fill>
    </dxf>
    <dxf>
      <fill>
        <patternFill>
          <bgColor theme="5" tint="0.79998168889431442"/>
        </patternFill>
      </fill>
    </dxf>
    <dxf>
      <fill>
        <patternFill>
          <bgColor theme="7" tint="0.59996337778862885"/>
        </patternFill>
      </fill>
    </dxf>
    <dxf>
      <fill>
        <patternFill>
          <bgColor theme="9" tint="0.79998168889431442"/>
        </patternFill>
      </fill>
    </dxf>
    <dxf>
      <fill>
        <patternFill>
          <bgColor theme="8" tint="0.59996337778862885"/>
        </patternFill>
      </fill>
    </dxf>
    <dxf>
      <fill>
        <patternFill>
          <bgColor theme="5" tint="0.59996337778862885"/>
        </patternFill>
      </fill>
    </dxf>
    <dxf>
      <fill>
        <patternFill>
          <bgColor theme="6" tint="0.39994506668294322"/>
        </patternFill>
      </fill>
    </dxf>
    <dxf>
      <fill>
        <patternFill>
          <bgColor theme="5" tint="0.79998168889431442"/>
        </patternFill>
      </fill>
    </dxf>
    <dxf>
      <fill>
        <patternFill>
          <bgColor theme="6" tint="0.39994506668294322"/>
        </patternFill>
      </fill>
    </dxf>
    <dxf>
      <fill>
        <patternFill>
          <bgColor theme="8" tint="0.59996337778862885"/>
        </patternFill>
      </fill>
    </dxf>
    <dxf>
      <fill>
        <patternFill>
          <bgColor theme="0" tint="-0.14996795556505021"/>
        </patternFill>
      </fill>
    </dxf>
    <dxf>
      <fill>
        <patternFill>
          <bgColor theme="5" tint="0.59996337778862885"/>
        </patternFill>
      </fill>
    </dxf>
    <dxf>
      <fill>
        <patternFill>
          <bgColor theme="0" tint="-0.14996795556505021"/>
        </patternFill>
      </fill>
    </dxf>
    <dxf>
      <fill>
        <patternFill>
          <bgColor theme="7" tint="0.59996337778862885"/>
        </patternFill>
      </fill>
    </dxf>
    <dxf>
      <fill>
        <patternFill>
          <bgColor theme="9" tint="0.79998168889431442"/>
        </patternFill>
      </fill>
    </dxf>
    <dxf>
      <fill>
        <patternFill>
          <bgColor theme="8" tint="0.39994506668294322"/>
        </patternFill>
      </fill>
    </dxf>
    <dxf>
      <fill>
        <patternFill>
          <bgColor theme="6" tint="0.39994506668294322"/>
        </patternFill>
      </fill>
    </dxf>
    <dxf>
      <fill>
        <patternFill>
          <bgColor theme="0" tint="-0.14996795556505021"/>
        </patternFill>
      </fill>
    </dxf>
    <dxf>
      <fill>
        <patternFill>
          <bgColor theme="5" tint="0.59996337778862885"/>
        </patternFill>
      </fill>
    </dxf>
    <dxf>
      <fill>
        <patternFill>
          <bgColor theme="6" tint="0.39994506668294322"/>
        </patternFill>
      </fill>
    </dxf>
    <dxf>
      <fill>
        <patternFill>
          <bgColor theme="8" tint="0.59996337778862885"/>
        </patternFill>
      </fill>
    </dxf>
    <dxf>
      <fill>
        <patternFill>
          <bgColor theme="5" tint="0.79998168889431442"/>
        </patternFill>
      </fill>
    </dxf>
    <dxf>
      <fill>
        <patternFill>
          <bgColor theme="6" tint="0.39994506668294322"/>
        </patternFill>
      </fill>
    </dxf>
    <dxf>
      <fill>
        <patternFill>
          <bgColor theme="6" tint="0.39994506668294322"/>
        </patternFill>
      </fill>
    </dxf>
    <dxf>
      <fill>
        <patternFill>
          <bgColor theme="7" tint="0.59996337778862885"/>
        </patternFill>
      </fill>
    </dxf>
    <dxf>
      <fill>
        <patternFill>
          <bgColor theme="0" tint="-0.14996795556505021"/>
        </patternFill>
      </fill>
    </dxf>
    <dxf>
      <fill>
        <patternFill>
          <bgColor theme="8" tint="0.39994506668294322"/>
        </patternFill>
      </fill>
    </dxf>
    <dxf>
      <fill>
        <patternFill>
          <bgColor theme="9" tint="0.79998168889431442"/>
        </patternFill>
      </fill>
    </dxf>
    <dxf>
      <fill>
        <patternFill>
          <bgColor theme="6" tint="0.39994506668294322"/>
        </patternFill>
      </fill>
    </dxf>
    <dxf>
      <fill>
        <patternFill>
          <bgColor theme="5" tint="0.79998168889431442"/>
        </patternFill>
      </fill>
    </dxf>
    <dxf>
      <fill>
        <patternFill>
          <bgColor theme="6" tint="0.39994506668294322"/>
        </patternFill>
      </fill>
    </dxf>
    <dxf>
      <fill>
        <patternFill>
          <bgColor theme="8" tint="0.39994506668294322"/>
        </patternFill>
      </fill>
    </dxf>
    <dxf>
      <fill>
        <patternFill>
          <bgColor theme="9" tint="0.79998168889431442"/>
        </patternFill>
      </fill>
    </dxf>
    <dxf>
      <fill>
        <patternFill>
          <bgColor theme="0" tint="-0.14996795556505021"/>
        </patternFill>
      </fill>
    </dxf>
    <dxf>
      <fill>
        <patternFill>
          <bgColor theme="5" tint="0.59996337778862885"/>
        </patternFill>
      </fill>
    </dxf>
    <dxf>
      <fill>
        <patternFill>
          <bgColor theme="8" tint="0.59996337778862885"/>
        </patternFill>
      </fill>
    </dxf>
    <dxf>
      <fill>
        <patternFill>
          <bgColor theme="6" tint="0.39994506668294322"/>
        </patternFill>
      </fill>
    </dxf>
    <dxf>
      <fill>
        <patternFill>
          <bgColor theme="7" tint="0.59996337778862885"/>
        </patternFill>
      </fill>
    </dxf>
    <dxf>
      <fill>
        <patternFill>
          <bgColor theme="0" tint="-0.14996795556505021"/>
        </patternFill>
      </fill>
    </dxf>
    <dxf>
      <fill>
        <patternFill>
          <bgColor theme="0" tint="-0.14996795556505021"/>
        </patternFill>
      </fill>
    </dxf>
    <dxf>
      <fill>
        <patternFill>
          <bgColor theme="5" tint="0.59996337778862885"/>
        </patternFill>
      </fill>
    </dxf>
    <dxf>
      <fill>
        <patternFill>
          <bgColor theme="5" tint="0.79998168889431442"/>
        </patternFill>
      </fill>
    </dxf>
    <dxf>
      <fill>
        <patternFill>
          <bgColor theme="8" tint="0.59996337778862885"/>
        </patternFill>
      </fill>
    </dxf>
    <dxf>
      <fill>
        <patternFill>
          <bgColor theme="6" tint="0.39994506668294322"/>
        </patternFill>
      </fill>
    </dxf>
    <dxf>
      <fill>
        <patternFill>
          <bgColor theme="6" tint="0.39994506668294322"/>
        </patternFill>
      </fill>
    </dxf>
    <dxf>
      <fill>
        <patternFill>
          <bgColor theme="8" tint="0.39994506668294322"/>
        </patternFill>
      </fill>
    </dxf>
    <dxf>
      <fill>
        <patternFill>
          <bgColor theme="9" tint="0.79998168889431442"/>
        </patternFill>
      </fill>
    </dxf>
    <dxf>
      <fill>
        <patternFill>
          <bgColor theme="0" tint="-0.14996795556505021"/>
        </patternFill>
      </fill>
    </dxf>
    <dxf>
      <fill>
        <patternFill>
          <bgColor theme="6" tint="0.39994506668294322"/>
        </patternFill>
      </fill>
    </dxf>
    <dxf>
      <fill>
        <patternFill>
          <bgColor theme="7" tint="0.59996337778862885"/>
        </patternFill>
      </fill>
    </dxf>
    <dxf>
      <fill>
        <patternFill>
          <bgColor theme="0" tint="-0.14996795556505021"/>
        </patternFill>
      </fill>
    </dxf>
    <dxf>
      <fill>
        <patternFill>
          <bgColor theme="5" tint="0.59996337778862885"/>
        </patternFill>
      </fill>
    </dxf>
    <dxf>
      <fill>
        <patternFill>
          <bgColor theme="6" tint="0.39994506668294322"/>
        </patternFill>
      </fill>
    </dxf>
    <dxf>
      <fill>
        <patternFill>
          <bgColor theme="7" tint="0.59996337778862885"/>
        </patternFill>
      </fill>
    </dxf>
    <dxf>
      <fill>
        <patternFill>
          <bgColor theme="9" tint="0.79998168889431442"/>
        </patternFill>
      </fill>
    </dxf>
    <dxf>
      <fill>
        <patternFill>
          <bgColor theme="0" tint="-0.14996795556505021"/>
        </patternFill>
      </fill>
    </dxf>
    <dxf>
      <fill>
        <patternFill>
          <bgColor theme="8" tint="0.39994506668294322"/>
        </patternFill>
      </fill>
    </dxf>
    <dxf>
      <fill>
        <patternFill>
          <bgColor theme="6" tint="0.39994506668294322"/>
        </patternFill>
      </fill>
    </dxf>
    <dxf>
      <fill>
        <patternFill>
          <bgColor theme="5" tint="0.79998168889431442"/>
        </patternFill>
      </fill>
    </dxf>
    <dxf>
      <fill>
        <patternFill>
          <bgColor theme="6" tint="0.39994506668294322"/>
        </patternFill>
      </fill>
    </dxf>
    <dxf>
      <fill>
        <patternFill>
          <bgColor theme="8" tint="0.59996337778862885"/>
        </patternFill>
      </fill>
    </dxf>
    <dxf>
      <fill>
        <patternFill>
          <bgColor theme="8" tint="0.59996337778862885"/>
        </patternFill>
      </fill>
    </dxf>
    <dxf>
      <fill>
        <patternFill>
          <bgColor theme="6" tint="0.39994506668294322"/>
        </patternFill>
      </fill>
    </dxf>
    <dxf>
      <fill>
        <patternFill>
          <bgColor theme="9" tint="0.79998168889431442"/>
        </patternFill>
      </fill>
    </dxf>
    <dxf>
      <fill>
        <patternFill>
          <bgColor theme="7" tint="0.59996337778862885"/>
        </patternFill>
      </fill>
    </dxf>
    <dxf>
      <fill>
        <patternFill>
          <bgColor theme="0" tint="-0.14996795556505021"/>
        </patternFill>
      </fill>
    </dxf>
    <dxf>
      <fill>
        <patternFill>
          <bgColor theme="8" tint="0.39994506668294322"/>
        </patternFill>
      </fill>
    </dxf>
    <dxf>
      <fill>
        <patternFill>
          <bgColor theme="6" tint="0.39994506668294322"/>
        </patternFill>
      </fill>
    </dxf>
    <dxf>
      <fill>
        <patternFill>
          <bgColor theme="5" tint="0.59996337778862885"/>
        </patternFill>
      </fill>
    </dxf>
    <dxf>
      <fill>
        <patternFill>
          <bgColor theme="0" tint="-0.14996795556505021"/>
        </patternFill>
      </fill>
    </dxf>
    <dxf>
      <fill>
        <patternFill>
          <bgColor theme="5" tint="0.79998168889431442"/>
        </patternFill>
      </fill>
    </dxf>
    <dxf>
      <fill>
        <patternFill>
          <bgColor theme="6" tint="0.39994506668294322"/>
        </patternFill>
      </fill>
    </dxf>
    <dxf>
      <fill>
        <patternFill>
          <bgColor theme="8" tint="0.39994506668294322"/>
        </patternFill>
      </fill>
    </dxf>
    <dxf>
      <fill>
        <patternFill>
          <bgColor theme="0" tint="-0.14996795556505021"/>
        </patternFill>
      </fill>
    </dxf>
    <dxf>
      <fill>
        <patternFill>
          <bgColor theme="7" tint="0.59996337778862885"/>
        </patternFill>
      </fill>
    </dxf>
    <dxf>
      <fill>
        <patternFill>
          <bgColor theme="8" tint="0.59996337778862885"/>
        </patternFill>
      </fill>
    </dxf>
    <dxf>
      <fill>
        <patternFill>
          <bgColor theme="5" tint="0.79998168889431442"/>
        </patternFill>
      </fill>
    </dxf>
    <dxf>
      <fill>
        <patternFill>
          <bgColor theme="6" tint="0.39994506668294322"/>
        </patternFill>
      </fill>
    </dxf>
    <dxf>
      <fill>
        <patternFill>
          <bgColor theme="9" tint="0.79998168889431442"/>
        </patternFill>
      </fill>
    </dxf>
    <dxf>
      <fill>
        <patternFill>
          <bgColor theme="5" tint="0.59996337778862885"/>
        </patternFill>
      </fill>
    </dxf>
    <dxf>
      <fill>
        <patternFill>
          <bgColor theme="0" tint="-0.14996795556505021"/>
        </patternFill>
      </fill>
    </dxf>
    <dxf>
      <fill>
        <patternFill>
          <bgColor theme="6" tint="0.39994506668294322"/>
        </patternFill>
      </fill>
    </dxf>
    <dxf>
      <fill>
        <patternFill>
          <bgColor theme="6" tint="0.39994506668294322"/>
        </patternFill>
      </fill>
    </dxf>
    <dxf>
      <fill>
        <patternFill>
          <bgColor theme="9" tint="0.79998168889431442"/>
        </patternFill>
      </fill>
    </dxf>
    <dxf>
      <fill>
        <patternFill>
          <bgColor theme="6" tint="0.39994506668294322"/>
        </patternFill>
      </fill>
    </dxf>
    <dxf>
      <fill>
        <patternFill>
          <bgColor theme="8" tint="0.59996337778862885"/>
        </patternFill>
      </fill>
    </dxf>
    <dxf>
      <fill>
        <patternFill>
          <bgColor theme="5" tint="0.59996337778862885"/>
        </patternFill>
      </fill>
    </dxf>
    <dxf>
      <fill>
        <patternFill>
          <bgColor theme="0" tint="-0.14996795556505021"/>
        </patternFill>
      </fill>
    </dxf>
    <dxf>
      <fill>
        <patternFill>
          <bgColor theme="7" tint="0.59996337778862885"/>
        </patternFill>
      </fill>
    </dxf>
    <dxf>
      <fill>
        <patternFill>
          <bgColor theme="6" tint="0.39994506668294322"/>
        </patternFill>
      </fill>
    </dxf>
    <dxf>
      <fill>
        <patternFill>
          <bgColor theme="5" tint="0.79998168889431442"/>
        </patternFill>
      </fill>
    </dxf>
    <dxf>
      <fill>
        <patternFill>
          <bgColor theme="6" tint="0.39994506668294322"/>
        </patternFill>
      </fill>
    </dxf>
    <dxf>
      <fill>
        <patternFill>
          <bgColor theme="8" tint="0.39994506668294322"/>
        </patternFill>
      </fill>
    </dxf>
    <dxf>
      <fill>
        <patternFill>
          <bgColor theme="0" tint="-0.14996795556505021"/>
        </patternFill>
      </fill>
    </dxf>
    <dxf>
      <fill>
        <patternFill>
          <bgColor theme="7" tint="0.59996337778862885"/>
        </patternFill>
      </fill>
    </dxf>
    <dxf>
      <fill>
        <patternFill>
          <bgColor theme="5" tint="0.79998168889431442"/>
        </patternFill>
      </fill>
    </dxf>
    <dxf>
      <fill>
        <patternFill>
          <bgColor theme="9" tint="0.79998168889431442"/>
        </patternFill>
      </fill>
    </dxf>
    <dxf>
      <fill>
        <patternFill>
          <bgColor theme="0" tint="-0.14996795556505021"/>
        </patternFill>
      </fill>
    </dxf>
    <dxf>
      <fill>
        <patternFill>
          <bgColor theme="8" tint="0.39994506668294322"/>
        </patternFill>
      </fill>
    </dxf>
    <dxf>
      <fill>
        <patternFill>
          <bgColor theme="6" tint="0.39994506668294322"/>
        </patternFill>
      </fill>
    </dxf>
    <dxf>
      <fill>
        <patternFill>
          <bgColor theme="0" tint="-0.14996795556505021"/>
        </patternFill>
      </fill>
    </dxf>
    <dxf>
      <fill>
        <patternFill>
          <bgColor theme="8" tint="0.59996337778862885"/>
        </patternFill>
      </fill>
    </dxf>
    <dxf>
      <fill>
        <patternFill>
          <bgColor theme="5" tint="0.59996337778862885"/>
        </patternFill>
      </fill>
    </dxf>
    <dxf>
      <fill>
        <patternFill>
          <bgColor theme="6" tint="0.39994506668294322"/>
        </patternFill>
      </fill>
    </dxf>
    <dxf>
      <fill>
        <patternFill>
          <bgColor theme="6" tint="0.39994506668294322"/>
        </patternFill>
      </fill>
    </dxf>
    <dxf>
      <fill>
        <patternFill>
          <bgColor theme="8" tint="0.59996337778862885"/>
        </patternFill>
      </fill>
    </dxf>
    <dxf>
      <fill>
        <patternFill>
          <bgColor theme="0" tint="-0.14996795556505021"/>
        </patternFill>
      </fill>
    </dxf>
    <dxf>
      <fill>
        <patternFill>
          <bgColor theme="6" tint="0.39994506668294322"/>
        </patternFill>
      </fill>
    </dxf>
    <dxf>
      <fill>
        <patternFill>
          <bgColor theme="5" tint="0.79998168889431442"/>
        </patternFill>
      </fill>
    </dxf>
    <dxf>
      <fill>
        <patternFill>
          <bgColor theme="6" tint="0.39994506668294322"/>
        </patternFill>
      </fill>
    </dxf>
    <dxf>
      <fill>
        <patternFill>
          <bgColor theme="0" tint="-0.14996795556505021"/>
        </patternFill>
      </fill>
    </dxf>
    <dxf>
      <fill>
        <patternFill>
          <bgColor theme="9" tint="0.79998168889431442"/>
        </patternFill>
      </fill>
    </dxf>
    <dxf>
      <fill>
        <patternFill>
          <bgColor theme="5" tint="0.59996337778862885"/>
        </patternFill>
      </fill>
    </dxf>
    <dxf>
      <fill>
        <patternFill>
          <bgColor theme="7" tint="0.59996337778862885"/>
        </patternFill>
      </fill>
    </dxf>
    <dxf>
      <fill>
        <patternFill>
          <bgColor theme="8" tint="0.39994506668294322"/>
        </patternFill>
      </fill>
    </dxf>
    <dxf>
      <fill>
        <patternFill>
          <bgColor theme="6" tint="0.39994506668294322"/>
        </patternFill>
      </fill>
    </dxf>
    <dxf>
      <fill>
        <patternFill>
          <bgColor theme="8" tint="0.59996337778862885"/>
        </patternFill>
      </fill>
    </dxf>
    <dxf>
      <fill>
        <patternFill>
          <bgColor theme="6" tint="0.39994506668294322"/>
        </patternFill>
      </fill>
    </dxf>
    <dxf>
      <fill>
        <patternFill>
          <bgColor theme="5" tint="0.79998168889431442"/>
        </patternFill>
      </fill>
    </dxf>
    <dxf>
      <fill>
        <patternFill>
          <bgColor theme="0" tint="-0.14996795556505021"/>
        </patternFill>
      </fill>
    </dxf>
    <dxf>
      <fill>
        <patternFill>
          <bgColor theme="7" tint="0.59996337778862885"/>
        </patternFill>
      </fill>
    </dxf>
    <dxf>
      <fill>
        <patternFill>
          <bgColor theme="6" tint="0.39994506668294322"/>
        </patternFill>
      </fill>
    </dxf>
    <dxf>
      <fill>
        <patternFill>
          <bgColor theme="5" tint="0.59996337778862885"/>
        </patternFill>
      </fill>
    </dxf>
    <dxf>
      <fill>
        <patternFill>
          <bgColor theme="0" tint="-0.14996795556505021"/>
        </patternFill>
      </fill>
    </dxf>
    <dxf>
      <fill>
        <patternFill>
          <bgColor theme="8" tint="0.39994506668294322"/>
        </patternFill>
      </fill>
    </dxf>
    <dxf>
      <fill>
        <patternFill>
          <bgColor theme="6" tint="0.39994506668294322"/>
        </patternFill>
      </fill>
    </dxf>
    <dxf>
      <fill>
        <patternFill>
          <bgColor theme="9" tint="0.79998168889431442"/>
        </patternFill>
      </fill>
    </dxf>
    <dxf>
      <fill>
        <patternFill>
          <bgColor theme="9" tint="0.79998168889431442"/>
        </patternFill>
      </fill>
    </dxf>
    <dxf>
      <fill>
        <patternFill>
          <bgColor theme="7" tint="0.59996337778862885"/>
        </patternFill>
      </fill>
    </dxf>
    <dxf>
      <fill>
        <patternFill>
          <bgColor theme="6" tint="0.39994506668294322"/>
        </patternFill>
      </fill>
    </dxf>
    <dxf>
      <fill>
        <patternFill>
          <bgColor theme="8" tint="0.59996337778862885"/>
        </patternFill>
      </fill>
    </dxf>
    <dxf>
      <fill>
        <patternFill>
          <bgColor theme="0" tint="-0.14996795556505021"/>
        </patternFill>
      </fill>
    </dxf>
    <dxf>
      <fill>
        <patternFill>
          <bgColor theme="5" tint="0.59996337778862885"/>
        </patternFill>
      </fill>
    </dxf>
    <dxf>
      <fill>
        <patternFill>
          <bgColor theme="6" tint="0.39994506668294322"/>
        </patternFill>
      </fill>
    </dxf>
    <dxf>
      <fill>
        <patternFill>
          <bgColor theme="5" tint="0.79998168889431442"/>
        </patternFill>
      </fill>
    </dxf>
    <dxf>
      <fill>
        <patternFill>
          <bgColor theme="6" tint="0.39994506668294322"/>
        </patternFill>
      </fill>
    </dxf>
    <dxf>
      <fill>
        <patternFill>
          <bgColor theme="0" tint="-0.14996795556505021"/>
        </patternFill>
      </fill>
    </dxf>
    <dxf>
      <fill>
        <patternFill>
          <bgColor theme="8" tint="0.39994506668294322"/>
        </patternFill>
      </fill>
    </dxf>
    <dxf>
      <fill>
        <patternFill>
          <bgColor theme="6" tint="0.39994506668294322"/>
        </patternFill>
      </fill>
    </dxf>
    <dxf>
      <fill>
        <patternFill>
          <bgColor theme="8" tint="0.59996337778862885"/>
        </patternFill>
      </fill>
    </dxf>
    <dxf>
      <fill>
        <patternFill>
          <bgColor theme="5" tint="0.59996337778862885"/>
        </patternFill>
      </fill>
    </dxf>
    <dxf>
      <fill>
        <patternFill>
          <bgColor theme="0" tint="-0.14996795556505021"/>
        </patternFill>
      </fill>
    </dxf>
    <dxf>
      <fill>
        <patternFill>
          <bgColor theme="9" tint="0.79998168889431442"/>
        </patternFill>
      </fill>
    </dxf>
    <dxf>
      <fill>
        <patternFill>
          <bgColor theme="0" tint="-0.14996795556505021"/>
        </patternFill>
      </fill>
    </dxf>
    <dxf>
      <fill>
        <patternFill>
          <bgColor theme="8" tint="0.39994506668294322"/>
        </patternFill>
      </fill>
    </dxf>
    <dxf>
      <fill>
        <patternFill>
          <bgColor theme="6" tint="0.39994506668294322"/>
        </patternFill>
      </fill>
    </dxf>
    <dxf>
      <fill>
        <patternFill>
          <bgColor theme="7" tint="0.59996337778862885"/>
        </patternFill>
      </fill>
    </dxf>
    <dxf>
      <fill>
        <patternFill>
          <bgColor theme="6" tint="0.39994506668294322"/>
        </patternFill>
      </fill>
    </dxf>
    <dxf>
      <fill>
        <patternFill>
          <bgColor theme="5" tint="0.79998168889431442"/>
        </patternFill>
      </fill>
    </dxf>
    <dxf>
      <fill>
        <patternFill>
          <bgColor theme="8" tint="0.59996337778862885"/>
        </patternFill>
      </fill>
    </dxf>
    <dxf>
      <fill>
        <patternFill>
          <bgColor theme="8" tint="0.39994506668294322"/>
        </patternFill>
      </fill>
    </dxf>
    <dxf>
      <fill>
        <patternFill>
          <bgColor theme="0" tint="-0.14996795556505021"/>
        </patternFill>
      </fill>
    </dxf>
    <dxf>
      <fill>
        <patternFill>
          <bgColor theme="6" tint="0.39994506668294322"/>
        </patternFill>
      </fill>
    </dxf>
    <dxf>
      <fill>
        <patternFill>
          <bgColor theme="9" tint="0.79998168889431442"/>
        </patternFill>
      </fill>
    </dxf>
    <dxf>
      <fill>
        <patternFill>
          <bgColor theme="6" tint="0.39994506668294322"/>
        </patternFill>
      </fill>
    </dxf>
    <dxf>
      <fill>
        <patternFill>
          <bgColor theme="5" tint="0.79998168889431442"/>
        </patternFill>
      </fill>
    </dxf>
    <dxf>
      <fill>
        <patternFill>
          <bgColor theme="5" tint="0.59996337778862885"/>
        </patternFill>
      </fill>
    </dxf>
    <dxf>
      <fill>
        <patternFill>
          <bgColor theme="0" tint="-0.14996795556505021"/>
        </patternFill>
      </fill>
    </dxf>
    <dxf>
      <fill>
        <patternFill>
          <bgColor theme="6" tint="0.39994506668294322"/>
        </patternFill>
      </fill>
    </dxf>
    <dxf>
      <fill>
        <patternFill>
          <bgColor theme="7" tint="0.59996337778862885"/>
        </patternFill>
      </fill>
    </dxf>
    <dxf>
      <fill>
        <patternFill>
          <bgColor theme="5" tint="0.79998168889431442"/>
        </patternFill>
      </fill>
    </dxf>
    <dxf>
      <fill>
        <patternFill>
          <bgColor theme="9" tint="0.79998168889431442"/>
        </patternFill>
      </fill>
    </dxf>
    <dxf>
      <fill>
        <patternFill>
          <bgColor theme="8" tint="0.39994506668294322"/>
        </patternFill>
      </fill>
    </dxf>
    <dxf>
      <fill>
        <patternFill>
          <bgColor theme="0" tint="-0.14996795556505021"/>
        </patternFill>
      </fill>
    </dxf>
    <dxf>
      <fill>
        <patternFill>
          <bgColor theme="7" tint="0.59996337778862885"/>
        </patternFill>
      </fill>
    </dxf>
    <dxf>
      <fill>
        <patternFill>
          <bgColor theme="6" tint="0.39994506668294322"/>
        </patternFill>
      </fill>
    </dxf>
    <dxf>
      <fill>
        <patternFill>
          <bgColor theme="8" tint="0.59996337778862885"/>
        </patternFill>
      </fill>
    </dxf>
    <dxf>
      <fill>
        <patternFill>
          <bgColor theme="0" tint="-0.14996795556505021"/>
        </patternFill>
      </fill>
    </dxf>
    <dxf>
      <fill>
        <patternFill>
          <bgColor theme="6" tint="0.39994506668294322"/>
        </patternFill>
      </fill>
    </dxf>
    <dxf>
      <fill>
        <patternFill>
          <bgColor theme="5" tint="0.59996337778862885"/>
        </patternFill>
      </fill>
    </dxf>
    <dxf>
      <fill>
        <patternFill>
          <bgColor theme="6" tint="0.39994506668294322"/>
        </patternFill>
      </fill>
    </dxf>
    <dxf>
      <fill>
        <patternFill>
          <bgColor theme="6" tint="0.39994506668294322"/>
        </patternFill>
      </fill>
    </dxf>
    <dxf>
      <fill>
        <patternFill>
          <bgColor theme="5" tint="0.79998168889431442"/>
        </patternFill>
      </fill>
    </dxf>
    <dxf>
      <fill>
        <patternFill>
          <bgColor theme="6" tint="0.39994506668294322"/>
        </patternFill>
      </fill>
    </dxf>
    <dxf>
      <fill>
        <patternFill>
          <bgColor theme="9" tint="0.79998168889431442"/>
        </patternFill>
      </fill>
    </dxf>
    <dxf>
      <fill>
        <patternFill>
          <bgColor theme="7" tint="0.59996337778862885"/>
        </patternFill>
      </fill>
    </dxf>
    <dxf>
      <fill>
        <patternFill>
          <bgColor theme="8" tint="0.59996337778862885"/>
        </patternFill>
      </fill>
    </dxf>
    <dxf>
      <fill>
        <patternFill>
          <bgColor theme="5" tint="0.59996337778862885"/>
        </patternFill>
      </fill>
    </dxf>
    <dxf>
      <fill>
        <patternFill>
          <bgColor theme="0" tint="-0.14996795556505021"/>
        </patternFill>
      </fill>
    </dxf>
    <dxf>
      <fill>
        <patternFill>
          <bgColor theme="8" tint="0.39994506668294322"/>
        </patternFill>
      </fill>
    </dxf>
    <dxf>
      <fill>
        <patternFill>
          <bgColor theme="0" tint="-0.14996795556505021"/>
        </patternFill>
      </fill>
    </dxf>
    <dxf>
      <fill>
        <patternFill>
          <bgColor theme="6" tint="0.39994506668294322"/>
        </patternFill>
      </fill>
    </dxf>
    <dxf>
      <fill>
        <patternFill>
          <bgColor theme="0" tint="-0.14996795556505021"/>
        </patternFill>
      </fill>
    </dxf>
    <dxf>
      <fill>
        <patternFill>
          <bgColor theme="5" tint="0.59996337778862885"/>
        </patternFill>
      </fill>
    </dxf>
    <dxf>
      <fill>
        <patternFill>
          <bgColor theme="8" tint="0.59996337778862885"/>
        </patternFill>
      </fill>
    </dxf>
    <dxf>
      <fill>
        <patternFill>
          <bgColor theme="6" tint="0.39994506668294322"/>
        </patternFill>
      </fill>
    </dxf>
    <dxf>
      <fill>
        <patternFill>
          <bgColor theme="7" tint="0.59996337778862885"/>
        </patternFill>
      </fill>
    </dxf>
    <dxf>
      <fill>
        <patternFill>
          <bgColor theme="9" tint="0.79998168889431442"/>
        </patternFill>
      </fill>
    </dxf>
    <dxf>
      <fill>
        <patternFill>
          <bgColor theme="0" tint="-0.14996795556505021"/>
        </patternFill>
      </fill>
    </dxf>
    <dxf>
      <fill>
        <patternFill>
          <bgColor theme="6" tint="0.39994506668294322"/>
        </patternFill>
      </fill>
    </dxf>
    <dxf>
      <fill>
        <patternFill>
          <bgColor theme="5" tint="0.79998168889431442"/>
        </patternFill>
      </fill>
    </dxf>
    <dxf>
      <fill>
        <patternFill>
          <bgColor theme="6" tint="0.39994506668294322"/>
        </patternFill>
      </fill>
    </dxf>
    <dxf>
      <fill>
        <patternFill>
          <bgColor theme="8" tint="0.39994506668294322"/>
        </patternFill>
      </fill>
    </dxf>
    <dxf>
      <fill>
        <patternFill>
          <bgColor theme="7" tint="0.59996337778862885"/>
        </patternFill>
      </fill>
    </dxf>
    <dxf>
      <fill>
        <patternFill>
          <bgColor theme="8" tint="0.59996337778862885"/>
        </patternFill>
      </fill>
    </dxf>
    <dxf>
      <fill>
        <patternFill>
          <bgColor theme="0" tint="-0.14996795556505021"/>
        </patternFill>
      </fill>
    </dxf>
    <dxf>
      <fill>
        <patternFill>
          <bgColor theme="5" tint="0.59996337778862885"/>
        </patternFill>
      </fill>
    </dxf>
    <dxf>
      <fill>
        <patternFill>
          <bgColor theme="6" tint="0.39994506668294322"/>
        </patternFill>
      </fill>
    </dxf>
    <dxf>
      <fill>
        <patternFill>
          <bgColor theme="6" tint="0.39994506668294322"/>
        </patternFill>
      </fill>
    </dxf>
    <dxf>
      <fill>
        <patternFill>
          <bgColor theme="8" tint="0.39994506668294322"/>
        </patternFill>
      </fill>
    </dxf>
    <dxf>
      <fill>
        <patternFill>
          <bgColor theme="0" tint="-0.14996795556505021"/>
        </patternFill>
      </fill>
    </dxf>
    <dxf>
      <fill>
        <patternFill>
          <bgColor theme="9" tint="0.79998168889431442"/>
        </patternFill>
      </fill>
    </dxf>
    <dxf>
      <fill>
        <patternFill>
          <bgColor theme="6" tint="0.39994506668294322"/>
        </patternFill>
      </fill>
    </dxf>
    <dxf>
      <fill>
        <patternFill>
          <bgColor theme="5" tint="0.79998168889431442"/>
        </patternFill>
      </fill>
    </dxf>
    <dxf>
      <fill>
        <patternFill>
          <bgColor theme="6" tint="0.39994506668294322"/>
        </patternFill>
      </fill>
    </dxf>
    <dxf>
      <fill>
        <patternFill>
          <bgColor theme="5" tint="0.79998168889431442"/>
        </patternFill>
      </fill>
    </dxf>
    <dxf>
      <fill>
        <patternFill>
          <bgColor theme="6" tint="0.39994506668294322"/>
        </patternFill>
      </fill>
    </dxf>
    <dxf>
      <fill>
        <patternFill>
          <bgColor theme="8" tint="0.39994506668294322"/>
        </patternFill>
      </fill>
    </dxf>
    <dxf>
      <fill>
        <patternFill>
          <bgColor theme="0" tint="-0.14996795556505021"/>
        </patternFill>
      </fill>
    </dxf>
    <dxf>
      <fill>
        <patternFill>
          <bgColor theme="9" tint="0.79998168889431442"/>
        </patternFill>
      </fill>
    </dxf>
    <dxf>
      <fill>
        <patternFill>
          <bgColor theme="7" tint="0.59996337778862885"/>
        </patternFill>
      </fill>
    </dxf>
    <dxf>
      <fill>
        <patternFill>
          <bgColor theme="6" tint="0.39994506668294322"/>
        </patternFill>
      </fill>
    </dxf>
    <dxf>
      <fill>
        <patternFill>
          <bgColor theme="8" tint="0.59996337778862885"/>
        </patternFill>
      </fill>
    </dxf>
    <dxf>
      <fill>
        <patternFill>
          <bgColor theme="5" tint="0.59996337778862885"/>
        </patternFill>
      </fill>
    </dxf>
    <dxf>
      <fill>
        <patternFill>
          <bgColor theme="0" tint="-0.14996795556505021"/>
        </patternFill>
      </fill>
    </dxf>
    <dxf>
      <fill>
        <patternFill>
          <bgColor theme="5" tint="0.59996337778862885"/>
        </patternFill>
      </fill>
    </dxf>
    <dxf>
      <fill>
        <patternFill>
          <bgColor theme="0" tint="-0.14996795556505021"/>
        </patternFill>
      </fill>
    </dxf>
    <dxf>
      <fill>
        <patternFill>
          <bgColor theme="6" tint="0.39994506668294322"/>
        </patternFill>
      </fill>
    </dxf>
    <dxf>
      <fill>
        <patternFill>
          <bgColor theme="8" tint="0.39994506668294322"/>
        </patternFill>
      </fill>
    </dxf>
    <dxf>
      <fill>
        <patternFill>
          <bgColor theme="0" tint="-0.14996795556505021"/>
        </patternFill>
      </fill>
    </dxf>
    <dxf>
      <fill>
        <patternFill>
          <bgColor theme="6" tint="0.39994506668294322"/>
        </patternFill>
      </fill>
    </dxf>
    <dxf>
      <fill>
        <patternFill>
          <bgColor theme="9" tint="0.79998168889431442"/>
        </patternFill>
      </fill>
    </dxf>
    <dxf>
      <fill>
        <patternFill>
          <bgColor theme="7" tint="0.59996337778862885"/>
        </patternFill>
      </fill>
    </dxf>
    <dxf>
      <fill>
        <patternFill>
          <bgColor theme="8" tint="0.59996337778862885"/>
        </patternFill>
      </fill>
    </dxf>
    <dxf>
      <fill>
        <patternFill>
          <bgColor theme="6" tint="0.39994506668294322"/>
        </patternFill>
      </fill>
    </dxf>
    <dxf>
      <fill>
        <patternFill>
          <bgColor theme="5" tint="0.79998168889431442"/>
        </patternFill>
      </fill>
    </dxf>
    <dxf>
      <fill>
        <patternFill>
          <bgColor theme="5" tint="0.59996337778862885"/>
        </patternFill>
      </fill>
    </dxf>
    <dxf>
      <fill>
        <patternFill>
          <bgColor theme="6" tint="0.39994506668294322"/>
        </patternFill>
      </fill>
    </dxf>
    <dxf>
      <fill>
        <patternFill>
          <bgColor theme="8" tint="0.39994506668294322"/>
        </patternFill>
      </fill>
    </dxf>
    <dxf>
      <fill>
        <patternFill>
          <bgColor theme="6" tint="0.39994506668294322"/>
        </patternFill>
      </fill>
    </dxf>
    <dxf>
      <fill>
        <patternFill>
          <bgColor theme="8" tint="0.59996337778862885"/>
        </patternFill>
      </fill>
    </dxf>
    <dxf>
      <fill>
        <patternFill>
          <bgColor theme="6" tint="0.39994506668294322"/>
        </patternFill>
      </fill>
    </dxf>
    <dxf>
      <fill>
        <patternFill>
          <bgColor theme="0" tint="-0.14996795556505021"/>
        </patternFill>
      </fill>
    </dxf>
    <dxf>
      <fill>
        <patternFill>
          <bgColor theme="9" tint="0.79998168889431442"/>
        </patternFill>
      </fill>
    </dxf>
    <dxf>
      <fill>
        <patternFill>
          <bgColor theme="0" tint="-0.14996795556505021"/>
        </patternFill>
      </fill>
    </dxf>
    <dxf>
      <fill>
        <patternFill>
          <bgColor theme="5" tint="0.79998168889431442"/>
        </patternFill>
      </fill>
    </dxf>
    <dxf>
      <fill>
        <patternFill>
          <bgColor theme="7" tint="0.59996337778862885"/>
        </patternFill>
      </fill>
    </dxf>
    <dxf>
      <fill>
        <patternFill>
          <bgColor theme="8" tint="0.39994506668294322"/>
        </patternFill>
      </fill>
    </dxf>
    <dxf>
      <fill>
        <patternFill>
          <bgColor theme="0" tint="-0.14996795556505021"/>
        </patternFill>
      </fill>
    </dxf>
    <dxf>
      <fill>
        <patternFill>
          <bgColor theme="9" tint="0.79998168889431442"/>
        </patternFill>
      </fill>
    </dxf>
    <dxf>
      <fill>
        <patternFill>
          <bgColor theme="7" tint="0.59996337778862885"/>
        </patternFill>
      </fill>
    </dxf>
    <dxf>
      <fill>
        <patternFill>
          <bgColor theme="6" tint="0.39994506668294322"/>
        </patternFill>
      </fill>
    </dxf>
    <dxf>
      <fill>
        <patternFill>
          <bgColor theme="8" tint="0.59996337778862885"/>
        </patternFill>
      </fill>
    </dxf>
    <dxf>
      <fill>
        <patternFill>
          <bgColor theme="5" tint="0.59996337778862885"/>
        </patternFill>
      </fill>
    </dxf>
    <dxf>
      <fill>
        <patternFill>
          <bgColor theme="0" tint="-0.14996795556505021"/>
        </patternFill>
      </fill>
    </dxf>
    <dxf>
      <fill>
        <patternFill>
          <bgColor theme="6" tint="0.39994506668294322"/>
        </patternFill>
      </fill>
    </dxf>
    <dxf>
      <fill>
        <patternFill>
          <bgColor theme="5" tint="0.79998168889431442"/>
        </patternFill>
      </fill>
    </dxf>
    <dxf>
      <fill>
        <patternFill>
          <bgColor theme="6" tint="0.39994506668294322"/>
        </patternFill>
      </fill>
    </dxf>
    <dxf>
      <fill>
        <patternFill>
          <bgColor theme="6" tint="0.39994506668294322"/>
        </patternFill>
      </fill>
    </dxf>
    <dxf>
      <fill>
        <patternFill>
          <bgColor theme="8" tint="0.39994506668294322"/>
        </patternFill>
      </fill>
    </dxf>
    <dxf>
      <fill>
        <patternFill>
          <bgColor theme="0" tint="-0.14996795556505021"/>
        </patternFill>
      </fill>
    </dxf>
    <dxf>
      <fill>
        <patternFill>
          <bgColor theme="9" tint="0.79998168889431442"/>
        </patternFill>
      </fill>
    </dxf>
    <dxf>
      <fill>
        <patternFill>
          <bgColor theme="7" tint="0.59996337778862885"/>
        </patternFill>
      </fill>
    </dxf>
    <dxf>
      <fill>
        <patternFill>
          <bgColor theme="6" tint="0.39994506668294322"/>
        </patternFill>
      </fill>
    </dxf>
    <dxf>
      <fill>
        <patternFill>
          <bgColor theme="6" tint="0.39994506668294322"/>
        </patternFill>
      </fill>
    </dxf>
    <dxf>
      <fill>
        <patternFill>
          <bgColor theme="5" tint="0.59996337778862885"/>
        </patternFill>
      </fill>
    </dxf>
    <dxf>
      <fill>
        <patternFill>
          <bgColor theme="0" tint="-0.14996795556505021"/>
        </patternFill>
      </fill>
    </dxf>
    <dxf>
      <fill>
        <patternFill>
          <bgColor theme="8" tint="0.59996337778862885"/>
        </patternFill>
      </fill>
    </dxf>
    <dxf>
      <fill>
        <patternFill>
          <bgColor theme="5" tint="0.79998168889431442"/>
        </patternFill>
      </fill>
    </dxf>
    <dxf>
      <fill>
        <patternFill>
          <bgColor theme="6" tint="0.39994506668294322"/>
        </patternFill>
      </fill>
    </dxf>
    <dxf>
      <fill>
        <patternFill>
          <bgColor theme="9" tint="0.79998168889431442"/>
        </patternFill>
      </fill>
    </dxf>
    <dxf>
      <fill>
        <patternFill>
          <bgColor theme="7" tint="0.59996337778862885"/>
        </patternFill>
      </fill>
    </dxf>
    <dxf>
      <fill>
        <patternFill>
          <bgColor theme="8" tint="0.59996337778862885"/>
        </patternFill>
      </fill>
    </dxf>
    <dxf>
      <fill>
        <patternFill>
          <bgColor theme="5" tint="0.59996337778862885"/>
        </patternFill>
      </fill>
    </dxf>
    <dxf>
      <fill>
        <patternFill>
          <bgColor theme="0" tint="-0.14996795556505021"/>
        </patternFill>
      </fill>
    </dxf>
    <dxf>
      <fill>
        <patternFill>
          <bgColor theme="6" tint="0.39994506668294322"/>
        </patternFill>
      </fill>
    </dxf>
    <dxf>
      <fill>
        <patternFill>
          <bgColor theme="5" tint="0.79998168889431442"/>
        </patternFill>
      </fill>
    </dxf>
    <dxf>
      <fill>
        <patternFill>
          <bgColor theme="6" tint="0.39994506668294322"/>
        </patternFill>
      </fill>
    </dxf>
    <dxf>
      <fill>
        <patternFill>
          <bgColor theme="8" tint="0.39994506668294322"/>
        </patternFill>
      </fill>
    </dxf>
    <dxf>
      <fill>
        <patternFill>
          <bgColor theme="0" tint="-0.14996795556505021"/>
        </patternFill>
      </fill>
    </dxf>
    <dxf>
      <fill>
        <patternFill>
          <bgColor theme="5" tint="0.59996337778862885"/>
        </patternFill>
      </fill>
    </dxf>
    <dxf>
      <fill>
        <patternFill>
          <bgColor theme="8" tint="0.59996337778862885"/>
        </patternFill>
      </fill>
    </dxf>
    <dxf>
      <fill>
        <patternFill>
          <bgColor theme="6" tint="0.39994506668294322"/>
        </patternFill>
      </fill>
    </dxf>
    <dxf>
      <fill>
        <patternFill>
          <bgColor theme="7" tint="0.59996337778862885"/>
        </patternFill>
      </fill>
    </dxf>
    <dxf>
      <fill>
        <patternFill>
          <bgColor theme="9" tint="0.79998168889431442"/>
        </patternFill>
      </fill>
    </dxf>
    <dxf>
      <fill>
        <patternFill>
          <bgColor theme="0" tint="-0.14996795556505021"/>
        </patternFill>
      </fill>
    </dxf>
    <dxf>
      <fill>
        <patternFill>
          <bgColor theme="0" tint="-0.14996795556505021"/>
        </patternFill>
      </fill>
    </dxf>
    <dxf>
      <fill>
        <patternFill>
          <bgColor theme="6" tint="0.39994506668294322"/>
        </patternFill>
      </fill>
    </dxf>
    <dxf>
      <fill>
        <patternFill>
          <bgColor theme="5" tint="0.79998168889431442"/>
        </patternFill>
      </fill>
    </dxf>
    <dxf>
      <fill>
        <patternFill>
          <bgColor theme="6" tint="0.39994506668294322"/>
        </patternFill>
      </fill>
    </dxf>
    <dxf>
      <fill>
        <patternFill>
          <bgColor theme="8" tint="0.39994506668294322"/>
        </patternFill>
      </fill>
    </dxf>
    <dxf>
      <fill>
        <patternFill>
          <bgColor theme="9" tint="0.79998168889431442"/>
        </patternFill>
      </fill>
    </dxf>
    <dxf>
      <fill>
        <patternFill>
          <bgColor theme="7" tint="0.59996337778862885"/>
        </patternFill>
      </fill>
    </dxf>
    <dxf>
      <fill>
        <patternFill>
          <bgColor theme="6" tint="0.39994506668294322"/>
        </patternFill>
      </fill>
    </dxf>
    <dxf>
      <fill>
        <patternFill>
          <bgColor theme="8" tint="0.59996337778862885"/>
        </patternFill>
      </fill>
    </dxf>
    <dxf>
      <fill>
        <patternFill>
          <bgColor theme="5" tint="0.59996337778862885"/>
        </patternFill>
      </fill>
    </dxf>
    <dxf>
      <fill>
        <patternFill>
          <bgColor theme="0" tint="-0.14996795556505021"/>
        </patternFill>
      </fill>
    </dxf>
    <dxf>
      <fill>
        <patternFill>
          <bgColor theme="6" tint="0.39994506668294322"/>
        </patternFill>
      </fill>
    </dxf>
    <dxf>
      <fill>
        <patternFill>
          <bgColor theme="5" tint="0.79998168889431442"/>
        </patternFill>
      </fill>
    </dxf>
    <dxf>
      <fill>
        <patternFill>
          <bgColor theme="6" tint="0.39994506668294322"/>
        </patternFill>
      </fill>
    </dxf>
    <dxf>
      <fill>
        <patternFill>
          <bgColor theme="8" tint="0.39994506668294322"/>
        </patternFill>
      </fill>
    </dxf>
    <dxf>
      <fill>
        <patternFill>
          <bgColor theme="0" tint="-0.14996795556505021"/>
        </patternFill>
      </fill>
    </dxf>
    <dxf>
      <fill>
        <patternFill>
          <bgColor theme="6" tint="0.39994506668294322"/>
        </patternFill>
      </fill>
    </dxf>
    <dxf>
      <fill>
        <patternFill>
          <bgColor theme="6" tint="0.39994506668294322"/>
        </patternFill>
      </fill>
    </dxf>
    <dxf>
      <fill>
        <patternFill>
          <bgColor theme="5" tint="0.59996337778862885"/>
        </patternFill>
      </fill>
    </dxf>
    <dxf>
      <fill>
        <patternFill>
          <bgColor theme="8" tint="0.59996337778862885"/>
        </patternFill>
      </fill>
    </dxf>
    <dxf>
      <fill>
        <patternFill>
          <bgColor theme="6" tint="0.39994506668294322"/>
        </patternFill>
      </fill>
    </dxf>
    <dxf>
      <fill>
        <patternFill>
          <bgColor theme="5" tint="0.79998168889431442"/>
        </patternFill>
      </fill>
    </dxf>
    <dxf>
      <fill>
        <patternFill>
          <bgColor theme="7" tint="0.59996337778862885"/>
        </patternFill>
      </fill>
    </dxf>
    <dxf>
      <fill>
        <patternFill>
          <bgColor theme="8" tint="0.39994506668294322"/>
        </patternFill>
      </fill>
    </dxf>
    <dxf>
      <fill>
        <patternFill>
          <bgColor theme="0" tint="-0.14996795556505021"/>
        </patternFill>
      </fill>
    </dxf>
    <dxf>
      <fill>
        <patternFill>
          <bgColor theme="9" tint="0.79998168889431442"/>
        </patternFill>
      </fill>
    </dxf>
    <dxf>
      <fill>
        <patternFill>
          <bgColor theme="0" tint="-0.14996795556505021"/>
        </patternFill>
      </fill>
    </dxf>
    <dxf>
      <fill>
        <patternFill>
          <bgColor theme="0" tint="-0.14996795556505021"/>
        </patternFill>
      </fill>
    </dxf>
    <dxf>
      <fill>
        <patternFill>
          <bgColor theme="5" tint="0.59996337778862885"/>
        </patternFill>
      </fill>
    </dxf>
    <dxf>
      <fill>
        <patternFill>
          <bgColor theme="8" tint="0.59996337778862885"/>
        </patternFill>
      </fill>
    </dxf>
    <dxf>
      <fill>
        <patternFill>
          <bgColor theme="6" tint="0.39994506668294322"/>
        </patternFill>
      </fill>
    </dxf>
    <dxf>
      <fill>
        <patternFill>
          <bgColor theme="7" tint="0.59996337778862885"/>
        </patternFill>
      </fill>
    </dxf>
    <dxf>
      <fill>
        <patternFill>
          <bgColor theme="9" tint="0.79998168889431442"/>
        </patternFill>
      </fill>
    </dxf>
    <dxf>
      <fill>
        <patternFill>
          <bgColor theme="0" tint="-0.14996795556505021"/>
        </patternFill>
      </fill>
    </dxf>
    <dxf>
      <fill>
        <patternFill>
          <bgColor theme="8" tint="0.39994506668294322"/>
        </patternFill>
      </fill>
    </dxf>
    <dxf>
      <fill>
        <patternFill>
          <bgColor theme="6" tint="0.39994506668294322"/>
        </patternFill>
      </fill>
    </dxf>
    <dxf>
      <fill>
        <patternFill>
          <bgColor theme="5" tint="0.79998168889431442"/>
        </patternFill>
      </fill>
    </dxf>
    <dxf>
      <fill>
        <patternFill>
          <bgColor theme="6" tint="0.39994506668294322"/>
        </patternFill>
      </fill>
    </dxf>
    <dxf>
      <fill>
        <patternFill>
          <bgColor theme="6" tint="0.39994506668294322"/>
        </patternFill>
      </fill>
    </dxf>
    <dxf>
      <fill>
        <patternFill>
          <bgColor theme="5" tint="0.79998168889431442"/>
        </patternFill>
      </fill>
    </dxf>
    <dxf>
      <fill>
        <patternFill>
          <bgColor theme="6" tint="0.39994506668294322"/>
        </patternFill>
      </fill>
    </dxf>
    <dxf>
      <fill>
        <patternFill>
          <bgColor theme="8" tint="0.39994506668294322"/>
        </patternFill>
      </fill>
    </dxf>
    <dxf>
      <fill>
        <patternFill>
          <bgColor theme="0" tint="-0.14996795556505021"/>
        </patternFill>
      </fill>
    </dxf>
    <dxf>
      <fill>
        <patternFill>
          <bgColor theme="9" tint="0.79998168889431442"/>
        </patternFill>
      </fill>
    </dxf>
    <dxf>
      <fill>
        <patternFill>
          <bgColor theme="6" tint="0.39994506668294322"/>
        </patternFill>
      </fill>
    </dxf>
    <dxf>
      <fill>
        <patternFill>
          <bgColor theme="8" tint="0.59996337778862885"/>
        </patternFill>
      </fill>
    </dxf>
    <dxf>
      <fill>
        <patternFill>
          <bgColor theme="5" tint="0.59996337778862885"/>
        </patternFill>
      </fill>
    </dxf>
    <dxf>
      <fill>
        <patternFill>
          <bgColor theme="0" tint="-0.14996795556505021"/>
        </patternFill>
      </fill>
    </dxf>
    <dxf>
      <fill>
        <patternFill>
          <bgColor theme="7" tint="0.59996337778862885"/>
        </patternFill>
      </fill>
    </dxf>
    <dxf>
      <fill>
        <patternFill>
          <bgColor theme="9" tint="0.79998168889431442"/>
        </patternFill>
      </fill>
    </dxf>
    <dxf>
      <fill>
        <patternFill>
          <bgColor theme="5" tint="0.79998168889431442"/>
        </patternFill>
      </fill>
    </dxf>
    <dxf>
      <fill>
        <patternFill>
          <bgColor theme="0" tint="-0.14996795556505021"/>
        </patternFill>
      </fill>
    </dxf>
    <dxf>
      <fill>
        <patternFill>
          <bgColor theme="8" tint="0.39994506668294322"/>
        </patternFill>
      </fill>
    </dxf>
    <dxf>
      <fill>
        <patternFill>
          <bgColor theme="6" tint="0.39994506668294322"/>
        </patternFill>
      </fill>
    </dxf>
    <dxf>
      <fill>
        <patternFill>
          <bgColor theme="6" tint="0.39994506668294322"/>
        </patternFill>
      </fill>
    </dxf>
    <dxf>
      <fill>
        <patternFill>
          <bgColor theme="0" tint="-0.14996795556505021"/>
        </patternFill>
      </fill>
    </dxf>
    <dxf>
      <fill>
        <patternFill>
          <bgColor theme="5" tint="0.59996337778862885"/>
        </patternFill>
      </fill>
    </dxf>
    <dxf>
      <fill>
        <patternFill>
          <bgColor theme="8" tint="0.59996337778862885"/>
        </patternFill>
      </fill>
    </dxf>
    <dxf>
      <fill>
        <patternFill>
          <bgColor theme="6" tint="0.39994506668294322"/>
        </patternFill>
      </fill>
    </dxf>
    <dxf>
      <fill>
        <patternFill>
          <bgColor theme="7" tint="0.59996337778862885"/>
        </patternFill>
      </fill>
    </dxf>
    <dxf>
      <fill>
        <patternFill>
          <bgColor theme="0" tint="-0.14996795556505021"/>
        </patternFill>
      </fill>
    </dxf>
    <dxf>
      <fill>
        <patternFill>
          <bgColor theme="5" tint="0.59996337778862885"/>
        </patternFill>
      </fill>
    </dxf>
    <dxf>
      <fill>
        <patternFill>
          <bgColor theme="8" tint="0.59996337778862885"/>
        </patternFill>
      </fill>
    </dxf>
    <dxf>
      <fill>
        <patternFill>
          <bgColor theme="6" tint="0.39994506668294322"/>
        </patternFill>
      </fill>
    </dxf>
    <dxf>
      <fill>
        <patternFill>
          <bgColor theme="9" tint="0.79998168889431442"/>
        </patternFill>
      </fill>
    </dxf>
    <dxf>
      <fill>
        <patternFill>
          <bgColor theme="0" tint="-0.14996795556505021"/>
        </patternFill>
      </fill>
    </dxf>
    <dxf>
      <fill>
        <patternFill>
          <bgColor theme="7" tint="0.59996337778862885"/>
        </patternFill>
      </fill>
    </dxf>
    <dxf>
      <fill>
        <patternFill>
          <bgColor theme="8" tint="0.39994506668294322"/>
        </patternFill>
      </fill>
    </dxf>
    <dxf>
      <fill>
        <patternFill>
          <bgColor theme="6" tint="0.39994506668294322"/>
        </patternFill>
      </fill>
    </dxf>
    <dxf>
      <fill>
        <patternFill>
          <bgColor theme="5" tint="0.79998168889431442"/>
        </patternFill>
      </fill>
    </dxf>
    <dxf>
      <fill>
        <patternFill>
          <bgColor theme="6" tint="0.39994506668294322"/>
        </patternFill>
      </fill>
    </dxf>
    <dxf>
      <fill>
        <patternFill>
          <bgColor theme="5" tint="0.79998168889431442"/>
        </patternFill>
      </fill>
    </dxf>
    <dxf>
      <fill>
        <patternFill>
          <bgColor theme="6" tint="0.39994506668294322"/>
        </patternFill>
      </fill>
    </dxf>
    <dxf>
      <fill>
        <patternFill>
          <bgColor theme="8" tint="0.59996337778862885"/>
        </patternFill>
      </fill>
    </dxf>
    <dxf>
      <fill>
        <patternFill>
          <bgColor theme="6" tint="0.39994506668294322"/>
        </patternFill>
      </fill>
    </dxf>
    <dxf>
      <fill>
        <patternFill>
          <bgColor theme="8" tint="0.39994506668294322"/>
        </patternFill>
      </fill>
    </dxf>
    <dxf>
      <fill>
        <patternFill>
          <bgColor theme="0" tint="-0.14996795556505021"/>
        </patternFill>
      </fill>
    </dxf>
    <dxf>
      <fill>
        <patternFill>
          <bgColor theme="0" tint="-0.14996795556505021"/>
        </patternFill>
      </fill>
    </dxf>
    <dxf>
      <fill>
        <patternFill>
          <bgColor theme="9" tint="0.79998168889431442"/>
        </patternFill>
      </fill>
    </dxf>
    <dxf>
      <fill>
        <patternFill>
          <bgColor theme="7" tint="0.59996337778862885"/>
        </patternFill>
      </fill>
    </dxf>
    <dxf>
      <fill>
        <patternFill>
          <bgColor theme="6" tint="0.39994506668294322"/>
        </patternFill>
      </fill>
    </dxf>
    <dxf>
      <fill>
        <patternFill>
          <bgColor theme="5" tint="0.59996337778862885"/>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theme="0" tint="-0.14996795556505021"/>
        </patternFill>
      </fill>
    </dxf>
    <dxf>
      <fill>
        <patternFill>
          <bgColor theme="5" tint="0.59996337778862885"/>
        </patternFill>
      </fill>
    </dxf>
    <dxf>
      <fill>
        <patternFill>
          <bgColor theme="8" tint="0.59996337778862885"/>
        </patternFill>
      </fill>
    </dxf>
    <dxf>
      <fill>
        <patternFill>
          <bgColor theme="6" tint="0.39994506668294322"/>
        </patternFill>
      </fill>
    </dxf>
    <dxf>
      <fill>
        <patternFill>
          <bgColor theme="7" tint="0.59996337778862885"/>
        </patternFill>
      </fill>
    </dxf>
    <dxf>
      <fill>
        <patternFill>
          <bgColor theme="9" tint="0.79998168889431442"/>
        </patternFill>
      </fill>
    </dxf>
    <dxf>
      <fill>
        <patternFill>
          <bgColor theme="0" tint="-0.14996795556505021"/>
        </patternFill>
      </fill>
    </dxf>
    <dxf>
      <fill>
        <patternFill>
          <bgColor theme="8" tint="0.39994506668294322"/>
        </patternFill>
      </fill>
    </dxf>
    <dxf>
      <fill>
        <patternFill>
          <bgColor theme="6" tint="0.39994506668294322"/>
        </patternFill>
      </fill>
    </dxf>
    <dxf>
      <fill>
        <patternFill>
          <bgColor theme="5" tint="0.79998168889431442"/>
        </patternFill>
      </fill>
    </dxf>
    <dxf>
      <fill>
        <patternFill>
          <bgColor theme="6" tint="0.3999450666829432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28575</xdr:colOff>
      <xdr:row>0</xdr:row>
      <xdr:rowOff>95250</xdr:rowOff>
    </xdr:from>
    <xdr:to>
      <xdr:col>0</xdr:col>
      <xdr:colOff>1652076</xdr:colOff>
      <xdr:row>0</xdr:row>
      <xdr:rowOff>495440</xdr:rowOff>
    </xdr:to>
    <xdr:pic>
      <xdr:nvPicPr>
        <xdr:cNvPr id="2" name="1 Imagen">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28575" y="95250"/>
          <a:ext cx="1623501" cy="40019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28575</xdr:colOff>
      <xdr:row>0</xdr:row>
      <xdr:rowOff>190500</xdr:rowOff>
    </xdr:from>
    <xdr:to>
      <xdr:col>0</xdr:col>
      <xdr:colOff>1285875</xdr:colOff>
      <xdr:row>0</xdr:row>
      <xdr:rowOff>501629</xdr:rowOff>
    </xdr:to>
    <xdr:pic>
      <xdr:nvPicPr>
        <xdr:cNvPr id="2" name="1 Imagen">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8575" y="190500"/>
          <a:ext cx="1257300" cy="31112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176892</xdr:colOff>
      <xdr:row>0</xdr:row>
      <xdr:rowOff>163286</xdr:rowOff>
    </xdr:from>
    <xdr:to>
      <xdr:col>0</xdr:col>
      <xdr:colOff>2761316</xdr:colOff>
      <xdr:row>0</xdr:row>
      <xdr:rowOff>802822</xdr:rowOff>
    </xdr:to>
    <xdr:pic>
      <xdr:nvPicPr>
        <xdr:cNvPr id="2" name="1 Imagen">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176892" y="163286"/>
          <a:ext cx="2584424" cy="63953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475060</xdr:colOff>
      <xdr:row>0</xdr:row>
      <xdr:rowOff>95250</xdr:rowOff>
    </xdr:from>
    <xdr:to>
      <xdr:col>1</xdr:col>
      <xdr:colOff>375218</xdr:colOff>
      <xdr:row>0</xdr:row>
      <xdr:rowOff>767463</xdr:rowOff>
    </xdr:to>
    <xdr:pic>
      <xdr:nvPicPr>
        <xdr:cNvPr id="2" name="1 Imagen">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475060" y="95250"/>
          <a:ext cx="1251347" cy="672213"/>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166878</xdr:colOff>
      <xdr:row>0</xdr:row>
      <xdr:rowOff>200754</xdr:rowOff>
    </xdr:from>
    <xdr:to>
      <xdr:col>1</xdr:col>
      <xdr:colOff>1342153</xdr:colOff>
      <xdr:row>0</xdr:row>
      <xdr:rowOff>952499</xdr:rowOff>
    </xdr:to>
    <xdr:pic>
      <xdr:nvPicPr>
        <xdr:cNvPr id="2" name="1 Imagen">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166878" y="200754"/>
          <a:ext cx="3061599" cy="75174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zeus\ZEUS\Users\carolinaortiz\AppData\Local\Microsoft\Windows\Temporary%20Internet%20Files\Content.IE5\QQTDQRQU\Copia%20de%20Anexo%2003_Matriz%20de%20riesgos%20callcenter%20(GTC%2045).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zeus\ZEUS\Users\14-Y005\Desktop\SG%20SST%20PROBA%20S.A.S&#61481;\SG%20SST%20BASE%20HOMOTEC\01.PLANEAR\MATRIZ%20DE%20PELIGROS%20ACTUALIZADA%20coninsa.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202A86FF\Matriz%20riesgos%20peligros%20Empresa%20Coleg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a de valoración "/>
      <sheetName val="Listas"/>
      <sheetName val="PREPARAR MEZCLA (2)"/>
      <sheetName val="REVOQUE"/>
      <sheetName val="MAMPOSTERIA"/>
      <sheetName val="SOLDADURA"/>
      <sheetName val="ACTIVIDADES DE ELECTRICIDAD"/>
      <sheetName val="PINTURA"/>
      <sheetName val="PLOMERIA"/>
      <sheetName val="ENCHAPE"/>
      <sheetName val="drywall"/>
      <sheetName val="Vigas"/>
      <sheetName val="ADMINISTRACION"/>
      <sheetName val="Hoja1"/>
    </sheetNames>
    <sheetDataSet>
      <sheetData sheetId="0" refreshError="1"/>
      <sheetData sheetId="1">
        <row r="60">
          <cell r="B60" t="str">
            <v>Modificar un diseño para eliminar el peligro.</v>
          </cell>
        </row>
        <row r="61">
          <cell r="B61" t="str">
            <v>Introducir dispositivos mecánicos de alzamiento para eliminar el peligro de manipulación manual</v>
          </cell>
        </row>
        <row r="62">
          <cell r="B62" t="str">
            <v>Contar con ayudas mecanicas.</v>
          </cell>
        </row>
        <row r="63">
          <cell r="B63" t="str">
            <v>Contar con programas de mantenimiento planificado a maquinas y equipos</v>
          </cell>
        </row>
        <row r="64">
          <cell r="B64" t="str">
            <v>Máquinas más grandes y lentas en vez de otras más pequeñas y rápidas</v>
          </cell>
        </row>
        <row r="65">
          <cell r="B65" t="str">
            <v>Matrices fijas en lugar de matrices de una operación</v>
          </cell>
        </row>
        <row r="66">
          <cell r="B66" t="str">
            <v> Prensas en lugar de martillos</v>
          </cell>
        </row>
        <row r="67">
          <cell r="B67" t="str">
            <v>Cizallas rotativas en vez de cizallas en escuadra</v>
          </cell>
        </row>
        <row r="68">
          <cell r="B68" t="str">
            <v> Prensas hidráulicas en lugar de las mecánicas</v>
          </cell>
        </row>
        <row r="69">
          <cell r="B69" t="str">
            <v>Correas de transmisión en vez de engranajes</v>
          </cell>
        </row>
        <row r="70">
          <cell r="B70" t="str">
            <v>Remplazo ajuste de piezas gastadas o desbalanceadas de las máquinas</v>
          </cell>
        </row>
        <row r="71">
          <cell r="B71" t="str">
            <v>Lubricación de las piezas de las máquinas y empleo de aceites de corte</v>
          </cell>
        </row>
        <row r="72">
          <cell r="B72" t="str">
            <v>Forma y afilado adecuado de las herramientas de corte</v>
          </cell>
        </row>
        <row r="73">
          <cell r="B73" t="str">
            <v>Utilizar  mínima cantidad de material radioactivo</v>
          </cell>
        </row>
        <row r="74">
          <cell r="B74" t="str">
            <v>realizar mantenimiento preventivo, predictivo y correctivo a todas las sillas de la empresa.</v>
          </cell>
        </row>
        <row r="75">
          <cell r="B75" t="str">
            <v>Incrementar el distanciamiento de la fuente.</v>
          </cell>
        </row>
        <row r="76">
          <cell r="B76" t="str">
            <v>N.A</v>
          </cell>
        </row>
        <row r="77">
          <cell r="B77" t="str">
            <v>Sustituir por un material menos peligroso.</v>
          </cell>
        </row>
        <row r="78">
          <cell r="B78" t="str">
            <v>Reducir la energía del sistema (reducir fuerza, amperaje, presión, temperatura)</v>
          </cell>
        </row>
        <row r="79">
          <cell r="B79" t="str">
            <v>Cambiar una herramienta por otra de mayor impacto.</v>
          </cell>
        </row>
        <row r="80">
          <cell r="B80" t="str">
            <v xml:space="preserve">Capacitar al personal </v>
          </cell>
        </row>
        <row r="81">
          <cell r="B81" t="str">
            <v>Compresión en vez de remachado por impactos</v>
          </cell>
        </row>
        <row r="82">
          <cell r="B82" t="str">
            <v>Soldadura en vez de remachado</v>
          </cell>
        </row>
        <row r="83">
          <cell r="B83" t="str">
            <v>Trabajo en caliente en lugar de en frío</v>
          </cell>
        </row>
        <row r="84">
          <cell r="B84" t="str">
            <v>Prensado en vez de laminado o forjado</v>
          </cell>
        </row>
        <row r="85">
          <cell r="B85" t="str">
            <v>Ducha y lavabo al final de la jornada de trabajo</v>
          </cell>
        </row>
        <row r="86">
          <cell r="B86" t="str">
            <v xml:space="preserve">Adquirir una escalera </v>
          </cell>
        </row>
        <row r="87">
          <cell r="B87" t="str">
            <v>N.A.</v>
          </cell>
        </row>
        <row r="99">
          <cell r="B99" t="str">
            <v xml:space="preserve">Identificación de fallas humanas, Definir procedimientos de seguridad, Capacitar al personal en trabajo seguro, Verificar que se cumpla con las normas de trabajo seguro, Rotación de personal o rotación de tareas durante la jornada laboral, Periodicamente </v>
          </cell>
        </row>
        <row r="100">
          <cell r="B100" t="str">
            <v>Instalar sistemas de alarmas</v>
          </cell>
        </row>
        <row r="101">
          <cell r="B101" t="str">
            <v>Capacitar al personal en trabajo seguro con equipos de computo, Implementar pausas activas.Realizar evaluaciones médicas ocupacionales (de tipo ergonómico) de ingreso, periódicas y de retiro al personal nuevo que ingresa a la empresa, así como evaluacione</v>
          </cell>
        </row>
        <row r="102">
          <cell r="B102" t="str">
            <v>Capacitar al personal en trabajo seguro con equipos de computo, Implementar pausas activas. Verificar que se cumpla con las normas de seguridad para trabajo frente a vioterminales</v>
          </cell>
        </row>
        <row r="103">
          <cell r="B103" t="str">
            <v>Verificar que se cumpla con las normas de trabajo seguro frente a videoterminales. Implementar pausas activas.realizar evaluaciones medicas ocupacionales (VISIOMETRIAS) al personal (EXAMEN DE INGRESO, PERIODICOS Y DE RETIRO). utilizar pantallas antireflec</v>
          </cell>
        </row>
        <row r="104">
          <cell r="B104" t="str">
            <v>Conservar las herramientas en buen estado.</v>
          </cell>
        </row>
        <row r="105">
          <cell r="B105" t="str">
            <v>Capacitar al personal en cumplimiento de las normas de transito por parte del personal, establecer sistemas de comunicación permanente con el personal  de la empresa en caso de emergencia .</v>
          </cell>
        </row>
        <row r="106">
          <cell r="B106" t="str">
            <v>Capacitar al personal en manejo a la defensiva y situaciones difíciles.</v>
          </cell>
        </row>
        <row r="107">
          <cell r="B107" t="str">
            <v>Capacitar al personal en trabajo seguro con equipos de computo, Implementar pausas activas.</v>
          </cell>
        </row>
        <row r="108">
          <cell r="B108" t="str">
            <v xml:space="preserve">Implementar inspecciones de seguridad, determinando constantemente las condiciones de orden y aseo. Mantener bien demarcadas las áreas de circulación y almacenamiento. </v>
          </cell>
        </row>
        <row r="109">
          <cell r="B109" t="str">
            <v xml:space="preserve">Implementar Programa de Riesgo Psicosocial (Res. 2646), divulgar Ley 1010 de Acoso Laboral                     Realizar actividades de Bienestar Laboral y Social </v>
          </cell>
        </row>
        <row r="110">
          <cell r="B110" t="str">
            <v>Corte hacia AFUERA, no hacia su cuerpo para evitar cortarse.Use una herramienta estabilizadora, no sus dedos, para detener lo que va a cortar. Mantenga sus dedos a la vista y lejos del área de corte para evitar cortarse.Use utensilios para empujar el alim</v>
          </cell>
        </row>
        <row r="111">
          <cell r="B111" t="str">
            <v>Verificar que se cumpla con las normas de trabajo seguro frente a videoterminales. Implementar pausas activas.realizar evaluaciones medicas ocupacionales (VISIOMETRIAS) al personal (EXAMEN DE INGRESO, PERIODICOS Y DE RETIRO). utilizar pantallas antireflec</v>
          </cell>
        </row>
        <row r="112">
          <cell r="B112" t="str">
            <v>Promover la realización de capacitaciones sobre comunicación asertiva, manejo de clientes difíciles,  clima organizacional y manejo del estrés..Promover la práctica de pausas activas en el puesto de trabajo y práctica de Estilos de vida laboral saludables</v>
          </cell>
        </row>
        <row r="113">
          <cell r="B113" t="str">
            <v>Verificar que se cumpla con las normas de trabajo seguro frente a videoterminales. Implementar pausas activas.</v>
          </cell>
        </row>
        <row r="114">
          <cell r="B114" t="str">
            <v>Rotación de personal o rotación de tareas durante la jornada laboral,Periodicamente capacitar en Higiene Postural                                                                   Implementar Programa de Pausas Activas o de acondicionamiento físico Para l</v>
          </cell>
        </row>
        <row r="115">
          <cell r="B115" t="str">
            <v>Capacitar al personal en Seguridad y Sistemas de Almacenamiento y en autocuidado.</v>
          </cell>
        </row>
        <row r="116">
          <cell r="B116" t="str">
            <v>Capacitar al personal en manejo de situaciones dificiles y medidas de actuación frente a emergencias</v>
          </cell>
        </row>
        <row r="117">
          <cell r="B117" t="str">
            <v>Definir procedimientos de trabajo</v>
          </cell>
        </row>
        <row r="118">
          <cell r="B118" t="str">
            <v>Realizar inspecciones de seguridad</v>
          </cell>
        </row>
        <row r="119">
          <cell r="B119" t="str">
            <v>Señalizar áreas criticas y riesgos en las áreas de trabajo</v>
          </cell>
        </row>
        <row r="120">
          <cell r="B120" t="str">
            <v>Adaptación del trabajo</v>
          </cell>
        </row>
        <row r="121">
          <cell r="B121" t="str">
            <v>Disminuir el tiempo de exposición.</v>
          </cell>
        </row>
        <row r="122">
          <cell r="B122" t="str">
            <v>Vigilancia médica</v>
          </cell>
        </row>
        <row r="123">
          <cell r="B123" t="str">
            <v>No comer/ beber/ fumar en el lugar de trabajo</v>
          </cell>
        </row>
        <row r="124">
          <cell r="B124" t="str">
            <v>Implementra programas de clima laboral</v>
          </cell>
        </row>
        <row r="125">
          <cell r="B125" t="str">
            <v>Periodos de descanso</v>
          </cell>
        </row>
        <row r="126">
          <cell r="B126" t="str">
            <v>Implementar programa de Orden y Aseo, Colocar señalización que resalte el Orden y Aseo en las Instalaciones, Continuar con las inspecciones de seguridad</v>
          </cell>
        </row>
        <row r="127">
          <cell r="B127" t="str">
            <v>Capacidades físicas y mentales de la persona</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PP - Pavimento"/>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vo"/>
      <sheetName val="OBRAS"/>
      <sheetName val="RESUMEN"/>
    </sheetNames>
    <sheetDataSet>
      <sheetData sheetId="0"/>
      <sheetData sheetId="1">
        <row r="1">
          <cell r="IK1">
            <v>1</v>
          </cell>
          <cell r="IL1" t="str">
            <v>Riesgo Trivial</v>
          </cell>
        </row>
        <row r="2">
          <cell r="IK2">
            <v>2</v>
          </cell>
          <cell r="IL2" t="str">
            <v>Riesgo Tolerable</v>
          </cell>
        </row>
        <row r="3">
          <cell r="IK3">
            <v>3</v>
          </cell>
          <cell r="IL3" t="str">
            <v>Riesgo Moderado</v>
          </cell>
        </row>
        <row r="4">
          <cell r="IK4">
            <v>4</v>
          </cell>
          <cell r="IL4" t="str">
            <v>Riesgo Tolerable</v>
          </cell>
        </row>
        <row r="5">
          <cell r="IK5">
            <v>6</v>
          </cell>
          <cell r="IL5" t="str">
            <v>Riesgo Moderado</v>
          </cell>
        </row>
        <row r="6">
          <cell r="IK6">
            <v>8</v>
          </cell>
          <cell r="IL6" t="str">
            <v>Riesgo Moderado</v>
          </cell>
        </row>
        <row r="7">
          <cell r="IK7">
            <v>9</v>
          </cell>
          <cell r="IL7" t="str">
            <v>Riesgo Moderado</v>
          </cell>
        </row>
        <row r="8">
          <cell r="IK8">
            <v>12</v>
          </cell>
          <cell r="IL8" t="str">
            <v>Riesgo Importante</v>
          </cell>
        </row>
        <row r="9">
          <cell r="IK9">
            <v>18</v>
          </cell>
          <cell r="IL9" t="str">
            <v>Riesgo Importante</v>
          </cell>
        </row>
        <row r="10">
          <cell r="IK10">
            <v>27</v>
          </cell>
          <cell r="IL10" t="str">
            <v>Riesgo Intolerable</v>
          </cell>
        </row>
      </sheetData>
      <sheetData sheetId="2"/>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4.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5.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9.xml.rels><?xml version="1.0" encoding="UTF-8" standalone="yes"?>
<Relationships xmlns="http://schemas.openxmlformats.org/package/2006/relationships"><Relationship Id="rId1" Type="http://schemas.openxmlformats.org/officeDocument/2006/relationships/hyperlink" Target="../../AppData/Local/Microsoft/Windows/Temporary%20Internet%20Files/Content.IE5/QQTDQRQU/Documents%20and%20Settings/Administrador.LICITACIONESFM/Escritorio/usuario/Escritorio/PORTICOS/03_Matriz%20de%20riesgos.%20Feb%202013..xls"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32"/>
  <sheetViews>
    <sheetView topLeftCell="A31" workbookViewId="0">
      <selection activeCell="C32" sqref="C32"/>
    </sheetView>
  </sheetViews>
  <sheetFormatPr baseColWidth="10" defaultRowHeight="14.25" x14ac:dyDescent="0.2"/>
  <cols>
    <col min="1" max="1" width="23.375" customWidth="1"/>
    <col min="2" max="2" width="41.5" customWidth="1"/>
    <col min="3" max="3" width="33" customWidth="1"/>
  </cols>
  <sheetData>
    <row r="1" spans="1:3" ht="48" customHeight="1" x14ac:dyDescent="0.2">
      <c r="A1" s="284"/>
      <c r="B1" s="304" t="s">
        <v>516</v>
      </c>
      <c r="C1" s="305"/>
    </row>
    <row r="2" spans="1:3" x14ac:dyDescent="0.2">
      <c r="A2" s="285"/>
      <c r="B2" s="285"/>
      <c r="C2" s="285"/>
    </row>
    <row r="3" spans="1:3" x14ac:dyDescent="0.2">
      <c r="A3" s="286" t="s">
        <v>517</v>
      </c>
      <c r="B3" s="286" t="s">
        <v>872</v>
      </c>
      <c r="C3" s="286" t="s">
        <v>463</v>
      </c>
    </row>
    <row r="4" spans="1:3" ht="67.5" x14ac:dyDescent="0.2">
      <c r="A4" s="287">
        <v>43621</v>
      </c>
      <c r="B4" s="288" t="s">
        <v>873</v>
      </c>
      <c r="C4" s="289" t="s">
        <v>518</v>
      </c>
    </row>
    <row r="5" spans="1:3" ht="115.5" customHeight="1" x14ac:dyDescent="0.2">
      <c r="A5" s="290">
        <v>43922</v>
      </c>
      <c r="B5" s="291" t="s">
        <v>519</v>
      </c>
      <c r="C5" s="291" t="s">
        <v>520</v>
      </c>
    </row>
    <row r="6" spans="1:3" ht="67.5" x14ac:dyDescent="0.25">
      <c r="A6" s="292">
        <v>44306</v>
      </c>
      <c r="B6" s="293" t="s">
        <v>874</v>
      </c>
      <c r="C6" s="294" t="s">
        <v>533</v>
      </c>
    </row>
    <row r="7" spans="1:3" ht="121.5" x14ac:dyDescent="0.25">
      <c r="A7" s="292">
        <v>44770</v>
      </c>
      <c r="B7" s="293" t="s">
        <v>875</v>
      </c>
      <c r="C7" s="294" t="s">
        <v>914</v>
      </c>
    </row>
    <row r="8" spans="1:3" ht="51" x14ac:dyDescent="0.2">
      <c r="A8" s="109">
        <v>44770</v>
      </c>
      <c r="B8" s="110" t="s">
        <v>876</v>
      </c>
      <c r="C8" s="111" t="s">
        <v>914</v>
      </c>
    </row>
    <row r="9" spans="1:3" ht="63.75" x14ac:dyDescent="0.2">
      <c r="A9" s="112">
        <v>44904</v>
      </c>
      <c r="B9" s="113" t="s">
        <v>877</v>
      </c>
      <c r="C9" s="114" t="s">
        <v>535</v>
      </c>
    </row>
    <row r="10" spans="1:3" ht="51" x14ac:dyDescent="0.2">
      <c r="A10" s="112">
        <v>44904</v>
      </c>
      <c r="B10" s="113" t="s">
        <v>899</v>
      </c>
      <c r="C10" s="114" t="s">
        <v>535</v>
      </c>
    </row>
    <row r="11" spans="1:3" ht="29.25" customHeight="1" x14ac:dyDescent="0.2">
      <c r="A11" s="116">
        <v>45015</v>
      </c>
      <c r="B11" s="117" t="s">
        <v>920</v>
      </c>
      <c r="C11" s="117" t="s">
        <v>535</v>
      </c>
    </row>
    <row r="12" spans="1:3" ht="57" customHeight="1" x14ac:dyDescent="0.25">
      <c r="A12" s="295">
        <v>45124</v>
      </c>
      <c r="B12" s="296" t="s">
        <v>915</v>
      </c>
      <c r="C12" s="297" t="s">
        <v>916</v>
      </c>
    </row>
    <row r="13" spans="1:3" ht="108" x14ac:dyDescent="0.25">
      <c r="A13" s="295">
        <v>45132</v>
      </c>
      <c r="B13" s="296" t="s">
        <v>919</v>
      </c>
      <c r="C13" s="298" t="s">
        <v>913</v>
      </c>
    </row>
    <row r="14" spans="1:3" ht="67.5" x14ac:dyDescent="0.2">
      <c r="A14" s="295">
        <v>45132</v>
      </c>
      <c r="B14" s="303" t="s">
        <v>918</v>
      </c>
      <c r="C14" s="298" t="s">
        <v>913</v>
      </c>
    </row>
    <row r="15" spans="1:3" ht="54" x14ac:dyDescent="0.25">
      <c r="A15" s="295">
        <v>45142</v>
      </c>
      <c r="B15" s="296" t="s">
        <v>1600</v>
      </c>
      <c r="C15" s="298" t="s">
        <v>921</v>
      </c>
    </row>
    <row r="16" spans="1:3" ht="94.5" x14ac:dyDescent="0.25">
      <c r="A16" s="295">
        <v>45307</v>
      </c>
      <c r="B16" s="296" t="s">
        <v>1477</v>
      </c>
      <c r="C16" s="298" t="s">
        <v>1282</v>
      </c>
    </row>
    <row r="17" spans="1:3" ht="108" x14ac:dyDescent="0.25">
      <c r="A17" s="295">
        <v>45356</v>
      </c>
      <c r="B17" s="296" t="s">
        <v>1478</v>
      </c>
      <c r="C17" s="298" t="s">
        <v>1282</v>
      </c>
    </row>
    <row r="18" spans="1:3" ht="162" x14ac:dyDescent="0.25">
      <c r="A18" s="295">
        <v>45356</v>
      </c>
      <c r="B18" s="296" t="s">
        <v>1426</v>
      </c>
      <c r="C18" s="298" t="s">
        <v>1282</v>
      </c>
    </row>
    <row r="19" spans="1:3" ht="102.75" customHeight="1" x14ac:dyDescent="0.2">
      <c r="A19" s="295">
        <v>45383</v>
      </c>
      <c r="B19" s="302" t="s">
        <v>1599</v>
      </c>
      <c r="C19" s="298" t="s">
        <v>1282</v>
      </c>
    </row>
    <row r="20" spans="1:3" ht="56.25" customHeight="1" x14ac:dyDescent="0.25">
      <c r="A20" s="295">
        <v>45601</v>
      </c>
      <c r="B20" s="296" t="s">
        <v>1289</v>
      </c>
      <c r="C20" s="298" t="s">
        <v>1282</v>
      </c>
    </row>
    <row r="21" spans="1:3" ht="72" customHeight="1" x14ac:dyDescent="0.2">
      <c r="A21" s="295">
        <v>45602</v>
      </c>
      <c r="B21" s="303" t="s">
        <v>1476</v>
      </c>
      <c r="C21" s="298" t="s">
        <v>1282</v>
      </c>
    </row>
    <row r="22" spans="1:3" ht="54" x14ac:dyDescent="0.2">
      <c r="A22" s="295">
        <v>45612</v>
      </c>
      <c r="B22" s="298" t="s">
        <v>1291</v>
      </c>
      <c r="C22" s="298" t="s">
        <v>1282</v>
      </c>
    </row>
    <row r="23" spans="1:3" ht="67.5" x14ac:dyDescent="0.25">
      <c r="A23" s="295">
        <v>45615</v>
      </c>
      <c r="B23" s="296" t="s">
        <v>1301</v>
      </c>
      <c r="C23" s="298" t="s">
        <v>1282</v>
      </c>
    </row>
    <row r="24" spans="1:3" ht="27" x14ac:dyDescent="0.25">
      <c r="A24" s="295">
        <v>45652</v>
      </c>
      <c r="B24" s="296" t="s">
        <v>1308</v>
      </c>
      <c r="C24" s="298" t="s">
        <v>1282</v>
      </c>
    </row>
    <row r="25" spans="1:3" ht="108.75" customHeight="1" x14ac:dyDescent="0.2">
      <c r="A25" s="295">
        <v>45681</v>
      </c>
      <c r="B25" s="303" t="s">
        <v>1481</v>
      </c>
      <c r="C25" s="298" t="s">
        <v>1282</v>
      </c>
    </row>
    <row r="26" spans="1:3" ht="80.25" customHeight="1" x14ac:dyDescent="0.2">
      <c r="A26" s="295">
        <v>45777</v>
      </c>
      <c r="B26" s="303" t="s">
        <v>1602</v>
      </c>
      <c r="C26" s="298" t="s">
        <v>1479</v>
      </c>
    </row>
    <row r="27" spans="1:3" ht="135" x14ac:dyDescent="0.2">
      <c r="A27" s="295">
        <v>45782</v>
      </c>
      <c r="B27" s="303" t="s">
        <v>1601</v>
      </c>
      <c r="C27" s="298" t="s">
        <v>1282</v>
      </c>
    </row>
    <row r="28" spans="1:3" ht="67.5" x14ac:dyDescent="0.2">
      <c r="A28" s="295">
        <v>45807</v>
      </c>
      <c r="B28" s="303" t="s">
        <v>1603</v>
      </c>
      <c r="C28" s="298" t="s">
        <v>1282</v>
      </c>
    </row>
    <row r="29" spans="1:3" ht="54" x14ac:dyDescent="0.25">
      <c r="A29" s="295">
        <v>45870</v>
      </c>
      <c r="B29" s="296" t="s">
        <v>1574</v>
      </c>
      <c r="C29" s="298" t="s">
        <v>1573</v>
      </c>
    </row>
    <row r="30" spans="1:3" ht="81" x14ac:dyDescent="0.25">
      <c r="A30" s="295">
        <v>45940</v>
      </c>
      <c r="B30" s="296" t="s">
        <v>1607</v>
      </c>
      <c r="C30" s="298" t="s">
        <v>1573</v>
      </c>
    </row>
    <row r="31" spans="1:3" ht="108" x14ac:dyDescent="0.2">
      <c r="A31" s="295">
        <v>45973</v>
      </c>
      <c r="B31" s="303" t="s">
        <v>1606</v>
      </c>
      <c r="C31" s="298" t="s">
        <v>1573</v>
      </c>
    </row>
    <row r="32" spans="1:3" ht="27" x14ac:dyDescent="0.2">
      <c r="A32" s="295">
        <v>46084</v>
      </c>
      <c r="B32" s="303"/>
      <c r="C32" s="298" t="s">
        <v>1611</v>
      </c>
    </row>
  </sheetData>
  <autoFilter ref="A3:C29" xr:uid="{00000000-0001-0000-0600-000000000000}"/>
  <mergeCells count="1">
    <mergeCell ref="B1:C1"/>
  </mergeCells>
  <pageMargins left="0.7" right="0.7" top="0.75" bottom="0.75" header="0.3" footer="0.3"/>
  <pageSetup orientation="portrait"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O123"/>
  <sheetViews>
    <sheetView topLeftCell="A28" workbookViewId="0">
      <selection activeCell="C35" sqref="C35:F35"/>
    </sheetView>
  </sheetViews>
  <sheetFormatPr baseColWidth="10" defaultRowHeight="14.25" x14ac:dyDescent="0.2"/>
  <cols>
    <col min="1" max="1" width="17.375" customWidth="1"/>
    <col min="2" max="2" width="13.625" customWidth="1"/>
    <col min="3" max="3" width="12.25" customWidth="1"/>
    <col min="4" max="4" width="14.375" customWidth="1"/>
  </cols>
  <sheetData>
    <row r="1" spans="1:15" ht="54" customHeight="1" x14ac:dyDescent="0.2">
      <c r="A1" s="7"/>
      <c r="B1" s="306" t="s">
        <v>203</v>
      </c>
      <c r="C1" s="306"/>
      <c r="D1" s="306"/>
      <c r="E1" s="306"/>
      <c r="F1" s="306"/>
      <c r="G1" s="3"/>
      <c r="H1" s="3"/>
      <c r="I1" s="3"/>
      <c r="J1" s="3"/>
      <c r="K1" s="3"/>
      <c r="L1" s="3"/>
      <c r="M1" s="3"/>
      <c r="N1" s="2"/>
      <c r="O1" s="2"/>
    </row>
    <row r="2" spans="1:15" x14ac:dyDescent="0.2">
      <c r="A2" s="27"/>
      <c r="B2" s="27"/>
      <c r="C2" s="27"/>
      <c r="D2" s="27"/>
      <c r="E2" s="28"/>
      <c r="F2" s="27"/>
      <c r="G2" s="2"/>
      <c r="H2" s="2"/>
      <c r="I2" s="3"/>
      <c r="J2" s="2"/>
      <c r="K2" s="2"/>
      <c r="L2" s="2"/>
      <c r="M2" s="2"/>
      <c r="N2" s="2"/>
      <c r="O2" s="2"/>
    </row>
    <row r="3" spans="1:15" s="6" customFormat="1" x14ac:dyDescent="0.2">
      <c r="A3" s="311" t="s">
        <v>9</v>
      </c>
      <c r="B3" s="311"/>
      <c r="C3" s="311"/>
      <c r="D3" s="311"/>
      <c r="E3" s="30"/>
      <c r="F3" s="29"/>
      <c r="G3" s="8"/>
      <c r="H3" s="8"/>
      <c r="I3" s="31"/>
      <c r="J3" s="8"/>
      <c r="K3" s="8"/>
      <c r="L3" s="8"/>
      <c r="M3" s="8"/>
      <c r="N3" s="8"/>
      <c r="O3" s="8"/>
    </row>
    <row r="4" spans="1:15" s="6" customFormat="1" x14ac:dyDescent="0.2">
      <c r="A4" s="40" t="s">
        <v>10</v>
      </c>
      <c r="B4" s="40" t="s">
        <v>11</v>
      </c>
      <c r="C4" s="313" t="s">
        <v>12</v>
      </c>
      <c r="D4" s="313"/>
      <c r="E4" s="313"/>
      <c r="F4" s="313"/>
      <c r="G4" s="8"/>
      <c r="H4" s="8"/>
      <c r="I4" s="31"/>
      <c r="J4" s="8"/>
      <c r="K4" s="8"/>
      <c r="L4" s="8"/>
      <c r="M4" s="8"/>
      <c r="N4" s="8"/>
      <c r="O4" s="8"/>
    </row>
    <row r="5" spans="1:15" s="6" customFormat="1" ht="45.75" customHeight="1" x14ac:dyDescent="0.2">
      <c r="A5" s="46" t="s">
        <v>181</v>
      </c>
      <c r="B5" s="22">
        <v>10</v>
      </c>
      <c r="C5" s="310" t="s">
        <v>14</v>
      </c>
      <c r="D5" s="310"/>
      <c r="E5" s="310"/>
      <c r="F5" s="310"/>
      <c r="G5" s="8"/>
      <c r="H5" s="8"/>
      <c r="I5" s="31"/>
      <c r="J5" s="8"/>
      <c r="K5" s="8"/>
      <c r="L5" s="8"/>
      <c r="M5" s="8"/>
      <c r="N5" s="8"/>
      <c r="O5" s="8"/>
    </row>
    <row r="6" spans="1:15" s="6" customFormat="1" ht="45.75" customHeight="1" x14ac:dyDescent="0.2">
      <c r="A6" s="47" t="s">
        <v>182</v>
      </c>
      <c r="B6" s="22">
        <v>6</v>
      </c>
      <c r="C6" s="310" t="s">
        <v>16</v>
      </c>
      <c r="D6" s="310"/>
      <c r="E6" s="310"/>
      <c r="F6" s="310"/>
      <c r="G6" s="8"/>
      <c r="H6" s="8"/>
      <c r="I6" s="31"/>
      <c r="J6" s="8"/>
      <c r="K6" s="8"/>
      <c r="L6" s="8"/>
      <c r="M6" s="8"/>
      <c r="N6" s="8"/>
      <c r="O6" s="8"/>
    </row>
    <row r="7" spans="1:15" s="6" customFormat="1" ht="45.75" customHeight="1" x14ac:dyDescent="0.2">
      <c r="A7" s="48" t="s">
        <v>183</v>
      </c>
      <c r="B7" s="22">
        <v>2</v>
      </c>
      <c r="C7" s="310" t="s">
        <v>18</v>
      </c>
      <c r="D7" s="310"/>
      <c r="E7" s="310"/>
      <c r="F7" s="310"/>
      <c r="G7" s="8"/>
      <c r="H7" s="8"/>
      <c r="I7" s="31"/>
      <c r="J7" s="8"/>
      <c r="K7" s="8"/>
      <c r="L7" s="8"/>
      <c r="M7" s="8"/>
      <c r="N7" s="8"/>
      <c r="O7" s="8"/>
    </row>
    <row r="8" spans="1:15" s="6" customFormat="1" ht="45.75" customHeight="1" x14ac:dyDescent="0.2">
      <c r="A8" s="49" t="s">
        <v>184</v>
      </c>
      <c r="B8" s="26" t="s">
        <v>20</v>
      </c>
      <c r="C8" s="310" t="s">
        <v>21</v>
      </c>
      <c r="D8" s="310"/>
      <c r="E8" s="310"/>
      <c r="F8" s="310"/>
      <c r="G8" s="33"/>
      <c r="H8" s="31"/>
      <c r="I8" s="31"/>
      <c r="J8" s="8"/>
      <c r="K8" s="8"/>
      <c r="L8" s="8"/>
      <c r="M8" s="8"/>
      <c r="N8" s="8"/>
      <c r="O8" s="8"/>
    </row>
    <row r="9" spans="1:15" s="6" customFormat="1" ht="6.75" customHeight="1" x14ac:dyDescent="0.2">
      <c r="A9" s="29"/>
      <c r="B9" s="30"/>
      <c r="C9" s="30"/>
      <c r="D9" s="30"/>
      <c r="E9" s="30"/>
      <c r="F9" s="30"/>
      <c r="G9" s="31"/>
      <c r="H9" s="31"/>
      <c r="I9" s="31"/>
      <c r="J9" s="31"/>
      <c r="K9" s="31"/>
      <c r="L9" s="31"/>
      <c r="M9" s="31"/>
      <c r="N9" s="8"/>
      <c r="O9" s="8"/>
    </row>
    <row r="10" spans="1:15" s="6" customFormat="1" ht="21" customHeight="1" x14ac:dyDescent="0.2">
      <c r="A10" s="312" t="s">
        <v>22</v>
      </c>
      <c r="B10" s="312"/>
      <c r="C10" s="312"/>
      <c r="D10" s="312"/>
      <c r="E10" s="312"/>
      <c r="F10" s="29"/>
      <c r="G10" s="8"/>
      <c r="H10" s="8"/>
      <c r="I10" s="31"/>
      <c r="J10" s="8"/>
      <c r="K10" s="8"/>
      <c r="L10" s="8"/>
      <c r="M10" s="8"/>
      <c r="N10" s="8"/>
      <c r="O10" s="8"/>
    </row>
    <row r="11" spans="1:15" s="6" customFormat="1" x14ac:dyDescent="0.2">
      <c r="A11" s="41" t="s">
        <v>23</v>
      </c>
      <c r="B11" s="41" t="s">
        <v>24</v>
      </c>
      <c r="C11" s="323" t="s">
        <v>12</v>
      </c>
      <c r="D11" s="323"/>
      <c r="E11" s="323"/>
      <c r="F11" s="323"/>
      <c r="G11" s="8"/>
      <c r="H11" s="8"/>
      <c r="I11" s="31"/>
      <c r="J11" s="8"/>
      <c r="K11" s="8"/>
      <c r="L11" s="8"/>
      <c r="M11" s="8"/>
      <c r="N11" s="8"/>
      <c r="O11" s="8"/>
    </row>
    <row r="12" spans="1:15" s="6" customFormat="1" ht="30" customHeight="1" x14ac:dyDescent="0.2">
      <c r="A12" s="42" t="s">
        <v>25</v>
      </c>
      <c r="B12" s="26">
        <v>4</v>
      </c>
      <c r="C12" s="310" t="s">
        <v>26</v>
      </c>
      <c r="D12" s="310"/>
      <c r="E12" s="310"/>
      <c r="F12" s="310"/>
      <c r="G12" s="8"/>
      <c r="H12" s="8"/>
      <c r="I12" s="31"/>
      <c r="J12" s="8"/>
      <c r="K12" s="8"/>
      <c r="L12" s="8"/>
      <c r="M12" s="8"/>
      <c r="N12" s="8"/>
      <c r="O12" s="8"/>
    </row>
    <row r="13" spans="1:15" s="6" customFormat="1" ht="30" customHeight="1" x14ac:dyDescent="0.2">
      <c r="A13" s="43" t="s">
        <v>27</v>
      </c>
      <c r="B13" s="26">
        <v>3</v>
      </c>
      <c r="C13" s="310" t="s">
        <v>28</v>
      </c>
      <c r="D13" s="310"/>
      <c r="E13" s="310"/>
      <c r="F13" s="310"/>
      <c r="G13" s="8"/>
      <c r="H13" s="8"/>
      <c r="I13" s="31"/>
      <c r="J13" s="8"/>
      <c r="K13" s="8"/>
      <c r="L13" s="8"/>
      <c r="M13" s="8"/>
      <c r="N13" s="8"/>
      <c r="O13" s="8"/>
    </row>
    <row r="14" spans="1:15" s="6" customFormat="1" ht="30" customHeight="1" x14ac:dyDescent="0.2">
      <c r="A14" s="44" t="s">
        <v>29</v>
      </c>
      <c r="B14" s="26">
        <v>2</v>
      </c>
      <c r="C14" s="310" t="s">
        <v>30</v>
      </c>
      <c r="D14" s="310"/>
      <c r="E14" s="310"/>
      <c r="F14" s="310"/>
      <c r="G14" s="8"/>
      <c r="H14" s="8"/>
      <c r="I14" s="31"/>
      <c r="J14" s="8"/>
      <c r="K14" s="8"/>
      <c r="L14" s="8"/>
      <c r="M14" s="8"/>
      <c r="N14" s="8"/>
      <c r="O14" s="8"/>
    </row>
    <row r="15" spans="1:15" s="6" customFormat="1" ht="30" customHeight="1" x14ac:dyDescent="0.2">
      <c r="A15" s="45" t="s">
        <v>31</v>
      </c>
      <c r="B15" s="26">
        <v>1</v>
      </c>
      <c r="C15" s="310" t="s">
        <v>32</v>
      </c>
      <c r="D15" s="310"/>
      <c r="E15" s="310"/>
      <c r="F15" s="310"/>
      <c r="G15" s="8"/>
      <c r="H15" s="8"/>
      <c r="I15" s="31"/>
      <c r="J15" s="8"/>
      <c r="K15" s="8"/>
      <c r="L15" s="8"/>
      <c r="M15" s="8"/>
      <c r="N15" s="8"/>
      <c r="O15" s="8"/>
    </row>
    <row r="16" spans="1:15" s="6" customFormat="1" ht="10.5" customHeight="1" x14ac:dyDescent="0.2">
      <c r="A16" s="29"/>
      <c r="B16" s="34"/>
      <c r="C16" s="34"/>
      <c r="D16" s="34"/>
      <c r="E16" s="30"/>
      <c r="F16" s="32"/>
      <c r="G16" s="33"/>
      <c r="H16" s="33"/>
      <c r="I16" s="31"/>
      <c r="J16" s="8"/>
      <c r="K16" s="8"/>
      <c r="L16" s="8"/>
      <c r="M16" s="8"/>
      <c r="N16" s="8"/>
      <c r="O16" s="8"/>
    </row>
    <row r="17" spans="1:15" s="6" customFormat="1" ht="18.75" customHeight="1" x14ac:dyDescent="0.2">
      <c r="A17" s="314" t="s">
        <v>33</v>
      </c>
      <c r="B17" s="314"/>
      <c r="C17" s="314"/>
      <c r="D17" s="314"/>
      <c r="E17" s="314"/>
      <c r="F17" s="29"/>
      <c r="G17" s="33"/>
      <c r="H17" s="33"/>
      <c r="I17" s="31"/>
      <c r="J17" s="35"/>
      <c r="K17" s="35"/>
      <c r="L17" s="33"/>
      <c r="M17" s="31"/>
      <c r="N17" s="8"/>
      <c r="O17" s="8"/>
    </row>
    <row r="18" spans="1:15" s="6" customFormat="1" ht="13.5" customHeight="1" x14ac:dyDescent="0.2">
      <c r="A18" s="315" t="s">
        <v>34</v>
      </c>
      <c r="B18" s="315"/>
      <c r="C18" s="329" t="s">
        <v>35</v>
      </c>
      <c r="D18" s="330"/>
      <c r="E18" s="331"/>
      <c r="F18" s="29"/>
      <c r="G18" s="33"/>
      <c r="H18" s="33"/>
      <c r="I18" s="31"/>
      <c r="J18" s="35"/>
      <c r="K18" s="35"/>
      <c r="L18" s="33"/>
      <c r="M18" s="31"/>
      <c r="N18" s="8"/>
      <c r="O18" s="8"/>
    </row>
    <row r="19" spans="1:15" s="6" customFormat="1" ht="14.25" customHeight="1" x14ac:dyDescent="0.2">
      <c r="A19" s="315"/>
      <c r="B19" s="315"/>
      <c r="C19" s="50">
        <v>4</v>
      </c>
      <c r="D19" s="51">
        <v>3</v>
      </c>
      <c r="E19" s="51">
        <v>2</v>
      </c>
      <c r="F19" s="29"/>
      <c r="G19" s="33"/>
      <c r="H19" s="33"/>
      <c r="I19" s="31"/>
      <c r="J19" s="35"/>
      <c r="K19" s="35"/>
      <c r="L19" s="33"/>
      <c r="M19" s="31"/>
      <c r="N19" s="8"/>
      <c r="O19" s="8"/>
    </row>
    <row r="20" spans="1:15" s="6" customFormat="1" ht="28.5" customHeight="1" x14ac:dyDescent="0.2">
      <c r="A20" s="324" t="s">
        <v>36</v>
      </c>
      <c r="B20" s="51">
        <v>10</v>
      </c>
      <c r="C20" s="52" t="s">
        <v>37</v>
      </c>
      <c r="D20" s="52" t="s">
        <v>38</v>
      </c>
      <c r="E20" s="52" t="s">
        <v>39</v>
      </c>
      <c r="F20" s="29"/>
      <c r="G20" s="33"/>
      <c r="H20" s="33"/>
      <c r="I20" s="31"/>
      <c r="J20" s="35"/>
      <c r="K20" s="35"/>
      <c r="L20" s="33"/>
      <c r="M20" s="31"/>
      <c r="N20" s="8"/>
      <c r="O20" s="8"/>
    </row>
    <row r="21" spans="1:15" s="6" customFormat="1" ht="28.5" customHeight="1" x14ac:dyDescent="0.2">
      <c r="A21" s="324"/>
      <c r="B21" s="51">
        <v>6</v>
      </c>
      <c r="C21" s="53" t="s">
        <v>40</v>
      </c>
      <c r="D21" s="52" t="s">
        <v>41</v>
      </c>
      <c r="E21" s="52" t="s">
        <v>42</v>
      </c>
      <c r="F21" s="29"/>
      <c r="G21" s="33"/>
      <c r="H21" s="33"/>
      <c r="I21" s="31"/>
      <c r="J21" s="35"/>
      <c r="K21" s="35"/>
      <c r="L21" s="33"/>
      <c r="M21" s="31"/>
      <c r="N21" s="8"/>
      <c r="O21" s="8"/>
    </row>
    <row r="22" spans="1:15" s="6" customFormat="1" ht="28.5" customHeight="1" x14ac:dyDescent="0.2">
      <c r="A22" s="324"/>
      <c r="B22" s="51">
        <v>2</v>
      </c>
      <c r="C22" s="54" t="s">
        <v>44</v>
      </c>
      <c r="D22" s="55" t="s">
        <v>43</v>
      </c>
      <c r="E22" s="51" t="s">
        <v>45</v>
      </c>
      <c r="F22" s="29"/>
      <c r="G22" s="33"/>
      <c r="H22" s="33"/>
      <c r="I22" s="31"/>
      <c r="J22" s="35"/>
      <c r="K22" s="35"/>
      <c r="L22" s="33"/>
      <c r="M22" s="31"/>
      <c r="N22" s="8"/>
      <c r="O22" s="8"/>
    </row>
    <row r="23" spans="1:15" s="6" customFormat="1" ht="9" customHeight="1" x14ac:dyDescent="0.2">
      <c r="A23" s="81"/>
      <c r="B23" s="82"/>
      <c r="C23" s="82"/>
      <c r="D23" s="82"/>
      <c r="E23" s="82"/>
      <c r="F23" s="29"/>
      <c r="G23" s="33"/>
      <c r="H23" s="33"/>
      <c r="I23" s="31"/>
      <c r="J23" s="35"/>
      <c r="K23" s="35"/>
      <c r="L23" s="33"/>
      <c r="M23" s="31"/>
      <c r="N23" s="8"/>
      <c r="O23" s="8"/>
    </row>
    <row r="24" spans="1:15" s="6" customFormat="1" ht="27.75" customHeight="1" x14ac:dyDescent="0.2">
      <c r="A24" s="314" t="s">
        <v>46</v>
      </c>
      <c r="B24" s="314"/>
      <c r="C24" s="314"/>
      <c r="D24" s="314"/>
      <c r="E24" s="314"/>
      <c r="F24" s="29"/>
      <c r="G24" s="33"/>
      <c r="H24" s="33"/>
      <c r="I24" s="31"/>
      <c r="J24" s="35"/>
      <c r="K24" s="35"/>
      <c r="L24" s="33"/>
      <c r="M24" s="31"/>
      <c r="N24" s="8"/>
      <c r="O24" s="8"/>
    </row>
    <row r="25" spans="1:15" s="6" customFormat="1" ht="24" customHeight="1" x14ac:dyDescent="0.2">
      <c r="A25" s="40" t="s">
        <v>34</v>
      </c>
      <c r="B25" s="40" t="s">
        <v>47</v>
      </c>
      <c r="C25" s="313" t="s">
        <v>12</v>
      </c>
      <c r="D25" s="313"/>
      <c r="E25" s="313"/>
      <c r="F25" s="313"/>
      <c r="G25" s="33"/>
      <c r="H25" s="33"/>
      <c r="I25" s="31"/>
      <c r="J25" s="35"/>
      <c r="K25" s="35"/>
      <c r="L25" s="33"/>
      <c r="M25" s="31"/>
      <c r="N25" s="8"/>
      <c r="O25" s="8"/>
    </row>
    <row r="26" spans="1:15" s="6" customFormat="1" ht="33" customHeight="1" x14ac:dyDescent="0.2">
      <c r="A26" s="56" t="s">
        <v>13</v>
      </c>
      <c r="B26" s="20" t="s">
        <v>48</v>
      </c>
      <c r="C26" s="325" t="s">
        <v>49</v>
      </c>
      <c r="D26" s="325"/>
      <c r="E26" s="325"/>
      <c r="F26" s="325"/>
      <c r="G26" s="33"/>
      <c r="H26" s="33"/>
      <c r="I26" s="31"/>
      <c r="J26" s="35"/>
      <c r="K26" s="35"/>
      <c r="L26" s="33"/>
      <c r="M26" s="31"/>
      <c r="N26" s="8"/>
      <c r="O26" s="8"/>
    </row>
    <row r="27" spans="1:15" s="6" customFormat="1" ht="33" customHeight="1" x14ac:dyDescent="0.2">
      <c r="A27" s="58" t="s">
        <v>15</v>
      </c>
      <c r="B27" s="20" t="s">
        <v>50</v>
      </c>
      <c r="C27" s="325" t="s">
        <v>51</v>
      </c>
      <c r="D27" s="325"/>
      <c r="E27" s="325"/>
      <c r="F27" s="325"/>
      <c r="G27" s="33"/>
      <c r="H27" s="33"/>
      <c r="I27" s="31"/>
      <c r="J27" s="35"/>
      <c r="K27" s="35"/>
      <c r="L27" s="33"/>
      <c r="M27" s="31"/>
      <c r="N27" s="8"/>
      <c r="O27" s="8"/>
    </row>
    <row r="28" spans="1:15" s="6" customFormat="1" ht="33" customHeight="1" x14ac:dyDescent="0.2">
      <c r="A28" s="57" t="s">
        <v>17</v>
      </c>
      <c r="B28" s="20" t="s">
        <v>52</v>
      </c>
      <c r="C28" s="325" t="s">
        <v>53</v>
      </c>
      <c r="D28" s="325"/>
      <c r="E28" s="325"/>
      <c r="F28" s="325"/>
      <c r="G28" s="33"/>
      <c r="H28" s="33"/>
      <c r="I28" s="31"/>
      <c r="J28" s="35"/>
      <c r="K28" s="35"/>
      <c r="L28" s="33"/>
      <c r="M28" s="31"/>
      <c r="N28" s="8"/>
      <c r="O28" s="8"/>
    </row>
    <row r="29" spans="1:15" s="6" customFormat="1" ht="33" customHeight="1" x14ac:dyDescent="0.2">
      <c r="A29" s="45" t="s">
        <v>19</v>
      </c>
      <c r="B29" s="20" t="s">
        <v>54</v>
      </c>
      <c r="C29" s="325" t="s">
        <v>55</v>
      </c>
      <c r="D29" s="325"/>
      <c r="E29" s="325"/>
      <c r="F29" s="325"/>
      <c r="G29" s="33"/>
      <c r="H29" s="33"/>
      <c r="I29" s="31"/>
      <c r="J29" s="35"/>
      <c r="K29" s="35"/>
      <c r="L29" s="33"/>
      <c r="M29" s="31"/>
      <c r="N29" s="8"/>
      <c r="O29" s="8"/>
    </row>
    <row r="30" spans="1:15" s="6" customFormat="1" ht="5.25" customHeight="1" x14ac:dyDescent="0.2">
      <c r="A30" s="34"/>
      <c r="B30" s="34"/>
      <c r="C30" s="34"/>
      <c r="D30" s="34"/>
      <c r="E30" s="30"/>
      <c r="F30" s="29"/>
      <c r="G30" s="33"/>
      <c r="H30" s="33"/>
      <c r="I30" s="31"/>
      <c r="J30" s="35"/>
      <c r="K30" s="35"/>
      <c r="L30" s="33"/>
      <c r="M30" s="31"/>
      <c r="N30" s="8"/>
      <c r="O30" s="8"/>
    </row>
    <row r="31" spans="1:15" s="6" customFormat="1" ht="18.75" customHeight="1" x14ac:dyDescent="0.2">
      <c r="A31" s="332" t="s">
        <v>56</v>
      </c>
      <c r="B31" s="332"/>
      <c r="C31" s="332"/>
      <c r="D31" s="332"/>
      <c r="E31" s="332"/>
      <c r="F31" s="30"/>
      <c r="G31" s="31"/>
      <c r="H31" s="31"/>
      <c r="I31" s="31"/>
      <c r="J31" s="31"/>
      <c r="K31" s="31"/>
      <c r="L31" s="31"/>
      <c r="M31" s="31"/>
      <c r="N31" s="8"/>
      <c r="O31" s="8"/>
    </row>
    <row r="32" spans="1:15" s="6" customFormat="1" ht="26.25" customHeight="1" x14ac:dyDescent="0.2">
      <c r="A32" s="69" t="s">
        <v>57</v>
      </c>
      <c r="B32" s="69" t="s">
        <v>58</v>
      </c>
      <c r="C32" s="334" t="s">
        <v>246</v>
      </c>
      <c r="D32" s="334"/>
      <c r="E32" s="334"/>
      <c r="F32" s="334"/>
      <c r="G32" s="31"/>
      <c r="H32" s="31"/>
      <c r="I32" s="31"/>
      <c r="J32" s="31"/>
      <c r="K32" s="31"/>
      <c r="L32" s="31"/>
      <c r="M32" s="31"/>
      <c r="N32" s="8"/>
      <c r="O32" s="8"/>
    </row>
    <row r="33" spans="1:15" s="6" customFormat="1" ht="27.75" customHeight="1" x14ac:dyDescent="0.2">
      <c r="A33" s="70" t="s">
        <v>59</v>
      </c>
      <c r="B33" s="22">
        <v>100</v>
      </c>
      <c r="C33" s="310" t="s">
        <v>60</v>
      </c>
      <c r="D33" s="310"/>
      <c r="E33" s="310"/>
      <c r="F33" s="310"/>
      <c r="G33" s="31"/>
      <c r="H33" s="31"/>
      <c r="I33" s="31"/>
      <c r="J33" s="31"/>
      <c r="K33" s="31"/>
      <c r="L33" s="31"/>
      <c r="M33" s="31"/>
      <c r="N33" s="8"/>
      <c r="O33" s="8"/>
    </row>
    <row r="34" spans="1:15" s="6" customFormat="1" ht="21.75" customHeight="1" x14ac:dyDescent="0.2">
      <c r="A34" s="71" t="s">
        <v>61</v>
      </c>
      <c r="B34" s="22">
        <v>60</v>
      </c>
      <c r="C34" s="310" t="s">
        <v>62</v>
      </c>
      <c r="D34" s="310"/>
      <c r="E34" s="310"/>
      <c r="F34" s="310"/>
      <c r="G34" s="31"/>
      <c r="H34" s="31"/>
      <c r="I34" s="31"/>
      <c r="J34" s="31"/>
      <c r="K34" s="31"/>
      <c r="L34" s="31"/>
      <c r="M34" s="31"/>
      <c r="N34" s="8"/>
      <c r="O34" s="8"/>
    </row>
    <row r="35" spans="1:15" s="6" customFormat="1" ht="24.75" customHeight="1" x14ac:dyDescent="0.2">
      <c r="A35" s="72" t="s">
        <v>63</v>
      </c>
      <c r="B35" s="22">
        <v>25</v>
      </c>
      <c r="C35" s="310" t="s">
        <v>64</v>
      </c>
      <c r="D35" s="310"/>
      <c r="E35" s="310"/>
      <c r="F35" s="310"/>
      <c r="G35" s="31"/>
      <c r="H35" s="31"/>
      <c r="I35" s="31"/>
      <c r="J35" s="31"/>
      <c r="K35" s="31"/>
      <c r="L35" s="31"/>
      <c r="M35" s="31"/>
      <c r="N35" s="8"/>
      <c r="O35" s="8"/>
    </row>
    <row r="36" spans="1:15" s="6" customFormat="1" ht="21.75" customHeight="1" x14ac:dyDescent="0.2">
      <c r="A36" s="67" t="s">
        <v>65</v>
      </c>
      <c r="B36" s="22">
        <v>10</v>
      </c>
      <c r="C36" s="310" t="s">
        <v>66</v>
      </c>
      <c r="D36" s="310"/>
      <c r="E36" s="310"/>
      <c r="F36" s="310"/>
      <c r="G36" s="31"/>
      <c r="H36" s="31"/>
      <c r="I36" s="31"/>
      <c r="J36" s="31"/>
      <c r="K36" s="31"/>
      <c r="L36" s="31"/>
      <c r="M36" s="31"/>
      <c r="N36" s="8"/>
      <c r="O36" s="8"/>
    </row>
    <row r="37" spans="1:15" s="6" customFormat="1" ht="10.5" customHeight="1" x14ac:dyDescent="0.2">
      <c r="A37" s="29"/>
      <c r="B37" s="36"/>
      <c r="C37" s="32"/>
      <c r="D37" s="37"/>
      <c r="E37" s="30"/>
      <c r="F37" s="30"/>
      <c r="G37" s="31"/>
      <c r="H37" s="31"/>
      <c r="I37" s="31"/>
      <c r="J37" s="31"/>
      <c r="K37" s="31"/>
      <c r="L37" s="31"/>
      <c r="M37" s="31"/>
      <c r="N37" s="8"/>
      <c r="O37" s="8"/>
    </row>
    <row r="38" spans="1:15" s="6" customFormat="1" ht="19.5" customHeight="1" x14ac:dyDescent="0.2">
      <c r="A38" s="333" t="s">
        <v>67</v>
      </c>
      <c r="B38" s="333"/>
      <c r="C38" s="333"/>
      <c r="D38" s="333"/>
      <c r="E38" s="333"/>
      <c r="G38" s="31"/>
      <c r="H38" s="31"/>
      <c r="I38" s="31"/>
      <c r="J38" s="31"/>
      <c r="K38" s="31"/>
      <c r="L38" s="31"/>
      <c r="M38" s="31"/>
      <c r="N38" s="8"/>
      <c r="O38" s="8"/>
    </row>
    <row r="39" spans="1:15" s="6" customFormat="1" ht="16.5" customHeight="1" x14ac:dyDescent="0.2">
      <c r="A39" s="313" t="s">
        <v>68</v>
      </c>
      <c r="B39" s="321" t="s">
        <v>69</v>
      </c>
      <c r="C39" s="321"/>
      <c r="D39" s="321"/>
      <c r="E39" s="321"/>
      <c r="F39" s="321"/>
      <c r="G39" s="31"/>
      <c r="H39" s="31"/>
      <c r="I39" s="31"/>
      <c r="J39" s="31"/>
      <c r="K39" s="31"/>
      <c r="L39" s="31"/>
      <c r="M39" s="31"/>
      <c r="N39" s="8"/>
      <c r="O39" s="8"/>
    </row>
    <row r="40" spans="1:15" s="6" customFormat="1" ht="16.5" customHeight="1" x14ac:dyDescent="0.2">
      <c r="A40" s="313"/>
      <c r="B40" s="40"/>
      <c r="C40" s="20" t="s">
        <v>70</v>
      </c>
      <c r="D40" s="66" t="s">
        <v>71</v>
      </c>
      <c r="E40" s="4" t="s">
        <v>72</v>
      </c>
      <c r="F40" s="20" t="s">
        <v>73</v>
      </c>
      <c r="G40" s="31"/>
      <c r="H40" s="31"/>
      <c r="I40" s="31"/>
      <c r="J40" s="31"/>
      <c r="K40" s="31"/>
      <c r="L40" s="31"/>
      <c r="M40" s="31"/>
      <c r="N40" s="8"/>
      <c r="O40" s="8"/>
    </row>
    <row r="41" spans="1:15" s="6" customFormat="1" ht="20.25" customHeight="1" x14ac:dyDescent="0.2">
      <c r="A41" s="318" t="s">
        <v>74</v>
      </c>
      <c r="B41" s="19">
        <v>100</v>
      </c>
      <c r="C41" s="59" t="s">
        <v>75</v>
      </c>
      <c r="D41" s="60" t="s">
        <v>76</v>
      </c>
      <c r="E41" s="73" t="s">
        <v>77</v>
      </c>
      <c r="F41" s="61" t="s">
        <v>78</v>
      </c>
      <c r="G41" s="31"/>
      <c r="H41" s="31"/>
      <c r="I41" s="31"/>
      <c r="J41" s="31"/>
      <c r="K41" s="31"/>
      <c r="L41" s="31"/>
      <c r="M41" s="31"/>
      <c r="N41" s="8"/>
      <c r="O41" s="8"/>
    </row>
    <row r="42" spans="1:15" s="6" customFormat="1" ht="14.25" customHeight="1" x14ac:dyDescent="0.2">
      <c r="A42" s="318"/>
      <c r="B42" s="317">
        <v>60</v>
      </c>
      <c r="C42" s="326" t="s">
        <v>79</v>
      </c>
      <c r="D42" s="328" t="s">
        <v>80</v>
      </c>
      <c r="E42" s="320" t="s">
        <v>81</v>
      </c>
      <c r="F42" s="61" t="s">
        <v>82</v>
      </c>
      <c r="G42" s="31"/>
      <c r="H42" s="31"/>
      <c r="I42" s="31"/>
      <c r="J42" s="31"/>
      <c r="K42" s="31"/>
      <c r="L42" s="31"/>
      <c r="M42" s="31"/>
      <c r="N42" s="8"/>
      <c r="O42" s="8"/>
    </row>
    <row r="43" spans="1:15" s="6" customFormat="1" ht="14.25" customHeight="1" x14ac:dyDescent="0.2">
      <c r="A43" s="318"/>
      <c r="B43" s="317"/>
      <c r="C43" s="327"/>
      <c r="D43" s="328"/>
      <c r="E43" s="320"/>
      <c r="F43" s="62" t="s">
        <v>83</v>
      </c>
      <c r="G43" s="31"/>
      <c r="H43" s="31"/>
      <c r="I43" s="31"/>
      <c r="J43" s="31"/>
      <c r="K43" s="31"/>
      <c r="L43" s="31"/>
      <c r="M43" s="31"/>
      <c r="N43" s="8"/>
      <c r="O43" s="8"/>
    </row>
    <row r="44" spans="1:15" s="6" customFormat="1" ht="20.25" customHeight="1" x14ac:dyDescent="0.2">
      <c r="A44" s="318"/>
      <c r="B44" s="19">
        <v>25</v>
      </c>
      <c r="C44" s="59" t="s">
        <v>84</v>
      </c>
      <c r="D44" s="63" t="s">
        <v>85</v>
      </c>
      <c r="E44" s="74" t="s">
        <v>86</v>
      </c>
      <c r="F44" s="64" t="s">
        <v>87</v>
      </c>
      <c r="G44" s="31"/>
      <c r="H44" s="31"/>
      <c r="I44" s="31"/>
      <c r="J44" s="31"/>
      <c r="K44" s="31"/>
      <c r="L44" s="31"/>
      <c r="M44" s="31"/>
      <c r="N44" s="8"/>
      <c r="O44" s="8"/>
    </row>
    <row r="45" spans="1:15" s="6" customFormat="1" ht="14.25" customHeight="1" x14ac:dyDescent="0.2">
      <c r="A45" s="318"/>
      <c r="B45" s="317">
        <v>10</v>
      </c>
      <c r="C45" s="307" t="s">
        <v>88</v>
      </c>
      <c r="D45" s="63" t="s">
        <v>89</v>
      </c>
      <c r="E45" s="308" t="s">
        <v>90</v>
      </c>
      <c r="F45" s="322" t="s">
        <v>91</v>
      </c>
      <c r="G45" s="31"/>
      <c r="H45" s="31"/>
      <c r="I45" s="31"/>
      <c r="J45" s="31"/>
      <c r="K45" s="31"/>
      <c r="L45" s="31"/>
      <c r="M45" s="31"/>
      <c r="N45" s="8"/>
      <c r="O45" s="8"/>
    </row>
    <row r="46" spans="1:15" s="6" customFormat="1" ht="18" customHeight="1" x14ac:dyDescent="0.2">
      <c r="A46" s="318"/>
      <c r="B46" s="317"/>
      <c r="C46" s="307"/>
      <c r="D46" s="65" t="s">
        <v>92</v>
      </c>
      <c r="E46" s="308"/>
      <c r="F46" s="322"/>
      <c r="G46" s="31"/>
      <c r="H46" s="31"/>
      <c r="I46" s="31"/>
      <c r="J46" s="31"/>
      <c r="K46" s="31"/>
      <c r="L46" s="31"/>
      <c r="M46" s="31"/>
      <c r="N46" s="8"/>
      <c r="O46" s="8"/>
    </row>
    <row r="47" spans="1:15" s="6" customFormat="1" ht="6.75" customHeight="1" x14ac:dyDescent="0.2">
      <c r="A47" s="29"/>
      <c r="B47" s="34"/>
      <c r="C47" s="32"/>
      <c r="D47" s="38"/>
      <c r="E47" s="39"/>
      <c r="F47" s="38"/>
      <c r="G47" s="31"/>
      <c r="H47" s="31"/>
      <c r="I47" s="31"/>
      <c r="J47" s="31"/>
      <c r="K47" s="31"/>
      <c r="L47" s="31"/>
      <c r="M47" s="31"/>
      <c r="N47" s="8"/>
      <c r="O47" s="8"/>
    </row>
    <row r="48" spans="1:15" s="6" customFormat="1" ht="21.75" customHeight="1" x14ac:dyDescent="0.2">
      <c r="A48" s="319" t="s">
        <v>93</v>
      </c>
      <c r="B48" s="319"/>
      <c r="C48" s="319"/>
      <c r="D48" s="319"/>
      <c r="E48" s="319"/>
      <c r="F48" s="38"/>
      <c r="G48" s="31"/>
      <c r="H48" s="31"/>
      <c r="I48" s="31"/>
      <c r="J48" s="31"/>
      <c r="K48" s="31"/>
      <c r="L48" s="31"/>
      <c r="M48" s="31"/>
      <c r="N48" s="8"/>
      <c r="O48" s="8"/>
    </row>
    <row r="49" spans="1:15" s="6" customFormat="1" ht="20.25" customHeight="1" x14ac:dyDescent="0.2">
      <c r="A49" s="68" t="s">
        <v>94</v>
      </c>
      <c r="B49" s="68" t="s">
        <v>95</v>
      </c>
      <c r="C49" s="309" t="s">
        <v>12</v>
      </c>
      <c r="D49" s="309"/>
      <c r="E49" s="309"/>
      <c r="F49" s="309"/>
      <c r="G49" s="31"/>
      <c r="H49" s="31"/>
      <c r="I49" s="31"/>
      <c r="J49" s="31"/>
      <c r="K49" s="31"/>
      <c r="L49" s="31"/>
      <c r="M49" s="31"/>
      <c r="N49" s="8"/>
      <c r="O49" s="8"/>
    </row>
    <row r="50" spans="1:15" s="6" customFormat="1" ht="27" customHeight="1" x14ac:dyDescent="0.2">
      <c r="A50" s="21" t="s">
        <v>5</v>
      </c>
      <c r="B50" s="22" t="s">
        <v>1278</v>
      </c>
      <c r="C50" s="310" t="s">
        <v>96</v>
      </c>
      <c r="D50" s="310"/>
      <c r="E50" s="310"/>
      <c r="F50" s="310"/>
      <c r="G50" s="31"/>
      <c r="H50" s="31"/>
      <c r="I50" s="31"/>
      <c r="J50" s="31"/>
      <c r="K50" s="31"/>
      <c r="L50" s="31"/>
      <c r="M50" s="31"/>
      <c r="N50" s="8"/>
      <c r="O50" s="8"/>
    </row>
    <row r="51" spans="1:15" s="6" customFormat="1" ht="33.75" customHeight="1" x14ac:dyDescent="0.2">
      <c r="A51" s="23" t="s">
        <v>2</v>
      </c>
      <c r="B51" s="22" t="s">
        <v>97</v>
      </c>
      <c r="C51" s="310" t="s">
        <v>98</v>
      </c>
      <c r="D51" s="310"/>
      <c r="E51" s="310"/>
      <c r="F51" s="310"/>
      <c r="G51" s="31"/>
      <c r="H51" s="31"/>
      <c r="I51" s="31"/>
      <c r="J51" s="31"/>
      <c r="K51" s="31"/>
      <c r="L51" s="31"/>
      <c r="M51" s="31"/>
      <c r="N51" s="8"/>
      <c r="O51" s="8"/>
    </row>
    <row r="52" spans="1:15" s="6" customFormat="1" ht="27" customHeight="1" x14ac:dyDescent="0.2">
      <c r="A52" s="24" t="s">
        <v>3</v>
      </c>
      <c r="B52" s="22" t="s">
        <v>99</v>
      </c>
      <c r="C52" s="310" t="s">
        <v>100</v>
      </c>
      <c r="D52" s="310"/>
      <c r="E52" s="310"/>
      <c r="F52" s="310"/>
      <c r="G52" s="31"/>
      <c r="H52" s="31"/>
      <c r="I52" s="31"/>
      <c r="J52" s="31"/>
      <c r="K52" s="31"/>
      <c r="L52" s="31"/>
      <c r="M52" s="31"/>
      <c r="N52" s="8"/>
      <c r="O52" s="8"/>
    </row>
    <row r="53" spans="1:15" s="6" customFormat="1" ht="35.25" customHeight="1" x14ac:dyDescent="0.2">
      <c r="A53" s="45" t="s">
        <v>4</v>
      </c>
      <c r="B53" s="22">
        <v>20</v>
      </c>
      <c r="C53" s="310" t="s">
        <v>101</v>
      </c>
      <c r="D53" s="310"/>
      <c r="E53" s="310"/>
      <c r="F53" s="310"/>
      <c r="G53" s="31"/>
      <c r="H53" s="31"/>
      <c r="I53" s="31"/>
      <c r="J53" s="31"/>
      <c r="K53" s="31"/>
      <c r="L53" s="31"/>
      <c r="M53" s="31"/>
      <c r="N53" s="8"/>
      <c r="O53" s="8"/>
    </row>
    <row r="54" spans="1:15" s="6" customFormat="1" ht="8.25" customHeight="1" x14ac:dyDescent="0.2">
      <c r="A54" s="29"/>
      <c r="B54" s="32"/>
      <c r="C54" s="32"/>
      <c r="D54" s="37"/>
      <c r="E54" s="30"/>
      <c r="F54" s="30"/>
      <c r="G54" s="31"/>
      <c r="H54" s="31"/>
      <c r="I54" s="31"/>
      <c r="J54" s="31"/>
      <c r="K54" s="31"/>
      <c r="L54" s="31"/>
      <c r="M54" s="31"/>
      <c r="N54" s="8"/>
      <c r="O54" s="8"/>
    </row>
    <row r="55" spans="1:15" s="6" customFormat="1" ht="22.5" customHeight="1" x14ac:dyDescent="0.2">
      <c r="A55" s="76" t="s">
        <v>102</v>
      </c>
      <c r="B55" s="76"/>
      <c r="C55" s="77"/>
      <c r="D55" s="8"/>
      <c r="E55" s="78"/>
      <c r="F55" s="78"/>
      <c r="G55" s="31"/>
      <c r="H55" s="31"/>
      <c r="I55" s="31"/>
      <c r="J55" s="31"/>
      <c r="K55" s="31"/>
      <c r="L55" s="31"/>
      <c r="M55" s="31"/>
      <c r="N55" s="8"/>
      <c r="O55" s="8"/>
    </row>
    <row r="56" spans="1:15" s="6" customFormat="1" x14ac:dyDescent="0.2">
      <c r="A56" s="75" t="s">
        <v>94</v>
      </c>
      <c r="B56" s="316" t="s">
        <v>12</v>
      </c>
      <c r="C56" s="316"/>
      <c r="D56" s="8"/>
      <c r="E56" s="8"/>
      <c r="F56" s="78"/>
      <c r="G56" s="31"/>
      <c r="H56" s="31"/>
      <c r="I56" s="31"/>
      <c r="J56" s="31"/>
      <c r="K56" s="31"/>
      <c r="L56" s="31"/>
      <c r="M56" s="31"/>
      <c r="N56" s="8"/>
      <c r="O56" s="8"/>
    </row>
    <row r="57" spans="1:15" s="6" customFormat="1" ht="18.75" customHeight="1" x14ac:dyDescent="0.2">
      <c r="A57" s="21" t="s">
        <v>5</v>
      </c>
      <c r="B57" s="310" t="s">
        <v>103</v>
      </c>
      <c r="C57" s="310"/>
      <c r="D57" s="8"/>
      <c r="E57" s="8"/>
      <c r="F57" s="78"/>
      <c r="G57" s="31"/>
      <c r="H57" s="31"/>
      <c r="I57" s="31"/>
      <c r="J57" s="31"/>
      <c r="K57" s="31"/>
      <c r="L57" s="31"/>
      <c r="M57" s="31"/>
      <c r="N57" s="8"/>
      <c r="O57" s="8"/>
    </row>
    <row r="58" spans="1:15" s="6" customFormat="1" ht="22.5" customHeight="1" x14ac:dyDescent="0.2">
      <c r="A58" s="23" t="s">
        <v>2</v>
      </c>
      <c r="B58" s="310" t="s">
        <v>425</v>
      </c>
      <c r="C58" s="310"/>
      <c r="D58" s="8"/>
      <c r="E58" s="8"/>
      <c r="F58" s="78"/>
      <c r="G58" s="31"/>
      <c r="H58" s="31"/>
      <c r="I58" s="31"/>
      <c r="J58" s="31"/>
      <c r="K58" s="31"/>
      <c r="L58" s="31"/>
      <c r="M58" s="31"/>
      <c r="N58" s="8"/>
      <c r="O58" s="8"/>
    </row>
    <row r="59" spans="1:15" s="6" customFormat="1" ht="18.75" customHeight="1" x14ac:dyDescent="0.2">
      <c r="A59" s="24" t="s">
        <v>3</v>
      </c>
      <c r="B59" s="310" t="s">
        <v>426</v>
      </c>
      <c r="C59" s="310"/>
      <c r="D59" s="8"/>
      <c r="E59" s="8"/>
      <c r="F59" s="78"/>
      <c r="G59" s="31"/>
      <c r="H59" s="31"/>
      <c r="I59" s="31"/>
      <c r="J59" s="31"/>
      <c r="K59" s="31"/>
      <c r="L59" s="31"/>
      <c r="M59" s="31"/>
      <c r="N59" s="8"/>
      <c r="O59" s="8"/>
    </row>
    <row r="60" spans="1:15" s="6" customFormat="1" ht="18.75" customHeight="1" x14ac:dyDescent="0.2">
      <c r="A60" s="25" t="s">
        <v>4</v>
      </c>
      <c r="B60" s="310" t="s">
        <v>104</v>
      </c>
      <c r="C60" s="310"/>
      <c r="D60" s="8"/>
      <c r="E60" s="8"/>
      <c r="F60" s="78"/>
      <c r="G60" s="31"/>
      <c r="H60" s="31"/>
      <c r="I60" s="31"/>
      <c r="J60" s="31"/>
      <c r="K60" s="31"/>
      <c r="L60" s="31"/>
      <c r="M60" s="31"/>
      <c r="N60" s="8"/>
      <c r="O60" s="8"/>
    </row>
    <row r="61" spans="1:15" s="6" customFormat="1" x14ac:dyDescent="0.2">
      <c r="A61" s="29"/>
      <c r="B61" s="30"/>
      <c r="C61" s="30"/>
      <c r="D61" s="78"/>
      <c r="E61" s="78"/>
      <c r="F61" s="78"/>
      <c r="G61" s="31"/>
      <c r="H61" s="31"/>
      <c r="I61" s="31"/>
      <c r="J61" s="31"/>
      <c r="K61" s="31"/>
      <c r="L61" s="31"/>
      <c r="M61" s="31"/>
      <c r="N61" s="8"/>
      <c r="O61" s="8"/>
    </row>
    <row r="62" spans="1:15" x14ac:dyDescent="0.2">
      <c r="A62" s="27"/>
      <c r="B62" s="27"/>
      <c r="C62" s="27"/>
      <c r="D62" s="79"/>
      <c r="E62" s="79"/>
      <c r="F62" s="79"/>
      <c r="G62" s="2"/>
      <c r="H62" s="2"/>
      <c r="I62" s="2"/>
      <c r="J62" s="2"/>
      <c r="K62" s="2"/>
      <c r="L62" s="2"/>
      <c r="M62" s="2"/>
      <c r="N62" s="2"/>
      <c r="O62" s="2"/>
    </row>
    <row r="63" spans="1:15" x14ac:dyDescent="0.2">
      <c r="A63" s="27"/>
      <c r="B63" s="27"/>
      <c r="C63" s="27"/>
      <c r="D63" s="79"/>
      <c r="E63" s="79"/>
      <c r="F63" s="79"/>
      <c r="G63" s="2"/>
      <c r="H63" s="2"/>
      <c r="I63" s="2"/>
      <c r="J63" s="2"/>
      <c r="K63" s="2"/>
      <c r="L63" s="2"/>
      <c r="M63" s="2"/>
      <c r="N63" s="2"/>
      <c r="O63" s="2"/>
    </row>
    <row r="64" spans="1:15" x14ac:dyDescent="0.2">
      <c r="A64" s="27"/>
      <c r="B64" s="27"/>
      <c r="C64" s="27"/>
      <c r="D64" s="79"/>
      <c r="E64" s="79"/>
      <c r="F64" s="79"/>
      <c r="G64" s="2"/>
      <c r="H64" s="2"/>
      <c r="I64" s="2"/>
      <c r="J64" s="2"/>
      <c r="K64" s="2"/>
      <c r="L64" s="2"/>
      <c r="M64" s="2"/>
      <c r="N64" s="2"/>
      <c r="O64" s="2"/>
    </row>
    <row r="65" spans="1:15" x14ac:dyDescent="0.2">
      <c r="A65" s="27"/>
      <c r="B65" s="27"/>
      <c r="C65" s="27"/>
      <c r="D65" s="79"/>
      <c r="E65" s="79"/>
      <c r="F65" s="79"/>
      <c r="G65" s="2"/>
      <c r="H65" s="2"/>
      <c r="I65" s="2"/>
      <c r="J65" s="2"/>
      <c r="K65" s="2"/>
      <c r="L65" s="2"/>
      <c r="M65" s="2"/>
      <c r="N65" s="2"/>
      <c r="O65" s="2"/>
    </row>
    <row r="66" spans="1:15" x14ac:dyDescent="0.2">
      <c r="A66" s="27"/>
      <c r="B66" s="27"/>
      <c r="C66" s="27"/>
      <c r="D66" s="79"/>
      <c r="E66" s="79"/>
      <c r="F66" s="79"/>
      <c r="G66" s="2"/>
      <c r="H66" s="2"/>
      <c r="I66" s="2"/>
      <c r="J66" s="2"/>
      <c r="K66" s="2"/>
      <c r="L66" s="2"/>
      <c r="M66" s="2"/>
      <c r="N66" s="2"/>
      <c r="O66" s="2"/>
    </row>
    <row r="67" spans="1:15" x14ac:dyDescent="0.2">
      <c r="A67" s="27"/>
      <c r="B67" s="27"/>
      <c r="C67" s="27"/>
      <c r="D67" s="79"/>
      <c r="E67" s="79"/>
      <c r="F67" s="79"/>
      <c r="G67" s="2"/>
      <c r="H67" s="2"/>
      <c r="I67" s="2"/>
      <c r="J67" s="2"/>
      <c r="K67" s="2"/>
      <c r="L67" s="2"/>
      <c r="M67" s="2"/>
      <c r="N67" s="2"/>
      <c r="O67" s="2"/>
    </row>
    <row r="68" spans="1:15" x14ac:dyDescent="0.2">
      <c r="A68" s="27"/>
      <c r="B68" s="27"/>
      <c r="C68" s="27"/>
      <c r="D68" s="79"/>
      <c r="E68" s="79"/>
      <c r="F68" s="79"/>
      <c r="G68" s="2"/>
      <c r="H68" s="2"/>
      <c r="I68" s="2"/>
      <c r="J68" s="2"/>
      <c r="K68" s="2"/>
      <c r="L68" s="2"/>
      <c r="M68" s="2"/>
      <c r="N68" s="2"/>
      <c r="O68" s="2"/>
    </row>
    <row r="69" spans="1:15" x14ac:dyDescent="0.2">
      <c r="A69" s="27"/>
      <c r="B69" s="27"/>
      <c r="C69" s="27"/>
      <c r="D69" s="79"/>
      <c r="E69" s="79"/>
      <c r="F69" s="79"/>
      <c r="G69" s="2"/>
      <c r="H69" s="2"/>
      <c r="I69" s="2"/>
      <c r="J69" s="2"/>
      <c r="K69" s="2"/>
      <c r="L69" s="2"/>
      <c r="M69" s="2"/>
      <c r="N69" s="2"/>
      <c r="O69" s="2"/>
    </row>
    <row r="70" spans="1:15" x14ac:dyDescent="0.2">
      <c r="A70" s="27"/>
      <c r="B70" s="27"/>
      <c r="C70" s="27"/>
      <c r="D70" s="79"/>
      <c r="E70" s="79"/>
      <c r="F70" s="79"/>
      <c r="G70" s="2"/>
      <c r="H70" s="2"/>
      <c r="I70" s="2"/>
      <c r="J70" s="2"/>
      <c r="K70" s="2"/>
      <c r="L70" s="2"/>
      <c r="M70" s="2"/>
      <c r="N70" s="2"/>
      <c r="O70" s="2"/>
    </row>
    <row r="71" spans="1:15" x14ac:dyDescent="0.2">
      <c r="A71" s="27"/>
      <c r="B71" s="27"/>
      <c r="C71" s="27"/>
      <c r="D71" s="79"/>
      <c r="E71" s="79"/>
      <c r="F71" s="79"/>
      <c r="G71" s="2"/>
      <c r="H71" s="2"/>
      <c r="I71" s="2"/>
      <c r="J71" s="2"/>
      <c r="K71" s="2"/>
      <c r="L71" s="2"/>
      <c r="M71" s="2"/>
      <c r="N71" s="2"/>
      <c r="O71" s="2"/>
    </row>
    <row r="72" spans="1:15" x14ac:dyDescent="0.2">
      <c r="A72" s="27"/>
      <c r="B72" s="27"/>
      <c r="C72" s="27"/>
      <c r="D72" s="79"/>
      <c r="E72" s="79"/>
      <c r="F72" s="79"/>
      <c r="G72" s="2"/>
      <c r="H72" s="2"/>
      <c r="I72" s="2"/>
      <c r="J72" s="2"/>
      <c r="K72" s="2"/>
      <c r="L72" s="2"/>
      <c r="M72" s="2"/>
      <c r="N72" s="2"/>
      <c r="O72" s="2"/>
    </row>
    <row r="73" spans="1:15" x14ac:dyDescent="0.2">
      <c r="A73" s="27"/>
      <c r="B73" s="27"/>
      <c r="C73" s="27"/>
      <c r="D73" s="27"/>
      <c r="E73" s="27"/>
      <c r="F73" s="27"/>
      <c r="G73" s="2"/>
      <c r="H73" s="2"/>
      <c r="I73" s="2"/>
      <c r="J73" s="2"/>
      <c r="K73" s="2"/>
      <c r="L73" s="2"/>
      <c r="M73" s="2"/>
      <c r="N73" s="2"/>
      <c r="O73" s="2"/>
    </row>
    <row r="74" spans="1:15" x14ac:dyDescent="0.2">
      <c r="A74" s="27"/>
      <c r="B74" s="27"/>
      <c r="C74" s="27"/>
      <c r="D74" s="27"/>
      <c r="E74" s="27"/>
      <c r="F74" s="27"/>
      <c r="G74" s="2"/>
      <c r="H74" s="2"/>
      <c r="I74" s="2"/>
      <c r="J74" s="2"/>
      <c r="K74" s="2"/>
      <c r="L74" s="2"/>
      <c r="M74" s="2"/>
      <c r="N74" s="2"/>
      <c r="O74" s="2"/>
    </row>
    <row r="75" spans="1:15" x14ac:dyDescent="0.2">
      <c r="A75" s="27"/>
      <c r="B75" s="27"/>
      <c r="C75" s="27"/>
      <c r="D75" s="27"/>
      <c r="E75" s="27"/>
      <c r="F75" s="27"/>
      <c r="G75" s="2"/>
      <c r="H75" s="2"/>
      <c r="I75" s="2"/>
      <c r="J75" s="2"/>
      <c r="K75" s="2"/>
      <c r="L75" s="2"/>
      <c r="M75" s="2"/>
      <c r="N75" s="2"/>
      <c r="O75" s="2"/>
    </row>
    <row r="76" spans="1:15" x14ac:dyDescent="0.2">
      <c r="A76" s="27"/>
      <c r="B76" s="27"/>
      <c r="C76" s="27"/>
      <c r="D76" s="27"/>
      <c r="E76" s="27"/>
      <c r="F76" s="27"/>
      <c r="G76" s="2"/>
      <c r="H76" s="2"/>
      <c r="I76" s="2"/>
      <c r="J76" s="2"/>
      <c r="K76" s="2"/>
      <c r="L76" s="2"/>
      <c r="M76" s="2"/>
      <c r="N76" s="2"/>
      <c r="O76" s="2"/>
    </row>
    <row r="77" spans="1:15" x14ac:dyDescent="0.2">
      <c r="A77" s="27"/>
      <c r="B77" s="27"/>
      <c r="C77" s="27"/>
      <c r="D77" s="27"/>
      <c r="E77" s="27"/>
      <c r="F77" s="27"/>
      <c r="G77" s="2"/>
      <c r="H77" s="2"/>
      <c r="I77" s="2"/>
      <c r="J77" s="2"/>
      <c r="K77" s="2"/>
      <c r="L77" s="2"/>
      <c r="M77" s="2"/>
      <c r="N77" s="2"/>
      <c r="O77" s="2"/>
    </row>
    <row r="78" spans="1:15" x14ac:dyDescent="0.2">
      <c r="A78" s="27"/>
      <c r="B78" s="27"/>
      <c r="C78" s="27"/>
      <c r="D78" s="27"/>
      <c r="E78" s="27"/>
      <c r="F78" s="27"/>
      <c r="G78" s="2"/>
      <c r="H78" s="2"/>
      <c r="I78" s="2"/>
      <c r="J78" s="2"/>
      <c r="K78" s="2"/>
      <c r="L78" s="2"/>
      <c r="M78" s="2"/>
      <c r="N78" s="2"/>
      <c r="O78" s="2"/>
    </row>
    <row r="79" spans="1:15" x14ac:dyDescent="0.2">
      <c r="A79" s="27"/>
      <c r="B79" s="27"/>
      <c r="C79" s="27"/>
      <c r="D79" s="27"/>
      <c r="E79" s="27"/>
      <c r="F79" s="27"/>
      <c r="G79" s="2"/>
      <c r="H79" s="2"/>
      <c r="I79" s="2"/>
      <c r="J79" s="2"/>
      <c r="K79" s="2"/>
      <c r="L79" s="2"/>
      <c r="M79" s="2"/>
      <c r="N79" s="2"/>
      <c r="O79" s="2"/>
    </row>
    <row r="80" spans="1:15" x14ac:dyDescent="0.2">
      <c r="A80" s="27"/>
      <c r="B80" s="27"/>
      <c r="C80" s="27"/>
      <c r="D80" s="27"/>
      <c r="E80" s="27"/>
      <c r="F80" s="27"/>
      <c r="G80" s="2"/>
      <c r="H80" s="2"/>
      <c r="I80" s="2"/>
      <c r="J80" s="2"/>
      <c r="K80" s="2"/>
      <c r="L80" s="2"/>
      <c r="M80" s="2"/>
      <c r="N80" s="2"/>
      <c r="O80" s="2"/>
    </row>
    <row r="81" spans="1:15" x14ac:dyDescent="0.2">
      <c r="A81" s="27"/>
      <c r="B81" s="27"/>
      <c r="C81" s="27"/>
      <c r="D81" s="27"/>
      <c r="E81" s="27"/>
      <c r="F81" s="27"/>
      <c r="G81" s="2"/>
      <c r="H81" s="2"/>
      <c r="I81" s="2"/>
      <c r="J81" s="2"/>
      <c r="K81" s="2"/>
      <c r="L81" s="2"/>
      <c r="M81" s="2"/>
      <c r="N81" s="2"/>
      <c r="O81" s="2"/>
    </row>
    <row r="82" spans="1:15" x14ac:dyDescent="0.2">
      <c r="A82" s="27"/>
      <c r="B82" s="27"/>
      <c r="C82" s="27"/>
      <c r="D82" s="27"/>
      <c r="E82" s="27"/>
      <c r="F82" s="27"/>
      <c r="G82" s="2"/>
      <c r="H82" s="2"/>
      <c r="I82" s="2"/>
      <c r="J82" s="2"/>
      <c r="K82" s="2"/>
      <c r="L82" s="2"/>
      <c r="M82" s="2"/>
      <c r="N82" s="2"/>
      <c r="O82" s="2"/>
    </row>
    <row r="83" spans="1:15" x14ac:dyDescent="0.2">
      <c r="A83" s="27"/>
      <c r="B83" s="27"/>
      <c r="C83" s="27"/>
      <c r="D83" s="27"/>
      <c r="E83" s="27"/>
      <c r="F83" s="27"/>
      <c r="G83" s="2"/>
      <c r="H83" s="2"/>
      <c r="I83" s="2"/>
      <c r="J83" s="2"/>
      <c r="K83" s="2"/>
      <c r="L83" s="2"/>
      <c r="M83" s="2"/>
      <c r="N83" s="2"/>
      <c r="O83" s="2"/>
    </row>
    <row r="84" spans="1:15" x14ac:dyDescent="0.2">
      <c r="A84" s="27"/>
      <c r="B84" s="27"/>
      <c r="C84" s="27"/>
      <c r="D84" s="27"/>
      <c r="E84" s="27"/>
      <c r="F84" s="27"/>
      <c r="G84" s="2"/>
      <c r="H84" s="2"/>
      <c r="I84" s="2"/>
      <c r="J84" s="2"/>
      <c r="K84" s="2"/>
      <c r="L84" s="2"/>
      <c r="M84" s="2"/>
      <c r="N84" s="2"/>
      <c r="O84" s="2"/>
    </row>
    <row r="85" spans="1:15" x14ac:dyDescent="0.2">
      <c r="A85" s="27"/>
      <c r="B85" s="27"/>
      <c r="C85" s="27"/>
      <c r="D85" s="27"/>
      <c r="E85" s="27"/>
      <c r="F85" s="27"/>
      <c r="G85" s="2"/>
      <c r="H85" s="2"/>
      <c r="I85" s="2"/>
      <c r="J85" s="2"/>
      <c r="K85" s="2"/>
      <c r="L85" s="2"/>
      <c r="M85" s="2"/>
      <c r="N85" s="2"/>
      <c r="O85" s="2"/>
    </row>
    <row r="86" spans="1:15" x14ac:dyDescent="0.2">
      <c r="A86" s="27"/>
      <c r="B86" s="27"/>
      <c r="C86" s="27"/>
      <c r="D86" s="27"/>
      <c r="E86" s="27"/>
      <c r="F86" s="27"/>
      <c r="G86" s="2"/>
      <c r="H86" s="2"/>
      <c r="I86" s="2"/>
      <c r="J86" s="2"/>
      <c r="K86" s="2"/>
      <c r="L86" s="2"/>
      <c r="M86" s="2"/>
      <c r="N86" s="2"/>
      <c r="O86" s="2"/>
    </row>
    <row r="87" spans="1:15" x14ac:dyDescent="0.2">
      <c r="A87" s="27"/>
      <c r="B87" s="27"/>
      <c r="C87" s="27"/>
      <c r="D87" s="27"/>
      <c r="E87" s="27"/>
      <c r="F87" s="27"/>
      <c r="G87" s="2"/>
      <c r="H87" s="2"/>
      <c r="I87" s="2"/>
      <c r="J87" s="2"/>
      <c r="K87" s="2"/>
      <c r="L87" s="2"/>
      <c r="M87" s="2"/>
      <c r="N87" s="2"/>
      <c r="O87" s="2"/>
    </row>
    <row r="88" spans="1:15" x14ac:dyDescent="0.2">
      <c r="A88" s="27"/>
      <c r="B88" s="27"/>
      <c r="C88" s="27"/>
      <c r="D88" s="27"/>
      <c r="E88" s="27"/>
      <c r="F88" s="27"/>
      <c r="G88" s="2"/>
      <c r="H88" s="2"/>
      <c r="I88" s="2"/>
      <c r="J88" s="2"/>
      <c r="K88" s="2"/>
      <c r="L88" s="2"/>
      <c r="M88" s="2"/>
      <c r="N88" s="2"/>
      <c r="O88" s="2"/>
    </row>
    <row r="89" spans="1:15" x14ac:dyDescent="0.2">
      <c r="A89" s="27"/>
      <c r="B89" s="27"/>
      <c r="C89" s="27"/>
      <c r="D89" s="27"/>
      <c r="E89" s="27"/>
      <c r="F89" s="27"/>
      <c r="G89" s="2"/>
      <c r="H89" s="2"/>
      <c r="I89" s="2"/>
      <c r="J89" s="2"/>
      <c r="K89" s="2"/>
      <c r="L89" s="2"/>
      <c r="M89" s="2"/>
      <c r="N89" s="2"/>
      <c r="O89" s="2"/>
    </row>
    <row r="90" spans="1:15" x14ac:dyDescent="0.2">
      <c r="A90" s="27"/>
      <c r="B90" s="27"/>
      <c r="C90" s="27"/>
      <c r="D90" s="27"/>
      <c r="E90" s="27"/>
      <c r="F90" s="27"/>
      <c r="G90" s="2"/>
      <c r="H90" s="2"/>
      <c r="I90" s="2"/>
      <c r="J90" s="2"/>
      <c r="K90" s="2"/>
      <c r="L90" s="2"/>
      <c r="M90" s="2"/>
      <c r="N90" s="2"/>
      <c r="O90" s="2"/>
    </row>
    <row r="91" spans="1:15" x14ac:dyDescent="0.2">
      <c r="A91" s="27"/>
      <c r="B91" s="27"/>
      <c r="C91" s="27"/>
      <c r="D91" s="27"/>
      <c r="E91" s="27"/>
      <c r="F91" s="27"/>
      <c r="G91" s="2"/>
      <c r="H91" s="2"/>
      <c r="I91" s="2"/>
      <c r="J91" s="2"/>
      <c r="K91" s="2"/>
      <c r="L91" s="2"/>
      <c r="M91" s="2"/>
      <c r="N91" s="2"/>
      <c r="O91" s="2"/>
    </row>
    <row r="92" spans="1:15" x14ac:dyDescent="0.2">
      <c r="A92" s="27"/>
      <c r="B92" s="27"/>
      <c r="C92" s="27"/>
      <c r="D92" s="27"/>
      <c r="E92" s="27"/>
      <c r="F92" s="27"/>
      <c r="G92" s="2"/>
      <c r="H92" s="2"/>
      <c r="I92" s="2"/>
      <c r="J92" s="2"/>
      <c r="K92" s="2"/>
      <c r="L92" s="2"/>
      <c r="M92" s="2"/>
      <c r="N92" s="2"/>
      <c r="O92" s="2"/>
    </row>
    <row r="93" spans="1:15" x14ac:dyDescent="0.2">
      <c r="A93" s="27"/>
      <c r="B93" s="27"/>
      <c r="C93" s="27"/>
      <c r="D93" s="27"/>
      <c r="E93" s="27"/>
      <c r="F93" s="27"/>
      <c r="G93" s="2"/>
      <c r="H93" s="2"/>
      <c r="I93" s="2"/>
      <c r="J93" s="2"/>
      <c r="K93" s="2"/>
      <c r="L93" s="2"/>
      <c r="M93" s="2"/>
      <c r="N93" s="2"/>
      <c r="O93" s="2"/>
    </row>
    <row r="94" spans="1:15" x14ac:dyDescent="0.2">
      <c r="A94" s="27"/>
      <c r="B94" s="27"/>
      <c r="C94" s="27"/>
      <c r="D94" s="27"/>
      <c r="E94" s="27"/>
      <c r="F94" s="27"/>
      <c r="G94" s="2"/>
      <c r="H94" s="2"/>
      <c r="I94" s="2"/>
      <c r="J94" s="2"/>
      <c r="K94" s="2"/>
      <c r="L94" s="2"/>
      <c r="M94" s="2"/>
      <c r="N94" s="2"/>
      <c r="O94" s="2"/>
    </row>
    <row r="95" spans="1:15" x14ac:dyDescent="0.2">
      <c r="A95" s="27"/>
      <c r="B95" s="27"/>
      <c r="C95" s="27"/>
      <c r="D95" s="27"/>
      <c r="E95" s="27"/>
      <c r="F95" s="27"/>
      <c r="G95" s="2"/>
      <c r="H95" s="2"/>
      <c r="I95" s="2"/>
      <c r="J95" s="2"/>
      <c r="K95" s="2"/>
      <c r="L95" s="2"/>
      <c r="M95" s="2"/>
      <c r="N95" s="2"/>
      <c r="O95" s="2"/>
    </row>
    <row r="96" spans="1:15" x14ac:dyDescent="0.2">
      <c r="A96" s="27"/>
      <c r="B96" s="27"/>
      <c r="C96" s="27"/>
      <c r="D96" s="27"/>
      <c r="E96" s="27"/>
      <c r="F96" s="27"/>
      <c r="G96" s="2"/>
      <c r="H96" s="2"/>
      <c r="I96" s="2"/>
      <c r="J96" s="2"/>
      <c r="K96" s="2"/>
      <c r="L96" s="2"/>
      <c r="M96" s="2"/>
      <c r="N96" s="2"/>
      <c r="O96" s="2"/>
    </row>
    <row r="97" spans="1:15" x14ac:dyDescent="0.2">
      <c r="A97" s="27"/>
      <c r="B97" s="27"/>
      <c r="C97" s="27"/>
      <c r="D97" s="27"/>
      <c r="E97" s="27"/>
      <c r="F97" s="27"/>
      <c r="G97" s="2"/>
      <c r="H97" s="2"/>
      <c r="I97" s="2"/>
      <c r="J97" s="2"/>
      <c r="K97" s="2"/>
      <c r="L97" s="2"/>
      <c r="M97" s="2"/>
      <c r="N97" s="2"/>
      <c r="O97" s="2"/>
    </row>
    <row r="98" spans="1:15" x14ac:dyDescent="0.2">
      <c r="A98" s="27"/>
      <c r="B98" s="27"/>
      <c r="C98" s="27"/>
      <c r="D98" s="27"/>
      <c r="E98" s="27"/>
      <c r="F98" s="27"/>
      <c r="G98" s="2"/>
      <c r="H98" s="2"/>
      <c r="I98" s="2"/>
      <c r="J98" s="2"/>
      <c r="K98" s="2"/>
      <c r="L98" s="2"/>
      <c r="M98" s="2"/>
      <c r="N98" s="2"/>
      <c r="O98" s="2"/>
    </row>
    <row r="99" spans="1:15" x14ac:dyDescent="0.2">
      <c r="A99" s="27"/>
      <c r="B99" s="27"/>
      <c r="C99" s="27"/>
      <c r="D99" s="27"/>
      <c r="E99" s="27"/>
      <c r="F99" s="27"/>
      <c r="G99" s="2"/>
      <c r="H99" s="2"/>
      <c r="I99" s="2"/>
      <c r="J99" s="2"/>
      <c r="K99" s="2"/>
      <c r="L99" s="2"/>
      <c r="M99" s="2"/>
      <c r="N99" s="2"/>
      <c r="O99" s="2"/>
    </row>
    <row r="100" spans="1:15" x14ac:dyDescent="0.2">
      <c r="A100" s="2"/>
      <c r="B100" s="2"/>
      <c r="C100" s="2"/>
      <c r="D100" s="2"/>
      <c r="E100" s="2"/>
      <c r="F100" s="2"/>
      <c r="G100" s="2"/>
      <c r="H100" s="2"/>
      <c r="I100" s="2"/>
      <c r="J100" s="2"/>
      <c r="K100" s="2"/>
      <c r="L100" s="2"/>
      <c r="M100" s="2"/>
      <c r="N100" s="2"/>
      <c r="O100" s="2"/>
    </row>
    <row r="101" spans="1:15" x14ac:dyDescent="0.2">
      <c r="A101" s="2"/>
      <c r="B101" s="2"/>
      <c r="C101" s="2"/>
      <c r="D101" s="2"/>
      <c r="E101" s="2"/>
      <c r="F101" s="2"/>
      <c r="G101" s="2"/>
      <c r="H101" s="2"/>
      <c r="I101" s="2"/>
      <c r="J101" s="2"/>
      <c r="K101" s="2"/>
      <c r="L101" s="2"/>
      <c r="M101" s="2"/>
      <c r="N101" s="2"/>
      <c r="O101" s="2"/>
    </row>
    <row r="102" spans="1:15" x14ac:dyDescent="0.2">
      <c r="A102" s="2"/>
      <c r="B102" s="2"/>
      <c r="C102" s="2"/>
      <c r="D102" s="2"/>
      <c r="E102" s="2"/>
      <c r="F102" s="2"/>
      <c r="G102" s="2"/>
      <c r="H102" s="2"/>
      <c r="I102" s="2"/>
      <c r="J102" s="2"/>
      <c r="K102" s="2"/>
      <c r="L102" s="2"/>
      <c r="M102" s="2"/>
      <c r="N102" s="2"/>
      <c r="O102" s="2"/>
    </row>
    <row r="103" spans="1:15" x14ac:dyDescent="0.2">
      <c r="A103" s="2"/>
      <c r="B103" s="2"/>
      <c r="C103" s="2"/>
      <c r="D103" s="2"/>
      <c r="E103" s="2"/>
      <c r="F103" s="2"/>
      <c r="G103" s="2"/>
      <c r="H103" s="2"/>
      <c r="I103" s="2"/>
      <c r="J103" s="2"/>
      <c r="K103" s="2"/>
      <c r="L103" s="2"/>
      <c r="M103" s="2"/>
      <c r="N103" s="2"/>
      <c r="O103" s="2"/>
    </row>
    <row r="104" spans="1:15" x14ac:dyDescent="0.2">
      <c r="A104" s="2"/>
      <c r="B104" s="2"/>
      <c r="C104" s="2"/>
      <c r="D104" s="2"/>
      <c r="E104" s="2"/>
      <c r="F104" s="2"/>
      <c r="G104" s="2"/>
      <c r="H104" s="2"/>
      <c r="I104" s="2"/>
      <c r="J104" s="2"/>
      <c r="K104" s="2"/>
      <c r="L104" s="2"/>
      <c r="M104" s="2"/>
      <c r="N104" s="2"/>
      <c r="O104" s="2"/>
    </row>
    <row r="105" spans="1:15" x14ac:dyDescent="0.2">
      <c r="A105" s="2"/>
      <c r="B105" s="2"/>
      <c r="C105" s="2"/>
      <c r="D105" s="2"/>
      <c r="E105" s="2"/>
      <c r="F105" s="2"/>
      <c r="G105" s="2"/>
      <c r="H105" s="2"/>
      <c r="I105" s="2"/>
      <c r="J105" s="2"/>
      <c r="K105" s="2"/>
      <c r="L105" s="2"/>
      <c r="M105" s="2"/>
      <c r="N105" s="2"/>
      <c r="O105" s="2"/>
    </row>
    <row r="106" spans="1:15" x14ac:dyDescent="0.2">
      <c r="A106" s="2"/>
      <c r="B106" s="2"/>
      <c r="C106" s="2"/>
      <c r="D106" s="2"/>
      <c r="E106" s="2"/>
      <c r="F106" s="2"/>
      <c r="G106" s="2"/>
      <c r="H106" s="2"/>
      <c r="I106" s="2"/>
      <c r="J106" s="2"/>
      <c r="K106" s="2"/>
      <c r="L106" s="2"/>
      <c r="M106" s="2"/>
      <c r="N106" s="2"/>
      <c r="O106" s="2"/>
    </row>
    <row r="107" spans="1:15" x14ac:dyDescent="0.2">
      <c r="A107" s="2"/>
      <c r="B107" s="2"/>
      <c r="C107" s="2"/>
      <c r="D107" s="2"/>
      <c r="E107" s="2"/>
      <c r="F107" s="2"/>
      <c r="G107" s="2"/>
      <c r="H107" s="2"/>
      <c r="I107" s="2"/>
      <c r="J107" s="2"/>
      <c r="K107" s="2"/>
      <c r="L107" s="2"/>
      <c r="M107" s="2"/>
      <c r="N107" s="2"/>
      <c r="O107" s="2"/>
    </row>
    <row r="108" spans="1:15" x14ac:dyDescent="0.2">
      <c r="A108" s="2"/>
      <c r="B108" s="2"/>
      <c r="C108" s="2"/>
      <c r="D108" s="2"/>
      <c r="E108" s="2"/>
      <c r="F108" s="2"/>
      <c r="G108" s="2"/>
      <c r="H108" s="2"/>
      <c r="I108" s="2"/>
      <c r="J108" s="2"/>
      <c r="K108" s="2"/>
      <c r="L108" s="2"/>
      <c r="M108" s="2"/>
      <c r="N108" s="2"/>
      <c r="O108" s="2"/>
    </row>
    <row r="109" spans="1:15" x14ac:dyDescent="0.2">
      <c r="A109" s="2"/>
      <c r="B109" s="2"/>
      <c r="C109" s="2"/>
      <c r="D109" s="2"/>
      <c r="E109" s="2"/>
      <c r="F109" s="2"/>
      <c r="G109" s="2"/>
      <c r="H109" s="2"/>
      <c r="I109" s="2"/>
      <c r="J109" s="2"/>
      <c r="K109" s="2"/>
      <c r="L109" s="2"/>
      <c r="M109" s="2"/>
      <c r="N109" s="2"/>
      <c r="O109" s="2"/>
    </row>
    <row r="110" spans="1:15" x14ac:dyDescent="0.2">
      <c r="A110" s="2"/>
      <c r="B110" s="2"/>
      <c r="C110" s="2"/>
      <c r="D110" s="2"/>
      <c r="E110" s="2"/>
      <c r="F110" s="2"/>
      <c r="G110" s="2"/>
      <c r="H110" s="2"/>
      <c r="I110" s="2"/>
      <c r="J110" s="2"/>
      <c r="K110" s="2"/>
      <c r="L110" s="2"/>
      <c r="M110" s="2"/>
      <c r="N110" s="2"/>
      <c r="O110" s="2"/>
    </row>
    <row r="111" spans="1:15" x14ac:dyDescent="0.2">
      <c r="A111" s="2"/>
      <c r="B111" s="2"/>
      <c r="C111" s="2"/>
      <c r="D111" s="2"/>
      <c r="E111" s="2"/>
      <c r="F111" s="2"/>
      <c r="G111" s="2"/>
      <c r="H111" s="2"/>
      <c r="I111" s="2"/>
      <c r="J111" s="2"/>
      <c r="K111" s="2"/>
      <c r="L111" s="2"/>
      <c r="M111" s="2"/>
      <c r="N111" s="2"/>
      <c r="O111" s="2"/>
    </row>
    <row r="112" spans="1:15" x14ac:dyDescent="0.2">
      <c r="A112" s="2"/>
      <c r="B112" s="2"/>
      <c r="C112" s="2"/>
      <c r="D112" s="2"/>
      <c r="E112" s="2"/>
      <c r="F112" s="2"/>
      <c r="G112" s="2"/>
      <c r="H112" s="2"/>
      <c r="I112" s="2"/>
      <c r="J112" s="2"/>
      <c r="K112" s="2"/>
      <c r="L112" s="2"/>
      <c r="M112" s="2"/>
      <c r="N112" s="2"/>
      <c r="O112" s="2"/>
    </row>
    <row r="113" spans="1:15" x14ac:dyDescent="0.2">
      <c r="A113" s="2"/>
      <c r="B113" s="2"/>
      <c r="C113" s="2"/>
      <c r="D113" s="2"/>
      <c r="E113" s="2"/>
      <c r="F113" s="2"/>
      <c r="G113" s="2"/>
      <c r="H113" s="2"/>
      <c r="I113" s="2"/>
      <c r="J113" s="2"/>
      <c r="K113" s="2"/>
      <c r="L113" s="2"/>
      <c r="M113" s="2"/>
      <c r="N113" s="2"/>
      <c r="O113" s="2"/>
    </row>
    <row r="114" spans="1:15" x14ac:dyDescent="0.2">
      <c r="A114" s="2"/>
      <c r="B114" s="2"/>
      <c r="C114" s="2"/>
      <c r="D114" s="2"/>
      <c r="E114" s="2"/>
      <c r="F114" s="2"/>
      <c r="G114" s="2"/>
      <c r="H114" s="2"/>
      <c r="I114" s="2"/>
      <c r="J114" s="2"/>
      <c r="K114" s="2"/>
      <c r="L114" s="2"/>
      <c r="M114" s="2"/>
      <c r="N114" s="2"/>
      <c r="O114" s="2"/>
    </row>
    <row r="115" spans="1:15" x14ac:dyDescent="0.2">
      <c r="A115" s="2"/>
      <c r="B115" s="2"/>
      <c r="C115" s="2"/>
      <c r="D115" s="2"/>
      <c r="E115" s="2"/>
      <c r="F115" s="2"/>
      <c r="G115" s="2"/>
      <c r="H115" s="2"/>
      <c r="I115" s="2"/>
      <c r="J115" s="2"/>
      <c r="K115" s="2"/>
      <c r="L115" s="2"/>
      <c r="M115" s="2"/>
      <c r="N115" s="2"/>
      <c r="O115" s="2"/>
    </row>
    <row r="116" spans="1:15" x14ac:dyDescent="0.2">
      <c r="A116" s="2"/>
      <c r="B116" s="2"/>
      <c r="C116" s="2"/>
      <c r="D116" s="2"/>
      <c r="E116" s="2"/>
      <c r="F116" s="2"/>
      <c r="G116" s="2"/>
      <c r="H116" s="2"/>
      <c r="I116" s="2"/>
      <c r="J116" s="2"/>
      <c r="K116" s="2"/>
      <c r="L116" s="2"/>
      <c r="M116" s="2"/>
      <c r="N116" s="2"/>
      <c r="O116" s="2"/>
    </row>
    <row r="117" spans="1:15" x14ac:dyDescent="0.2">
      <c r="A117" s="2"/>
      <c r="B117" s="2"/>
      <c r="C117" s="2"/>
      <c r="D117" s="2"/>
      <c r="E117" s="2"/>
      <c r="F117" s="2"/>
      <c r="G117" s="2"/>
      <c r="H117" s="2"/>
      <c r="I117" s="2"/>
      <c r="J117" s="2"/>
      <c r="K117" s="2"/>
      <c r="L117" s="2"/>
      <c r="M117" s="2"/>
      <c r="N117" s="2"/>
      <c r="O117" s="2"/>
    </row>
    <row r="118" spans="1:15" x14ac:dyDescent="0.2">
      <c r="A118" s="2"/>
      <c r="B118" s="2"/>
      <c r="C118" s="2"/>
      <c r="D118" s="2"/>
      <c r="E118" s="2"/>
      <c r="F118" s="2"/>
      <c r="G118" s="2"/>
      <c r="H118" s="2"/>
      <c r="I118" s="2"/>
      <c r="J118" s="2"/>
      <c r="K118" s="2"/>
      <c r="L118" s="2"/>
      <c r="M118" s="2"/>
      <c r="N118" s="2"/>
      <c r="O118" s="2"/>
    </row>
    <row r="119" spans="1:15" x14ac:dyDescent="0.2">
      <c r="A119" s="2"/>
      <c r="B119" s="2"/>
      <c r="C119" s="2"/>
      <c r="D119" s="2"/>
      <c r="E119" s="2"/>
      <c r="F119" s="2"/>
      <c r="G119" s="2"/>
      <c r="H119" s="2"/>
      <c r="I119" s="2"/>
      <c r="J119" s="2"/>
      <c r="K119" s="2"/>
      <c r="L119" s="2"/>
      <c r="M119" s="2"/>
      <c r="N119" s="2"/>
      <c r="O119" s="2"/>
    </row>
    <row r="120" spans="1:15" x14ac:dyDescent="0.2">
      <c r="A120" s="2"/>
      <c r="B120" s="2"/>
      <c r="C120" s="2"/>
      <c r="D120" s="2"/>
      <c r="E120" s="2"/>
      <c r="F120" s="2"/>
      <c r="G120" s="2"/>
      <c r="H120" s="2"/>
      <c r="I120" s="2"/>
      <c r="J120" s="2"/>
      <c r="K120" s="2"/>
      <c r="L120" s="2"/>
      <c r="M120" s="2"/>
      <c r="N120" s="2"/>
      <c r="O120" s="2"/>
    </row>
    <row r="121" spans="1:15" x14ac:dyDescent="0.2">
      <c r="A121" s="2"/>
      <c r="B121" s="2"/>
      <c r="C121" s="2"/>
      <c r="D121" s="2"/>
      <c r="E121" s="2"/>
      <c r="F121" s="2"/>
      <c r="G121" s="2"/>
      <c r="H121" s="2"/>
      <c r="I121" s="2"/>
      <c r="J121" s="2"/>
      <c r="K121" s="2"/>
      <c r="L121" s="2"/>
      <c r="M121" s="2"/>
      <c r="N121" s="2"/>
      <c r="O121" s="2"/>
    </row>
    <row r="122" spans="1:15" x14ac:dyDescent="0.2">
      <c r="A122" s="2"/>
      <c r="B122" s="2"/>
      <c r="C122" s="2"/>
      <c r="D122" s="2"/>
      <c r="E122" s="2"/>
      <c r="F122" s="2"/>
      <c r="G122" s="2"/>
      <c r="H122" s="2"/>
      <c r="I122" s="2"/>
      <c r="J122" s="2"/>
      <c r="K122" s="2"/>
      <c r="L122" s="2"/>
      <c r="M122" s="2"/>
      <c r="N122" s="2"/>
      <c r="O122" s="2"/>
    </row>
    <row r="123" spans="1:15" x14ac:dyDescent="0.2">
      <c r="A123" s="2"/>
      <c r="B123" s="2"/>
      <c r="C123" s="2"/>
      <c r="D123" s="2"/>
      <c r="E123" s="2"/>
      <c r="F123" s="2"/>
      <c r="G123" s="2"/>
      <c r="H123" s="2"/>
      <c r="I123" s="2"/>
      <c r="J123" s="2"/>
      <c r="K123" s="2"/>
      <c r="L123" s="2"/>
      <c r="M123" s="2"/>
      <c r="N123" s="2"/>
      <c r="O123" s="2"/>
    </row>
  </sheetData>
  <mergeCells count="52">
    <mergeCell ref="C26:F26"/>
    <mergeCell ref="C52:F52"/>
    <mergeCell ref="C53:F53"/>
    <mergeCell ref="C14:F14"/>
    <mergeCell ref="C28:F28"/>
    <mergeCell ref="C42:C43"/>
    <mergeCell ref="D42:D43"/>
    <mergeCell ref="C29:F29"/>
    <mergeCell ref="C36:F36"/>
    <mergeCell ref="C18:E18"/>
    <mergeCell ref="C25:F25"/>
    <mergeCell ref="C27:F27"/>
    <mergeCell ref="A31:E31"/>
    <mergeCell ref="A38:E38"/>
    <mergeCell ref="C32:F32"/>
    <mergeCell ref="C33:F33"/>
    <mergeCell ref="C11:F11"/>
    <mergeCell ref="C12:F12"/>
    <mergeCell ref="C13:F13"/>
    <mergeCell ref="A24:E24"/>
    <mergeCell ref="C15:F15"/>
    <mergeCell ref="A20:A22"/>
    <mergeCell ref="C51:F51"/>
    <mergeCell ref="A39:A40"/>
    <mergeCell ref="B42:B43"/>
    <mergeCell ref="B45:B46"/>
    <mergeCell ref="A41:A46"/>
    <mergeCell ref="A48:E48"/>
    <mergeCell ref="E42:E43"/>
    <mergeCell ref="B39:F39"/>
    <mergeCell ref="F45:F46"/>
    <mergeCell ref="B56:C56"/>
    <mergeCell ref="B57:C57"/>
    <mergeCell ref="B58:C58"/>
    <mergeCell ref="B59:C59"/>
    <mergeCell ref="B60:C60"/>
    <mergeCell ref="B1:F1"/>
    <mergeCell ref="C45:C46"/>
    <mergeCell ref="E45:E46"/>
    <mergeCell ref="C49:F49"/>
    <mergeCell ref="C50:F50"/>
    <mergeCell ref="C34:F34"/>
    <mergeCell ref="C35:F35"/>
    <mergeCell ref="A3:D3"/>
    <mergeCell ref="A10:E10"/>
    <mergeCell ref="C4:F4"/>
    <mergeCell ref="A17:E17"/>
    <mergeCell ref="A18:B19"/>
    <mergeCell ref="C5:F5"/>
    <mergeCell ref="C6:F6"/>
    <mergeCell ref="C7:F7"/>
    <mergeCell ref="C8:F8"/>
  </mergeCells>
  <phoneticPr fontId="0" type="noConversion"/>
  <pageMargins left="0.74803149606299213" right="0.74803149606299213" top="0.98425196850393704" bottom="0.98425196850393704" header="0" footer="0"/>
  <pageSetup paperSize="9" orientation="portrait"/>
  <headerFooter alignWithMargins="0"/>
  <drawing r:id="rId1"/>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22"/>
  <sheetViews>
    <sheetView topLeftCell="A9" zoomScale="70" zoomScaleNormal="70" zoomScalePageLayoutView="70" workbookViewId="0">
      <selection activeCell="A12" sqref="A12:A21"/>
    </sheetView>
  </sheetViews>
  <sheetFormatPr baseColWidth="10" defaultRowHeight="14.25" x14ac:dyDescent="0.2"/>
  <cols>
    <col min="1" max="1" width="39.75" customWidth="1"/>
    <col min="2" max="2" width="38" customWidth="1"/>
    <col min="3" max="3" width="44.375" customWidth="1"/>
    <col min="4" max="4" width="55.125" customWidth="1"/>
    <col min="5" max="5" width="25.375" customWidth="1"/>
  </cols>
  <sheetData>
    <row r="1" spans="1:5" ht="74.25" customHeight="1" x14ac:dyDescent="0.2">
      <c r="A1" s="7"/>
      <c r="B1" s="336" t="s">
        <v>300</v>
      </c>
      <c r="C1" s="336"/>
      <c r="D1" s="336"/>
    </row>
    <row r="2" spans="1:5" ht="8.25" customHeight="1" x14ac:dyDescent="0.2">
      <c r="A2" s="5"/>
      <c r="B2" s="5"/>
    </row>
    <row r="3" spans="1:5" ht="26.25" customHeight="1" x14ac:dyDescent="0.2">
      <c r="A3" s="95"/>
      <c r="B3" s="95" t="s">
        <v>282</v>
      </c>
      <c r="C3" s="94" t="s">
        <v>304</v>
      </c>
      <c r="D3" s="94" t="s">
        <v>305</v>
      </c>
      <c r="E3" s="94" t="s">
        <v>1390</v>
      </c>
    </row>
    <row r="4" spans="1:5" ht="26.25" customHeight="1" x14ac:dyDescent="0.2">
      <c r="A4" s="338" t="s">
        <v>364</v>
      </c>
      <c r="B4" s="95" t="s">
        <v>492</v>
      </c>
      <c r="C4" s="94"/>
      <c r="D4" s="94"/>
    </row>
    <row r="5" spans="1:5" ht="35.25" customHeight="1" x14ac:dyDescent="0.2">
      <c r="A5" s="339"/>
      <c r="B5" s="96" t="s">
        <v>365</v>
      </c>
      <c r="C5" s="96" t="s">
        <v>366</v>
      </c>
      <c r="D5" s="96" t="s">
        <v>438</v>
      </c>
    </row>
    <row r="6" spans="1:5" ht="35.25" customHeight="1" x14ac:dyDescent="0.2">
      <c r="A6" s="339"/>
      <c r="B6" s="96" t="s">
        <v>367</v>
      </c>
      <c r="C6" s="96" t="s">
        <v>439</v>
      </c>
      <c r="D6" s="96" t="s">
        <v>368</v>
      </c>
    </row>
    <row r="7" spans="1:5" ht="35.25" customHeight="1" x14ac:dyDescent="0.2">
      <c r="A7" s="339"/>
      <c r="B7" s="115" t="s">
        <v>603</v>
      </c>
      <c r="C7" s="115" t="s">
        <v>604</v>
      </c>
      <c r="D7" s="115" t="s">
        <v>605</v>
      </c>
    </row>
    <row r="8" spans="1:5" ht="35.25" customHeight="1" x14ac:dyDescent="0.2">
      <c r="A8" s="339"/>
      <c r="B8" s="96" t="s">
        <v>178</v>
      </c>
      <c r="C8" s="96" t="s">
        <v>369</v>
      </c>
      <c r="D8" s="96" t="s">
        <v>370</v>
      </c>
    </row>
    <row r="9" spans="1:5" ht="51" customHeight="1" x14ac:dyDescent="0.2">
      <c r="A9" s="339"/>
      <c r="B9" s="96" t="s">
        <v>371</v>
      </c>
      <c r="C9" s="96" t="s">
        <v>372</v>
      </c>
      <c r="D9" s="96" t="s">
        <v>373</v>
      </c>
    </row>
    <row r="10" spans="1:5" ht="35.25" customHeight="1" x14ac:dyDescent="0.2">
      <c r="A10" s="339"/>
      <c r="B10" s="96" t="s">
        <v>374</v>
      </c>
      <c r="C10" s="96" t="s">
        <v>375</v>
      </c>
      <c r="D10" s="96" t="s">
        <v>376</v>
      </c>
    </row>
    <row r="11" spans="1:5" ht="15" x14ac:dyDescent="0.2">
      <c r="A11" s="94"/>
      <c r="B11" s="122" t="s">
        <v>493</v>
      </c>
      <c r="C11" s="107"/>
      <c r="D11" s="107"/>
    </row>
    <row r="12" spans="1:5" ht="35.25" customHeight="1" x14ac:dyDescent="0.2">
      <c r="A12" s="338" t="s">
        <v>406</v>
      </c>
      <c r="B12" s="96" t="s">
        <v>292</v>
      </c>
      <c r="C12" s="96" t="s">
        <v>349</v>
      </c>
      <c r="D12" s="96" t="s">
        <v>350</v>
      </c>
    </row>
    <row r="13" spans="1:5" ht="35.25" customHeight="1" x14ac:dyDescent="0.2">
      <c r="A13" s="339"/>
      <c r="B13" s="96" t="s">
        <v>285</v>
      </c>
      <c r="C13" s="96" t="s">
        <v>351</v>
      </c>
      <c r="D13" s="96" t="s">
        <v>352</v>
      </c>
    </row>
    <row r="14" spans="1:5" ht="35.25" customHeight="1" x14ac:dyDescent="0.2">
      <c r="A14" s="339"/>
      <c r="B14" s="96" t="s">
        <v>293</v>
      </c>
      <c r="C14" s="96" t="s">
        <v>353</v>
      </c>
      <c r="D14" s="96" t="s">
        <v>354</v>
      </c>
    </row>
    <row r="15" spans="1:5" ht="35.25" customHeight="1" x14ac:dyDescent="0.2">
      <c r="A15" s="339"/>
      <c r="B15" s="96" t="s">
        <v>355</v>
      </c>
      <c r="C15" s="96" t="s">
        <v>356</v>
      </c>
      <c r="D15" s="96" t="s">
        <v>357</v>
      </c>
    </row>
    <row r="16" spans="1:5" ht="35.25" customHeight="1" x14ac:dyDescent="0.2">
      <c r="A16" s="339"/>
      <c r="B16" s="96" t="s">
        <v>543</v>
      </c>
      <c r="C16" s="96"/>
      <c r="D16" s="96"/>
    </row>
    <row r="17" spans="1:7" ht="43.5" customHeight="1" x14ac:dyDescent="0.2">
      <c r="A17" s="339"/>
      <c r="B17" s="96" t="s">
        <v>198</v>
      </c>
      <c r="C17" s="96" t="s">
        <v>427</v>
      </c>
      <c r="D17" s="96" t="s">
        <v>440</v>
      </c>
    </row>
    <row r="18" spans="1:7" ht="43.5" customHeight="1" x14ac:dyDescent="0.2">
      <c r="A18" s="339"/>
      <c r="B18" s="96" t="s">
        <v>452</v>
      </c>
      <c r="C18" s="96" t="s">
        <v>437</v>
      </c>
      <c r="D18" s="96" t="s">
        <v>441</v>
      </c>
    </row>
    <row r="19" spans="1:7" ht="45.75" customHeight="1" x14ac:dyDescent="0.2">
      <c r="A19" s="339"/>
      <c r="B19" s="96" t="s">
        <v>286</v>
      </c>
      <c r="C19" s="96" t="s">
        <v>402</v>
      </c>
      <c r="D19" s="96" t="s">
        <v>358</v>
      </c>
    </row>
    <row r="20" spans="1:7" ht="35.25" customHeight="1" x14ac:dyDescent="0.2">
      <c r="A20" s="339"/>
      <c r="B20" s="96" t="s">
        <v>299</v>
      </c>
      <c r="C20" s="96" t="s">
        <v>290</v>
      </c>
      <c r="D20" s="96" t="s">
        <v>435</v>
      </c>
      <c r="G20" s="104"/>
    </row>
    <row r="21" spans="1:7" ht="35.25" customHeight="1" x14ac:dyDescent="0.2">
      <c r="A21" s="339"/>
      <c r="B21" s="96" t="s">
        <v>287</v>
      </c>
      <c r="C21" s="96" t="s">
        <v>362</v>
      </c>
      <c r="D21" s="96" t="s">
        <v>363</v>
      </c>
    </row>
    <row r="22" spans="1:7" ht="15" x14ac:dyDescent="0.2">
      <c r="A22" s="118"/>
      <c r="B22" s="122" t="s">
        <v>494</v>
      </c>
      <c r="C22" s="97"/>
      <c r="D22" s="97"/>
    </row>
    <row r="23" spans="1:7" ht="47.25" customHeight="1" x14ac:dyDescent="0.2">
      <c r="A23" s="343" t="s">
        <v>443</v>
      </c>
      <c r="B23" s="96" t="s">
        <v>289</v>
      </c>
      <c r="C23" s="105" t="s">
        <v>436</v>
      </c>
      <c r="D23" s="105" t="s">
        <v>442</v>
      </c>
    </row>
    <row r="24" spans="1:7" ht="33.75" customHeight="1" x14ac:dyDescent="0.2">
      <c r="A24" s="341"/>
      <c r="B24" s="96" t="s">
        <v>405</v>
      </c>
      <c r="C24" s="105" t="s">
        <v>444</v>
      </c>
      <c r="D24" s="105" t="s">
        <v>445</v>
      </c>
    </row>
    <row r="25" spans="1:7" ht="15" x14ac:dyDescent="0.2">
      <c r="A25" s="119"/>
      <c r="B25" s="122" t="s">
        <v>495</v>
      </c>
      <c r="C25" s="97"/>
      <c r="D25" s="97"/>
    </row>
    <row r="26" spans="1:7" ht="43.5" customHeight="1" x14ac:dyDescent="0.2">
      <c r="A26" s="338" t="s">
        <v>332</v>
      </c>
      <c r="B26" s="96" t="s">
        <v>176</v>
      </c>
      <c r="C26" s="96" t="s">
        <v>333</v>
      </c>
      <c r="D26" s="96" t="s">
        <v>334</v>
      </c>
    </row>
    <row r="27" spans="1:7" ht="39.75" customHeight="1" x14ac:dyDescent="0.2">
      <c r="A27" s="339"/>
      <c r="B27" s="96" t="s">
        <v>450</v>
      </c>
      <c r="C27" s="96"/>
      <c r="D27" s="96"/>
    </row>
    <row r="28" spans="1:7" ht="35.25" customHeight="1" x14ac:dyDescent="0.2">
      <c r="A28" s="339"/>
      <c r="B28" s="106" t="s">
        <v>335</v>
      </c>
      <c r="C28" s="96" t="s">
        <v>336</v>
      </c>
      <c r="D28" s="96" t="s">
        <v>337</v>
      </c>
    </row>
    <row r="29" spans="1:7" ht="38.25" customHeight="1" x14ac:dyDescent="0.2">
      <c r="A29" s="339"/>
      <c r="B29" s="96" t="s">
        <v>451</v>
      </c>
      <c r="C29" s="96" t="s">
        <v>338</v>
      </c>
      <c r="D29" s="96" t="s">
        <v>339</v>
      </c>
    </row>
    <row r="30" spans="1:7" ht="53.25" customHeight="1" x14ac:dyDescent="0.2">
      <c r="A30" s="339"/>
      <c r="B30" s="96" t="s">
        <v>177</v>
      </c>
      <c r="C30" s="96" t="s">
        <v>340</v>
      </c>
      <c r="D30" s="96" t="s">
        <v>339</v>
      </c>
    </row>
    <row r="31" spans="1:7" ht="35.25" customHeight="1" x14ac:dyDescent="0.2">
      <c r="A31" s="339"/>
      <c r="B31" s="96" t="s">
        <v>297</v>
      </c>
      <c r="C31" s="96" t="s">
        <v>341</v>
      </c>
      <c r="D31" s="96" t="s">
        <v>342</v>
      </c>
    </row>
    <row r="32" spans="1:7" ht="15" x14ac:dyDescent="0.2">
      <c r="A32" s="99"/>
      <c r="B32" s="122" t="s">
        <v>496</v>
      </c>
      <c r="C32" s="103"/>
      <c r="D32" s="103"/>
    </row>
    <row r="33" spans="1:4" ht="35.25" customHeight="1" x14ac:dyDescent="0.2">
      <c r="A33" s="337" t="s">
        <v>314</v>
      </c>
      <c r="B33" s="96" t="s">
        <v>283</v>
      </c>
      <c r="C33" s="96" t="s">
        <v>315</v>
      </c>
      <c r="D33" s="96" t="s">
        <v>316</v>
      </c>
    </row>
    <row r="34" spans="1:4" ht="35.25" customHeight="1" x14ac:dyDescent="0.2">
      <c r="A34" s="337"/>
      <c r="B34" s="96" t="s">
        <v>430</v>
      </c>
      <c r="C34" s="96" t="s">
        <v>317</v>
      </c>
      <c r="D34" s="96" t="s">
        <v>318</v>
      </c>
    </row>
    <row r="35" spans="1:4" ht="35.25" customHeight="1" x14ac:dyDescent="0.2">
      <c r="A35" s="337"/>
      <c r="B35" s="96" t="s">
        <v>284</v>
      </c>
      <c r="C35" s="96" t="s">
        <v>319</v>
      </c>
      <c r="D35" s="96" t="s">
        <v>320</v>
      </c>
    </row>
    <row r="36" spans="1:4" ht="35.25" customHeight="1" x14ac:dyDescent="0.2">
      <c r="A36" s="337"/>
      <c r="B36" s="96" t="s">
        <v>321</v>
      </c>
      <c r="C36" s="96" t="s">
        <v>322</v>
      </c>
      <c r="D36" s="96" t="s">
        <v>323</v>
      </c>
    </row>
    <row r="37" spans="1:4" ht="35.25" customHeight="1" x14ac:dyDescent="0.2">
      <c r="A37" s="337"/>
      <c r="B37" s="96" t="s">
        <v>291</v>
      </c>
      <c r="C37" s="96" t="s">
        <v>324</v>
      </c>
      <c r="D37" s="96" t="s">
        <v>325</v>
      </c>
    </row>
    <row r="38" spans="1:4" ht="50.25" customHeight="1" x14ac:dyDescent="0.2">
      <c r="A38" s="337"/>
      <c r="B38" s="96" t="s">
        <v>326</v>
      </c>
      <c r="C38" s="96" t="s">
        <v>327</v>
      </c>
      <c r="D38" s="96" t="s">
        <v>328</v>
      </c>
    </row>
    <row r="39" spans="1:4" ht="53.25" customHeight="1" x14ac:dyDescent="0.2">
      <c r="A39" s="337"/>
      <c r="B39" s="96" t="s">
        <v>329</v>
      </c>
      <c r="C39" s="96" t="s">
        <v>330</v>
      </c>
      <c r="D39" s="96" t="s">
        <v>331</v>
      </c>
    </row>
    <row r="40" spans="1:4" ht="35.25" customHeight="1" x14ac:dyDescent="0.2">
      <c r="A40" s="337"/>
      <c r="B40" s="105" t="s">
        <v>196</v>
      </c>
      <c r="C40" s="96" t="s">
        <v>399</v>
      </c>
      <c r="D40" s="96"/>
    </row>
    <row r="41" spans="1:4" ht="15" customHeight="1" x14ac:dyDescent="0.2">
      <c r="A41" s="341" t="s">
        <v>377</v>
      </c>
      <c r="B41" s="122" t="s">
        <v>497</v>
      </c>
      <c r="C41" s="97"/>
      <c r="D41" s="97"/>
    </row>
    <row r="42" spans="1:4" ht="67.5" customHeight="1" x14ac:dyDescent="0.2">
      <c r="A42" s="341"/>
      <c r="B42" s="96" t="s">
        <v>294</v>
      </c>
      <c r="C42" s="96" t="s">
        <v>378</v>
      </c>
      <c r="D42" s="96" t="s">
        <v>379</v>
      </c>
    </row>
    <row r="43" spans="1:4" ht="67.5" customHeight="1" x14ac:dyDescent="0.2">
      <c r="A43" s="341"/>
      <c r="B43" s="96" t="s">
        <v>295</v>
      </c>
      <c r="C43" s="96" t="s">
        <v>380</v>
      </c>
      <c r="D43" s="96" t="s">
        <v>381</v>
      </c>
    </row>
    <row r="44" spans="1:4" ht="67.5" customHeight="1" x14ac:dyDescent="0.2">
      <c r="A44" s="341"/>
      <c r="B44" s="96" t="s">
        <v>296</v>
      </c>
      <c r="C44" s="96" t="s">
        <v>382</v>
      </c>
      <c r="D44" s="96" t="s">
        <v>383</v>
      </c>
    </row>
    <row r="45" spans="1:4" ht="15" x14ac:dyDescent="0.2">
      <c r="A45" s="99"/>
      <c r="B45" s="122" t="s">
        <v>498</v>
      </c>
      <c r="C45" s="103"/>
      <c r="D45" s="103"/>
    </row>
    <row r="46" spans="1:4" ht="68.25" customHeight="1" x14ac:dyDescent="0.2">
      <c r="A46" s="338" t="s">
        <v>343</v>
      </c>
      <c r="B46" s="93" t="s">
        <v>344</v>
      </c>
      <c r="C46" s="96" t="s">
        <v>345</v>
      </c>
      <c r="D46" s="96" t="s">
        <v>346</v>
      </c>
    </row>
    <row r="47" spans="1:4" ht="91.5" customHeight="1" x14ac:dyDescent="0.2">
      <c r="A47" s="339"/>
      <c r="B47" s="93" t="s">
        <v>347</v>
      </c>
      <c r="C47" s="96" t="s">
        <v>400</v>
      </c>
      <c r="D47" s="96" t="s">
        <v>348</v>
      </c>
    </row>
    <row r="48" spans="1:4" ht="15" x14ac:dyDescent="0.2">
      <c r="A48" s="100"/>
      <c r="B48" s="122" t="s">
        <v>499</v>
      </c>
      <c r="C48" s="97"/>
      <c r="D48" s="97"/>
    </row>
    <row r="49" spans="1:4" ht="42.75" customHeight="1" x14ac:dyDescent="0.2">
      <c r="A49" s="342" t="s">
        <v>384</v>
      </c>
      <c r="B49" s="96" t="s">
        <v>179</v>
      </c>
      <c r="C49" s="96" t="s">
        <v>385</v>
      </c>
      <c r="D49" s="96" t="s">
        <v>386</v>
      </c>
    </row>
    <row r="50" spans="1:4" ht="35.25" customHeight="1" x14ac:dyDescent="0.2">
      <c r="A50" s="337"/>
      <c r="B50" s="96" t="s">
        <v>180</v>
      </c>
      <c r="C50" s="106"/>
      <c r="D50" s="106"/>
    </row>
    <row r="51" spans="1:4" ht="33.75" customHeight="1" x14ac:dyDescent="0.2">
      <c r="A51" s="337"/>
      <c r="B51" s="96" t="s">
        <v>398</v>
      </c>
      <c r="C51" s="106"/>
      <c r="D51" s="106"/>
    </row>
    <row r="52" spans="1:4" ht="27" customHeight="1" x14ac:dyDescent="0.2">
      <c r="A52" s="337"/>
      <c r="B52" s="96" t="s">
        <v>401</v>
      </c>
      <c r="C52" s="96"/>
      <c r="D52" s="96"/>
    </row>
    <row r="53" spans="1:4" ht="15" x14ac:dyDescent="0.2">
      <c r="A53" s="99"/>
      <c r="B53" s="122" t="s">
        <v>500</v>
      </c>
      <c r="C53" s="97"/>
      <c r="D53" s="97"/>
    </row>
    <row r="54" spans="1:4" ht="40.5" customHeight="1" x14ac:dyDescent="0.2">
      <c r="A54" s="338" t="s">
        <v>306</v>
      </c>
      <c r="B54" s="96" t="s">
        <v>714</v>
      </c>
      <c r="C54" s="96" t="s">
        <v>307</v>
      </c>
      <c r="D54" s="96" t="s">
        <v>308</v>
      </c>
    </row>
    <row r="55" spans="1:4" ht="45.75" customHeight="1" x14ac:dyDescent="0.2">
      <c r="A55" s="339"/>
      <c r="B55" s="96" t="s">
        <v>715</v>
      </c>
      <c r="C55" s="96" t="s">
        <v>309</v>
      </c>
      <c r="D55" s="96" t="s">
        <v>310</v>
      </c>
    </row>
    <row r="56" spans="1:4" ht="37.5" customHeight="1" x14ac:dyDescent="0.2">
      <c r="A56" s="339"/>
      <c r="B56" s="96" t="s">
        <v>716</v>
      </c>
      <c r="C56" s="96" t="s">
        <v>311</v>
      </c>
      <c r="D56" s="96" t="s">
        <v>312</v>
      </c>
    </row>
    <row r="57" spans="1:4" ht="37.5" customHeight="1" x14ac:dyDescent="0.2">
      <c r="A57" s="339"/>
      <c r="B57" s="128" t="s">
        <v>717</v>
      </c>
      <c r="C57" s="128"/>
      <c r="D57" s="128"/>
    </row>
    <row r="58" spans="1:4" ht="37.5" customHeight="1" x14ac:dyDescent="0.2">
      <c r="A58" s="339"/>
      <c r="B58" s="128" t="s">
        <v>718</v>
      </c>
      <c r="C58" s="128"/>
      <c r="D58" s="128"/>
    </row>
    <row r="59" spans="1:4" ht="37.5" customHeight="1" x14ac:dyDescent="0.2">
      <c r="A59" s="339"/>
      <c r="B59" s="128" t="s">
        <v>719</v>
      </c>
      <c r="C59" s="128"/>
      <c r="D59" s="128"/>
    </row>
    <row r="60" spans="1:4" ht="37.5" customHeight="1" x14ac:dyDescent="0.2">
      <c r="A60" s="339"/>
      <c r="B60" s="128" t="s">
        <v>720</v>
      </c>
      <c r="C60" s="128"/>
      <c r="D60" s="128"/>
    </row>
    <row r="61" spans="1:4" ht="40.5" customHeight="1" x14ac:dyDescent="0.2">
      <c r="A61" s="339"/>
      <c r="B61" s="101" t="s">
        <v>721</v>
      </c>
      <c r="C61" s="101" t="s">
        <v>313</v>
      </c>
      <c r="D61" s="101" t="s">
        <v>312</v>
      </c>
    </row>
    <row r="62" spans="1:4" ht="15" customHeight="1" x14ac:dyDescent="0.2">
      <c r="A62" s="338" t="s">
        <v>387</v>
      </c>
      <c r="B62" s="122" t="s">
        <v>1452</v>
      </c>
      <c r="C62" s="102"/>
      <c r="D62" s="102"/>
    </row>
    <row r="63" spans="1:4" ht="30" x14ac:dyDescent="0.2">
      <c r="A63" s="339"/>
      <c r="B63" s="129" t="s">
        <v>1380</v>
      </c>
      <c r="C63" s="129" t="s">
        <v>1435</v>
      </c>
      <c r="D63" s="129" t="s">
        <v>388</v>
      </c>
    </row>
    <row r="64" spans="1:4" ht="45" x14ac:dyDescent="0.2">
      <c r="A64" s="339"/>
      <c r="B64" s="129" t="s">
        <v>1378</v>
      </c>
      <c r="C64" s="129" t="s">
        <v>1436</v>
      </c>
      <c r="D64" s="129" t="s">
        <v>389</v>
      </c>
    </row>
    <row r="65" spans="1:4" ht="35.25" customHeight="1" x14ac:dyDescent="0.2">
      <c r="A65" s="339"/>
      <c r="B65" s="129" t="s">
        <v>1433</v>
      </c>
      <c r="C65" s="129" t="s">
        <v>1437</v>
      </c>
      <c r="D65" s="129" t="s">
        <v>390</v>
      </c>
    </row>
    <row r="66" spans="1:4" ht="35.25" customHeight="1" x14ac:dyDescent="0.2">
      <c r="A66" s="339"/>
      <c r="B66" s="129" t="s">
        <v>1384</v>
      </c>
      <c r="C66" s="129" t="s">
        <v>1438</v>
      </c>
      <c r="D66" s="129" t="s">
        <v>391</v>
      </c>
    </row>
    <row r="67" spans="1:4" ht="64.5" customHeight="1" x14ac:dyDescent="0.2">
      <c r="A67" s="339"/>
      <c r="B67" s="129" t="s">
        <v>1379</v>
      </c>
      <c r="C67" s="129" t="s">
        <v>1439</v>
      </c>
      <c r="D67" s="129" t="s">
        <v>392</v>
      </c>
    </row>
    <row r="68" spans="1:4" ht="35.25" customHeight="1" x14ac:dyDescent="0.2">
      <c r="A68" s="339"/>
      <c r="B68" s="129" t="s">
        <v>1383</v>
      </c>
      <c r="C68" s="129" t="s">
        <v>1440</v>
      </c>
      <c r="D68" s="129" t="s">
        <v>393</v>
      </c>
    </row>
    <row r="69" spans="1:4" ht="35.25" customHeight="1" x14ac:dyDescent="0.2">
      <c r="A69" s="339"/>
      <c r="B69" s="129" t="s">
        <v>1434</v>
      </c>
      <c r="C69" s="129" t="s">
        <v>1441</v>
      </c>
      <c r="D69" s="129" t="s">
        <v>388</v>
      </c>
    </row>
    <row r="70" spans="1:4" ht="45" hidden="1" x14ac:dyDescent="0.2">
      <c r="A70" s="339"/>
      <c r="B70" s="96"/>
      <c r="C70" s="96"/>
      <c r="D70" s="96" t="s">
        <v>392</v>
      </c>
    </row>
    <row r="71" spans="1:4" ht="35.25" hidden="1" customHeight="1" x14ac:dyDescent="0.2">
      <c r="A71" s="339"/>
      <c r="B71" s="96"/>
      <c r="C71" s="96"/>
      <c r="D71" s="96" t="s">
        <v>393</v>
      </c>
    </row>
    <row r="72" spans="1:4" ht="62.25" hidden="1" customHeight="1" x14ac:dyDescent="0.2">
      <c r="A72" s="339"/>
      <c r="B72" s="96"/>
      <c r="C72" s="96"/>
      <c r="D72" s="96" t="s">
        <v>388</v>
      </c>
    </row>
    <row r="73" spans="1:4" ht="27" hidden="1" customHeight="1" x14ac:dyDescent="0.2">
      <c r="A73" s="340"/>
      <c r="B73" s="108" t="s">
        <v>503</v>
      </c>
      <c r="C73" s="96"/>
      <c r="D73" s="96"/>
    </row>
    <row r="74" spans="1:4" ht="15" x14ac:dyDescent="0.2">
      <c r="A74" s="98"/>
      <c r="B74" s="122" t="s">
        <v>501</v>
      </c>
      <c r="C74" s="103"/>
      <c r="D74" s="103"/>
    </row>
    <row r="75" spans="1:4" ht="63" customHeight="1" x14ac:dyDescent="0.2">
      <c r="A75" s="338" t="s">
        <v>394</v>
      </c>
      <c r="B75" s="105" t="s">
        <v>301</v>
      </c>
      <c r="C75" s="96" t="s">
        <v>395</v>
      </c>
      <c r="D75" s="96" t="s">
        <v>396</v>
      </c>
    </row>
    <row r="76" spans="1:4" ht="84.75" customHeight="1" x14ac:dyDescent="0.2">
      <c r="A76" s="339"/>
      <c r="B76" s="96" t="s">
        <v>359</v>
      </c>
      <c r="C76" s="96" t="s">
        <v>360</v>
      </c>
      <c r="D76" s="96" t="s">
        <v>361</v>
      </c>
    </row>
    <row r="77" spans="1:4" ht="18" customHeight="1" x14ac:dyDescent="0.2">
      <c r="A77" s="100"/>
      <c r="B77" s="123" t="s">
        <v>502</v>
      </c>
      <c r="C77" s="101"/>
      <c r="D77" s="101"/>
    </row>
    <row r="78" spans="1:4" ht="63" customHeight="1" x14ac:dyDescent="0.2">
      <c r="A78" s="335" t="s">
        <v>447</v>
      </c>
      <c r="B78" s="115" t="s">
        <v>448</v>
      </c>
      <c r="C78" s="115"/>
      <c r="D78" s="115"/>
    </row>
    <row r="79" spans="1:4" ht="15" x14ac:dyDescent="0.2">
      <c r="A79" s="335"/>
      <c r="B79" s="120" t="s">
        <v>545</v>
      </c>
      <c r="C79" s="121"/>
      <c r="D79" s="121"/>
    </row>
    <row r="80" spans="1:4" ht="27" customHeight="1" x14ac:dyDescent="0.2">
      <c r="A80" s="335"/>
      <c r="B80" s="115" t="s">
        <v>546</v>
      </c>
      <c r="C80" s="121"/>
      <c r="D80" s="121"/>
    </row>
    <row r="82" spans="1:4" ht="36" customHeight="1" x14ac:dyDescent="0.2">
      <c r="A82" s="94" t="s">
        <v>300</v>
      </c>
      <c r="B82" s="151" t="s">
        <v>1104</v>
      </c>
    </row>
    <row r="83" spans="1:4" ht="37.5" customHeight="1" x14ac:dyDescent="0.2">
      <c r="A83" s="130" t="s">
        <v>397</v>
      </c>
      <c r="B83" s="152" t="s">
        <v>995</v>
      </c>
      <c r="C83" s="153" t="s">
        <v>714</v>
      </c>
      <c r="D83" s="204" t="s">
        <v>1427</v>
      </c>
    </row>
    <row r="84" spans="1:4" ht="22.5" customHeight="1" x14ac:dyDescent="0.2">
      <c r="A84" s="130" t="s">
        <v>407</v>
      </c>
      <c r="B84" s="152" t="s">
        <v>996</v>
      </c>
      <c r="C84" s="153" t="s">
        <v>715</v>
      </c>
      <c r="D84" s="205" t="s">
        <v>1428</v>
      </c>
    </row>
    <row r="85" spans="1:4" ht="44.25" customHeight="1" x14ac:dyDescent="0.2">
      <c r="A85" s="130" t="s">
        <v>408</v>
      </c>
      <c r="B85" s="152" t="s">
        <v>997</v>
      </c>
      <c r="C85" s="153" t="s">
        <v>716</v>
      </c>
      <c r="D85" s="204" t="s">
        <v>1429</v>
      </c>
    </row>
    <row r="86" spans="1:4" ht="22.5" customHeight="1" x14ac:dyDescent="0.2">
      <c r="A86" s="130" t="s">
        <v>433</v>
      </c>
      <c r="B86" s="152" t="s">
        <v>175</v>
      </c>
      <c r="C86" s="153" t="s">
        <v>717</v>
      </c>
      <c r="D86" s="204" t="s">
        <v>1430</v>
      </c>
    </row>
    <row r="87" spans="1:4" ht="22.5" customHeight="1" x14ac:dyDescent="0.2">
      <c r="A87" s="130" t="s">
        <v>434</v>
      </c>
      <c r="B87" s="152" t="s">
        <v>998</v>
      </c>
      <c r="C87" s="153" t="s">
        <v>718</v>
      </c>
      <c r="D87" s="204" t="s">
        <v>298</v>
      </c>
    </row>
    <row r="88" spans="1:4" ht="57.75" customHeight="1" x14ac:dyDescent="0.2">
      <c r="A88" s="130" t="s">
        <v>409</v>
      </c>
      <c r="B88" s="152" t="s">
        <v>999</v>
      </c>
      <c r="C88" s="153" t="s">
        <v>719</v>
      </c>
      <c r="D88" s="204" t="s">
        <v>1431</v>
      </c>
    </row>
    <row r="89" spans="1:4" ht="22.5" customHeight="1" x14ac:dyDescent="0.2">
      <c r="A89" s="130" t="s">
        <v>410</v>
      </c>
      <c r="B89" s="152" t="s">
        <v>1000</v>
      </c>
      <c r="C89" s="153" t="s">
        <v>720</v>
      </c>
      <c r="D89" s="204" t="s">
        <v>1432</v>
      </c>
    </row>
    <row r="90" spans="1:4" ht="47.25" customHeight="1" x14ac:dyDescent="0.2">
      <c r="A90" s="130" t="s">
        <v>411</v>
      </c>
      <c r="C90" s="153" t="s">
        <v>721</v>
      </c>
      <c r="D90" s="207" t="s">
        <v>1312</v>
      </c>
    </row>
    <row r="91" spans="1:4" ht="18" x14ac:dyDescent="0.2">
      <c r="A91" s="130" t="s">
        <v>412</v>
      </c>
      <c r="C91" s="153" t="s">
        <v>283</v>
      </c>
      <c r="D91" s="204" t="s">
        <v>1314</v>
      </c>
    </row>
    <row r="92" spans="1:4" ht="18" x14ac:dyDescent="0.2">
      <c r="A92" s="130" t="s">
        <v>413</v>
      </c>
      <c r="C92" s="153" t="s">
        <v>430</v>
      </c>
      <c r="D92" s="204" t="s">
        <v>1315</v>
      </c>
    </row>
    <row r="93" spans="1:4" ht="18" x14ac:dyDescent="0.2">
      <c r="A93" s="130" t="s">
        <v>414</v>
      </c>
      <c r="C93" s="153" t="s">
        <v>284</v>
      </c>
      <c r="D93" s="204" t="s">
        <v>1316</v>
      </c>
    </row>
    <row r="94" spans="1:4" ht="18" x14ac:dyDescent="0.2">
      <c r="A94" s="130" t="s">
        <v>449</v>
      </c>
      <c r="C94" s="153" t="s">
        <v>321</v>
      </c>
      <c r="D94" s="204" t="s">
        <v>1318</v>
      </c>
    </row>
    <row r="95" spans="1:4" ht="18" x14ac:dyDescent="0.25">
      <c r="A95" s="154"/>
      <c r="C95" s="153" t="s">
        <v>291</v>
      </c>
      <c r="D95" s="204" t="s">
        <v>1319</v>
      </c>
    </row>
    <row r="96" spans="1:4" ht="18" x14ac:dyDescent="0.25">
      <c r="A96" s="154"/>
      <c r="C96" s="153" t="s">
        <v>1146</v>
      </c>
      <c r="D96" s="204" t="s">
        <v>1320</v>
      </c>
    </row>
    <row r="97" spans="1:4" ht="18" x14ac:dyDescent="0.25">
      <c r="A97" s="154"/>
      <c r="C97" s="153" t="s">
        <v>329</v>
      </c>
      <c r="D97" s="204" t="s">
        <v>1321</v>
      </c>
    </row>
    <row r="98" spans="1:4" ht="18" x14ac:dyDescent="0.25">
      <c r="A98" s="154"/>
      <c r="C98" s="155" t="s">
        <v>196</v>
      </c>
      <c r="D98" s="204" t="s">
        <v>1322</v>
      </c>
    </row>
    <row r="99" spans="1:4" ht="18" x14ac:dyDescent="0.25">
      <c r="A99" s="154"/>
      <c r="C99" s="153" t="s">
        <v>1105</v>
      </c>
      <c r="D99" s="204" t="s">
        <v>1123</v>
      </c>
    </row>
    <row r="100" spans="1:4" ht="18" x14ac:dyDescent="0.25">
      <c r="A100" s="154"/>
      <c r="C100" s="153" t="s">
        <v>1106</v>
      </c>
      <c r="D100" s="204" t="s">
        <v>1124</v>
      </c>
    </row>
    <row r="101" spans="1:4" ht="18" x14ac:dyDescent="0.25">
      <c r="A101" s="154"/>
      <c r="C101" s="153" t="s">
        <v>1107</v>
      </c>
      <c r="D101" s="204" t="s">
        <v>1125</v>
      </c>
    </row>
    <row r="102" spans="1:4" ht="18" x14ac:dyDescent="0.25">
      <c r="A102" s="154"/>
      <c r="C102" s="153" t="s">
        <v>176</v>
      </c>
      <c r="D102" s="204" t="s">
        <v>1126</v>
      </c>
    </row>
    <row r="103" spans="1:4" ht="18" x14ac:dyDescent="0.25">
      <c r="A103" s="154"/>
      <c r="C103" s="153" t="s">
        <v>1108</v>
      </c>
      <c r="D103" s="204" t="s">
        <v>1127</v>
      </c>
    </row>
    <row r="104" spans="1:4" ht="57" x14ac:dyDescent="0.25">
      <c r="A104" s="1"/>
      <c r="C104" s="153" t="s">
        <v>177</v>
      </c>
      <c r="D104" s="204" t="s">
        <v>1323</v>
      </c>
    </row>
    <row r="105" spans="1:4" ht="18" x14ac:dyDescent="0.25">
      <c r="A105" s="1"/>
      <c r="C105" s="156" t="s">
        <v>1109</v>
      </c>
      <c r="D105" s="204" t="s">
        <v>1324</v>
      </c>
    </row>
    <row r="106" spans="1:4" ht="18" x14ac:dyDescent="0.25">
      <c r="A106" s="1"/>
      <c r="C106" s="156" t="s">
        <v>1197</v>
      </c>
      <c r="D106" s="204" t="s">
        <v>1325</v>
      </c>
    </row>
    <row r="107" spans="1:4" ht="18" x14ac:dyDescent="0.25">
      <c r="A107" s="1"/>
      <c r="C107" s="156" t="s">
        <v>1110</v>
      </c>
      <c r="D107" s="204" t="s">
        <v>286</v>
      </c>
    </row>
    <row r="108" spans="1:4" ht="18" x14ac:dyDescent="0.25">
      <c r="A108" s="1"/>
      <c r="C108" s="156" t="s">
        <v>1137</v>
      </c>
      <c r="D108" s="204" t="s">
        <v>1326</v>
      </c>
    </row>
    <row r="109" spans="1:4" ht="18" x14ac:dyDescent="0.25">
      <c r="A109" s="1"/>
      <c r="C109" s="156" t="s">
        <v>1111</v>
      </c>
      <c r="D109" s="207" t="s">
        <v>1327</v>
      </c>
    </row>
    <row r="110" spans="1:4" ht="18" x14ac:dyDescent="0.25">
      <c r="A110" s="1"/>
      <c r="C110" s="156" t="s">
        <v>1112</v>
      </c>
      <c r="D110" s="204" t="s">
        <v>1328</v>
      </c>
    </row>
    <row r="111" spans="1:4" ht="28.5" x14ac:dyDescent="0.25">
      <c r="A111" s="1"/>
      <c r="C111" s="156" t="s">
        <v>1113</v>
      </c>
      <c r="D111" s="204" t="s">
        <v>1329</v>
      </c>
    </row>
    <row r="112" spans="1:4" ht="18" x14ac:dyDescent="0.25">
      <c r="A112" s="1"/>
      <c r="C112" s="156" t="s">
        <v>1114</v>
      </c>
      <c r="D112" s="204" t="s">
        <v>1331</v>
      </c>
    </row>
    <row r="113" spans="1:4" ht="18" x14ac:dyDescent="0.25">
      <c r="A113" s="1"/>
      <c r="C113" s="153" t="s">
        <v>178</v>
      </c>
      <c r="D113" s="204" t="s">
        <v>1332</v>
      </c>
    </row>
    <row r="114" spans="1:4" ht="18" x14ac:dyDescent="0.25">
      <c r="A114" s="1"/>
      <c r="C114" s="153" t="s">
        <v>1115</v>
      </c>
      <c r="D114" s="204" t="s">
        <v>1333</v>
      </c>
    </row>
    <row r="115" spans="1:4" ht="18" x14ac:dyDescent="0.25">
      <c r="A115" s="1"/>
      <c r="C115" s="156" t="s">
        <v>1116</v>
      </c>
      <c r="D115" s="204" t="s">
        <v>1334</v>
      </c>
    </row>
    <row r="116" spans="1:4" ht="18" x14ac:dyDescent="0.25">
      <c r="A116" s="1"/>
      <c r="C116" s="156" t="s">
        <v>1117</v>
      </c>
      <c r="D116" s="204" t="s">
        <v>296</v>
      </c>
    </row>
    <row r="117" spans="1:4" ht="18" x14ac:dyDescent="0.25">
      <c r="A117" s="1"/>
      <c r="C117" s="156" t="s">
        <v>252</v>
      </c>
      <c r="D117" s="204" t="s">
        <v>1335</v>
      </c>
    </row>
    <row r="118" spans="1:4" ht="28.5" x14ac:dyDescent="0.25">
      <c r="A118" s="1"/>
      <c r="C118" s="156" t="s">
        <v>288</v>
      </c>
      <c r="D118" s="204" t="s">
        <v>1336</v>
      </c>
    </row>
    <row r="119" spans="1:4" ht="28.5" x14ac:dyDescent="0.25">
      <c r="A119" s="1"/>
      <c r="C119" s="156" t="s">
        <v>1118</v>
      </c>
      <c r="D119" s="204" t="s">
        <v>1337</v>
      </c>
    </row>
    <row r="120" spans="1:4" ht="18" x14ac:dyDescent="0.25">
      <c r="A120" s="1"/>
      <c r="C120" s="156" t="s">
        <v>1119</v>
      </c>
      <c r="D120" s="204" t="s">
        <v>1338</v>
      </c>
    </row>
    <row r="121" spans="1:4" ht="18" x14ac:dyDescent="0.25">
      <c r="A121" s="1"/>
      <c r="C121" s="156" t="s">
        <v>1120</v>
      </c>
      <c r="D121" s="204" t="s">
        <v>1339</v>
      </c>
    </row>
    <row r="122" spans="1:4" ht="18" x14ac:dyDescent="0.25">
      <c r="A122" s="1"/>
      <c r="C122" s="156" t="s">
        <v>1121</v>
      </c>
      <c r="D122" s="204" t="s">
        <v>1340</v>
      </c>
    </row>
    <row r="123" spans="1:4" ht="18" x14ac:dyDescent="0.25">
      <c r="A123" s="1"/>
      <c r="C123" s="156" t="s">
        <v>1122</v>
      </c>
      <c r="D123" s="206" t="s">
        <v>1341</v>
      </c>
    </row>
    <row r="124" spans="1:4" ht="18" x14ac:dyDescent="0.25">
      <c r="A124" s="1"/>
      <c r="C124" s="156" t="s">
        <v>180</v>
      </c>
      <c r="D124" s="204" t="s">
        <v>1342</v>
      </c>
    </row>
    <row r="125" spans="1:4" ht="18" x14ac:dyDescent="0.25">
      <c r="A125" s="1"/>
      <c r="C125" s="156" t="s">
        <v>292</v>
      </c>
      <c r="D125" s="204" t="s">
        <v>1343</v>
      </c>
    </row>
    <row r="126" spans="1:4" ht="18" x14ac:dyDescent="0.25">
      <c r="A126" s="1"/>
      <c r="C126" s="156" t="s">
        <v>1123</v>
      </c>
      <c r="D126" s="204" t="s">
        <v>1344</v>
      </c>
    </row>
    <row r="127" spans="1:4" ht="18" x14ac:dyDescent="0.25">
      <c r="A127" s="1"/>
      <c r="C127" s="156" t="s">
        <v>1124</v>
      </c>
      <c r="D127" s="204" t="s">
        <v>1345</v>
      </c>
    </row>
    <row r="128" spans="1:4" ht="18" x14ac:dyDescent="0.25">
      <c r="A128" s="1"/>
      <c r="C128" s="156" t="s">
        <v>1125</v>
      </c>
      <c r="D128" s="204" t="s">
        <v>1346</v>
      </c>
    </row>
    <row r="129" spans="1:4" ht="18" x14ac:dyDescent="0.25">
      <c r="A129" s="1"/>
      <c r="C129" s="156" t="s">
        <v>1126</v>
      </c>
      <c r="D129" s="204" t="s">
        <v>1347</v>
      </c>
    </row>
    <row r="130" spans="1:4" ht="18" x14ac:dyDescent="0.25">
      <c r="A130" s="1"/>
      <c r="C130" s="156" t="s">
        <v>1127</v>
      </c>
      <c r="D130" s="204" t="s">
        <v>293</v>
      </c>
    </row>
    <row r="131" spans="1:4" ht="18" x14ac:dyDescent="0.25">
      <c r="A131" s="1"/>
      <c r="D131" s="204" t="s">
        <v>1348</v>
      </c>
    </row>
    <row r="132" spans="1:4" x14ac:dyDescent="0.2">
      <c r="D132" s="204" t="s">
        <v>1349</v>
      </c>
    </row>
    <row r="133" spans="1:4" x14ac:dyDescent="0.2">
      <c r="D133" s="204" t="s">
        <v>1350</v>
      </c>
    </row>
    <row r="134" spans="1:4" ht="28.5" x14ac:dyDescent="0.2">
      <c r="D134" s="204" t="s">
        <v>1351</v>
      </c>
    </row>
    <row r="135" spans="1:4" x14ac:dyDescent="0.2">
      <c r="D135" s="204" t="s">
        <v>1352</v>
      </c>
    </row>
    <row r="136" spans="1:4" x14ac:dyDescent="0.2">
      <c r="D136" s="204" t="s">
        <v>285</v>
      </c>
    </row>
    <row r="137" spans="1:4" x14ac:dyDescent="0.2">
      <c r="D137" s="204" t="s">
        <v>1353</v>
      </c>
    </row>
    <row r="138" spans="1:4" x14ac:dyDescent="0.2">
      <c r="D138" s="208" t="s">
        <v>1354</v>
      </c>
    </row>
    <row r="139" spans="1:4" x14ac:dyDescent="0.2">
      <c r="D139" s="207" t="s">
        <v>1355</v>
      </c>
    </row>
    <row r="140" spans="1:4" x14ac:dyDescent="0.2">
      <c r="D140" s="204" t="s">
        <v>297</v>
      </c>
    </row>
    <row r="141" spans="1:4" x14ac:dyDescent="0.2">
      <c r="D141" s="204" t="s">
        <v>1356</v>
      </c>
    </row>
    <row r="142" spans="1:4" x14ac:dyDescent="0.2">
      <c r="D142" s="204" t="s">
        <v>1357</v>
      </c>
    </row>
    <row r="143" spans="1:4" x14ac:dyDescent="0.2">
      <c r="D143" s="204" t="s">
        <v>1358</v>
      </c>
    </row>
    <row r="144" spans="1:4" x14ac:dyDescent="0.2">
      <c r="D144" s="204" t="s">
        <v>1359</v>
      </c>
    </row>
    <row r="145" spans="4:4" x14ac:dyDescent="0.2">
      <c r="D145" s="208" t="s">
        <v>1360</v>
      </c>
    </row>
    <row r="146" spans="4:4" x14ac:dyDescent="0.2">
      <c r="D146" s="208" t="s">
        <v>1361</v>
      </c>
    </row>
    <row r="147" spans="4:4" x14ac:dyDescent="0.2">
      <c r="D147" s="204" t="s">
        <v>1362</v>
      </c>
    </row>
    <row r="148" spans="4:4" x14ac:dyDescent="0.2">
      <c r="D148" s="204" t="s">
        <v>1363</v>
      </c>
    </row>
    <row r="149" spans="4:4" x14ac:dyDescent="0.2">
      <c r="D149" s="204" t="s">
        <v>1364</v>
      </c>
    </row>
    <row r="150" spans="4:4" x14ac:dyDescent="0.2">
      <c r="D150" s="209" t="s">
        <v>1365</v>
      </c>
    </row>
    <row r="151" spans="4:4" x14ac:dyDescent="0.2">
      <c r="D151" s="209" t="s">
        <v>1366</v>
      </c>
    </row>
    <row r="152" spans="4:4" x14ac:dyDescent="0.2">
      <c r="D152" s="209" t="s">
        <v>1367</v>
      </c>
    </row>
    <row r="153" spans="4:4" x14ac:dyDescent="0.2">
      <c r="D153" s="204" t="s">
        <v>1368</v>
      </c>
    </row>
    <row r="154" spans="4:4" x14ac:dyDescent="0.2">
      <c r="D154" s="204" t="s">
        <v>1369</v>
      </c>
    </row>
    <row r="155" spans="4:4" ht="28.5" x14ac:dyDescent="0.2">
      <c r="D155" s="204" t="s">
        <v>1370</v>
      </c>
    </row>
    <row r="156" spans="4:4" x14ac:dyDescent="0.2">
      <c r="D156" s="204" t="s">
        <v>1371</v>
      </c>
    </row>
    <row r="157" spans="4:4" x14ac:dyDescent="0.2">
      <c r="D157" s="204" t="s">
        <v>1372</v>
      </c>
    </row>
    <row r="158" spans="4:4" x14ac:dyDescent="0.2">
      <c r="D158" s="204" t="s">
        <v>1373</v>
      </c>
    </row>
    <row r="159" spans="4:4" x14ac:dyDescent="0.2">
      <c r="D159" s="204" t="s">
        <v>1374</v>
      </c>
    </row>
    <row r="160" spans="4:4" x14ac:dyDescent="0.2">
      <c r="D160" s="204" t="s">
        <v>1375</v>
      </c>
    </row>
    <row r="161" spans="2:4" x14ac:dyDescent="0.2">
      <c r="D161" s="204" t="s">
        <v>1376</v>
      </c>
    </row>
    <row r="162" spans="2:4" x14ac:dyDescent="0.2">
      <c r="D162" s="204" t="s">
        <v>1377</v>
      </c>
    </row>
    <row r="163" spans="2:4" x14ac:dyDescent="0.2">
      <c r="D163" s="204" t="s">
        <v>1378</v>
      </c>
    </row>
    <row r="164" spans="2:4" x14ac:dyDescent="0.2">
      <c r="D164" s="204" t="s">
        <v>1379</v>
      </c>
    </row>
    <row r="165" spans="2:4" x14ac:dyDescent="0.2">
      <c r="D165" s="204" t="s">
        <v>1380</v>
      </c>
    </row>
    <row r="166" spans="2:4" x14ac:dyDescent="0.2">
      <c r="D166" s="204" t="s">
        <v>1381</v>
      </c>
    </row>
    <row r="167" spans="2:4" x14ac:dyDescent="0.2">
      <c r="D167" s="204" t="s">
        <v>1382</v>
      </c>
    </row>
    <row r="168" spans="2:4" x14ac:dyDescent="0.2">
      <c r="D168" s="204" t="s">
        <v>1383</v>
      </c>
    </row>
    <row r="169" spans="2:4" x14ac:dyDescent="0.2">
      <c r="D169" s="204" t="s">
        <v>1384</v>
      </c>
    </row>
    <row r="170" spans="2:4" x14ac:dyDescent="0.2">
      <c r="D170" s="204" t="s">
        <v>1385</v>
      </c>
    </row>
    <row r="171" spans="2:4" ht="28.5" x14ac:dyDescent="0.2">
      <c r="D171" s="204" t="s">
        <v>1386</v>
      </c>
    </row>
    <row r="172" spans="2:4" x14ac:dyDescent="0.2">
      <c r="D172" s="204" t="s">
        <v>176</v>
      </c>
    </row>
    <row r="173" spans="2:4" x14ac:dyDescent="0.2">
      <c r="D173" s="204" t="s">
        <v>1387</v>
      </c>
    </row>
    <row r="174" spans="2:4" x14ac:dyDescent="0.2">
      <c r="B174" s="216"/>
    </row>
    <row r="175" spans="2:4" x14ac:dyDescent="0.2">
      <c r="B175" s="216"/>
    </row>
    <row r="176" spans="2:4" x14ac:dyDescent="0.2">
      <c r="B176" s="216"/>
    </row>
    <row r="177" spans="2:2" x14ac:dyDescent="0.2">
      <c r="B177" s="216"/>
    </row>
    <row r="178" spans="2:2" x14ac:dyDescent="0.2">
      <c r="B178" s="216"/>
    </row>
    <row r="179" spans="2:2" x14ac:dyDescent="0.2">
      <c r="B179" s="216"/>
    </row>
    <row r="180" spans="2:2" x14ac:dyDescent="0.2">
      <c r="B180" s="216"/>
    </row>
    <row r="181" spans="2:2" x14ac:dyDescent="0.2">
      <c r="B181" s="216"/>
    </row>
    <row r="182" spans="2:2" x14ac:dyDescent="0.2">
      <c r="B182" s="216"/>
    </row>
    <row r="183" spans="2:2" x14ac:dyDescent="0.2">
      <c r="B183" s="216"/>
    </row>
    <row r="184" spans="2:2" x14ac:dyDescent="0.2">
      <c r="B184" s="216"/>
    </row>
    <row r="185" spans="2:2" x14ac:dyDescent="0.2">
      <c r="B185" s="216"/>
    </row>
    <row r="186" spans="2:2" x14ac:dyDescent="0.2">
      <c r="B186" s="216"/>
    </row>
    <row r="187" spans="2:2" x14ac:dyDescent="0.2">
      <c r="B187" s="217"/>
    </row>
    <row r="188" spans="2:2" x14ac:dyDescent="0.2">
      <c r="B188" s="218"/>
    </row>
    <row r="189" spans="2:2" x14ac:dyDescent="0.2">
      <c r="B189" s="216"/>
    </row>
    <row r="190" spans="2:2" x14ac:dyDescent="0.2">
      <c r="B190" s="216"/>
    </row>
    <row r="191" spans="2:2" x14ac:dyDescent="0.2">
      <c r="B191" s="216"/>
    </row>
    <row r="192" spans="2:2" x14ac:dyDescent="0.2">
      <c r="B192" s="216"/>
    </row>
    <row r="193" spans="2:2" x14ac:dyDescent="0.2">
      <c r="B193" s="216"/>
    </row>
    <row r="194" spans="2:2" x14ac:dyDescent="0.2">
      <c r="B194" s="217"/>
    </row>
    <row r="195" spans="2:2" x14ac:dyDescent="0.2">
      <c r="B195" s="217"/>
    </row>
    <row r="196" spans="2:2" x14ac:dyDescent="0.2">
      <c r="B196" s="216"/>
    </row>
    <row r="197" spans="2:2" x14ac:dyDescent="0.2">
      <c r="B197" s="216"/>
    </row>
    <row r="198" spans="2:2" x14ac:dyDescent="0.2">
      <c r="B198" s="216"/>
    </row>
    <row r="199" spans="2:2" x14ac:dyDescent="0.2">
      <c r="B199" s="219"/>
    </row>
    <row r="200" spans="2:2" x14ac:dyDescent="0.2">
      <c r="B200" s="219"/>
    </row>
    <row r="201" spans="2:2" x14ac:dyDescent="0.2">
      <c r="B201" s="219"/>
    </row>
    <row r="202" spans="2:2" x14ac:dyDescent="0.2">
      <c r="B202" s="216"/>
    </row>
    <row r="203" spans="2:2" x14ac:dyDescent="0.2">
      <c r="B203" s="216"/>
    </row>
    <row r="204" spans="2:2" x14ac:dyDescent="0.2">
      <c r="B204" s="216"/>
    </row>
    <row r="205" spans="2:2" x14ac:dyDescent="0.2">
      <c r="B205" s="216"/>
    </row>
    <row r="206" spans="2:2" x14ac:dyDescent="0.2">
      <c r="B206" s="216"/>
    </row>
    <row r="207" spans="2:2" x14ac:dyDescent="0.2">
      <c r="B207" s="216"/>
    </row>
    <row r="208" spans="2:2" x14ac:dyDescent="0.2">
      <c r="B208" s="216"/>
    </row>
    <row r="209" spans="2:2" x14ac:dyDescent="0.2">
      <c r="B209" s="216"/>
    </row>
    <row r="210" spans="2:2" x14ac:dyDescent="0.2">
      <c r="B210" s="216"/>
    </row>
    <row r="211" spans="2:2" x14ac:dyDescent="0.2">
      <c r="B211" s="216"/>
    </row>
    <row r="212" spans="2:2" x14ac:dyDescent="0.2">
      <c r="B212" s="216"/>
    </row>
    <row r="213" spans="2:2" x14ac:dyDescent="0.2">
      <c r="B213" s="216"/>
    </row>
    <row r="214" spans="2:2" x14ac:dyDescent="0.2">
      <c r="B214" s="216"/>
    </row>
    <row r="215" spans="2:2" x14ac:dyDescent="0.2">
      <c r="B215" s="216"/>
    </row>
    <row r="216" spans="2:2" x14ac:dyDescent="0.2">
      <c r="B216" s="216"/>
    </row>
    <row r="217" spans="2:2" x14ac:dyDescent="0.2">
      <c r="B217" s="216"/>
    </row>
    <row r="218" spans="2:2" x14ac:dyDescent="0.2">
      <c r="B218" s="216"/>
    </row>
    <row r="219" spans="2:2" x14ac:dyDescent="0.2">
      <c r="B219" s="216"/>
    </row>
    <row r="220" spans="2:2" x14ac:dyDescent="0.2">
      <c r="B220" s="216"/>
    </row>
    <row r="221" spans="2:2" x14ac:dyDescent="0.2">
      <c r="B221" s="216"/>
    </row>
    <row r="222" spans="2:2" x14ac:dyDescent="0.2">
      <c r="B222" s="216"/>
    </row>
  </sheetData>
  <mergeCells count="13">
    <mergeCell ref="A78:A80"/>
    <mergeCell ref="B1:D1"/>
    <mergeCell ref="A33:A40"/>
    <mergeCell ref="A62:A73"/>
    <mergeCell ref="A75:A76"/>
    <mergeCell ref="A46:A47"/>
    <mergeCell ref="A41:A44"/>
    <mergeCell ref="A49:A52"/>
    <mergeCell ref="A26:A31"/>
    <mergeCell ref="A23:A24"/>
    <mergeCell ref="A12:A21"/>
    <mergeCell ref="A4:A10"/>
    <mergeCell ref="A54:A61"/>
  </mergeCells>
  <pageMargins left="0.62992125984251968" right="0.62992125984251968" top="0.59055118110236227" bottom="0.59055118110236227" header="0.31496062992125984" footer="0.31496062992125984"/>
  <pageSetup scale="80" orientation="portrait" r:id="rId1"/>
  <drawing r:id="rId2"/>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527BC6-E0C4-4ADE-8B90-967D2A784572}">
  <dimension ref="A1:A12"/>
  <sheetViews>
    <sheetView workbookViewId="0">
      <selection activeCell="A3" sqref="A3"/>
    </sheetView>
  </sheetViews>
  <sheetFormatPr baseColWidth="10" defaultRowHeight="14.25" x14ac:dyDescent="0.2"/>
  <cols>
    <col min="1" max="1" width="34.875" customWidth="1"/>
  </cols>
  <sheetData>
    <row r="1" spans="1:1" x14ac:dyDescent="0.2">
      <c r="A1" s="221" t="s">
        <v>1443</v>
      </c>
    </row>
    <row r="2" spans="1:1" ht="15" x14ac:dyDescent="0.2">
      <c r="A2" s="122" t="s">
        <v>493</v>
      </c>
    </row>
    <row r="3" spans="1:1" ht="15" x14ac:dyDescent="0.2">
      <c r="A3" s="96" t="s">
        <v>292</v>
      </c>
    </row>
    <row r="4" spans="1:1" ht="15" x14ac:dyDescent="0.2">
      <c r="A4" s="96" t="s">
        <v>285</v>
      </c>
    </row>
    <row r="5" spans="1:1" ht="15" x14ac:dyDescent="0.2">
      <c r="A5" s="96" t="s">
        <v>293</v>
      </c>
    </row>
    <row r="6" spans="1:1" ht="15" x14ac:dyDescent="0.2">
      <c r="A6" s="96" t="s">
        <v>355</v>
      </c>
    </row>
    <row r="7" spans="1:1" ht="30" x14ac:dyDescent="0.2">
      <c r="A7" s="96" t="s">
        <v>543</v>
      </c>
    </row>
    <row r="8" spans="1:1" ht="15" x14ac:dyDescent="0.2">
      <c r="A8" s="96" t="s">
        <v>198</v>
      </c>
    </row>
    <row r="9" spans="1:1" ht="30" x14ac:dyDescent="0.2">
      <c r="A9" s="96" t="s">
        <v>452</v>
      </c>
    </row>
    <row r="10" spans="1:1" ht="15" x14ac:dyDescent="0.2">
      <c r="A10" s="96" t="s">
        <v>286</v>
      </c>
    </row>
    <row r="11" spans="1:1" ht="15" x14ac:dyDescent="0.2">
      <c r="A11" s="96" t="s">
        <v>299</v>
      </c>
    </row>
    <row r="12" spans="1:1" ht="15" x14ac:dyDescent="0.2">
      <c r="A12" s="96" t="s">
        <v>287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filterMode="1"/>
  <dimension ref="A1:EEN440"/>
  <sheetViews>
    <sheetView topLeftCell="A3" zoomScale="89" zoomScaleNormal="89" workbookViewId="0">
      <selection activeCell="D315" sqref="D315"/>
    </sheetView>
  </sheetViews>
  <sheetFormatPr baseColWidth="10" defaultColWidth="11" defaultRowHeight="12.75" x14ac:dyDescent="0.2"/>
  <cols>
    <col min="1" max="1" width="17.875" style="134" customWidth="1"/>
    <col min="2" max="2" width="17.125" style="134" customWidth="1"/>
    <col min="3" max="3" width="27.875" style="134" customWidth="1"/>
    <col min="4" max="4" width="20.25" style="134" customWidth="1"/>
    <col min="5" max="5" width="19.375" style="134" customWidth="1"/>
    <col min="6" max="6" width="17.625" style="134" customWidth="1"/>
    <col min="7" max="7" width="36.375" style="134" customWidth="1"/>
    <col min="8" max="8" width="24.125" style="134" customWidth="1"/>
    <col min="9" max="12" width="11" style="134"/>
    <col min="13" max="13" width="15.5" style="134" customWidth="1"/>
    <col min="14" max="14" width="23.625" style="134" customWidth="1"/>
    <col min="15" max="15" width="32.875" style="134" customWidth="1"/>
    <col min="16" max="21" width="11" style="134"/>
    <col min="22" max="22" width="12.75" style="134" customWidth="1"/>
    <col min="23" max="23" width="11" style="134"/>
    <col min="24" max="24" width="18.375" style="134" customWidth="1"/>
    <col min="25" max="25" width="14.25" style="134" customWidth="1"/>
    <col min="26" max="26" width="11" style="134"/>
    <col min="27" max="27" width="11" style="145"/>
    <col min="28" max="28" width="20.5" style="134" customWidth="1"/>
    <col min="29" max="29" width="25.5" style="134" bestFit="1" customWidth="1"/>
    <col min="30" max="30" width="22.25" style="134" customWidth="1"/>
    <col min="31" max="31" width="38.875" style="134" customWidth="1"/>
    <col min="32" max="32" width="17" style="134" customWidth="1"/>
    <col min="33" max="16384" width="11" style="134"/>
  </cols>
  <sheetData>
    <row r="1" spans="1:444 3524:3524" ht="68.25" customHeight="1" thickBot="1" x14ac:dyDescent="0.25">
      <c r="A1" s="345"/>
      <c r="B1" s="345"/>
      <c r="C1" s="345"/>
      <c r="D1" s="345"/>
      <c r="E1" s="345"/>
      <c r="F1" s="346" t="s">
        <v>525</v>
      </c>
      <c r="G1" s="347"/>
      <c r="H1" s="347"/>
      <c r="I1" s="347"/>
      <c r="J1" s="347"/>
      <c r="K1" s="347"/>
      <c r="L1" s="347"/>
      <c r="M1" s="347"/>
      <c r="N1" s="347"/>
      <c r="O1" s="347"/>
      <c r="P1" s="347"/>
      <c r="Q1" s="347"/>
      <c r="R1" s="347"/>
      <c r="S1" s="347"/>
      <c r="T1" s="347"/>
      <c r="U1" s="347"/>
      <c r="V1" s="347"/>
      <c r="W1" s="347"/>
      <c r="X1" s="347"/>
      <c r="Y1" s="347"/>
      <c r="Z1" s="347"/>
      <c r="AA1" s="347"/>
      <c r="AB1" s="347"/>
      <c r="AC1" s="347"/>
      <c r="AD1" s="347"/>
      <c r="AE1" s="347"/>
      <c r="AF1" s="348"/>
      <c r="AG1" s="348"/>
    </row>
    <row r="2" spans="1:444 3524:3524" s="11" customFormat="1" ht="17.25" customHeight="1" thickBot="1" x14ac:dyDescent="0.25">
      <c r="A2" s="349" t="s">
        <v>521</v>
      </c>
      <c r="B2" s="349"/>
      <c r="C2" s="349"/>
      <c r="D2" s="147"/>
      <c r="E2" s="350" t="s">
        <v>522</v>
      </c>
      <c r="F2" s="350"/>
      <c r="G2" s="351" t="s">
        <v>454</v>
      </c>
      <c r="H2" s="351"/>
      <c r="I2" s="352">
        <v>45491</v>
      </c>
      <c r="J2" s="352"/>
      <c r="K2" s="352"/>
      <c r="L2" s="352"/>
      <c r="M2" s="352"/>
      <c r="N2" s="351" t="s">
        <v>420</v>
      </c>
      <c r="O2" s="351"/>
      <c r="P2" s="351"/>
      <c r="Q2" s="353" t="s">
        <v>524</v>
      </c>
      <c r="R2" s="354"/>
      <c r="S2" s="354"/>
      <c r="T2" s="354"/>
      <c r="U2" s="354"/>
      <c r="V2" s="355"/>
      <c r="W2" s="359" t="s">
        <v>432</v>
      </c>
      <c r="X2" s="360"/>
      <c r="Y2" s="361"/>
      <c r="Z2" s="365" t="s">
        <v>900</v>
      </c>
      <c r="AA2" s="366"/>
      <c r="AB2" s="366"/>
      <c r="AC2" s="366"/>
      <c r="AD2" s="366"/>
      <c r="AE2" s="366"/>
      <c r="AF2" s="148" t="s">
        <v>901</v>
      </c>
      <c r="AG2" s="149" t="s">
        <v>923</v>
      </c>
    </row>
    <row r="3" spans="1:444 3524:3524" s="11" customFormat="1" ht="16.5" customHeight="1" thickBot="1" x14ac:dyDescent="0.25">
      <c r="A3" s="349"/>
      <c r="B3" s="349"/>
      <c r="C3" s="349"/>
      <c r="D3" s="147"/>
      <c r="E3" s="350" t="s">
        <v>523</v>
      </c>
      <c r="F3" s="350"/>
      <c r="G3" s="351"/>
      <c r="H3" s="351"/>
      <c r="I3" s="352"/>
      <c r="J3" s="352"/>
      <c r="K3" s="352"/>
      <c r="L3" s="352"/>
      <c r="M3" s="352"/>
      <c r="N3" s="351"/>
      <c r="O3" s="351"/>
      <c r="P3" s="351"/>
      <c r="Q3" s="356"/>
      <c r="R3" s="357"/>
      <c r="S3" s="357"/>
      <c r="T3" s="357"/>
      <c r="U3" s="357"/>
      <c r="V3" s="358"/>
      <c r="W3" s="362"/>
      <c r="X3" s="363"/>
      <c r="Y3" s="364"/>
      <c r="Z3" s="367"/>
      <c r="AA3" s="368"/>
      <c r="AB3" s="368"/>
      <c r="AC3" s="368"/>
      <c r="AD3" s="368"/>
      <c r="AE3" s="369"/>
      <c r="AF3" s="150" t="s">
        <v>922</v>
      </c>
      <c r="AG3" s="149">
        <v>0</v>
      </c>
    </row>
    <row r="4" spans="1:444 3524:3524" s="135" customFormat="1" ht="15" customHeight="1" x14ac:dyDescent="0.2">
      <c r="C4" s="136"/>
      <c r="D4" s="136"/>
      <c r="E4" s="137"/>
      <c r="F4" s="137"/>
      <c r="G4" s="138"/>
      <c r="H4" s="139"/>
      <c r="I4" s="140"/>
      <c r="J4" s="140"/>
      <c r="K4" s="140"/>
      <c r="L4" s="140"/>
      <c r="O4" s="137"/>
      <c r="P4" s="140"/>
      <c r="Q4" s="140"/>
      <c r="R4" s="140"/>
      <c r="S4" s="140"/>
      <c r="T4" s="141"/>
      <c r="U4" s="140"/>
      <c r="V4" s="140"/>
      <c r="W4" s="140"/>
      <c r="X4" s="140"/>
      <c r="Y4" s="140"/>
      <c r="Z4" s="142"/>
      <c r="AA4" s="142"/>
      <c r="AB4" s="140"/>
      <c r="AC4" s="140"/>
      <c r="AD4" s="140"/>
      <c r="AE4" s="143"/>
      <c r="AF4" s="137"/>
    </row>
    <row r="5" spans="1:444 3524:3524" s="144" customFormat="1" ht="30.95" customHeight="1" x14ac:dyDescent="0.2">
      <c r="A5" s="344" t="s">
        <v>302</v>
      </c>
      <c r="B5" s="344"/>
      <c r="C5" s="344"/>
      <c r="D5" s="344"/>
      <c r="E5" s="344"/>
      <c r="F5" s="344"/>
      <c r="G5" s="344"/>
      <c r="H5" s="344"/>
      <c r="I5" s="344"/>
      <c r="J5" s="344"/>
      <c r="K5" s="344"/>
      <c r="L5" s="344"/>
      <c r="M5" s="344" t="s">
        <v>0</v>
      </c>
      <c r="N5" s="344"/>
      <c r="O5" s="344"/>
      <c r="P5" s="344" t="s">
        <v>6</v>
      </c>
      <c r="Q5" s="344"/>
      <c r="R5" s="344"/>
      <c r="S5" s="344"/>
      <c r="T5" s="344"/>
      <c r="U5" s="344"/>
      <c r="V5" s="344"/>
      <c r="W5" s="344"/>
      <c r="X5" s="344"/>
      <c r="Y5" s="131" t="s">
        <v>1</v>
      </c>
      <c r="Z5" s="131" t="s">
        <v>245</v>
      </c>
      <c r="AA5" s="344" t="s">
        <v>279</v>
      </c>
      <c r="AB5" s="344" t="s">
        <v>204</v>
      </c>
      <c r="AC5" s="344"/>
      <c r="AD5" s="344"/>
      <c r="AE5" s="344"/>
      <c r="AF5" s="344"/>
      <c r="AG5" s="157"/>
    </row>
    <row r="6" spans="1:444 3524:3524" s="144" customFormat="1" ht="77.099999999999994" customHeight="1" x14ac:dyDescent="0.2">
      <c r="A6" s="131" t="s">
        <v>881</v>
      </c>
      <c r="B6" s="203" t="s">
        <v>1227</v>
      </c>
      <c r="C6" s="131" t="s">
        <v>202</v>
      </c>
      <c r="D6" s="131" t="s">
        <v>534</v>
      </c>
      <c r="E6" s="131" t="s">
        <v>280</v>
      </c>
      <c r="F6" s="131" t="s">
        <v>404</v>
      </c>
      <c r="G6" s="131" t="s">
        <v>1389</v>
      </c>
      <c r="H6" s="131" t="s">
        <v>303</v>
      </c>
      <c r="I6" s="131" t="s">
        <v>403</v>
      </c>
      <c r="J6" s="131" t="s">
        <v>415</v>
      </c>
      <c r="K6" s="131" t="s">
        <v>464</v>
      </c>
      <c r="L6" s="131" t="s">
        <v>468</v>
      </c>
      <c r="M6" s="131" t="s">
        <v>192</v>
      </c>
      <c r="N6" s="131" t="s">
        <v>185</v>
      </c>
      <c r="O6" s="131" t="s">
        <v>193</v>
      </c>
      <c r="P6" s="344" t="s">
        <v>237</v>
      </c>
      <c r="Q6" s="344"/>
      <c r="R6" s="344" t="s">
        <v>35</v>
      </c>
      <c r="S6" s="344"/>
      <c r="T6" s="370" t="s">
        <v>417</v>
      </c>
      <c r="U6" s="370"/>
      <c r="V6" s="344" t="s">
        <v>238</v>
      </c>
      <c r="W6" s="344"/>
      <c r="X6" s="131" t="s">
        <v>239</v>
      </c>
      <c r="Y6" s="158" t="s">
        <v>240</v>
      </c>
      <c r="Z6" s="159" t="s">
        <v>188</v>
      </c>
      <c r="AA6" s="344"/>
      <c r="AB6" s="131" t="s">
        <v>241</v>
      </c>
      <c r="AC6" s="131" t="s">
        <v>242</v>
      </c>
      <c r="AD6" s="131" t="s">
        <v>243</v>
      </c>
      <c r="AE6" s="131" t="s">
        <v>244</v>
      </c>
      <c r="AF6" s="131" t="s">
        <v>1399</v>
      </c>
      <c r="AG6" s="131" t="s">
        <v>458</v>
      </c>
      <c r="QA6" s="145" t="s">
        <v>459</v>
      </c>
      <c r="QB6" s="144" t="s">
        <v>469</v>
      </c>
      <c r="EEN6" s="146" t="s">
        <v>455</v>
      </c>
    </row>
    <row r="7" spans="1:444 3524:3524" ht="71.25" hidden="1" customHeight="1" x14ac:dyDescent="0.2">
      <c r="A7" s="162" t="s">
        <v>879</v>
      </c>
      <c r="B7" s="162" t="s">
        <v>1226</v>
      </c>
      <c r="C7" s="162" t="s">
        <v>1225</v>
      </c>
      <c r="D7" s="162" t="s">
        <v>925</v>
      </c>
      <c r="E7" s="161" t="s">
        <v>998</v>
      </c>
      <c r="F7" s="162" t="s">
        <v>1114</v>
      </c>
      <c r="G7" s="162" t="s">
        <v>924</v>
      </c>
      <c r="H7" s="162" t="s">
        <v>1191</v>
      </c>
      <c r="I7" s="163" t="s">
        <v>421</v>
      </c>
      <c r="J7" s="163" t="s">
        <v>422</v>
      </c>
      <c r="K7" s="163" t="s">
        <v>460</v>
      </c>
      <c r="L7" s="163" t="s">
        <v>469</v>
      </c>
      <c r="M7" s="161" t="s">
        <v>423</v>
      </c>
      <c r="N7" s="161" t="s">
        <v>423</v>
      </c>
      <c r="O7" s="162" t="s">
        <v>1050</v>
      </c>
      <c r="P7" s="163" t="s">
        <v>184</v>
      </c>
      <c r="Q7" s="171">
        <f t="shared" ref="Q7:Q69" si="0">IF(P7="Muy Alto",10,IF(P7="Alto",6,IF(P7="Medio",2,IF(P7="Bajo",1,))))</f>
        <v>1</v>
      </c>
      <c r="R7" s="163" t="s">
        <v>186</v>
      </c>
      <c r="S7" s="172">
        <f t="shared" ref="S7:S69" si="1">IF(R7="Continua",4,IF(R7="Frecuente",3,IF(R7="Ocasional",2,IF(R7="Esporádica",1,))))</f>
        <v>4</v>
      </c>
      <c r="T7" s="166">
        <f t="shared" ref="T7:T69" si="2">Q7*S7</f>
        <v>4</v>
      </c>
      <c r="U7" s="163" t="s">
        <v>184</v>
      </c>
      <c r="V7" s="163" t="s">
        <v>187</v>
      </c>
      <c r="W7" s="172">
        <f t="shared" ref="W7:W69" si="3">IF(V7="Mortal o catastrófico",100,IF(V7="Muy grave",60,IF(V7="Grave",25,IF(V7="Leve",10,))))</f>
        <v>25</v>
      </c>
      <c r="X7" s="166">
        <f t="shared" ref="X7:X69" si="4">T7*W7</f>
        <v>100</v>
      </c>
      <c r="Y7" s="163" t="str">
        <f t="shared" ref="Y7:Y69" si="5">IF(AND(X7&gt;=600,X7&lt;=4000),"Nivel I: Riesgo Inaceptable",IF(AND(X7&gt;=150,X7&lt;=500),"Nivel II: Riesgo Importante",IF(AND(X7&gt;=40,X7&lt;=120),"Nivel III: Riesgo Moderado (Aceptable)","Nivel IV: Riesgo Tolerable (Aceptable)")))</f>
        <v>Nivel III: Riesgo Moderado (Aceptable)</v>
      </c>
      <c r="Z7" s="163">
        <v>1</v>
      </c>
      <c r="AA7" s="163" t="s">
        <v>926</v>
      </c>
      <c r="AB7" s="161" t="s">
        <v>424</v>
      </c>
      <c r="AC7" s="161" t="s">
        <v>424</v>
      </c>
      <c r="AD7" s="161" t="s">
        <v>424</v>
      </c>
      <c r="AE7" s="161" t="s">
        <v>1051</v>
      </c>
      <c r="AF7" s="161" t="s">
        <v>600</v>
      </c>
      <c r="AG7" s="166" t="s">
        <v>460</v>
      </c>
    </row>
    <row r="8" spans="1:444 3524:3524" ht="90" hidden="1" customHeight="1" x14ac:dyDescent="0.2">
      <c r="A8" s="162" t="s">
        <v>879</v>
      </c>
      <c r="B8" s="162" t="s">
        <v>1226</v>
      </c>
      <c r="C8" s="162" t="s">
        <v>1225</v>
      </c>
      <c r="D8" s="162" t="s">
        <v>925</v>
      </c>
      <c r="E8" s="161" t="s">
        <v>998</v>
      </c>
      <c r="F8" s="162" t="s">
        <v>178</v>
      </c>
      <c r="G8" s="162" t="s">
        <v>942</v>
      </c>
      <c r="H8" s="162" t="s">
        <v>693</v>
      </c>
      <c r="I8" s="163" t="s">
        <v>421</v>
      </c>
      <c r="J8" s="163" t="s">
        <v>422</v>
      </c>
      <c r="K8" s="163" t="s">
        <v>460</v>
      </c>
      <c r="L8" s="163" t="s">
        <v>469</v>
      </c>
      <c r="M8" s="161" t="s">
        <v>423</v>
      </c>
      <c r="N8" s="161" t="s">
        <v>423</v>
      </c>
      <c r="O8" s="162" t="s">
        <v>1046</v>
      </c>
      <c r="P8" s="163" t="s">
        <v>184</v>
      </c>
      <c r="Q8" s="171">
        <f t="shared" si="0"/>
        <v>1</v>
      </c>
      <c r="R8" s="163" t="s">
        <v>416</v>
      </c>
      <c r="S8" s="172">
        <f t="shared" si="1"/>
        <v>3</v>
      </c>
      <c r="T8" s="166">
        <f t="shared" si="2"/>
        <v>3</v>
      </c>
      <c r="U8" s="163" t="s">
        <v>185</v>
      </c>
      <c r="V8" s="163" t="s">
        <v>187</v>
      </c>
      <c r="W8" s="172">
        <f t="shared" si="3"/>
        <v>25</v>
      </c>
      <c r="X8" s="166">
        <f t="shared" si="4"/>
        <v>75</v>
      </c>
      <c r="Y8" s="163" t="str">
        <f t="shared" si="5"/>
        <v>Nivel III: Riesgo Moderado (Aceptable)</v>
      </c>
      <c r="Z8" s="163">
        <v>1</v>
      </c>
      <c r="AA8" s="163" t="s">
        <v>926</v>
      </c>
      <c r="AB8" s="161" t="s">
        <v>424</v>
      </c>
      <c r="AC8" s="161" t="s">
        <v>424</v>
      </c>
      <c r="AD8" s="161" t="s">
        <v>692</v>
      </c>
      <c r="AE8" s="161" t="s">
        <v>1048</v>
      </c>
      <c r="AF8" s="161" t="s">
        <v>600</v>
      </c>
      <c r="AG8" s="166" t="s">
        <v>460</v>
      </c>
    </row>
    <row r="9" spans="1:444 3524:3524" ht="102.75" hidden="1" customHeight="1" x14ac:dyDescent="0.2">
      <c r="A9" s="162" t="s">
        <v>879</v>
      </c>
      <c r="B9" s="162" t="s">
        <v>1226</v>
      </c>
      <c r="C9" s="162" t="s">
        <v>1225</v>
      </c>
      <c r="D9" s="162" t="s">
        <v>925</v>
      </c>
      <c r="E9" s="161" t="s">
        <v>998</v>
      </c>
      <c r="F9" s="162" t="s">
        <v>1115</v>
      </c>
      <c r="G9" s="162" t="s">
        <v>927</v>
      </c>
      <c r="H9" s="162" t="s">
        <v>694</v>
      </c>
      <c r="I9" s="163" t="s">
        <v>421</v>
      </c>
      <c r="J9" s="163" t="s">
        <v>422</v>
      </c>
      <c r="K9" s="163" t="s">
        <v>460</v>
      </c>
      <c r="L9" s="163" t="s">
        <v>469</v>
      </c>
      <c r="M9" s="161" t="s">
        <v>945</v>
      </c>
      <c r="N9" s="161" t="s">
        <v>725</v>
      </c>
      <c r="O9" s="162" t="s">
        <v>1061</v>
      </c>
      <c r="P9" s="163" t="s">
        <v>185</v>
      </c>
      <c r="Q9" s="171">
        <f t="shared" si="0"/>
        <v>2</v>
      </c>
      <c r="R9" s="163" t="s">
        <v>416</v>
      </c>
      <c r="S9" s="172">
        <f t="shared" si="1"/>
        <v>3</v>
      </c>
      <c r="T9" s="166">
        <f t="shared" si="2"/>
        <v>6</v>
      </c>
      <c r="U9" s="163" t="s">
        <v>185</v>
      </c>
      <c r="V9" s="163" t="s">
        <v>187</v>
      </c>
      <c r="W9" s="172">
        <f t="shared" si="3"/>
        <v>25</v>
      </c>
      <c r="X9" s="166">
        <f t="shared" si="4"/>
        <v>150</v>
      </c>
      <c r="Y9" s="163" t="str">
        <f t="shared" si="5"/>
        <v>Nivel II: Riesgo Importante</v>
      </c>
      <c r="Z9" s="163">
        <v>1</v>
      </c>
      <c r="AA9" s="163" t="s">
        <v>926</v>
      </c>
      <c r="AB9" s="161" t="s">
        <v>424</v>
      </c>
      <c r="AC9" s="161" t="s">
        <v>424</v>
      </c>
      <c r="AD9" s="161" t="s">
        <v>581</v>
      </c>
      <c r="AE9" s="161" t="s">
        <v>1062</v>
      </c>
      <c r="AF9" s="161" t="s">
        <v>600</v>
      </c>
      <c r="AG9" s="166" t="s">
        <v>460</v>
      </c>
    </row>
    <row r="10" spans="1:444 3524:3524" ht="80.25" hidden="1" customHeight="1" x14ac:dyDescent="0.2">
      <c r="A10" s="162" t="s">
        <v>879</v>
      </c>
      <c r="B10" s="162" t="s">
        <v>1226</v>
      </c>
      <c r="C10" s="162" t="s">
        <v>1225</v>
      </c>
      <c r="D10" s="162" t="s">
        <v>925</v>
      </c>
      <c r="E10" s="161" t="s">
        <v>999</v>
      </c>
      <c r="F10" s="162" t="s">
        <v>1116</v>
      </c>
      <c r="G10" s="162" t="s">
        <v>936</v>
      </c>
      <c r="H10" s="162" t="s">
        <v>851</v>
      </c>
      <c r="I10" s="163" t="s">
        <v>421</v>
      </c>
      <c r="J10" s="163" t="s">
        <v>422</v>
      </c>
      <c r="K10" s="163" t="s">
        <v>460</v>
      </c>
      <c r="L10" s="163" t="s">
        <v>469</v>
      </c>
      <c r="M10" s="161" t="s">
        <v>928</v>
      </c>
      <c r="N10" s="161" t="s">
        <v>423</v>
      </c>
      <c r="O10" s="162" t="s">
        <v>932</v>
      </c>
      <c r="P10" s="163" t="s">
        <v>185</v>
      </c>
      <c r="Q10" s="171">
        <f t="shared" si="0"/>
        <v>2</v>
      </c>
      <c r="R10" s="163" t="s">
        <v>416</v>
      </c>
      <c r="S10" s="172">
        <f t="shared" si="1"/>
        <v>3</v>
      </c>
      <c r="T10" s="166">
        <f t="shared" si="2"/>
        <v>6</v>
      </c>
      <c r="U10" s="163" t="s">
        <v>185</v>
      </c>
      <c r="V10" s="163" t="s">
        <v>187</v>
      </c>
      <c r="W10" s="172">
        <f t="shared" si="3"/>
        <v>25</v>
      </c>
      <c r="X10" s="166">
        <f t="shared" si="4"/>
        <v>150</v>
      </c>
      <c r="Y10" s="163" t="str">
        <f t="shared" si="5"/>
        <v>Nivel II: Riesgo Importante</v>
      </c>
      <c r="Z10" s="163">
        <v>1</v>
      </c>
      <c r="AA10" s="163" t="s">
        <v>926</v>
      </c>
      <c r="AB10" s="161" t="s">
        <v>424</v>
      </c>
      <c r="AC10" s="161" t="s">
        <v>424</v>
      </c>
      <c r="AD10" s="161" t="s">
        <v>424</v>
      </c>
      <c r="AE10" s="161" t="s">
        <v>930</v>
      </c>
      <c r="AF10" s="161" t="s">
        <v>696</v>
      </c>
      <c r="AG10" s="166" t="s">
        <v>460</v>
      </c>
    </row>
    <row r="11" spans="1:444 3524:3524" ht="63" hidden="1" customHeight="1" x14ac:dyDescent="0.2">
      <c r="A11" s="162" t="s">
        <v>879</v>
      </c>
      <c r="B11" s="162" t="s">
        <v>1226</v>
      </c>
      <c r="C11" s="162" t="s">
        <v>1225</v>
      </c>
      <c r="D11" s="162" t="s">
        <v>925</v>
      </c>
      <c r="E11" s="161" t="s">
        <v>999</v>
      </c>
      <c r="F11" s="162" t="s">
        <v>1117</v>
      </c>
      <c r="G11" s="162" t="s">
        <v>697</v>
      </c>
      <c r="H11" s="162" t="s">
        <v>472</v>
      </c>
      <c r="I11" s="163" t="s">
        <v>421</v>
      </c>
      <c r="J11" s="163" t="s">
        <v>422</v>
      </c>
      <c r="K11" s="163" t="s">
        <v>460</v>
      </c>
      <c r="L11" s="163" t="s">
        <v>469</v>
      </c>
      <c r="M11" s="161" t="s">
        <v>423</v>
      </c>
      <c r="N11" s="161" t="s">
        <v>1009</v>
      </c>
      <c r="O11" s="162" t="s">
        <v>1010</v>
      </c>
      <c r="P11" s="163" t="s">
        <v>185</v>
      </c>
      <c r="Q11" s="171">
        <f t="shared" si="0"/>
        <v>2</v>
      </c>
      <c r="R11" s="163" t="s">
        <v>416</v>
      </c>
      <c r="S11" s="172">
        <f t="shared" si="1"/>
        <v>3</v>
      </c>
      <c r="T11" s="166">
        <f t="shared" si="2"/>
        <v>6</v>
      </c>
      <c r="U11" s="163" t="s">
        <v>185</v>
      </c>
      <c r="V11" s="163" t="s">
        <v>187</v>
      </c>
      <c r="W11" s="172">
        <f t="shared" si="3"/>
        <v>25</v>
      </c>
      <c r="X11" s="166">
        <f t="shared" si="4"/>
        <v>150</v>
      </c>
      <c r="Y11" s="163" t="str">
        <f t="shared" si="5"/>
        <v>Nivel II: Riesgo Importante</v>
      </c>
      <c r="Z11" s="163">
        <v>1</v>
      </c>
      <c r="AA11" s="163" t="s">
        <v>926</v>
      </c>
      <c r="AB11" s="161" t="s">
        <v>424</v>
      </c>
      <c r="AC11" s="161" t="s">
        <v>424</v>
      </c>
      <c r="AD11" s="161" t="s">
        <v>424</v>
      </c>
      <c r="AE11" s="162" t="s">
        <v>1011</v>
      </c>
      <c r="AF11" s="162" t="s">
        <v>955</v>
      </c>
      <c r="AG11" s="166" t="s">
        <v>460</v>
      </c>
    </row>
    <row r="12" spans="1:444 3524:3524" ht="75.75" hidden="1" customHeight="1" x14ac:dyDescent="0.2">
      <c r="A12" s="162" t="s">
        <v>879</v>
      </c>
      <c r="B12" s="162" t="s">
        <v>1226</v>
      </c>
      <c r="C12" s="162" t="s">
        <v>1225</v>
      </c>
      <c r="D12" s="162" t="s">
        <v>925</v>
      </c>
      <c r="E12" s="161" t="s">
        <v>999</v>
      </c>
      <c r="F12" s="162" t="s">
        <v>1117</v>
      </c>
      <c r="G12" s="162" t="s">
        <v>699</v>
      </c>
      <c r="H12" s="162" t="s">
        <v>700</v>
      </c>
      <c r="I12" s="163" t="s">
        <v>421</v>
      </c>
      <c r="J12" s="163" t="s">
        <v>461</v>
      </c>
      <c r="K12" s="163" t="s">
        <v>460</v>
      </c>
      <c r="L12" s="163" t="s">
        <v>469</v>
      </c>
      <c r="M12" s="161" t="s">
        <v>1003</v>
      </c>
      <c r="N12" s="161" t="s">
        <v>423</v>
      </c>
      <c r="O12" s="162" t="s">
        <v>1001</v>
      </c>
      <c r="P12" s="163" t="s">
        <v>184</v>
      </c>
      <c r="Q12" s="171">
        <f t="shared" si="0"/>
        <v>1</v>
      </c>
      <c r="R12" s="163" t="s">
        <v>429</v>
      </c>
      <c r="S12" s="172">
        <f t="shared" si="1"/>
        <v>2</v>
      </c>
      <c r="T12" s="166">
        <f t="shared" si="2"/>
        <v>2</v>
      </c>
      <c r="U12" s="163" t="s">
        <v>184</v>
      </c>
      <c r="V12" s="163" t="s">
        <v>187</v>
      </c>
      <c r="W12" s="172">
        <f t="shared" si="3"/>
        <v>25</v>
      </c>
      <c r="X12" s="166">
        <f t="shared" ref="X12" si="6">T12*W12</f>
        <v>50</v>
      </c>
      <c r="Y12" s="163" t="str">
        <f t="shared" si="5"/>
        <v>Nivel III: Riesgo Moderado (Aceptable)</v>
      </c>
      <c r="Z12" s="163">
        <v>1</v>
      </c>
      <c r="AA12" s="163" t="s">
        <v>926</v>
      </c>
      <c r="AB12" s="161" t="s">
        <v>424</v>
      </c>
      <c r="AC12" s="161" t="s">
        <v>424</v>
      </c>
      <c r="AD12" s="161" t="s">
        <v>424</v>
      </c>
      <c r="AE12" s="161" t="s">
        <v>1002</v>
      </c>
      <c r="AF12" s="161" t="s">
        <v>950</v>
      </c>
      <c r="AG12" s="166" t="s">
        <v>460</v>
      </c>
    </row>
    <row r="13" spans="1:444 3524:3524" ht="47.25" hidden="1" customHeight="1" x14ac:dyDescent="0.2">
      <c r="A13" s="162" t="s">
        <v>879</v>
      </c>
      <c r="B13" s="162" t="s">
        <v>1226</v>
      </c>
      <c r="C13" s="162" t="s">
        <v>1225</v>
      </c>
      <c r="D13" s="162" t="s">
        <v>925</v>
      </c>
      <c r="E13" s="161" t="s">
        <v>999</v>
      </c>
      <c r="F13" s="162" t="s">
        <v>355</v>
      </c>
      <c r="G13" s="162" t="s">
        <v>701</v>
      </c>
      <c r="H13" s="162" t="s">
        <v>507</v>
      </c>
      <c r="I13" s="163" t="s">
        <v>421</v>
      </c>
      <c r="J13" s="163" t="s">
        <v>422</v>
      </c>
      <c r="K13" s="163" t="s">
        <v>460</v>
      </c>
      <c r="L13" s="163" t="s">
        <v>469</v>
      </c>
      <c r="M13" s="161" t="s">
        <v>423</v>
      </c>
      <c r="N13" s="161" t="s">
        <v>953</v>
      </c>
      <c r="O13" s="162" t="s">
        <v>1005</v>
      </c>
      <c r="P13" s="163" t="s">
        <v>185</v>
      </c>
      <c r="Q13" s="171">
        <f t="shared" si="0"/>
        <v>2</v>
      </c>
      <c r="R13" s="163" t="s">
        <v>186</v>
      </c>
      <c r="S13" s="172">
        <f t="shared" si="1"/>
        <v>4</v>
      </c>
      <c r="T13" s="166">
        <f t="shared" si="2"/>
        <v>8</v>
      </c>
      <c r="U13" s="163" t="s">
        <v>185</v>
      </c>
      <c r="V13" s="163" t="s">
        <v>187</v>
      </c>
      <c r="W13" s="172">
        <f t="shared" si="3"/>
        <v>25</v>
      </c>
      <c r="X13" s="166">
        <f t="shared" si="4"/>
        <v>200</v>
      </c>
      <c r="Y13" s="163" t="str">
        <f t="shared" si="5"/>
        <v>Nivel II: Riesgo Importante</v>
      </c>
      <c r="Z13" s="163">
        <v>1</v>
      </c>
      <c r="AA13" s="163" t="s">
        <v>926</v>
      </c>
      <c r="AB13" s="161" t="s">
        <v>424</v>
      </c>
      <c r="AC13" s="161" t="s">
        <v>424</v>
      </c>
      <c r="AD13" s="161" t="s">
        <v>424</v>
      </c>
      <c r="AE13" s="164" t="s">
        <v>1006</v>
      </c>
      <c r="AF13" s="161" t="s">
        <v>528</v>
      </c>
      <c r="AG13" s="166" t="s">
        <v>460</v>
      </c>
    </row>
    <row r="14" spans="1:444 3524:3524" ht="65.25" hidden="1" customHeight="1" x14ac:dyDescent="0.2">
      <c r="A14" s="162" t="s">
        <v>879</v>
      </c>
      <c r="B14" s="162" t="s">
        <v>1226</v>
      </c>
      <c r="C14" s="162" t="s">
        <v>1225</v>
      </c>
      <c r="D14" s="162" t="s">
        <v>925</v>
      </c>
      <c r="E14" s="161" t="s">
        <v>999</v>
      </c>
      <c r="F14" s="162" t="s">
        <v>177</v>
      </c>
      <c r="G14" s="162" t="s">
        <v>937</v>
      </c>
      <c r="H14" s="162" t="s">
        <v>1049</v>
      </c>
      <c r="I14" s="163" t="s">
        <v>421</v>
      </c>
      <c r="J14" s="163" t="s">
        <v>422</v>
      </c>
      <c r="K14" s="163" t="s">
        <v>460</v>
      </c>
      <c r="L14" s="163" t="s">
        <v>469</v>
      </c>
      <c r="M14" s="161" t="s">
        <v>423</v>
      </c>
      <c r="N14" s="161" t="s">
        <v>423</v>
      </c>
      <c r="O14" s="162" t="s">
        <v>705</v>
      </c>
      <c r="P14" s="163" t="s">
        <v>185</v>
      </c>
      <c r="Q14" s="171">
        <f t="shared" si="0"/>
        <v>2</v>
      </c>
      <c r="R14" s="163" t="s">
        <v>186</v>
      </c>
      <c r="S14" s="172">
        <f t="shared" si="1"/>
        <v>4</v>
      </c>
      <c r="T14" s="166">
        <f t="shared" ref="T14" si="7">Q14*S14</f>
        <v>8</v>
      </c>
      <c r="U14" s="163" t="s">
        <v>184</v>
      </c>
      <c r="V14" s="163" t="s">
        <v>187</v>
      </c>
      <c r="W14" s="172">
        <f t="shared" si="3"/>
        <v>25</v>
      </c>
      <c r="X14" s="166">
        <f t="shared" si="4"/>
        <v>200</v>
      </c>
      <c r="Y14" s="163" t="str">
        <f t="shared" si="5"/>
        <v>Nivel II: Riesgo Importante</v>
      </c>
      <c r="Z14" s="163">
        <v>1</v>
      </c>
      <c r="AA14" s="163" t="s">
        <v>926</v>
      </c>
      <c r="AB14" s="161" t="s">
        <v>424</v>
      </c>
      <c r="AC14" s="161" t="s">
        <v>424</v>
      </c>
      <c r="AD14" s="161" t="s">
        <v>424</v>
      </c>
      <c r="AE14" s="162" t="s">
        <v>1045</v>
      </c>
      <c r="AF14" s="161" t="s">
        <v>931</v>
      </c>
      <c r="AG14" s="166" t="s">
        <v>460</v>
      </c>
    </row>
    <row r="15" spans="1:444 3524:3524" ht="42.75" hidden="1" customHeight="1" x14ac:dyDescent="0.2">
      <c r="A15" s="162" t="s">
        <v>879</v>
      </c>
      <c r="B15" s="162" t="s">
        <v>1226</v>
      </c>
      <c r="C15" s="162" t="s">
        <v>1225</v>
      </c>
      <c r="D15" s="162" t="s">
        <v>925</v>
      </c>
      <c r="E15" s="161" t="s">
        <v>997</v>
      </c>
      <c r="F15" s="162" t="s">
        <v>176</v>
      </c>
      <c r="G15" s="162" t="s">
        <v>958</v>
      </c>
      <c r="H15" s="162" t="s">
        <v>959</v>
      </c>
      <c r="I15" s="163" t="s">
        <v>421</v>
      </c>
      <c r="J15" s="163" t="s">
        <v>461</v>
      </c>
      <c r="K15" s="163" t="s">
        <v>460</v>
      </c>
      <c r="L15" s="163" t="s">
        <v>469</v>
      </c>
      <c r="M15" s="161" t="s">
        <v>423</v>
      </c>
      <c r="N15" s="161" t="s">
        <v>544</v>
      </c>
      <c r="O15" s="165" t="s">
        <v>1017</v>
      </c>
      <c r="P15" s="163" t="s">
        <v>184</v>
      </c>
      <c r="Q15" s="171">
        <f t="shared" si="0"/>
        <v>1</v>
      </c>
      <c r="R15" s="163" t="s">
        <v>429</v>
      </c>
      <c r="S15" s="172">
        <f t="shared" si="1"/>
        <v>2</v>
      </c>
      <c r="T15" s="166">
        <f t="shared" si="2"/>
        <v>2</v>
      </c>
      <c r="U15" s="163" t="s">
        <v>184</v>
      </c>
      <c r="V15" s="163" t="s">
        <v>428</v>
      </c>
      <c r="W15" s="172">
        <f t="shared" si="3"/>
        <v>10</v>
      </c>
      <c r="X15" s="166">
        <f t="shared" si="4"/>
        <v>20</v>
      </c>
      <c r="Y15" s="163" t="str">
        <f t="shared" si="5"/>
        <v>Nivel IV: Riesgo Tolerable (Aceptable)</v>
      </c>
      <c r="Z15" s="163">
        <v>1</v>
      </c>
      <c r="AA15" s="163" t="s">
        <v>926</v>
      </c>
      <c r="AB15" s="161" t="s">
        <v>424</v>
      </c>
      <c r="AC15" s="161" t="s">
        <v>424</v>
      </c>
      <c r="AD15" s="161" t="s">
        <v>424</v>
      </c>
      <c r="AE15" s="162" t="s">
        <v>962</v>
      </c>
      <c r="AF15" s="161" t="s">
        <v>961</v>
      </c>
      <c r="AG15" s="166" t="s">
        <v>460</v>
      </c>
    </row>
    <row r="16" spans="1:444 3524:3524" ht="47.25" hidden="1" customHeight="1" x14ac:dyDescent="0.2">
      <c r="A16" s="162" t="s">
        <v>879</v>
      </c>
      <c r="B16" s="162" t="s">
        <v>1226</v>
      </c>
      <c r="C16" s="162" t="s">
        <v>1225</v>
      </c>
      <c r="D16" s="162" t="s">
        <v>925</v>
      </c>
      <c r="E16" s="161" t="s">
        <v>996</v>
      </c>
      <c r="F16" s="162" t="s">
        <v>283</v>
      </c>
      <c r="G16" s="162" t="s">
        <v>939</v>
      </c>
      <c r="H16" s="162" t="s">
        <v>963</v>
      </c>
      <c r="I16" s="163" t="s">
        <v>421</v>
      </c>
      <c r="J16" s="163" t="s">
        <v>422</v>
      </c>
      <c r="K16" s="163" t="s">
        <v>460</v>
      </c>
      <c r="L16" s="163" t="s">
        <v>469</v>
      </c>
      <c r="M16" s="161" t="s">
        <v>423</v>
      </c>
      <c r="N16" s="161" t="s">
        <v>1059</v>
      </c>
      <c r="O16" s="164" t="s">
        <v>1008</v>
      </c>
      <c r="P16" s="163" t="s">
        <v>184</v>
      </c>
      <c r="Q16" s="171">
        <f t="shared" si="0"/>
        <v>1</v>
      </c>
      <c r="R16" s="163" t="s">
        <v>429</v>
      </c>
      <c r="S16" s="172">
        <f t="shared" si="1"/>
        <v>2</v>
      </c>
      <c r="T16" s="166">
        <f t="shared" si="2"/>
        <v>2</v>
      </c>
      <c r="U16" s="163" t="s">
        <v>184</v>
      </c>
      <c r="V16" s="163" t="s">
        <v>428</v>
      </c>
      <c r="W16" s="172">
        <f t="shared" si="3"/>
        <v>10</v>
      </c>
      <c r="X16" s="166">
        <f t="shared" si="4"/>
        <v>20</v>
      </c>
      <c r="Y16" s="163" t="str">
        <f t="shared" si="5"/>
        <v>Nivel IV: Riesgo Tolerable (Aceptable)</v>
      </c>
      <c r="Z16" s="163">
        <v>1</v>
      </c>
      <c r="AA16" s="163" t="s">
        <v>926</v>
      </c>
      <c r="AB16" s="161" t="s">
        <v>424</v>
      </c>
      <c r="AC16" s="161" t="s">
        <v>424</v>
      </c>
      <c r="AD16" s="161" t="s">
        <v>424</v>
      </c>
      <c r="AE16" s="161" t="s">
        <v>1060</v>
      </c>
      <c r="AF16" s="161" t="s">
        <v>586</v>
      </c>
      <c r="AG16" s="166" t="s">
        <v>460</v>
      </c>
    </row>
    <row r="17" spans="1:33" ht="47.25" hidden="1" customHeight="1" x14ac:dyDescent="0.2">
      <c r="A17" s="162" t="s">
        <v>879</v>
      </c>
      <c r="B17" s="162" t="s">
        <v>1226</v>
      </c>
      <c r="C17" s="162" t="s">
        <v>1225</v>
      </c>
      <c r="D17" s="162" t="s">
        <v>925</v>
      </c>
      <c r="E17" s="161" t="s">
        <v>999</v>
      </c>
      <c r="F17" s="162" t="s">
        <v>294</v>
      </c>
      <c r="G17" s="162" t="s">
        <v>707</v>
      </c>
      <c r="H17" s="162" t="s">
        <v>966</v>
      </c>
      <c r="I17" s="163" t="s">
        <v>421</v>
      </c>
      <c r="J17" s="163" t="s">
        <v>422</v>
      </c>
      <c r="K17" s="163" t="s">
        <v>460</v>
      </c>
      <c r="L17" s="163" t="s">
        <v>469</v>
      </c>
      <c r="M17" s="161" t="s">
        <v>423</v>
      </c>
      <c r="N17" s="161" t="s">
        <v>1016</v>
      </c>
      <c r="O17" s="165" t="s">
        <v>1018</v>
      </c>
      <c r="P17" s="163" t="s">
        <v>184</v>
      </c>
      <c r="Q17" s="171">
        <f t="shared" si="0"/>
        <v>1</v>
      </c>
      <c r="R17" s="163" t="s">
        <v>416</v>
      </c>
      <c r="S17" s="172">
        <f t="shared" si="1"/>
        <v>3</v>
      </c>
      <c r="T17" s="166">
        <f t="shared" si="2"/>
        <v>3</v>
      </c>
      <c r="U17" s="163" t="s">
        <v>184</v>
      </c>
      <c r="V17" s="163" t="s">
        <v>187</v>
      </c>
      <c r="W17" s="172">
        <f t="shared" si="3"/>
        <v>25</v>
      </c>
      <c r="X17" s="166">
        <f t="shared" si="4"/>
        <v>75</v>
      </c>
      <c r="Y17" s="163" t="str">
        <f t="shared" si="5"/>
        <v>Nivel III: Riesgo Moderado (Aceptable)</v>
      </c>
      <c r="Z17" s="163">
        <v>1</v>
      </c>
      <c r="AA17" s="163" t="s">
        <v>926</v>
      </c>
      <c r="AB17" s="161" t="s">
        <v>424</v>
      </c>
      <c r="AC17" s="161" t="s">
        <v>424</v>
      </c>
      <c r="AD17" s="161" t="s">
        <v>424</v>
      </c>
      <c r="AE17" s="167" t="s">
        <v>1080</v>
      </c>
      <c r="AF17" s="161" t="s">
        <v>600</v>
      </c>
      <c r="AG17" s="166" t="s">
        <v>460</v>
      </c>
    </row>
    <row r="18" spans="1:33" ht="47.25" hidden="1" customHeight="1" x14ac:dyDescent="0.2">
      <c r="A18" s="162" t="s">
        <v>879</v>
      </c>
      <c r="B18" s="162" t="s">
        <v>1226</v>
      </c>
      <c r="C18" s="162" t="s">
        <v>1225</v>
      </c>
      <c r="D18" s="162" t="s">
        <v>925</v>
      </c>
      <c r="E18" s="161" t="s">
        <v>999</v>
      </c>
      <c r="F18" s="162" t="s">
        <v>347</v>
      </c>
      <c r="G18" s="162" t="s">
        <v>587</v>
      </c>
      <c r="H18" s="162" t="s">
        <v>1236</v>
      </c>
      <c r="I18" s="163" t="s">
        <v>421</v>
      </c>
      <c r="J18" s="163" t="s">
        <v>422</v>
      </c>
      <c r="K18" s="163" t="s">
        <v>460</v>
      </c>
      <c r="L18" s="163" t="s">
        <v>469</v>
      </c>
      <c r="M18" s="163" t="s">
        <v>1192</v>
      </c>
      <c r="N18" s="161" t="s">
        <v>1145</v>
      </c>
      <c r="O18" s="162" t="s">
        <v>1026</v>
      </c>
      <c r="P18" s="163" t="s">
        <v>184</v>
      </c>
      <c r="Q18" s="171">
        <f t="shared" si="0"/>
        <v>1</v>
      </c>
      <c r="R18" s="163" t="s">
        <v>485</v>
      </c>
      <c r="S18" s="172">
        <f t="shared" si="1"/>
        <v>1</v>
      </c>
      <c r="T18" s="166">
        <f t="shared" si="2"/>
        <v>1</v>
      </c>
      <c r="U18" s="163" t="s">
        <v>184</v>
      </c>
      <c r="V18" s="163" t="s">
        <v>971</v>
      </c>
      <c r="W18" s="172">
        <f t="shared" si="3"/>
        <v>100</v>
      </c>
      <c r="X18" s="166">
        <f t="shared" si="4"/>
        <v>100</v>
      </c>
      <c r="Y18" s="163" t="str">
        <f t="shared" si="5"/>
        <v>Nivel III: Riesgo Moderado (Aceptable)</v>
      </c>
      <c r="Z18" s="163">
        <v>1</v>
      </c>
      <c r="AA18" s="163" t="s">
        <v>926</v>
      </c>
      <c r="AB18" s="161" t="s">
        <v>424</v>
      </c>
      <c r="AC18" s="161" t="s">
        <v>424</v>
      </c>
      <c r="AD18" s="161" t="s">
        <v>424</v>
      </c>
      <c r="AE18" s="161" t="s">
        <v>1029</v>
      </c>
      <c r="AF18" s="161" t="s">
        <v>600</v>
      </c>
      <c r="AG18" s="166" t="s">
        <v>460</v>
      </c>
    </row>
    <row r="19" spans="1:33" ht="47.25" hidden="1" customHeight="1" x14ac:dyDescent="0.2">
      <c r="A19" s="162" t="s">
        <v>879</v>
      </c>
      <c r="B19" s="162" t="s">
        <v>1226</v>
      </c>
      <c r="C19" s="162" t="s">
        <v>1225</v>
      </c>
      <c r="D19" s="162" t="s">
        <v>925</v>
      </c>
      <c r="E19" s="161" t="s">
        <v>999</v>
      </c>
      <c r="F19" s="162" t="s">
        <v>398</v>
      </c>
      <c r="G19" s="162" t="s">
        <v>708</v>
      </c>
      <c r="H19" s="162" t="s">
        <v>823</v>
      </c>
      <c r="I19" s="163" t="s">
        <v>421</v>
      </c>
      <c r="J19" s="163" t="s">
        <v>461</v>
      </c>
      <c r="K19" s="163" t="s">
        <v>460</v>
      </c>
      <c r="L19" s="163" t="s">
        <v>469</v>
      </c>
      <c r="M19" s="161" t="s">
        <v>423</v>
      </c>
      <c r="N19" s="161" t="s">
        <v>489</v>
      </c>
      <c r="O19" s="165" t="s">
        <v>1020</v>
      </c>
      <c r="P19" s="163" t="s">
        <v>184</v>
      </c>
      <c r="Q19" s="171">
        <f t="shared" si="0"/>
        <v>1</v>
      </c>
      <c r="R19" s="163" t="s">
        <v>429</v>
      </c>
      <c r="S19" s="172">
        <f t="shared" si="1"/>
        <v>2</v>
      </c>
      <c r="T19" s="166">
        <f t="shared" si="2"/>
        <v>2</v>
      </c>
      <c r="U19" s="163" t="s">
        <v>184</v>
      </c>
      <c r="V19" s="163" t="s">
        <v>428</v>
      </c>
      <c r="W19" s="172">
        <f t="shared" si="3"/>
        <v>10</v>
      </c>
      <c r="X19" s="166">
        <f t="shared" si="4"/>
        <v>20</v>
      </c>
      <c r="Y19" s="163" t="str">
        <f t="shared" si="5"/>
        <v>Nivel IV: Riesgo Tolerable (Aceptable)</v>
      </c>
      <c r="Z19" s="163">
        <v>1</v>
      </c>
      <c r="AA19" s="163" t="s">
        <v>926</v>
      </c>
      <c r="AB19" s="161" t="s">
        <v>424</v>
      </c>
      <c r="AC19" s="161" t="s">
        <v>424</v>
      </c>
      <c r="AD19" s="161" t="s">
        <v>424</v>
      </c>
      <c r="AE19" s="161" t="s">
        <v>1064</v>
      </c>
      <c r="AF19" s="161" t="s">
        <v>855</v>
      </c>
      <c r="AG19" s="166" t="s">
        <v>460</v>
      </c>
    </row>
    <row r="20" spans="1:33" ht="76.5" hidden="1" customHeight="1" x14ac:dyDescent="0.2">
      <c r="A20" s="162" t="s">
        <v>879</v>
      </c>
      <c r="B20" s="162" t="s">
        <v>1226</v>
      </c>
      <c r="C20" s="162" t="s">
        <v>1225</v>
      </c>
      <c r="D20" s="162" t="s">
        <v>925</v>
      </c>
      <c r="E20" s="161" t="s">
        <v>995</v>
      </c>
      <c r="F20" s="162" t="s">
        <v>714</v>
      </c>
      <c r="G20" s="162" t="s">
        <v>1036</v>
      </c>
      <c r="H20" s="162" t="s">
        <v>625</v>
      </c>
      <c r="I20" s="163" t="s">
        <v>529</v>
      </c>
      <c r="J20" s="163" t="s">
        <v>422</v>
      </c>
      <c r="K20" s="163" t="s">
        <v>460</v>
      </c>
      <c r="L20" s="163" t="s">
        <v>469</v>
      </c>
      <c r="M20" s="161" t="s">
        <v>423</v>
      </c>
      <c r="N20" s="161" t="s">
        <v>974</v>
      </c>
      <c r="O20" s="164" t="s">
        <v>1038</v>
      </c>
      <c r="P20" s="163" t="s">
        <v>184</v>
      </c>
      <c r="Q20" s="171">
        <f t="shared" si="0"/>
        <v>1</v>
      </c>
      <c r="R20" s="163" t="s">
        <v>485</v>
      </c>
      <c r="S20" s="172">
        <f t="shared" si="1"/>
        <v>1</v>
      </c>
      <c r="T20" s="166">
        <f t="shared" si="2"/>
        <v>1</v>
      </c>
      <c r="U20" s="163" t="s">
        <v>184</v>
      </c>
      <c r="V20" s="163" t="s">
        <v>187</v>
      </c>
      <c r="W20" s="172">
        <f t="shared" si="3"/>
        <v>25</v>
      </c>
      <c r="X20" s="166">
        <f t="shared" si="4"/>
        <v>25</v>
      </c>
      <c r="Y20" s="163" t="str">
        <f t="shared" si="5"/>
        <v>Nivel IV: Riesgo Tolerable (Aceptable)</v>
      </c>
      <c r="Z20" s="163">
        <v>1</v>
      </c>
      <c r="AA20" s="163" t="s">
        <v>926</v>
      </c>
      <c r="AB20" s="161" t="s">
        <v>424</v>
      </c>
      <c r="AC20" s="161" t="s">
        <v>424</v>
      </c>
      <c r="AD20" s="161" t="s">
        <v>514</v>
      </c>
      <c r="AE20" s="161" t="s">
        <v>1039</v>
      </c>
      <c r="AF20" s="161" t="s">
        <v>1040</v>
      </c>
      <c r="AG20" s="166" t="s">
        <v>460</v>
      </c>
    </row>
    <row r="21" spans="1:33" ht="114.75" hidden="1" customHeight="1" x14ac:dyDescent="0.2">
      <c r="A21" s="162" t="s">
        <v>879</v>
      </c>
      <c r="B21" s="162" t="s">
        <v>1226</v>
      </c>
      <c r="C21" s="162" t="s">
        <v>1225</v>
      </c>
      <c r="D21" s="162" t="s">
        <v>925</v>
      </c>
      <c r="E21" s="161" t="s">
        <v>995</v>
      </c>
      <c r="F21" s="162" t="s">
        <v>719</v>
      </c>
      <c r="G21" s="162" t="s">
        <v>976</v>
      </c>
      <c r="H21" s="162" t="s">
        <v>722</v>
      </c>
      <c r="I21" s="163" t="s">
        <v>421</v>
      </c>
      <c r="J21" s="163" t="s">
        <v>422</v>
      </c>
      <c r="K21" s="163" t="s">
        <v>460</v>
      </c>
      <c r="L21" s="163" t="s">
        <v>469</v>
      </c>
      <c r="M21" s="161" t="s">
        <v>423</v>
      </c>
      <c r="N21" s="161" t="s">
        <v>423</v>
      </c>
      <c r="O21" s="165" t="s">
        <v>1019</v>
      </c>
      <c r="P21" s="163" t="s">
        <v>184</v>
      </c>
      <c r="Q21" s="171">
        <f t="shared" si="0"/>
        <v>1</v>
      </c>
      <c r="R21" s="163" t="s">
        <v>485</v>
      </c>
      <c r="S21" s="172">
        <f t="shared" si="1"/>
        <v>1</v>
      </c>
      <c r="T21" s="166">
        <f t="shared" si="2"/>
        <v>1</v>
      </c>
      <c r="U21" s="163" t="s">
        <v>184</v>
      </c>
      <c r="V21" s="163" t="s">
        <v>187</v>
      </c>
      <c r="W21" s="172">
        <f t="shared" si="3"/>
        <v>25</v>
      </c>
      <c r="X21" s="166">
        <f t="shared" si="4"/>
        <v>25</v>
      </c>
      <c r="Y21" s="163" t="str">
        <f t="shared" si="5"/>
        <v>Nivel IV: Riesgo Tolerable (Aceptable)</v>
      </c>
      <c r="Z21" s="163">
        <v>1</v>
      </c>
      <c r="AA21" s="163" t="s">
        <v>926</v>
      </c>
      <c r="AB21" s="161" t="s">
        <v>424</v>
      </c>
      <c r="AC21" s="161" t="s">
        <v>424</v>
      </c>
      <c r="AD21" s="161" t="s">
        <v>514</v>
      </c>
      <c r="AE21" s="161" t="s">
        <v>723</v>
      </c>
      <c r="AF21" s="161" t="s">
        <v>600</v>
      </c>
      <c r="AG21" s="166" t="s">
        <v>460</v>
      </c>
    </row>
    <row r="22" spans="1:33" ht="127.5" hidden="1" customHeight="1" x14ac:dyDescent="0.2">
      <c r="A22" s="162" t="s">
        <v>879</v>
      </c>
      <c r="B22" s="162" t="s">
        <v>1226</v>
      </c>
      <c r="C22" s="162" t="s">
        <v>1225</v>
      </c>
      <c r="D22" s="162" t="s">
        <v>925</v>
      </c>
      <c r="E22" s="161" t="s">
        <v>995</v>
      </c>
      <c r="F22" s="162" t="s">
        <v>720</v>
      </c>
      <c r="G22" s="162" t="s">
        <v>857</v>
      </c>
      <c r="H22" s="162" t="s">
        <v>724</v>
      </c>
      <c r="I22" s="163" t="s">
        <v>421</v>
      </c>
      <c r="J22" s="163" t="s">
        <v>422</v>
      </c>
      <c r="K22" s="163" t="s">
        <v>460</v>
      </c>
      <c r="L22" s="163" t="s">
        <v>469</v>
      </c>
      <c r="M22" s="161" t="s">
        <v>423</v>
      </c>
      <c r="N22" s="161" t="s">
        <v>1081</v>
      </c>
      <c r="O22" s="165" t="s">
        <v>1020</v>
      </c>
      <c r="P22" s="163" t="s">
        <v>184</v>
      </c>
      <c r="Q22" s="171">
        <f t="shared" si="0"/>
        <v>1</v>
      </c>
      <c r="R22" s="163" t="s">
        <v>485</v>
      </c>
      <c r="S22" s="172">
        <f t="shared" si="1"/>
        <v>1</v>
      </c>
      <c r="T22" s="166">
        <f t="shared" si="2"/>
        <v>1</v>
      </c>
      <c r="U22" s="163" t="s">
        <v>184</v>
      </c>
      <c r="V22" s="163" t="s">
        <v>187</v>
      </c>
      <c r="W22" s="172">
        <f t="shared" si="3"/>
        <v>25</v>
      </c>
      <c r="X22" s="166">
        <f t="shared" si="4"/>
        <v>25</v>
      </c>
      <c r="Y22" s="163" t="str">
        <f t="shared" si="5"/>
        <v>Nivel IV: Riesgo Tolerable (Aceptable)</v>
      </c>
      <c r="Z22" s="163">
        <v>1</v>
      </c>
      <c r="AA22" s="163" t="s">
        <v>926</v>
      </c>
      <c r="AB22" s="161" t="s">
        <v>424</v>
      </c>
      <c r="AC22" s="161" t="s">
        <v>424</v>
      </c>
      <c r="AD22" s="161" t="s">
        <v>424</v>
      </c>
      <c r="AE22" s="161" t="s">
        <v>973</v>
      </c>
      <c r="AF22" s="161" t="s">
        <v>600</v>
      </c>
      <c r="AG22" s="166" t="s">
        <v>460</v>
      </c>
    </row>
    <row r="23" spans="1:33" ht="127.5" hidden="1" x14ac:dyDescent="0.2">
      <c r="A23" s="162" t="s">
        <v>879</v>
      </c>
      <c r="B23" s="162" t="s">
        <v>1226</v>
      </c>
      <c r="C23" s="162" t="s">
        <v>1225</v>
      </c>
      <c r="D23" s="162" t="s">
        <v>925</v>
      </c>
      <c r="E23" s="161" t="s">
        <v>175</v>
      </c>
      <c r="F23" s="162" t="s">
        <v>592</v>
      </c>
      <c r="G23" s="162" t="s">
        <v>593</v>
      </c>
      <c r="H23" s="162" t="s">
        <v>602</v>
      </c>
      <c r="I23" s="163" t="s">
        <v>421</v>
      </c>
      <c r="J23" s="163" t="s">
        <v>422</v>
      </c>
      <c r="K23" s="163" t="s">
        <v>460</v>
      </c>
      <c r="L23" s="163" t="s">
        <v>469</v>
      </c>
      <c r="M23" s="161" t="s">
        <v>423</v>
      </c>
      <c r="N23" s="161" t="s">
        <v>423</v>
      </c>
      <c r="O23" s="162" t="s">
        <v>1034</v>
      </c>
      <c r="P23" s="163" t="s">
        <v>184</v>
      </c>
      <c r="Q23" s="171">
        <f t="shared" si="0"/>
        <v>1</v>
      </c>
      <c r="R23" s="163" t="s">
        <v>485</v>
      </c>
      <c r="S23" s="172">
        <f t="shared" si="1"/>
        <v>1</v>
      </c>
      <c r="T23" s="166">
        <f t="shared" si="2"/>
        <v>1</v>
      </c>
      <c r="U23" s="163" t="s">
        <v>184</v>
      </c>
      <c r="V23" s="163" t="s">
        <v>428</v>
      </c>
      <c r="W23" s="172">
        <f t="shared" si="3"/>
        <v>10</v>
      </c>
      <c r="X23" s="166">
        <f t="shared" si="4"/>
        <v>10</v>
      </c>
      <c r="Y23" s="163" t="str">
        <f t="shared" si="5"/>
        <v>Nivel IV: Riesgo Tolerable (Aceptable)</v>
      </c>
      <c r="Z23" s="163">
        <v>2</v>
      </c>
      <c r="AA23" s="163" t="s">
        <v>926</v>
      </c>
      <c r="AB23" s="161" t="s">
        <v>424</v>
      </c>
      <c r="AC23" s="161" t="s">
        <v>424</v>
      </c>
      <c r="AD23" s="161" t="s">
        <v>424</v>
      </c>
      <c r="AE23" s="161" t="s">
        <v>1035</v>
      </c>
      <c r="AF23" s="161" t="s">
        <v>600</v>
      </c>
      <c r="AG23" s="166" t="s">
        <v>460</v>
      </c>
    </row>
    <row r="24" spans="1:33" ht="47.25" hidden="1" customHeight="1" x14ac:dyDescent="0.2">
      <c r="A24" s="162" t="s">
        <v>879</v>
      </c>
      <c r="B24" s="162" t="s">
        <v>1226</v>
      </c>
      <c r="C24" s="162" t="s">
        <v>1225</v>
      </c>
      <c r="D24" s="162" t="s">
        <v>925</v>
      </c>
      <c r="E24" s="161" t="s">
        <v>175</v>
      </c>
      <c r="F24" s="162" t="s">
        <v>594</v>
      </c>
      <c r="G24" s="162" t="s">
        <v>595</v>
      </c>
      <c r="H24" s="162" t="s">
        <v>602</v>
      </c>
      <c r="I24" s="163" t="s">
        <v>421</v>
      </c>
      <c r="J24" s="163" t="s">
        <v>422</v>
      </c>
      <c r="K24" s="163" t="s">
        <v>460</v>
      </c>
      <c r="L24" s="163" t="s">
        <v>469</v>
      </c>
      <c r="M24" s="161" t="s">
        <v>423</v>
      </c>
      <c r="N24" s="161" t="s">
        <v>423</v>
      </c>
      <c r="O24" s="162" t="s">
        <v>1034</v>
      </c>
      <c r="P24" s="163" t="s">
        <v>184</v>
      </c>
      <c r="Q24" s="171">
        <f t="shared" si="0"/>
        <v>1</v>
      </c>
      <c r="R24" s="163" t="s">
        <v>485</v>
      </c>
      <c r="S24" s="172">
        <f t="shared" si="1"/>
        <v>1</v>
      </c>
      <c r="T24" s="166">
        <f t="shared" si="2"/>
        <v>1</v>
      </c>
      <c r="U24" s="163" t="s">
        <v>184</v>
      </c>
      <c r="V24" s="163" t="s">
        <v>428</v>
      </c>
      <c r="W24" s="172">
        <f t="shared" si="3"/>
        <v>10</v>
      </c>
      <c r="X24" s="166">
        <f t="shared" si="4"/>
        <v>10</v>
      </c>
      <c r="Y24" s="163" t="str">
        <f t="shared" si="5"/>
        <v>Nivel IV: Riesgo Tolerable (Aceptable)</v>
      </c>
      <c r="Z24" s="163">
        <v>1</v>
      </c>
      <c r="AA24" s="163" t="s">
        <v>926</v>
      </c>
      <c r="AB24" s="161" t="s">
        <v>424</v>
      </c>
      <c r="AC24" s="161" t="s">
        <v>424</v>
      </c>
      <c r="AD24" s="161" t="s">
        <v>424</v>
      </c>
      <c r="AE24" s="161" t="s">
        <v>1035</v>
      </c>
      <c r="AF24" s="161" t="s">
        <v>600</v>
      </c>
      <c r="AG24" s="166" t="s">
        <v>460</v>
      </c>
    </row>
    <row r="25" spans="1:33" ht="47.25" hidden="1" customHeight="1" x14ac:dyDescent="0.2">
      <c r="A25" s="162" t="s">
        <v>879</v>
      </c>
      <c r="B25" s="162" t="s">
        <v>1226</v>
      </c>
      <c r="C25" s="162" t="s">
        <v>1225</v>
      </c>
      <c r="D25" s="162" t="s">
        <v>925</v>
      </c>
      <c r="E25" s="161" t="s">
        <v>175</v>
      </c>
      <c r="F25" s="162" t="s">
        <v>596</v>
      </c>
      <c r="G25" s="162" t="s">
        <v>599</v>
      </c>
      <c r="H25" s="162" t="s">
        <v>602</v>
      </c>
      <c r="I25" s="163" t="s">
        <v>421</v>
      </c>
      <c r="J25" s="163" t="s">
        <v>422</v>
      </c>
      <c r="K25" s="163" t="s">
        <v>460</v>
      </c>
      <c r="L25" s="163" t="s">
        <v>469</v>
      </c>
      <c r="M25" s="161" t="s">
        <v>423</v>
      </c>
      <c r="N25" s="161" t="s">
        <v>423</v>
      </c>
      <c r="O25" s="162" t="s">
        <v>1034</v>
      </c>
      <c r="P25" s="163" t="s">
        <v>184</v>
      </c>
      <c r="Q25" s="171">
        <f t="shared" si="0"/>
        <v>1</v>
      </c>
      <c r="R25" s="163" t="s">
        <v>485</v>
      </c>
      <c r="S25" s="172">
        <f t="shared" si="1"/>
        <v>1</v>
      </c>
      <c r="T25" s="166">
        <f t="shared" si="2"/>
        <v>1</v>
      </c>
      <c r="U25" s="163" t="s">
        <v>184</v>
      </c>
      <c r="V25" s="163" t="s">
        <v>428</v>
      </c>
      <c r="W25" s="172">
        <f t="shared" si="3"/>
        <v>10</v>
      </c>
      <c r="X25" s="166">
        <f t="shared" si="4"/>
        <v>10</v>
      </c>
      <c r="Y25" s="163" t="str">
        <f t="shared" si="5"/>
        <v>Nivel IV: Riesgo Tolerable (Aceptable)</v>
      </c>
      <c r="Z25" s="163">
        <v>1</v>
      </c>
      <c r="AA25" s="163" t="s">
        <v>926</v>
      </c>
      <c r="AB25" s="161" t="s">
        <v>424</v>
      </c>
      <c r="AC25" s="161" t="s">
        <v>424</v>
      </c>
      <c r="AD25" s="161" t="s">
        <v>424</v>
      </c>
      <c r="AE25" s="161" t="s">
        <v>1035</v>
      </c>
      <c r="AF25" s="161" t="s">
        <v>600</v>
      </c>
      <c r="AG25" s="166" t="s">
        <v>460</v>
      </c>
    </row>
    <row r="26" spans="1:33" ht="57.75" hidden="1" customHeight="1" x14ac:dyDescent="0.2">
      <c r="A26" s="162" t="s">
        <v>879</v>
      </c>
      <c r="B26" s="162" t="s">
        <v>1226</v>
      </c>
      <c r="C26" s="162" t="s">
        <v>1225</v>
      </c>
      <c r="D26" s="162" t="s">
        <v>925</v>
      </c>
      <c r="E26" s="161" t="s">
        <v>175</v>
      </c>
      <c r="F26" s="162" t="s">
        <v>597</v>
      </c>
      <c r="G26" s="162" t="s">
        <v>598</v>
      </c>
      <c r="H26" s="162" t="s">
        <v>602</v>
      </c>
      <c r="I26" s="163" t="s">
        <v>421</v>
      </c>
      <c r="J26" s="163" t="s">
        <v>422</v>
      </c>
      <c r="K26" s="163" t="s">
        <v>460</v>
      </c>
      <c r="L26" s="163" t="s">
        <v>469</v>
      </c>
      <c r="M26" s="161" t="s">
        <v>423</v>
      </c>
      <c r="N26" s="161" t="s">
        <v>423</v>
      </c>
      <c r="O26" s="162" t="s">
        <v>1034</v>
      </c>
      <c r="P26" s="163" t="s">
        <v>184</v>
      </c>
      <c r="Q26" s="171">
        <f t="shared" si="0"/>
        <v>1</v>
      </c>
      <c r="R26" s="163" t="s">
        <v>485</v>
      </c>
      <c r="S26" s="172">
        <f t="shared" si="1"/>
        <v>1</v>
      </c>
      <c r="T26" s="166">
        <f t="shared" si="2"/>
        <v>1</v>
      </c>
      <c r="U26" s="163" t="s">
        <v>184</v>
      </c>
      <c r="V26" s="163" t="s">
        <v>428</v>
      </c>
      <c r="W26" s="172">
        <f t="shared" si="3"/>
        <v>10</v>
      </c>
      <c r="X26" s="166">
        <f t="shared" si="4"/>
        <v>10</v>
      </c>
      <c r="Y26" s="163" t="str">
        <f t="shared" si="5"/>
        <v>Nivel IV: Riesgo Tolerable (Aceptable)</v>
      </c>
      <c r="Z26" s="163">
        <v>2</v>
      </c>
      <c r="AA26" s="163" t="s">
        <v>926</v>
      </c>
      <c r="AB26" s="161" t="s">
        <v>424</v>
      </c>
      <c r="AC26" s="161" t="s">
        <v>424</v>
      </c>
      <c r="AD26" s="161" t="s">
        <v>424</v>
      </c>
      <c r="AE26" s="161" t="s">
        <v>1035</v>
      </c>
      <c r="AF26" s="161" t="s">
        <v>600</v>
      </c>
      <c r="AG26" s="166" t="s">
        <v>460</v>
      </c>
    </row>
    <row r="27" spans="1:33" ht="47.25" hidden="1" customHeight="1" x14ac:dyDescent="0.2">
      <c r="A27" s="162" t="s">
        <v>879</v>
      </c>
      <c r="B27" s="162" t="s">
        <v>1226</v>
      </c>
      <c r="C27" s="162" t="s">
        <v>1225</v>
      </c>
      <c r="D27" s="162" t="s">
        <v>925</v>
      </c>
      <c r="E27" s="161" t="s">
        <v>999</v>
      </c>
      <c r="F27" s="162" t="s">
        <v>578</v>
      </c>
      <c r="G27" s="162" t="s">
        <v>1054</v>
      </c>
      <c r="H27" s="162" t="s">
        <v>979</v>
      </c>
      <c r="I27" s="163" t="s">
        <v>421</v>
      </c>
      <c r="J27" s="163" t="s">
        <v>461</v>
      </c>
      <c r="K27" s="163" t="s">
        <v>460</v>
      </c>
      <c r="L27" s="163" t="s">
        <v>469</v>
      </c>
      <c r="M27" s="165" t="s">
        <v>423</v>
      </c>
      <c r="N27" s="161" t="s">
        <v>1055</v>
      </c>
      <c r="O27" s="162" t="s">
        <v>1053</v>
      </c>
      <c r="P27" s="163" t="s">
        <v>184</v>
      </c>
      <c r="Q27" s="171">
        <f t="shared" si="0"/>
        <v>1</v>
      </c>
      <c r="R27" s="163" t="s">
        <v>485</v>
      </c>
      <c r="S27" s="172">
        <f t="shared" si="1"/>
        <v>1</v>
      </c>
      <c r="T27" s="166">
        <f t="shared" si="2"/>
        <v>1</v>
      </c>
      <c r="U27" s="163" t="s">
        <v>184</v>
      </c>
      <c r="V27" s="163" t="s">
        <v>428</v>
      </c>
      <c r="W27" s="172">
        <f t="shared" si="3"/>
        <v>10</v>
      </c>
      <c r="X27" s="166">
        <f t="shared" si="4"/>
        <v>10</v>
      </c>
      <c r="Y27" s="163" t="str">
        <f t="shared" si="5"/>
        <v>Nivel IV: Riesgo Tolerable (Aceptable)</v>
      </c>
      <c r="Z27" s="163">
        <v>1</v>
      </c>
      <c r="AA27" s="163" t="s">
        <v>926</v>
      </c>
      <c r="AB27" s="161" t="s">
        <v>424</v>
      </c>
      <c r="AC27" s="161" t="s">
        <v>424</v>
      </c>
      <c r="AD27" s="161" t="s">
        <v>424</v>
      </c>
      <c r="AE27" s="161" t="s">
        <v>1057</v>
      </c>
      <c r="AF27" s="161" t="s">
        <v>600</v>
      </c>
      <c r="AG27" s="166" t="s">
        <v>460</v>
      </c>
    </row>
    <row r="28" spans="1:33" ht="47.25" hidden="1" customHeight="1" x14ac:dyDescent="0.2">
      <c r="A28" s="162" t="s">
        <v>879</v>
      </c>
      <c r="B28" s="162" t="s">
        <v>1226</v>
      </c>
      <c r="C28" s="162" t="s">
        <v>1225</v>
      </c>
      <c r="D28" s="162" t="s">
        <v>925</v>
      </c>
      <c r="E28" s="161" t="s">
        <v>999</v>
      </c>
      <c r="F28" s="162" t="s">
        <v>1120</v>
      </c>
      <c r="G28" s="162" t="s">
        <v>1159</v>
      </c>
      <c r="H28" s="162" t="s">
        <v>979</v>
      </c>
      <c r="I28" s="163" t="s">
        <v>421</v>
      </c>
      <c r="J28" s="163" t="s">
        <v>461</v>
      </c>
      <c r="K28" s="163" t="s">
        <v>460</v>
      </c>
      <c r="L28" s="163" t="s">
        <v>469</v>
      </c>
      <c r="M28" s="165" t="s">
        <v>423</v>
      </c>
      <c r="N28" s="161" t="s">
        <v>1142</v>
      </c>
      <c r="O28" s="162" t="s">
        <v>1141</v>
      </c>
      <c r="P28" s="163" t="s">
        <v>184</v>
      </c>
      <c r="Q28" s="171">
        <f t="shared" si="0"/>
        <v>1</v>
      </c>
      <c r="R28" s="163" t="s">
        <v>485</v>
      </c>
      <c r="S28" s="172">
        <f t="shared" si="1"/>
        <v>1</v>
      </c>
      <c r="T28" s="166">
        <f t="shared" si="2"/>
        <v>1</v>
      </c>
      <c r="U28" s="163" t="s">
        <v>184</v>
      </c>
      <c r="V28" s="163" t="s">
        <v>187</v>
      </c>
      <c r="W28" s="172">
        <f t="shared" si="3"/>
        <v>25</v>
      </c>
      <c r="X28" s="166">
        <f t="shared" si="4"/>
        <v>25</v>
      </c>
      <c r="Y28" s="163" t="str">
        <f t="shared" si="5"/>
        <v>Nivel IV: Riesgo Tolerable (Aceptable)</v>
      </c>
      <c r="Z28" s="163">
        <v>1</v>
      </c>
      <c r="AA28" s="163" t="s">
        <v>926</v>
      </c>
      <c r="AB28" s="161" t="s">
        <v>424</v>
      </c>
      <c r="AC28" s="161" t="s">
        <v>424</v>
      </c>
      <c r="AD28" s="161" t="s">
        <v>424</v>
      </c>
      <c r="AE28" s="161" t="s">
        <v>1056</v>
      </c>
      <c r="AF28" s="161" t="s">
        <v>528</v>
      </c>
      <c r="AG28" s="166" t="s">
        <v>460</v>
      </c>
    </row>
    <row r="29" spans="1:33" ht="46.9" hidden="1" customHeight="1" x14ac:dyDescent="0.2">
      <c r="A29" s="162" t="s">
        <v>879</v>
      </c>
      <c r="B29" s="162" t="s">
        <v>1226</v>
      </c>
      <c r="C29" s="162" t="s">
        <v>1225</v>
      </c>
      <c r="D29" s="162" t="s">
        <v>925</v>
      </c>
      <c r="E29" s="161" t="s">
        <v>1000</v>
      </c>
      <c r="F29" s="162" t="s">
        <v>1123</v>
      </c>
      <c r="G29" s="162" t="s">
        <v>981</v>
      </c>
      <c r="H29" s="162" t="s">
        <v>1237</v>
      </c>
      <c r="I29" s="163" t="s">
        <v>421</v>
      </c>
      <c r="J29" s="163" t="s">
        <v>422</v>
      </c>
      <c r="K29" s="163" t="s">
        <v>460</v>
      </c>
      <c r="L29" s="163" t="s">
        <v>469</v>
      </c>
      <c r="M29" s="161" t="s">
        <v>423</v>
      </c>
      <c r="N29" s="161" t="s">
        <v>1145</v>
      </c>
      <c r="O29" s="162" t="s">
        <v>1144</v>
      </c>
      <c r="P29" s="163" t="s">
        <v>184</v>
      </c>
      <c r="Q29" s="171">
        <f t="shared" si="0"/>
        <v>1</v>
      </c>
      <c r="R29" s="163" t="s">
        <v>485</v>
      </c>
      <c r="S29" s="172">
        <f t="shared" si="1"/>
        <v>1</v>
      </c>
      <c r="T29" s="166">
        <f t="shared" si="2"/>
        <v>1</v>
      </c>
      <c r="U29" s="163" t="s">
        <v>184</v>
      </c>
      <c r="V29" s="163" t="s">
        <v>187</v>
      </c>
      <c r="W29" s="172">
        <f t="shared" si="3"/>
        <v>25</v>
      </c>
      <c r="X29" s="166">
        <f t="shared" si="4"/>
        <v>25</v>
      </c>
      <c r="Y29" s="163" t="str">
        <f t="shared" si="5"/>
        <v>Nivel IV: Riesgo Tolerable (Aceptable)</v>
      </c>
      <c r="Z29" s="163">
        <v>1</v>
      </c>
      <c r="AA29" s="163" t="s">
        <v>926</v>
      </c>
      <c r="AB29" s="161" t="s">
        <v>424</v>
      </c>
      <c r="AC29" s="161" t="s">
        <v>424</v>
      </c>
      <c r="AD29" s="161" t="s">
        <v>424</v>
      </c>
      <c r="AE29" s="161" t="s">
        <v>1024</v>
      </c>
      <c r="AF29" s="161" t="s">
        <v>600</v>
      </c>
      <c r="AG29" s="166" t="s">
        <v>460</v>
      </c>
    </row>
    <row r="30" spans="1:33" ht="37.5" hidden="1" customHeight="1" x14ac:dyDescent="0.2">
      <c r="A30" s="162" t="s">
        <v>879</v>
      </c>
      <c r="B30" s="162" t="s">
        <v>1226</v>
      </c>
      <c r="C30" s="162" t="s">
        <v>1225</v>
      </c>
      <c r="D30" s="162" t="s">
        <v>943</v>
      </c>
      <c r="E30" s="161" t="s">
        <v>998</v>
      </c>
      <c r="F30" s="162" t="s">
        <v>1114</v>
      </c>
      <c r="G30" s="162" t="s">
        <v>924</v>
      </c>
      <c r="H30" s="162" t="s">
        <v>1191</v>
      </c>
      <c r="I30" s="163" t="s">
        <v>421</v>
      </c>
      <c r="J30" s="163" t="s">
        <v>422</v>
      </c>
      <c r="K30" s="163" t="s">
        <v>460</v>
      </c>
      <c r="L30" s="163" t="s">
        <v>469</v>
      </c>
      <c r="M30" s="161" t="s">
        <v>423</v>
      </c>
      <c r="N30" s="161" t="s">
        <v>423</v>
      </c>
      <c r="O30" s="162" t="s">
        <v>1050</v>
      </c>
      <c r="P30" s="163" t="s">
        <v>184</v>
      </c>
      <c r="Q30" s="171">
        <f t="shared" si="0"/>
        <v>1</v>
      </c>
      <c r="R30" s="163" t="s">
        <v>186</v>
      </c>
      <c r="S30" s="172">
        <f t="shared" si="1"/>
        <v>4</v>
      </c>
      <c r="T30" s="166">
        <f t="shared" si="2"/>
        <v>4</v>
      </c>
      <c r="U30" s="163" t="s">
        <v>184</v>
      </c>
      <c r="V30" s="163" t="s">
        <v>187</v>
      </c>
      <c r="W30" s="172">
        <f t="shared" si="3"/>
        <v>25</v>
      </c>
      <c r="X30" s="166">
        <f t="shared" si="4"/>
        <v>100</v>
      </c>
      <c r="Y30" s="163" t="str">
        <f t="shared" si="5"/>
        <v>Nivel III: Riesgo Moderado (Aceptable)</v>
      </c>
      <c r="Z30" s="163">
        <v>2</v>
      </c>
      <c r="AA30" s="163" t="s">
        <v>926</v>
      </c>
      <c r="AB30" s="161" t="s">
        <v>424</v>
      </c>
      <c r="AC30" s="161" t="s">
        <v>424</v>
      </c>
      <c r="AD30" s="161" t="s">
        <v>424</v>
      </c>
      <c r="AE30" s="161" t="s">
        <v>1051</v>
      </c>
      <c r="AF30" s="161" t="s">
        <v>600</v>
      </c>
      <c r="AG30" s="166" t="s">
        <v>460</v>
      </c>
    </row>
    <row r="31" spans="1:33" ht="37.5" hidden="1" customHeight="1" x14ac:dyDescent="0.2">
      <c r="A31" s="162" t="s">
        <v>879</v>
      </c>
      <c r="B31" s="162" t="s">
        <v>1226</v>
      </c>
      <c r="C31" s="162" t="s">
        <v>1225</v>
      </c>
      <c r="D31" s="162" t="s">
        <v>943</v>
      </c>
      <c r="E31" s="161" t="s">
        <v>998</v>
      </c>
      <c r="F31" s="162" t="s">
        <v>178</v>
      </c>
      <c r="G31" s="162" t="s">
        <v>1067</v>
      </c>
      <c r="H31" s="162" t="s">
        <v>559</v>
      </c>
      <c r="I31" s="163" t="s">
        <v>421</v>
      </c>
      <c r="J31" s="163" t="s">
        <v>422</v>
      </c>
      <c r="K31" s="163" t="s">
        <v>460</v>
      </c>
      <c r="L31" s="163" t="s">
        <v>469</v>
      </c>
      <c r="M31" s="161" t="s">
        <v>606</v>
      </c>
      <c r="N31" s="161" t="s">
        <v>606</v>
      </c>
      <c r="O31" s="162" t="s">
        <v>1046</v>
      </c>
      <c r="P31" s="163" t="s">
        <v>185</v>
      </c>
      <c r="Q31" s="171">
        <f t="shared" si="0"/>
        <v>2</v>
      </c>
      <c r="R31" s="163" t="s">
        <v>186</v>
      </c>
      <c r="S31" s="172">
        <f t="shared" si="1"/>
        <v>4</v>
      </c>
      <c r="T31" s="166">
        <f t="shared" si="2"/>
        <v>8</v>
      </c>
      <c r="U31" s="163" t="str">
        <f t="shared" ref="U31" si="8">IF(AND(T31&gt;=0,T31&lt;=4),"Bajo",IF(AND(T31&gt;=6,T31&lt;=8),"Medio",IF(AND(T31&gt;=10,T31&lt;=20),"Alto",IF(AND(T31&gt;=20,T31&lt;=40),"Muy Alto",))))</f>
        <v>Medio</v>
      </c>
      <c r="V31" s="163" t="s">
        <v>187</v>
      </c>
      <c r="W31" s="172">
        <f t="shared" si="3"/>
        <v>25</v>
      </c>
      <c r="X31" s="166">
        <f t="shared" si="4"/>
        <v>200</v>
      </c>
      <c r="Y31" s="163" t="str">
        <f t="shared" si="5"/>
        <v>Nivel II: Riesgo Importante</v>
      </c>
      <c r="Z31" s="163">
        <v>1</v>
      </c>
      <c r="AA31" s="163" t="s">
        <v>926</v>
      </c>
      <c r="AB31" s="161" t="s">
        <v>424</v>
      </c>
      <c r="AC31" s="161" t="s">
        <v>424</v>
      </c>
      <c r="AD31" s="161" t="s">
        <v>424</v>
      </c>
      <c r="AE31" s="161" t="s">
        <v>1130</v>
      </c>
      <c r="AF31" s="161" t="s">
        <v>600</v>
      </c>
      <c r="AG31" s="166" t="s">
        <v>460</v>
      </c>
    </row>
    <row r="32" spans="1:33" ht="28.5" hidden="1" customHeight="1" x14ac:dyDescent="0.2">
      <c r="A32" s="162" t="s">
        <v>879</v>
      </c>
      <c r="B32" s="162" t="s">
        <v>1226</v>
      </c>
      <c r="C32" s="162" t="s">
        <v>1225</v>
      </c>
      <c r="D32" s="162" t="s">
        <v>943</v>
      </c>
      <c r="E32" s="161" t="s">
        <v>998</v>
      </c>
      <c r="F32" s="162" t="s">
        <v>1115</v>
      </c>
      <c r="G32" s="162" t="s">
        <v>927</v>
      </c>
      <c r="H32" s="162" t="s">
        <v>694</v>
      </c>
      <c r="I32" s="163" t="s">
        <v>421</v>
      </c>
      <c r="J32" s="163" t="s">
        <v>422</v>
      </c>
      <c r="K32" s="163" t="s">
        <v>460</v>
      </c>
      <c r="L32" s="163" t="s">
        <v>469</v>
      </c>
      <c r="M32" s="161" t="s">
        <v>945</v>
      </c>
      <c r="N32" s="161" t="s">
        <v>725</v>
      </c>
      <c r="O32" s="162" t="s">
        <v>1061</v>
      </c>
      <c r="P32" s="163" t="s">
        <v>185</v>
      </c>
      <c r="Q32" s="171">
        <f t="shared" si="0"/>
        <v>2</v>
      </c>
      <c r="R32" s="163" t="s">
        <v>416</v>
      </c>
      <c r="S32" s="172">
        <f t="shared" si="1"/>
        <v>3</v>
      </c>
      <c r="T32" s="166">
        <f t="shared" si="2"/>
        <v>6</v>
      </c>
      <c r="U32" s="163" t="s">
        <v>185</v>
      </c>
      <c r="V32" s="163" t="s">
        <v>187</v>
      </c>
      <c r="W32" s="172">
        <f t="shared" si="3"/>
        <v>25</v>
      </c>
      <c r="X32" s="166">
        <f t="shared" si="4"/>
        <v>150</v>
      </c>
      <c r="Y32" s="163" t="str">
        <f t="shared" si="5"/>
        <v>Nivel II: Riesgo Importante</v>
      </c>
      <c r="Z32" s="163">
        <v>2</v>
      </c>
      <c r="AA32" s="163" t="s">
        <v>926</v>
      </c>
      <c r="AB32" s="161" t="s">
        <v>424</v>
      </c>
      <c r="AC32" s="161" t="s">
        <v>424</v>
      </c>
      <c r="AD32" s="161" t="s">
        <v>581</v>
      </c>
      <c r="AE32" s="161" t="s">
        <v>1062</v>
      </c>
      <c r="AF32" s="161" t="s">
        <v>600</v>
      </c>
      <c r="AG32" s="166" t="s">
        <v>460</v>
      </c>
    </row>
    <row r="33" spans="1:33" ht="114.75" hidden="1" x14ac:dyDescent="0.2">
      <c r="A33" s="162" t="s">
        <v>879</v>
      </c>
      <c r="B33" s="162" t="s">
        <v>1226</v>
      </c>
      <c r="C33" s="162" t="s">
        <v>1225</v>
      </c>
      <c r="D33" s="162" t="s">
        <v>943</v>
      </c>
      <c r="E33" s="161" t="s">
        <v>999</v>
      </c>
      <c r="F33" s="162" t="s">
        <v>1116</v>
      </c>
      <c r="G33" s="162" t="s">
        <v>935</v>
      </c>
      <c r="H33" s="162" t="s">
        <v>851</v>
      </c>
      <c r="I33" s="163" t="s">
        <v>421</v>
      </c>
      <c r="J33" s="163" t="s">
        <v>422</v>
      </c>
      <c r="K33" s="163" t="s">
        <v>460</v>
      </c>
      <c r="L33" s="163" t="s">
        <v>469</v>
      </c>
      <c r="M33" s="161" t="s">
        <v>928</v>
      </c>
      <c r="N33" s="161" t="s">
        <v>423</v>
      </c>
      <c r="O33" s="162" t="s">
        <v>932</v>
      </c>
      <c r="P33" s="163" t="s">
        <v>185</v>
      </c>
      <c r="Q33" s="171">
        <f t="shared" si="0"/>
        <v>2</v>
      </c>
      <c r="R33" s="163" t="s">
        <v>416</v>
      </c>
      <c r="S33" s="172">
        <f t="shared" si="1"/>
        <v>3</v>
      </c>
      <c r="T33" s="166">
        <f t="shared" si="2"/>
        <v>6</v>
      </c>
      <c r="U33" s="163" t="s">
        <v>185</v>
      </c>
      <c r="V33" s="163" t="s">
        <v>187</v>
      </c>
      <c r="W33" s="172">
        <f t="shared" si="3"/>
        <v>25</v>
      </c>
      <c r="X33" s="166">
        <f t="shared" si="4"/>
        <v>150</v>
      </c>
      <c r="Y33" s="163" t="str">
        <f t="shared" si="5"/>
        <v>Nivel II: Riesgo Importante</v>
      </c>
      <c r="Z33" s="163">
        <v>2</v>
      </c>
      <c r="AA33" s="163" t="s">
        <v>926</v>
      </c>
      <c r="AB33" s="161" t="s">
        <v>424</v>
      </c>
      <c r="AC33" s="161" t="s">
        <v>424</v>
      </c>
      <c r="AD33" s="161" t="s">
        <v>424</v>
      </c>
      <c r="AE33" s="161" t="s">
        <v>930</v>
      </c>
      <c r="AF33" s="161" t="s">
        <v>696</v>
      </c>
      <c r="AG33" s="166" t="s">
        <v>460</v>
      </c>
    </row>
    <row r="34" spans="1:33" ht="102" hidden="1" x14ac:dyDescent="0.2">
      <c r="A34" s="162" t="s">
        <v>879</v>
      </c>
      <c r="B34" s="162" t="s">
        <v>1226</v>
      </c>
      <c r="C34" s="162" t="s">
        <v>1225</v>
      </c>
      <c r="D34" s="162" t="s">
        <v>943</v>
      </c>
      <c r="E34" s="161" t="s">
        <v>999</v>
      </c>
      <c r="F34" s="162" t="s">
        <v>1117</v>
      </c>
      <c r="G34" s="162" t="s">
        <v>697</v>
      </c>
      <c r="H34" s="162" t="s">
        <v>472</v>
      </c>
      <c r="I34" s="163" t="s">
        <v>421</v>
      </c>
      <c r="J34" s="163" t="s">
        <v>422</v>
      </c>
      <c r="K34" s="163" t="s">
        <v>460</v>
      </c>
      <c r="L34" s="163" t="s">
        <v>469</v>
      </c>
      <c r="M34" s="163" t="s">
        <v>1224</v>
      </c>
      <c r="N34" s="161" t="s">
        <v>423</v>
      </c>
      <c r="O34" s="162" t="s">
        <v>1008</v>
      </c>
      <c r="P34" s="163" t="s">
        <v>185</v>
      </c>
      <c r="Q34" s="171">
        <f t="shared" si="0"/>
        <v>2</v>
      </c>
      <c r="R34" s="163" t="s">
        <v>416</v>
      </c>
      <c r="S34" s="172">
        <f t="shared" si="1"/>
        <v>3</v>
      </c>
      <c r="T34" s="166">
        <f t="shared" si="2"/>
        <v>6</v>
      </c>
      <c r="U34" s="163" t="s">
        <v>185</v>
      </c>
      <c r="V34" s="163" t="s">
        <v>187</v>
      </c>
      <c r="W34" s="172">
        <f t="shared" si="3"/>
        <v>25</v>
      </c>
      <c r="X34" s="166">
        <f t="shared" si="4"/>
        <v>150</v>
      </c>
      <c r="Y34" s="163" t="str">
        <f t="shared" si="5"/>
        <v>Nivel II: Riesgo Importante</v>
      </c>
      <c r="Z34" s="163">
        <v>2</v>
      </c>
      <c r="AA34" s="163" t="s">
        <v>926</v>
      </c>
      <c r="AB34" s="161" t="s">
        <v>424</v>
      </c>
      <c r="AC34" s="161" t="s">
        <v>424</v>
      </c>
      <c r="AD34" s="161" t="s">
        <v>424</v>
      </c>
      <c r="AE34" s="162" t="s">
        <v>1011</v>
      </c>
      <c r="AF34" s="162" t="s">
        <v>955</v>
      </c>
      <c r="AG34" s="166" t="s">
        <v>460</v>
      </c>
    </row>
    <row r="35" spans="1:33" ht="89.25" hidden="1" x14ac:dyDescent="0.2">
      <c r="A35" s="162" t="s">
        <v>879</v>
      </c>
      <c r="B35" s="162" t="s">
        <v>1226</v>
      </c>
      <c r="C35" s="162" t="s">
        <v>1225</v>
      </c>
      <c r="D35" s="162" t="s">
        <v>943</v>
      </c>
      <c r="E35" s="161" t="s">
        <v>999</v>
      </c>
      <c r="F35" s="162" t="s">
        <v>1117</v>
      </c>
      <c r="G35" s="162" t="s">
        <v>699</v>
      </c>
      <c r="H35" s="162" t="s">
        <v>948</v>
      </c>
      <c r="I35" s="163" t="s">
        <v>421</v>
      </c>
      <c r="J35" s="163" t="s">
        <v>461</v>
      </c>
      <c r="K35" s="163" t="s">
        <v>460</v>
      </c>
      <c r="L35" s="163" t="s">
        <v>469</v>
      </c>
      <c r="M35" s="168"/>
      <c r="N35" s="161" t="s">
        <v>1004</v>
      </c>
      <c r="O35" s="162" t="s">
        <v>1001</v>
      </c>
      <c r="P35" s="163" t="s">
        <v>184</v>
      </c>
      <c r="Q35" s="171">
        <f t="shared" si="0"/>
        <v>1</v>
      </c>
      <c r="R35" s="163" t="s">
        <v>429</v>
      </c>
      <c r="S35" s="172">
        <f t="shared" si="1"/>
        <v>2</v>
      </c>
      <c r="T35" s="166">
        <f t="shared" si="2"/>
        <v>2</v>
      </c>
      <c r="U35" s="163" t="s">
        <v>184</v>
      </c>
      <c r="V35" s="163" t="s">
        <v>187</v>
      </c>
      <c r="W35" s="172">
        <f t="shared" si="3"/>
        <v>25</v>
      </c>
      <c r="X35" s="166">
        <f t="shared" si="4"/>
        <v>50</v>
      </c>
      <c r="Y35" s="163" t="str">
        <f t="shared" si="5"/>
        <v>Nivel III: Riesgo Moderado (Aceptable)</v>
      </c>
      <c r="Z35" s="163">
        <v>2</v>
      </c>
      <c r="AA35" s="163" t="s">
        <v>926</v>
      </c>
      <c r="AB35" s="161" t="s">
        <v>424</v>
      </c>
      <c r="AC35" s="161" t="s">
        <v>424</v>
      </c>
      <c r="AD35" s="161" t="s">
        <v>424</v>
      </c>
      <c r="AE35" s="161" t="s">
        <v>1002</v>
      </c>
      <c r="AF35" s="161" t="s">
        <v>950</v>
      </c>
      <c r="AG35" s="166" t="s">
        <v>460</v>
      </c>
    </row>
    <row r="36" spans="1:33" ht="140.25" hidden="1" customHeight="1" x14ac:dyDescent="0.2">
      <c r="A36" s="162" t="s">
        <v>879</v>
      </c>
      <c r="B36" s="162" t="s">
        <v>1226</v>
      </c>
      <c r="C36" s="162" t="s">
        <v>1225</v>
      </c>
      <c r="D36" s="162" t="s">
        <v>943</v>
      </c>
      <c r="E36" s="161" t="s">
        <v>999</v>
      </c>
      <c r="F36" s="162" t="s">
        <v>355</v>
      </c>
      <c r="G36" s="162" t="s">
        <v>701</v>
      </c>
      <c r="H36" s="162" t="s">
        <v>507</v>
      </c>
      <c r="I36" s="163" t="s">
        <v>421</v>
      </c>
      <c r="J36" s="163" t="s">
        <v>422</v>
      </c>
      <c r="K36" s="163" t="s">
        <v>460</v>
      </c>
      <c r="L36" s="163" t="s">
        <v>469</v>
      </c>
      <c r="M36" s="161" t="s">
        <v>423</v>
      </c>
      <c r="N36" s="161" t="s">
        <v>423</v>
      </c>
      <c r="O36" s="162" t="s">
        <v>1005</v>
      </c>
      <c r="P36" s="163" t="s">
        <v>185</v>
      </c>
      <c r="Q36" s="171">
        <f t="shared" si="0"/>
        <v>2</v>
      </c>
      <c r="R36" s="163" t="s">
        <v>186</v>
      </c>
      <c r="S36" s="172">
        <f t="shared" si="1"/>
        <v>4</v>
      </c>
      <c r="T36" s="166">
        <f t="shared" si="2"/>
        <v>8</v>
      </c>
      <c r="U36" s="163" t="s">
        <v>185</v>
      </c>
      <c r="V36" s="163" t="s">
        <v>187</v>
      </c>
      <c r="W36" s="172">
        <f t="shared" si="3"/>
        <v>25</v>
      </c>
      <c r="X36" s="166">
        <f t="shared" si="4"/>
        <v>200</v>
      </c>
      <c r="Y36" s="163" t="str">
        <f t="shared" si="5"/>
        <v>Nivel II: Riesgo Importante</v>
      </c>
      <c r="Z36" s="163">
        <v>2</v>
      </c>
      <c r="AA36" s="163" t="s">
        <v>926</v>
      </c>
      <c r="AB36" s="161" t="s">
        <v>424</v>
      </c>
      <c r="AC36" s="161" t="s">
        <v>424</v>
      </c>
      <c r="AD36" s="161" t="s">
        <v>424</v>
      </c>
      <c r="AE36" s="164" t="s">
        <v>1006</v>
      </c>
      <c r="AF36" s="161" t="s">
        <v>528</v>
      </c>
      <c r="AG36" s="166" t="s">
        <v>460</v>
      </c>
    </row>
    <row r="37" spans="1:33" ht="102" hidden="1" customHeight="1" x14ac:dyDescent="0.2">
      <c r="A37" s="162" t="s">
        <v>879</v>
      </c>
      <c r="B37" s="162" t="s">
        <v>1226</v>
      </c>
      <c r="C37" s="162" t="s">
        <v>1225</v>
      </c>
      <c r="D37" s="162" t="s">
        <v>943</v>
      </c>
      <c r="E37" s="161" t="s">
        <v>999</v>
      </c>
      <c r="F37" s="162" t="s">
        <v>1117</v>
      </c>
      <c r="G37" s="162" t="s">
        <v>852</v>
      </c>
      <c r="H37" s="162" t="s">
        <v>508</v>
      </c>
      <c r="I37" s="163" t="s">
        <v>421</v>
      </c>
      <c r="J37" s="163" t="s">
        <v>422</v>
      </c>
      <c r="K37" s="163" t="s">
        <v>460</v>
      </c>
      <c r="L37" s="163" t="s">
        <v>469</v>
      </c>
      <c r="M37" s="161" t="s">
        <v>423</v>
      </c>
      <c r="N37" s="161" t="s">
        <v>423</v>
      </c>
      <c r="O37" s="162" t="s">
        <v>1013</v>
      </c>
      <c r="P37" s="163" t="s">
        <v>185</v>
      </c>
      <c r="Q37" s="171">
        <f t="shared" si="0"/>
        <v>2</v>
      </c>
      <c r="R37" s="163" t="s">
        <v>416</v>
      </c>
      <c r="S37" s="172">
        <f t="shared" si="1"/>
        <v>3</v>
      </c>
      <c r="T37" s="166">
        <f t="shared" si="2"/>
        <v>6</v>
      </c>
      <c r="U37" s="163" t="s">
        <v>185</v>
      </c>
      <c r="V37" s="163" t="s">
        <v>187</v>
      </c>
      <c r="W37" s="172">
        <f t="shared" si="3"/>
        <v>25</v>
      </c>
      <c r="X37" s="166">
        <f t="shared" si="4"/>
        <v>150</v>
      </c>
      <c r="Y37" s="163" t="str">
        <f t="shared" si="5"/>
        <v>Nivel II: Riesgo Importante</v>
      </c>
      <c r="Z37" s="163">
        <v>2</v>
      </c>
      <c r="AA37" s="163" t="s">
        <v>926</v>
      </c>
      <c r="AB37" s="161" t="s">
        <v>424</v>
      </c>
      <c r="AC37" s="161" t="s">
        <v>424</v>
      </c>
      <c r="AD37" s="161" t="s">
        <v>698</v>
      </c>
      <c r="AE37" s="161" t="s">
        <v>1014</v>
      </c>
      <c r="AF37" s="161" t="s">
        <v>528</v>
      </c>
      <c r="AG37" s="166" t="s">
        <v>460</v>
      </c>
    </row>
    <row r="38" spans="1:33" ht="63.75" hidden="1" x14ac:dyDescent="0.2">
      <c r="A38" s="162" t="s">
        <v>879</v>
      </c>
      <c r="B38" s="162" t="s">
        <v>1226</v>
      </c>
      <c r="C38" s="162" t="s">
        <v>1225</v>
      </c>
      <c r="D38" s="162" t="s">
        <v>943</v>
      </c>
      <c r="E38" s="161" t="s">
        <v>999</v>
      </c>
      <c r="F38" s="162" t="s">
        <v>177</v>
      </c>
      <c r="G38" s="162" t="s">
        <v>937</v>
      </c>
      <c r="H38" s="162" t="s">
        <v>1049</v>
      </c>
      <c r="I38" s="163" t="s">
        <v>421</v>
      </c>
      <c r="J38" s="163" t="s">
        <v>422</v>
      </c>
      <c r="K38" s="163" t="s">
        <v>460</v>
      </c>
      <c r="L38" s="163" t="s">
        <v>469</v>
      </c>
      <c r="M38" s="161" t="s">
        <v>423</v>
      </c>
      <c r="N38" s="161" t="s">
        <v>423</v>
      </c>
      <c r="O38" s="162" t="s">
        <v>705</v>
      </c>
      <c r="P38" s="163" t="s">
        <v>185</v>
      </c>
      <c r="Q38" s="171">
        <f t="shared" si="0"/>
        <v>2</v>
      </c>
      <c r="R38" s="163" t="s">
        <v>186</v>
      </c>
      <c r="S38" s="172">
        <f t="shared" si="1"/>
        <v>4</v>
      </c>
      <c r="T38" s="166">
        <f t="shared" si="2"/>
        <v>8</v>
      </c>
      <c r="U38" s="163" t="s">
        <v>184</v>
      </c>
      <c r="V38" s="163" t="s">
        <v>187</v>
      </c>
      <c r="W38" s="172">
        <f t="shared" si="3"/>
        <v>25</v>
      </c>
      <c r="X38" s="166">
        <f t="shared" si="4"/>
        <v>200</v>
      </c>
      <c r="Y38" s="163" t="str">
        <f t="shared" si="5"/>
        <v>Nivel II: Riesgo Importante</v>
      </c>
      <c r="Z38" s="163">
        <v>1</v>
      </c>
      <c r="AA38" s="163" t="s">
        <v>926</v>
      </c>
      <c r="AB38" s="161" t="s">
        <v>424</v>
      </c>
      <c r="AC38" s="161" t="s">
        <v>424</v>
      </c>
      <c r="AD38" s="161" t="s">
        <v>424</v>
      </c>
      <c r="AE38" s="162" t="s">
        <v>1045</v>
      </c>
      <c r="AF38" s="161" t="s">
        <v>931</v>
      </c>
      <c r="AG38" s="166" t="s">
        <v>460</v>
      </c>
    </row>
    <row r="39" spans="1:33" ht="51" hidden="1" x14ac:dyDescent="0.2">
      <c r="A39" s="162" t="s">
        <v>879</v>
      </c>
      <c r="B39" s="162" t="s">
        <v>1226</v>
      </c>
      <c r="C39" s="162" t="s">
        <v>1225</v>
      </c>
      <c r="D39" s="162" t="s">
        <v>943</v>
      </c>
      <c r="E39" s="161" t="s">
        <v>997</v>
      </c>
      <c r="F39" s="162" t="s">
        <v>176</v>
      </c>
      <c r="G39" s="162" t="s">
        <v>958</v>
      </c>
      <c r="H39" s="162" t="s">
        <v>959</v>
      </c>
      <c r="I39" s="163" t="s">
        <v>421</v>
      </c>
      <c r="J39" s="163" t="s">
        <v>461</v>
      </c>
      <c r="K39" s="163" t="s">
        <v>460</v>
      </c>
      <c r="L39" s="163" t="s">
        <v>469</v>
      </c>
      <c r="M39" s="161" t="s">
        <v>423</v>
      </c>
      <c r="N39" s="161" t="s">
        <v>423</v>
      </c>
      <c r="O39" s="162" t="s">
        <v>960</v>
      </c>
      <c r="P39" s="163" t="s">
        <v>184</v>
      </c>
      <c r="Q39" s="171">
        <f t="shared" si="0"/>
        <v>1</v>
      </c>
      <c r="R39" s="163" t="s">
        <v>429</v>
      </c>
      <c r="S39" s="172">
        <f t="shared" si="1"/>
        <v>2</v>
      </c>
      <c r="T39" s="166">
        <f t="shared" si="2"/>
        <v>2</v>
      </c>
      <c r="U39" s="163" t="s">
        <v>184</v>
      </c>
      <c r="V39" s="163" t="s">
        <v>428</v>
      </c>
      <c r="W39" s="172">
        <f t="shared" si="3"/>
        <v>10</v>
      </c>
      <c r="X39" s="166">
        <f t="shared" si="4"/>
        <v>20</v>
      </c>
      <c r="Y39" s="163" t="str">
        <f t="shared" si="5"/>
        <v>Nivel IV: Riesgo Tolerable (Aceptable)</v>
      </c>
      <c r="Z39" s="163">
        <v>2</v>
      </c>
      <c r="AA39" s="163" t="s">
        <v>926</v>
      </c>
      <c r="AB39" s="161" t="s">
        <v>424</v>
      </c>
      <c r="AC39" s="161" t="s">
        <v>424</v>
      </c>
      <c r="AD39" s="161" t="s">
        <v>424</v>
      </c>
      <c r="AE39" s="162" t="s">
        <v>962</v>
      </c>
      <c r="AF39" s="161" t="s">
        <v>961</v>
      </c>
      <c r="AG39" s="166" t="s">
        <v>460</v>
      </c>
    </row>
    <row r="40" spans="1:33" ht="102" hidden="1" x14ac:dyDescent="0.2">
      <c r="A40" s="162" t="s">
        <v>879</v>
      </c>
      <c r="B40" s="162" t="s">
        <v>1226</v>
      </c>
      <c r="C40" s="162" t="s">
        <v>1225</v>
      </c>
      <c r="D40" s="162" t="s">
        <v>943</v>
      </c>
      <c r="E40" s="161" t="s">
        <v>996</v>
      </c>
      <c r="F40" s="162" t="s">
        <v>283</v>
      </c>
      <c r="G40" s="162" t="s">
        <v>939</v>
      </c>
      <c r="H40" s="162" t="s">
        <v>963</v>
      </c>
      <c r="I40" s="163" t="s">
        <v>421</v>
      </c>
      <c r="J40" s="163" t="s">
        <v>461</v>
      </c>
      <c r="K40" s="163" t="s">
        <v>460</v>
      </c>
      <c r="L40" s="163" t="s">
        <v>469</v>
      </c>
      <c r="M40" s="161" t="s">
        <v>423</v>
      </c>
      <c r="N40" s="161" t="s">
        <v>1059</v>
      </c>
      <c r="O40" s="164" t="s">
        <v>1008</v>
      </c>
      <c r="P40" s="163" t="s">
        <v>184</v>
      </c>
      <c r="Q40" s="171">
        <f t="shared" si="0"/>
        <v>1</v>
      </c>
      <c r="R40" s="163" t="s">
        <v>429</v>
      </c>
      <c r="S40" s="172">
        <f t="shared" si="1"/>
        <v>2</v>
      </c>
      <c r="T40" s="166">
        <f t="shared" si="2"/>
        <v>2</v>
      </c>
      <c r="U40" s="163" t="s">
        <v>184</v>
      </c>
      <c r="V40" s="163" t="s">
        <v>428</v>
      </c>
      <c r="W40" s="172">
        <f t="shared" si="3"/>
        <v>10</v>
      </c>
      <c r="X40" s="166">
        <f t="shared" si="4"/>
        <v>20</v>
      </c>
      <c r="Y40" s="163" t="str">
        <f t="shared" si="5"/>
        <v>Nivel IV: Riesgo Tolerable (Aceptable)</v>
      </c>
      <c r="Z40" s="163">
        <v>2</v>
      </c>
      <c r="AA40" s="163" t="s">
        <v>926</v>
      </c>
      <c r="AB40" s="161" t="s">
        <v>424</v>
      </c>
      <c r="AC40" s="161" t="s">
        <v>424</v>
      </c>
      <c r="AD40" s="161" t="s">
        <v>424</v>
      </c>
      <c r="AE40" s="161" t="s">
        <v>1060</v>
      </c>
      <c r="AF40" s="161" t="s">
        <v>586</v>
      </c>
      <c r="AG40" s="166" t="s">
        <v>460</v>
      </c>
    </row>
    <row r="41" spans="1:33" ht="102" hidden="1" x14ac:dyDescent="0.2">
      <c r="A41" s="162" t="s">
        <v>879</v>
      </c>
      <c r="B41" s="162" t="s">
        <v>1226</v>
      </c>
      <c r="C41" s="162" t="s">
        <v>1225</v>
      </c>
      <c r="D41" s="162" t="s">
        <v>943</v>
      </c>
      <c r="E41" s="161" t="s">
        <v>999</v>
      </c>
      <c r="F41" s="162" t="s">
        <v>294</v>
      </c>
      <c r="G41" s="162" t="s">
        <v>707</v>
      </c>
      <c r="H41" s="162" t="s">
        <v>966</v>
      </c>
      <c r="I41" s="163" t="s">
        <v>421</v>
      </c>
      <c r="J41" s="163" t="s">
        <v>422</v>
      </c>
      <c r="K41" s="163" t="s">
        <v>460</v>
      </c>
      <c r="L41" s="163" t="s">
        <v>469</v>
      </c>
      <c r="M41" s="161" t="s">
        <v>423</v>
      </c>
      <c r="N41" s="161" t="s">
        <v>1016</v>
      </c>
      <c r="O41" s="164" t="s">
        <v>1008</v>
      </c>
      <c r="P41" s="163" t="s">
        <v>184</v>
      </c>
      <c r="Q41" s="171">
        <f t="shared" si="0"/>
        <v>1</v>
      </c>
      <c r="R41" s="163" t="s">
        <v>416</v>
      </c>
      <c r="S41" s="172">
        <f t="shared" si="1"/>
        <v>3</v>
      </c>
      <c r="T41" s="166">
        <f t="shared" si="2"/>
        <v>3</v>
      </c>
      <c r="U41" s="163" t="s">
        <v>184</v>
      </c>
      <c r="V41" s="163" t="s">
        <v>187</v>
      </c>
      <c r="W41" s="172">
        <f t="shared" si="3"/>
        <v>25</v>
      </c>
      <c r="X41" s="166">
        <f t="shared" si="4"/>
        <v>75</v>
      </c>
      <c r="Y41" s="163" t="str">
        <f t="shared" si="5"/>
        <v>Nivel III: Riesgo Moderado (Aceptable)</v>
      </c>
      <c r="Z41" s="163">
        <v>2</v>
      </c>
      <c r="AA41" s="163" t="s">
        <v>926</v>
      </c>
      <c r="AB41" s="161" t="s">
        <v>424</v>
      </c>
      <c r="AC41" s="161" t="s">
        <v>424</v>
      </c>
      <c r="AD41" s="161" t="s">
        <v>424</v>
      </c>
      <c r="AE41" s="167" t="s">
        <v>1080</v>
      </c>
      <c r="AF41" s="161" t="s">
        <v>600</v>
      </c>
      <c r="AG41" s="166" t="s">
        <v>460</v>
      </c>
    </row>
    <row r="42" spans="1:33" ht="89.25" hidden="1" x14ac:dyDescent="0.2">
      <c r="A42" s="162" t="s">
        <v>879</v>
      </c>
      <c r="B42" s="162" t="s">
        <v>1226</v>
      </c>
      <c r="C42" s="162" t="s">
        <v>1225</v>
      </c>
      <c r="D42" s="162" t="s">
        <v>943</v>
      </c>
      <c r="E42" s="161" t="s">
        <v>999</v>
      </c>
      <c r="F42" s="162" t="s">
        <v>347</v>
      </c>
      <c r="G42" s="162" t="s">
        <v>587</v>
      </c>
      <c r="H42" s="162" t="s">
        <v>1236</v>
      </c>
      <c r="I42" s="163" t="s">
        <v>421</v>
      </c>
      <c r="J42" s="163" t="s">
        <v>422</v>
      </c>
      <c r="K42" s="163" t="s">
        <v>460</v>
      </c>
      <c r="L42" s="163" t="s">
        <v>469</v>
      </c>
      <c r="M42" s="163" t="s">
        <v>1192</v>
      </c>
      <c r="N42" s="161" t="s">
        <v>1145</v>
      </c>
      <c r="O42" s="162" t="s">
        <v>1026</v>
      </c>
      <c r="P42" s="163" t="s">
        <v>184</v>
      </c>
      <c r="Q42" s="171">
        <f t="shared" si="0"/>
        <v>1</v>
      </c>
      <c r="R42" s="163" t="s">
        <v>485</v>
      </c>
      <c r="S42" s="172">
        <f t="shared" si="1"/>
        <v>1</v>
      </c>
      <c r="T42" s="166">
        <f t="shared" si="2"/>
        <v>1</v>
      </c>
      <c r="U42" s="163" t="s">
        <v>184</v>
      </c>
      <c r="V42" s="163" t="s">
        <v>971</v>
      </c>
      <c r="W42" s="172">
        <f t="shared" si="3"/>
        <v>100</v>
      </c>
      <c r="X42" s="166">
        <f t="shared" si="4"/>
        <v>100</v>
      </c>
      <c r="Y42" s="163" t="str">
        <f t="shared" si="5"/>
        <v>Nivel III: Riesgo Moderado (Aceptable)</v>
      </c>
      <c r="Z42" s="163">
        <v>2</v>
      </c>
      <c r="AA42" s="163" t="s">
        <v>926</v>
      </c>
      <c r="AB42" s="161" t="s">
        <v>424</v>
      </c>
      <c r="AC42" s="161" t="s">
        <v>424</v>
      </c>
      <c r="AD42" s="161" t="s">
        <v>424</v>
      </c>
      <c r="AE42" s="161" t="s">
        <v>1029</v>
      </c>
      <c r="AF42" s="161" t="s">
        <v>600</v>
      </c>
      <c r="AG42" s="166" t="s">
        <v>460</v>
      </c>
    </row>
    <row r="43" spans="1:33" ht="102" hidden="1" x14ac:dyDescent="0.2">
      <c r="A43" s="162" t="s">
        <v>879</v>
      </c>
      <c r="B43" s="162" t="s">
        <v>1226</v>
      </c>
      <c r="C43" s="162" t="s">
        <v>1225</v>
      </c>
      <c r="D43" s="162" t="s">
        <v>943</v>
      </c>
      <c r="E43" s="161" t="s">
        <v>996</v>
      </c>
      <c r="F43" s="162" t="s">
        <v>398</v>
      </c>
      <c r="G43" s="162" t="s">
        <v>708</v>
      </c>
      <c r="H43" s="162" t="s">
        <v>823</v>
      </c>
      <c r="I43" s="163" t="s">
        <v>421</v>
      </c>
      <c r="J43" s="163" t="s">
        <v>461</v>
      </c>
      <c r="K43" s="163" t="s">
        <v>460</v>
      </c>
      <c r="L43" s="163" t="s">
        <v>469</v>
      </c>
      <c r="M43" s="163" t="s">
        <v>1063</v>
      </c>
      <c r="N43" s="169" t="s">
        <v>423</v>
      </c>
      <c r="O43" s="162" t="s">
        <v>1008</v>
      </c>
      <c r="P43" s="163" t="s">
        <v>184</v>
      </c>
      <c r="Q43" s="171">
        <f t="shared" si="0"/>
        <v>1</v>
      </c>
      <c r="R43" s="163" t="s">
        <v>429</v>
      </c>
      <c r="S43" s="172">
        <f t="shared" si="1"/>
        <v>2</v>
      </c>
      <c r="T43" s="166">
        <f t="shared" si="2"/>
        <v>2</v>
      </c>
      <c r="U43" s="163" t="s">
        <v>184</v>
      </c>
      <c r="V43" s="163" t="s">
        <v>187</v>
      </c>
      <c r="W43" s="172">
        <f t="shared" si="3"/>
        <v>25</v>
      </c>
      <c r="X43" s="166">
        <f t="shared" si="4"/>
        <v>50</v>
      </c>
      <c r="Y43" s="163" t="str">
        <f t="shared" si="5"/>
        <v>Nivel III: Riesgo Moderado (Aceptable)</v>
      </c>
      <c r="Z43" s="163">
        <v>2</v>
      </c>
      <c r="AA43" s="163" t="s">
        <v>926</v>
      </c>
      <c r="AB43" s="161" t="s">
        <v>424</v>
      </c>
      <c r="AC43" s="161" t="s">
        <v>424</v>
      </c>
      <c r="AD43" s="161" t="s">
        <v>424</v>
      </c>
      <c r="AE43" s="161" t="s">
        <v>1064</v>
      </c>
      <c r="AF43" s="161" t="s">
        <v>855</v>
      </c>
      <c r="AG43" s="166" t="s">
        <v>460</v>
      </c>
    </row>
    <row r="44" spans="1:33" ht="102" hidden="1" x14ac:dyDescent="0.2">
      <c r="A44" s="162" t="s">
        <v>879</v>
      </c>
      <c r="B44" s="162" t="s">
        <v>1226</v>
      </c>
      <c r="C44" s="162" t="s">
        <v>1225</v>
      </c>
      <c r="D44" s="162" t="s">
        <v>943</v>
      </c>
      <c r="E44" s="161" t="s">
        <v>995</v>
      </c>
      <c r="F44" s="162" t="s">
        <v>714</v>
      </c>
      <c r="G44" s="162" t="s">
        <v>1036</v>
      </c>
      <c r="H44" s="162" t="s">
        <v>625</v>
      </c>
      <c r="I44" s="163" t="s">
        <v>529</v>
      </c>
      <c r="J44" s="163" t="s">
        <v>422</v>
      </c>
      <c r="K44" s="163" t="s">
        <v>460</v>
      </c>
      <c r="L44" s="163" t="s">
        <v>469</v>
      </c>
      <c r="M44" s="168"/>
      <c r="N44" s="161" t="s">
        <v>423</v>
      </c>
      <c r="O44" s="164" t="s">
        <v>1038</v>
      </c>
      <c r="P44" s="163" t="s">
        <v>184</v>
      </c>
      <c r="Q44" s="171">
        <f t="shared" si="0"/>
        <v>1</v>
      </c>
      <c r="R44" s="163" t="s">
        <v>485</v>
      </c>
      <c r="S44" s="172">
        <f t="shared" si="1"/>
        <v>1</v>
      </c>
      <c r="T44" s="166">
        <f t="shared" si="2"/>
        <v>1</v>
      </c>
      <c r="U44" s="163" t="s">
        <v>184</v>
      </c>
      <c r="V44" s="163" t="s">
        <v>187</v>
      </c>
      <c r="W44" s="172">
        <f t="shared" si="3"/>
        <v>25</v>
      </c>
      <c r="X44" s="166">
        <f t="shared" si="4"/>
        <v>25</v>
      </c>
      <c r="Y44" s="163" t="str">
        <f t="shared" si="5"/>
        <v>Nivel IV: Riesgo Tolerable (Aceptable)</v>
      </c>
      <c r="Z44" s="163">
        <v>2</v>
      </c>
      <c r="AA44" s="163" t="s">
        <v>926</v>
      </c>
      <c r="AB44" s="161" t="s">
        <v>424</v>
      </c>
      <c r="AC44" s="161" t="s">
        <v>424</v>
      </c>
      <c r="AD44" s="161" t="s">
        <v>514</v>
      </c>
      <c r="AE44" s="161" t="s">
        <v>1039</v>
      </c>
      <c r="AF44" s="161" t="s">
        <v>1040</v>
      </c>
      <c r="AG44" s="166" t="s">
        <v>460</v>
      </c>
    </row>
    <row r="45" spans="1:33" ht="76.5" hidden="1" x14ac:dyDescent="0.2">
      <c r="A45" s="162" t="s">
        <v>879</v>
      </c>
      <c r="B45" s="162" t="s">
        <v>1226</v>
      </c>
      <c r="C45" s="162" t="s">
        <v>1225</v>
      </c>
      <c r="D45" s="162" t="s">
        <v>943</v>
      </c>
      <c r="E45" s="161" t="s">
        <v>995</v>
      </c>
      <c r="F45" s="162" t="s">
        <v>719</v>
      </c>
      <c r="G45" s="162" t="s">
        <v>976</v>
      </c>
      <c r="H45" s="162" t="s">
        <v>722</v>
      </c>
      <c r="I45" s="163" t="s">
        <v>421</v>
      </c>
      <c r="J45" s="163" t="s">
        <v>422</v>
      </c>
      <c r="K45" s="163" t="s">
        <v>460</v>
      </c>
      <c r="L45" s="163" t="s">
        <v>469</v>
      </c>
      <c r="M45" s="168"/>
      <c r="N45" s="161" t="s">
        <v>423</v>
      </c>
      <c r="O45" s="162" t="s">
        <v>977</v>
      </c>
      <c r="P45" s="163" t="s">
        <v>184</v>
      </c>
      <c r="Q45" s="171">
        <f t="shared" si="0"/>
        <v>1</v>
      </c>
      <c r="R45" s="163" t="s">
        <v>485</v>
      </c>
      <c r="S45" s="172">
        <f t="shared" si="1"/>
        <v>1</v>
      </c>
      <c r="T45" s="166">
        <f t="shared" si="2"/>
        <v>1</v>
      </c>
      <c r="U45" s="163" t="s">
        <v>184</v>
      </c>
      <c r="V45" s="163" t="s">
        <v>187</v>
      </c>
      <c r="W45" s="172">
        <f t="shared" si="3"/>
        <v>25</v>
      </c>
      <c r="X45" s="166">
        <f t="shared" si="4"/>
        <v>25</v>
      </c>
      <c r="Y45" s="163" t="str">
        <f t="shared" si="5"/>
        <v>Nivel IV: Riesgo Tolerable (Aceptable)</v>
      </c>
      <c r="Z45" s="163">
        <v>2</v>
      </c>
      <c r="AA45" s="163" t="s">
        <v>926</v>
      </c>
      <c r="AB45" s="161" t="s">
        <v>424</v>
      </c>
      <c r="AC45" s="161" t="s">
        <v>424</v>
      </c>
      <c r="AD45" s="161" t="s">
        <v>514</v>
      </c>
      <c r="AE45" s="161" t="s">
        <v>723</v>
      </c>
      <c r="AF45" s="161" t="s">
        <v>600</v>
      </c>
      <c r="AG45" s="166" t="s">
        <v>460</v>
      </c>
    </row>
    <row r="46" spans="1:33" ht="89.25" hidden="1" x14ac:dyDescent="0.2">
      <c r="A46" s="162" t="s">
        <v>879</v>
      </c>
      <c r="B46" s="162" t="s">
        <v>1226</v>
      </c>
      <c r="C46" s="162" t="s">
        <v>1225</v>
      </c>
      <c r="D46" s="162" t="s">
        <v>943</v>
      </c>
      <c r="E46" s="161" t="s">
        <v>995</v>
      </c>
      <c r="F46" s="162" t="s">
        <v>720</v>
      </c>
      <c r="G46" s="162" t="s">
        <v>857</v>
      </c>
      <c r="H46" s="162" t="s">
        <v>724</v>
      </c>
      <c r="I46" s="163" t="s">
        <v>421</v>
      </c>
      <c r="J46" s="163" t="s">
        <v>422</v>
      </c>
      <c r="K46" s="163" t="s">
        <v>460</v>
      </c>
      <c r="L46" s="163" t="s">
        <v>469</v>
      </c>
      <c r="M46" s="168"/>
      <c r="N46" s="161" t="s">
        <v>1081</v>
      </c>
      <c r="O46" s="162" t="s">
        <v>856</v>
      </c>
      <c r="P46" s="163" t="s">
        <v>184</v>
      </c>
      <c r="Q46" s="171">
        <f t="shared" si="0"/>
        <v>1</v>
      </c>
      <c r="R46" s="163" t="s">
        <v>485</v>
      </c>
      <c r="S46" s="172">
        <f t="shared" si="1"/>
        <v>1</v>
      </c>
      <c r="T46" s="166">
        <f t="shared" si="2"/>
        <v>1</v>
      </c>
      <c r="U46" s="163" t="s">
        <v>184</v>
      </c>
      <c r="V46" s="163" t="s">
        <v>187</v>
      </c>
      <c r="W46" s="172">
        <f t="shared" si="3"/>
        <v>25</v>
      </c>
      <c r="X46" s="166">
        <f t="shared" si="4"/>
        <v>25</v>
      </c>
      <c r="Y46" s="163" t="str">
        <f t="shared" si="5"/>
        <v>Nivel IV: Riesgo Tolerable (Aceptable)</v>
      </c>
      <c r="Z46" s="163">
        <v>2</v>
      </c>
      <c r="AA46" s="163" t="s">
        <v>926</v>
      </c>
      <c r="AB46" s="161" t="s">
        <v>424</v>
      </c>
      <c r="AC46" s="161" t="s">
        <v>424</v>
      </c>
      <c r="AD46" s="161" t="s">
        <v>424</v>
      </c>
      <c r="AE46" s="161" t="s">
        <v>973</v>
      </c>
      <c r="AF46" s="161" t="s">
        <v>600</v>
      </c>
      <c r="AG46" s="166" t="s">
        <v>460</v>
      </c>
    </row>
    <row r="47" spans="1:33" ht="127.5" hidden="1" x14ac:dyDescent="0.2">
      <c r="A47" s="162" t="s">
        <v>879</v>
      </c>
      <c r="B47" s="162" t="s">
        <v>1226</v>
      </c>
      <c r="C47" s="162" t="s">
        <v>1225</v>
      </c>
      <c r="D47" s="162" t="s">
        <v>943</v>
      </c>
      <c r="E47" s="161" t="s">
        <v>175</v>
      </c>
      <c r="F47" s="162" t="s">
        <v>592</v>
      </c>
      <c r="G47" s="162" t="s">
        <v>593</v>
      </c>
      <c r="H47" s="162" t="s">
        <v>602</v>
      </c>
      <c r="I47" s="163" t="s">
        <v>421</v>
      </c>
      <c r="J47" s="163" t="s">
        <v>422</v>
      </c>
      <c r="K47" s="163" t="s">
        <v>460</v>
      </c>
      <c r="L47" s="163" t="s">
        <v>469</v>
      </c>
      <c r="M47" s="168"/>
      <c r="N47" s="161" t="s">
        <v>423</v>
      </c>
      <c r="O47" s="162" t="s">
        <v>1034</v>
      </c>
      <c r="P47" s="163" t="s">
        <v>184</v>
      </c>
      <c r="Q47" s="171">
        <f t="shared" si="0"/>
        <v>1</v>
      </c>
      <c r="R47" s="163" t="s">
        <v>485</v>
      </c>
      <c r="S47" s="172">
        <f t="shared" si="1"/>
        <v>1</v>
      </c>
      <c r="T47" s="166">
        <f t="shared" si="2"/>
        <v>1</v>
      </c>
      <c r="U47" s="163" t="s">
        <v>184</v>
      </c>
      <c r="V47" s="163" t="s">
        <v>428</v>
      </c>
      <c r="W47" s="172">
        <f t="shared" si="3"/>
        <v>10</v>
      </c>
      <c r="X47" s="166">
        <f t="shared" si="4"/>
        <v>10</v>
      </c>
      <c r="Y47" s="163" t="str">
        <f t="shared" si="5"/>
        <v>Nivel IV: Riesgo Tolerable (Aceptable)</v>
      </c>
      <c r="Z47" s="163">
        <v>1</v>
      </c>
      <c r="AA47" s="163" t="s">
        <v>926</v>
      </c>
      <c r="AB47" s="161" t="s">
        <v>424</v>
      </c>
      <c r="AC47" s="161" t="s">
        <v>424</v>
      </c>
      <c r="AD47" s="161" t="s">
        <v>424</v>
      </c>
      <c r="AE47" s="161" t="s">
        <v>1035</v>
      </c>
      <c r="AF47" s="161" t="s">
        <v>600</v>
      </c>
      <c r="AG47" s="166" t="s">
        <v>460</v>
      </c>
    </row>
    <row r="48" spans="1:33" ht="114.75" hidden="1" x14ac:dyDescent="0.2">
      <c r="A48" s="162" t="s">
        <v>879</v>
      </c>
      <c r="B48" s="162" t="s">
        <v>1226</v>
      </c>
      <c r="C48" s="162" t="s">
        <v>1225</v>
      </c>
      <c r="D48" s="162" t="s">
        <v>943</v>
      </c>
      <c r="E48" s="161" t="s">
        <v>175</v>
      </c>
      <c r="F48" s="162" t="s">
        <v>594</v>
      </c>
      <c r="G48" s="162" t="s">
        <v>595</v>
      </c>
      <c r="H48" s="162" t="s">
        <v>602</v>
      </c>
      <c r="I48" s="163" t="s">
        <v>421</v>
      </c>
      <c r="J48" s="163" t="s">
        <v>422</v>
      </c>
      <c r="K48" s="163" t="s">
        <v>460</v>
      </c>
      <c r="L48" s="163" t="s">
        <v>469</v>
      </c>
      <c r="M48" s="168"/>
      <c r="N48" s="161" t="s">
        <v>423</v>
      </c>
      <c r="O48" s="162" t="s">
        <v>1034</v>
      </c>
      <c r="P48" s="163" t="s">
        <v>184</v>
      </c>
      <c r="Q48" s="171">
        <f t="shared" si="0"/>
        <v>1</v>
      </c>
      <c r="R48" s="163" t="s">
        <v>485</v>
      </c>
      <c r="S48" s="172">
        <f t="shared" si="1"/>
        <v>1</v>
      </c>
      <c r="T48" s="166">
        <f t="shared" si="2"/>
        <v>1</v>
      </c>
      <c r="U48" s="163" t="s">
        <v>184</v>
      </c>
      <c r="V48" s="163" t="s">
        <v>428</v>
      </c>
      <c r="W48" s="172">
        <f t="shared" si="3"/>
        <v>10</v>
      </c>
      <c r="X48" s="166">
        <f t="shared" si="4"/>
        <v>10</v>
      </c>
      <c r="Y48" s="163" t="str">
        <f t="shared" si="5"/>
        <v>Nivel IV: Riesgo Tolerable (Aceptable)</v>
      </c>
      <c r="Z48" s="163">
        <v>2</v>
      </c>
      <c r="AA48" s="163" t="s">
        <v>926</v>
      </c>
      <c r="AB48" s="161" t="s">
        <v>424</v>
      </c>
      <c r="AC48" s="161" t="s">
        <v>424</v>
      </c>
      <c r="AD48" s="161" t="s">
        <v>424</v>
      </c>
      <c r="AE48" s="161" t="s">
        <v>1035</v>
      </c>
      <c r="AF48" s="161" t="s">
        <v>600</v>
      </c>
      <c r="AG48" s="166" t="s">
        <v>460</v>
      </c>
    </row>
    <row r="49" spans="1:33" ht="114.75" hidden="1" x14ac:dyDescent="0.2">
      <c r="A49" s="162" t="s">
        <v>879</v>
      </c>
      <c r="B49" s="162" t="s">
        <v>1226</v>
      </c>
      <c r="C49" s="162" t="s">
        <v>1225</v>
      </c>
      <c r="D49" s="162" t="s">
        <v>943</v>
      </c>
      <c r="E49" s="161" t="s">
        <v>175</v>
      </c>
      <c r="F49" s="162" t="s">
        <v>596</v>
      </c>
      <c r="G49" s="162" t="s">
        <v>599</v>
      </c>
      <c r="H49" s="162" t="s">
        <v>602</v>
      </c>
      <c r="I49" s="163" t="s">
        <v>421</v>
      </c>
      <c r="J49" s="163" t="s">
        <v>422</v>
      </c>
      <c r="K49" s="163" t="s">
        <v>460</v>
      </c>
      <c r="L49" s="163" t="s">
        <v>469</v>
      </c>
      <c r="M49" s="168"/>
      <c r="N49" s="161" t="s">
        <v>423</v>
      </c>
      <c r="O49" s="162" t="s">
        <v>1034</v>
      </c>
      <c r="P49" s="163" t="s">
        <v>184</v>
      </c>
      <c r="Q49" s="171">
        <f t="shared" si="0"/>
        <v>1</v>
      </c>
      <c r="R49" s="163" t="s">
        <v>485</v>
      </c>
      <c r="S49" s="172">
        <f t="shared" si="1"/>
        <v>1</v>
      </c>
      <c r="T49" s="166">
        <f t="shared" si="2"/>
        <v>1</v>
      </c>
      <c r="U49" s="163" t="s">
        <v>184</v>
      </c>
      <c r="V49" s="163" t="s">
        <v>428</v>
      </c>
      <c r="W49" s="172">
        <f t="shared" si="3"/>
        <v>10</v>
      </c>
      <c r="X49" s="166">
        <f t="shared" si="4"/>
        <v>10</v>
      </c>
      <c r="Y49" s="163" t="str">
        <f t="shared" si="5"/>
        <v>Nivel IV: Riesgo Tolerable (Aceptable)</v>
      </c>
      <c r="Z49" s="163">
        <v>2</v>
      </c>
      <c r="AA49" s="163" t="s">
        <v>926</v>
      </c>
      <c r="AB49" s="161" t="s">
        <v>424</v>
      </c>
      <c r="AC49" s="161" t="s">
        <v>424</v>
      </c>
      <c r="AD49" s="161" t="s">
        <v>424</v>
      </c>
      <c r="AE49" s="161" t="s">
        <v>1035</v>
      </c>
      <c r="AF49" s="161" t="s">
        <v>600</v>
      </c>
      <c r="AG49" s="166" t="s">
        <v>460</v>
      </c>
    </row>
    <row r="50" spans="1:33" ht="114.75" hidden="1" x14ac:dyDescent="0.2">
      <c r="A50" s="162" t="s">
        <v>879</v>
      </c>
      <c r="B50" s="162" t="s">
        <v>1226</v>
      </c>
      <c r="C50" s="162" t="s">
        <v>1225</v>
      </c>
      <c r="D50" s="162" t="s">
        <v>943</v>
      </c>
      <c r="E50" s="161" t="s">
        <v>175</v>
      </c>
      <c r="F50" s="162" t="s">
        <v>597</v>
      </c>
      <c r="G50" s="162" t="s">
        <v>598</v>
      </c>
      <c r="H50" s="162" t="s">
        <v>602</v>
      </c>
      <c r="I50" s="163" t="s">
        <v>421</v>
      </c>
      <c r="J50" s="163" t="s">
        <v>422</v>
      </c>
      <c r="K50" s="163" t="s">
        <v>460</v>
      </c>
      <c r="L50" s="163" t="s">
        <v>469</v>
      </c>
      <c r="M50" s="168"/>
      <c r="N50" s="161" t="s">
        <v>423</v>
      </c>
      <c r="O50" s="162" t="s">
        <v>1034</v>
      </c>
      <c r="P50" s="163" t="s">
        <v>184</v>
      </c>
      <c r="Q50" s="171">
        <f t="shared" si="0"/>
        <v>1</v>
      </c>
      <c r="R50" s="163" t="s">
        <v>485</v>
      </c>
      <c r="S50" s="172">
        <f t="shared" si="1"/>
        <v>1</v>
      </c>
      <c r="T50" s="166">
        <f t="shared" si="2"/>
        <v>1</v>
      </c>
      <c r="U50" s="163" t="s">
        <v>184</v>
      </c>
      <c r="V50" s="163" t="s">
        <v>428</v>
      </c>
      <c r="W50" s="172">
        <f t="shared" si="3"/>
        <v>10</v>
      </c>
      <c r="X50" s="166">
        <f t="shared" si="4"/>
        <v>10</v>
      </c>
      <c r="Y50" s="163" t="str">
        <f t="shared" si="5"/>
        <v>Nivel IV: Riesgo Tolerable (Aceptable)</v>
      </c>
      <c r="Z50" s="163">
        <v>1</v>
      </c>
      <c r="AA50" s="163" t="s">
        <v>926</v>
      </c>
      <c r="AB50" s="161" t="s">
        <v>424</v>
      </c>
      <c r="AC50" s="161" t="s">
        <v>424</v>
      </c>
      <c r="AD50" s="161" t="s">
        <v>424</v>
      </c>
      <c r="AE50" s="161" t="s">
        <v>1035</v>
      </c>
      <c r="AF50" s="161" t="s">
        <v>600</v>
      </c>
      <c r="AG50" s="166" t="s">
        <v>460</v>
      </c>
    </row>
    <row r="51" spans="1:33" ht="114.75" hidden="1" x14ac:dyDescent="0.2">
      <c r="A51" s="162" t="s">
        <v>879</v>
      </c>
      <c r="B51" s="162" t="s">
        <v>1226</v>
      </c>
      <c r="C51" s="162" t="s">
        <v>1225</v>
      </c>
      <c r="D51" s="162" t="s">
        <v>943</v>
      </c>
      <c r="E51" s="161" t="s">
        <v>999</v>
      </c>
      <c r="F51" s="162" t="s">
        <v>578</v>
      </c>
      <c r="G51" s="162" t="s">
        <v>1054</v>
      </c>
      <c r="H51" s="162" t="s">
        <v>979</v>
      </c>
      <c r="I51" s="163" t="s">
        <v>421</v>
      </c>
      <c r="J51" s="163" t="s">
        <v>461</v>
      </c>
      <c r="K51" s="163" t="s">
        <v>460</v>
      </c>
      <c r="L51" s="163" t="s">
        <v>469</v>
      </c>
      <c r="M51" s="165" t="s">
        <v>423</v>
      </c>
      <c r="N51" s="161" t="s">
        <v>1055</v>
      </c>
      <c r="O51" s="162" t="s">
        <v>1053</v>
      </c>
      <c r="P51" s="163" t="s">
        <v>184</v>
      </c>
      <c r="Q51" s="171">
        <f t="shared" si="0"/>
        <v>1</v>
      </c>
      <c r="R51" s="163" t="s">
        <v>485</v>
      </c>
      <c r="S51" s="172">
        <f t="shared" si="1"/>
        <v>1</v>
      </c>
      <c r="T51" s="166">
        <f t="shared" si="2"/>
        <v>1</v>
      </c>
      <c r="U51" s="163" t="s">
        <v>184</v>
      </c>
      <c r="V51" s="163" t="s">
        <v>187</v>
      </c>
      <c r="W51" s="172">
        <f t="shared" si="3"/>
        <v>25</v>
      </c>
      <c r="X51" s="166">
        <f t="shared" si="4"/>
        <v>25</v>
      </c>
      <c r="Y51" s="163" t="str">
        <f t="shared" si="5"/>
        <v>Nivel IV: Riesgo Tolerable (Aceptable)</v>
      </c>
      <c r="Z51" s="163">
        <v>2</v>
      </c>
      <c r="AA51" s="163" t="s">
        <v>926</v>
      </c>
      <c r="AB51" s="161" t="s">
        <v>424</v>
      </c>
      <c r="AC51" s="161" t="s">
        <v>424</v>
      </c>
      <c r="AD51" s="161" t="s">
        <v>424</v>
      </c>
      <c r="AE51" s="161" t="s">
        <v>1057</v>
      </c>
      <c r="AF51" s="161" t="s">
        <v>600</v>
      </c>
      <c r="AG51" s="166" t="s">
        <v>460</v>
      </c>
    </row>
    <row r="52" spans="1:33" ht="40.5" hidden="1" customHeight="1" x14ac:dyDescent="0.2">
      <c r="A52" s="162" t="s">
        <v>879</v>
      </c>
      <c r="B52" s="162" t="s">
        <v>1226</v>
      </c>
      <c r="C52" s="162" t="s">
        <v>1225</v>
      </c>
      <c r="D52" s="162" t="s">
        <v>943</v>
      </c>
      <c r="E52" s="161" t="s">
        <v>999</v>
      </c>
      <c r="F52" s="162" t="s">
        <v>1120</v>
      </c>
      <c r="G52" s="162" t="s">
        <v>1159</v>
      </c>
      <c r="H52" s="162" t="s">
        <v>979</v>
      </c>
      <c r="I52" s="163" t="s">
        <v>421</v>
      </c>
      <c r="J52" s="163" t="s">
        <v>461</v>
      </c>
      <c r="K52" s="163" t="s">
        <v>460</v>
      </c>
      <c r="L52" s="163" t="s">
        <v>469</v>
      </c>
      <c r="M52" s="165" t="s">
        <v>423</v>
      </c>
      <c r="N52" s="161" t="s">
        <v>1142</v>
      </c>
      <c r="O52" s="162" t="s">
        <v>1141</v>
      </c>
      <c r="P52" s="163" t="s">
        <v>184</v>
      </c>
      <c r="Q52" s="171">
        <f t="shared" si="0"/>
        <v>1</v>
      </c>
      <c r="R52" s="163" t="s">
        <v>485</v>
      </c>
      <c r="S52" s="172">
        <f t="shared" si="1"/>
        <v>1</v>
      </c>
      <c r="T52" s="166">
        <f t="shared" si="2"/>
        <v>1</v>
      </c>
      <c r="U52" s="163" t="s">
        <v>184</v>
      </c>
      <c r="V52" s="163" t="s">
        <v>187</v>
      </c>
      <c r="W52" s="172">
        <f t="shared" si="3"/>
        <v>25</v>
      </c>
      <c r="X52" s="166">
        <f t="shared" si="4"/>
        <v>25</v>
      </c>
      <c r="Y52" s="163" t="str">
        <f t="shared" si="5"/>
        <v>Nivel IV: Riesgo Tolerable (Aceptable)</v>
      </c>
      <c r="Z52" s="163">
        <v>2</v>
      </c>
      <c r="AA52" s="163" t="s">
        <v>926</v>
      </c>
      <c r="AB52" s="161" t="s">
        <v>424</v>
      </c>
      <c r="AC52" s="161" t="s">
        <v>424</v>
      </c>
      <c r="AD52" s="161" t="s">
        <v>424</v>
      </c>
      <c r="AE52" s="161" t="s">
        <v>1056</v>
      </c>
      <c r="AF52" s="161" t="s">
        <v>528</v>
      </c>
      <c r="AG52" s="166" t="s">
        <v>460</v>
      </c>
    </row>
    <row r="53" spans="1:33" ht="51" hidden="1" x14ac:dyDescent="0.2">
      <c r="A53" s="162" t="s">
        <v>879</v>
      </c>
      <c r="B53" s="162" t="s">
        <v>1226</v>
      </c>
      <c r="C53" s="162" t="s">
        <v>1225</v>
      </c>
      <c r="D53" s="162" t="s">
        <v>943</v>
      </c>
      <c r="E53" s="161" t="s">
        <v>1000</v>
      </c>
      <c r="F53" s="162" t="s">
        <v>1123</v>
      </c>
      <c r="G53" s="162" t="s">
        <v>981</v>
      </c>
      <c r="H53" s="162" t="s">
        <v>1237</v>
      </c>
      <c r="I53" s="163" t="s">
        <v>421</v>
      </c>
      <c r="J53" s="163" t="s">
        <v>422</v>
      </c>
      <c r="K53" s="163" t="s">
        <v>460</v>
      </c>
      <c r="L53" s="163" t="s">
        <v>469</v>
      </c>
      <c r="M53" s="161" t="s">
        <v>423</v>
      </c>
      <c r="N53" s="161" t="s">
        <v>1145</v>
      </c>
      <c r="O53" s="162" t="s">
        <v>1144</v>
      </c>
      <c r="P53" s="163" t="s">
        <v>184</v>
      </c>
      <c r="Q53" s="171">
        <f t="shared" si="0"/>
        <v>1</v>
      </c>
      <c r="R53" s="163" t="s">
        <v>485</v>
      </c>
      <c r="S53" s="172">
        <f t="shared" si="1"/>
        <v>1</v>
      </c>
      <c r="T53" s="166">
        <f t="shared" si="2"/>
        <v>1</v>
      </c>
      <c r="U53" s="163" t="s">
        <v>184</v>
      </c>
      <c r="V53" s="163" t="s">
        <v>187</v>
      </c>
      <c r="W53" s="172">
        <f t="shared" si="3"/>
        <v>25</v>
      </c>
      <c r="X53" s="166">
        <f t="shared" si="4"/>
        <v>25</v>
      </c>
      <c r="Y53" s="163" t="str">
        <f t="shared" si="5"/>
        <v>Nivel IV: Riesgo Tolerable (Aceptable)</v>
      </c>
      <c r="Z53" s="163">
        <v>2</v>
      </c>
      <c r="AA53" s="163" t="s">
        <v>926</v>
      </c>
      <c r="AB53" s="161" t="s">
        <v>424</v>
      </c>
      <c r="AC53" s="161" t="s">
        <v>424</v>
      </c>
      <c r="AD53" s="161" t="s">
        <v>424</v>
      </c>
      <c r="AE53" s="161" t="s">
        <v>1024</v>
      </c>
      <c r="AF53" s="161" t="s">
        <v>600</v>
      </c>
      <c r="AG53" s="166" t="s">
        <v>460</v>
      </c>
    </row>
    <row r="54" spans="1:33" ht="76.5" hidden="1" x14ac:dyDescent="0.2">
      <c r="A54" s="162" t="s">
        <v>879</v>
      </c>
      <c r="B54" s="162" t="s">
        <v>1226</v>
      </c>
      <c r="C54" s="162" t="s">
        <v>882</v>
      </c>
      <c r="D54" s="162" t="s">
        <v>987</v>
      </c>
      <c r="E54" s="161" t="s">
        <v>998</v>
      </c>
      <c r="F54" s="162" t="s">
        <v>1114</v>
      </c>
      <c r="G54" s="162" t="s">
        <v>924</v>
      </c>
      <c r="H54" s="162" t="s">
        <v>1191</v>
      </c>
      <c r="I54" s="163" t="s">
        <v>421</v>
      </c>
      <c r="J54" s="163" t="s">
        <v>422</v>
      </c>
      <c r="K54" s="163" t="s">
        <v>460</v>
      </c>
      <c r="L54" s="163" t="s">
        <v>469</v>
      </c>
      <c r="M54" s="161" t="s">
        <v>423</v>
      </c>
      <c r="N54" s="161" t="s">
        <v>423</v>
      </c>
      <c r="O54" s="162" t="s">
        <v>1050</v>
      </c>
      <c r="P54" s="163" t="s">
        <v>184</v>
      </c>
      <c r="Q54" s="171">
        <f t="shared" si="0"/>
        <v>1</v>
      </c>
      <c r="R54" s="163" t="s">
        <v>416</v>
      </c>
      <c r="S54" s="172">
        <f t="shared" si="1"/>
        <v>3</v>
      </c>
      <c r="T54" s="166">
        <f t="shared" si="2"/>
        <v>3</v>
      </c>
      <c r="U54" s="163" t="s">
        <v>184</v>
      </c>
      <c r="V54" s="163" t="s">
        <v>187</v>
      </c>
      <c r="W54" s="172">
        <f t="shared" si="3"/>
        <v>25</v>
      </c>
      <c r="X54" s="166">
        <f t="shared" si="4"/>
        <v>75</v>
      </c>
      <c r="Y54" s="163" t="str">
        <f t="shared" si="5"/>
        <v>Nivel III: Riesgo Moderado (Aceptable)</v>
      </c>
      <c r="Z54" s="163">
        <v>1</v>
      </c>
      <c r="AA54" s="163" t="s">
        <v>926</v>
      </c>
      <c r="AB54" s="161" t="s">
        <v>424</v>
      </c>
      <c r="AC54" s="161" t="s">
        <v>424</v>
      </c>
      <c r="AD54" s="161" t="s">
        <v>424</v>
      </c>
      <c r="AE54" s="161" t="s">
        <v>1051</v>
      </c>
      <c r="AF54" s="161" t="s">
        <v>600</v>
      </c>
      <c r="AG54" s="166" t="s">
        <v>460</v>
      </c>
    </row>
    <row r="55" spans="1:33" ht="23.25" hidden="1" customHeight="1" x14ac:dyDescent="0.2">
      <c r="A55" s="162" t="s">
        <v>879</v>
      </c>
      <c r="B55" s="162" t="s">
        <v>1226</v>
      </c>
      <c r="C55" s="162" t="s">
        <v>882</v>
      </c>
      <c r="D55" s="162" t="s">
        <v>987</v>
      </c>
      <c r="E55" s="161" t="s">
        <v>998</v>
      </c>
      <c r="F55" s="162" t="s">
        <v>178</v>
      </c>
      <c r="G55" s="162" t="s">
        <v>942</v>
      </c>
      <c r="H55" s="162" t="s">
        <v>860</v>
      </c>
      <c r="I55" s="163" t="s">
        <v>421</v>
      </c>
      <c r="J55" s="163" t="s">
        <v>422</v>
      </c>
      <c r="K55" s="163" t="s">
        <v>460</v>
      </c>
      <c r="L55" s="163" t="s">
        <v>469</v>
      </c>
      <c r="M55" s="161" t="s">
        <v>423</v>
      </c>
      <c r="N55" s="161" t="s">
        <v>423</v>
      </c>
      <c r="O55" s="162" t="s">
        <v>1046</v>
      </c>
      <c r="P55" s="163" t="s">
        <v>185</v>
      </c>
      <c r="Q55" s="171">
        <f t="shared" si="0"/>
        <v>2</v>
      </c>
      <c r="R55" s="163" t="s">
        <v>416</v>
      </c>
      <c r="S55" s="172">
        <f t="shared" si="1"/>
        <v>3</v>
      </c>
      <c r="T55" s="166">
        <f t="shared" si="2"/>
        <v>6</v>
      </c>
      <c r="U55" s="163" t="s">
        <v>185</v>
      </c>
      <c r="V55" s="163" t="s">
        <v>187</v>
      </c>
      <c r="W55" s="172">
        <f t="shared" si="3"/>
        <v>25</v>
      </c>
      <c r="X55" s="166">
        <f t="shared" si="4"/>
        <v>150</v>
      </c>
      <c r="Y55" s="163" t="str">
        <f t="shared" si="5"/>
        <v>Nivel II: Riesgo Importante</v>
      </c>
      <c r="Z55" s="163">
        <v>1</v>
      </c>
      <c r="AA55" s="163" t="s">
        <v>926</v>
      </c>
      <c r="AB55" s="161" t="s">
        <v>424</v>
      </c>
      <c r="AC55" s="161" t="s">
        <v>424</v>
      </c>
      <c r="AD55" s="161" t="s">
        <v>692</v>
      </c>
      <c r="AE55" s="161" t="s">
        <v>1048</v>
      </c>
      <c r="AF55" s="161" t="s">
        <v>600</v>
      </c>
      <c r="AG55" s="166" t="s">
        <v>460</v>
      </c>
    </row>
    <row r="56" spans="1:33" ht="140.25" hidden="1" x14ac:dyDescent="0.2">
      <c r="A56" s="162" t="s">
        <v>879</v>
      </c>
      <c r="B56" s="162" t="s">
        <v>1226</v>
      </c>
      <c r="C56" s="162" t="s">
        <v>882</v>
      </c>
      <c r="D56" s="162" t="s">
        <v>987</v>
      </c>
      <c r="E56" s="161" t="s">
        <v>998</v>
      </c>
      <c r="F56" s="162" t="s">
        <v>1115</v>
      </c>
      <c r="G56" s="162" t="s">
        <v>927</v>
      </c>
      <c r="H56" s="162" t="s">
        <v>694</v>
      </c>
      <c r="I56" s="163" t="s">
        <v>421</v>
      </c>
      <c r="J56" s="163" t="s">
        <v>422</v>
      </c>
      <c r="K56" s="163" t="s">
        <v>460</v>
      </c>
      <c r="L56" s="163" t="s">
        <v>469</v>
      </c>
      <c r="M56" s="161" t="s">
        <v>945</v>
      </c>
      <c r="N56" s="161" t="s">
        <v>725</v>
      </c>
      <c r="O56" s="162" t="s">
        <v>1061</v>
      </c>
      <c r="P56" s="163" t="s">
        <v>185</v>
      </c>
      <c r="Q56" s="171">
        <f t="shared" si="0"/>
        <v>2</v>
      </c>
      <c r="R56" s="163" t="s">
        <v>416</v>
      </c>
      <c r="S56" s="172">
        <f t="shared" si="1"/>
        <v>3</v>
      </c>
      <c r="T56" s="166">
        <f t="shared" si="2"/>
        <v>6</v>
      </c>
      <c r="U56" s="163" t="s">
        <v>185</v>
      </c>
      <c r="V56" s="163" t="s">
        <v>187</v>
      </c>
      <c r="W56" s="172">
        <f t="shared" si="3"/>
        <v>25</v>
      </c>
      <c r="X56" s="166">
        <f t="shared" si="4"/>
        <v>150</v>
      </c>
      <c r="Y56" s="163" t="str">
        <f t="shared" si="5"/>
        <v>Nivel II: Riesgo Importante</v>
      </c>
      <c r="Z56" s="163">
        <v>1</v>
      </c>
      <c r="AA56" s="163" t="s">
        <v>926</v>
      </c>
      <c r="AB56" s="161" t="s">
        <v>424</v>
      </c>
      <c r="AC56" s="161" t="s">
        <v>424</v>
      </c>
      <c r="AD56" s="161" t="s">
        <v>581</v>
      </c>
      <c r="AE56" s="161" t="s">
        <v>1062</v>
      </c>
      <c r="AF56" s="161" t="s">
        <v>600</v>
      </c>
      <c r="AG56" s="166" t="s">
        <v>460</v>
      </c>
    </row>
    <row r="57" spans="1:33" ht="102" hidden="1" x14ac:dyDescent="0.2">
      <c r="A57" s="162" t="s">
        <v>879</v>
      </c>
      <c r="B57" s="162" t="s">
        <v>1226</v>
      </c>
      <c r="C57" s="162" t="s">
        <v>882</v>
      </c>
      <c r="D57" s="162" t="s">
        <v>987</v>
      </c>
      <c r="E57" s="161" t="s">
        <v>999</v>
      </c>
      <c r="F57" s="162" t="s">
        <v>1117</v>
      </c>
      <c r="G57" s="162" t="s">
        <v>697</v>
      </c>
      <c r="H57" s="162" t="s">
        <v>472</v>
      </c>
      <c r="I57" s="163" t="s">
        <v>421</v>
      </c>
      <c r="J57" s="163" t="s">
        <v>422</v>
      </c>
      <c r="K57" s="163" t="s">
        <v>460</v>
      </c>
      <c r="L57" s="163" t="s">
        <v>469</v>
      </c>
      <c r="M57" s="168"/>
      <c r="N57" s="161" t="s">
        <v>423</v>
      </c>
      <c r="O57" s="162" t="s">
        <v>1008</v>
      </c>
      <c r="P57" s="163" t="s">
        <v>185</v>
      </c>
      <c r="Q57" s="171">
        <f t="shared" si="0"/>
        <v>2</v>
      </c>
      <c r="R57" s="163" t="s">
        <v>416</v>
      </c>
      <c r="S57" s="172">
        <f t="shared" si="1"/>
        <v>3</v>
      </c>
      <c r="T57" s="166">
        <f t="shared" si="2"/>
        <v>6</v>
      </c>
      <c r="U57" s="163" t="s">
        <v>185</v>
      </c>
      <c r="V57" s="163" t="s">
        <v>187</v>
      </c>
      <c r="W57" s="172">
        <f t="shared" si="3"/>
        <v>25</v>
      </c>
      <c r="X57" s="166">
        <f t="shared" si="4"/>
        <v>150</v>
      </c>
      <c r="Y57" s="163" t="str">
        <f t="shared" si="5"/>
        <v>Nivel II: Riesgo Importante</v>
      </c>
      <c r="Z57" s="163">
        <v>1</v>
      </c>
      <c r="AA57" s="163" t="s">
        <v>926</v>
      </c>
      <c r="AB57" s="161" t="s">
        <v>424</v>
      </c>
      <c r="AC57" s="161" t="s">
        <v>424</v>
      </c>
      <c r="AD57" s="161" t="s">
        <v>424</v>
      </c>
      <c r="AE57" s="162" t="s">
        <v>1011</v>
      </c>
      <c r="AF57" s="162" t="s">
        <v>955</v>
      </c>
      <c r="AG57" s="166" t="s">
        <v>460</v>
      </c>
    </row>
    <row r="58" spans="1:33" ht="114.75" hidden="1" x14ac:dyDescent="0.2">
      <c r="A58" s="162" t="s">
        <v>879</v>
      </c>
      <c r="B58" s="162" t="s">
        <v>1226</v>
      </c>
      <c r="C58" s="162" t="s">
        <v>882</v>
      </c>
      <c r="D58" s="162" t="s">
        <v>987</v>
      </c>
      <c r="E58" s="161" t="s">
        <v>999</v>
      </c>
      <c r="F58" s="162" t="s">
        <v>1116</v>
      </c>
      <c r="G58" s="162" t="s">
        <v>861</v>
      </c>
      <c r="H58" s="162" t="s">
        <v>851</v>
      </c>
      <c r="I58" s="163" t="s">
        <v>421</v>
      </c>
      <c r="J58" s="163" t="s">
        <v>422</v>
      </c>
      <c r="K58" s="163" t="s">
        <v>460</v>
      </c>
      <c r="L58" s="163" t="s">
        <v>469</v>
      </c>
      <c r="M58" s="168"/>
      <c r="N58" s="161" t="s">
        <v>928</v>
      </c>
      <c r="O58" s="162" t="s">
        <v>932</v>
      </c>
      <c r="P58" s="163" t="s">
        <v>185</v>
      </c>
      <c r="Q58" s="171">
        <f t="shared" si="0"/>
        <v>2</v>
      </c>
      <c r="R58" s="163" t="s">
        <v>429</v>
      </c>
      <c r="S58" s="172">
        <f t="shared" si="1"/>
        <v>2</v>
      </c>
      <c r="T58" s="166">
        <f t="shared" si="2"/>
        <v>4</v>
      </c>
      <c r="U58" s="163" t="s">
        <v>184</v>
      </c>
      <c r="V58" s="163" t="s">
        <v>428</v>
      </c>
      <c r="W58" s="172">
        <f t="shared" si="3"/>
        <v>10</v>
      </c>
      <c r="X58" s="166">
        <f t="shared" si="4"/>
        <v>40</v>
      </c>
      <c r="Y58" s="163" t="str">
        <f t="shared" si="5"/>
        <v>Nivel III: Riesgo Moderado (Aceptable)</v>
      </c>
      <c r="Z58" s="163">
        <v>1</v>
      </c>
      <c r="AA58" s="163" t="s">
        <v>926</v>
      </c>
      <c r="AB58" s="161" t="s">
        <v>424</v>
      </c>
      <c r="AC58" s="161" t="s">
        <v>424</v>
      </c>
      <c r="AD58" s="161" t="s">
        <v>424</v>
      </c>
      <c r="AE58" s="161" t="s">
        <v>930</v>
      </c>
      <c r="AF58" s="161" t="s">
        <v>696</v>
      </c>
      <c r="AG58" s="166" t="s">
        <v>460</v>
      </c>
    </row>
    <row r="59" spans="1:33" ht="98.25" hidden="1" customHeight="1" x14ac:dyDescent="0.2">
      <c r="A59" s="162" t="s">
        <v>879</v>
      </c>
      <c r="B59" s="162" t="s">
        <v>1226</v>
      </c>
      <c r="C59" s="162" t="s">
        <v>882</v>
      </c>
      <c r="D59" s="162" t="s">
        <v>987</v>
      </c>
      <c r="E59" s="161" t="s">
        <v>999</v>
      </c>
      <c r="F59" s="162" t="s">
        <v>355</v>
      </c>
      <c r="G59" s="162" t="s">
        <v>701</v>
      </c>
      <c r="H59" s="162" t="s">
        <v>507</v>
      </c>
      <c r="I59" s="163" t="s">
        <v>421</v>
      </c>
      <c r="J59" s="163" t="s">
        <v>422</v>
      </c>
      <c r="K59" s="163" t="s">
        <v>460</v>
      </c>
      <c r="L59" s="163" t="s">
        <v>469</v>
      </c>
      <c r="M59" s="161" t="s">
        <v>423</v>
      </c>
      <c r="N59" s="161" t="s">
        <v>423</v>
      </c>
      <c r="O59" s="162" t="s">
        <v>1005</v>
      </c>
      <c r="P59" s="163" t="s">
        <v>185</v>
      </c>
      <c r="Q59" s="171">
        <f t="shared" si="0"/>
        <v>2</v>
      </c>
      <c r="R59" s="163" t="s">
        <v>186</v>
      </c>
      <c r="S59" s="172">
        <f t="shared" si="1"/>
        <v>4</v>
      </c>
      <c r="T59" s="166">
        <f t="shared" si="2"/>
        <v>8</v>
      </c>
      <c r="U59" s="163" t="s">
        <v>185</v>
      </c>
      <c r="V59" s="163" t="s">
        <v>187</v>
      </c>
      <c r="W59" s="172">
        <f t="shared" si="3"/>
        <v>25</v>
      </c>
      <c r="X59" s="166">
        <f t="shared" si="4"/>
        <v>200</v>
      </c>
      <c r="Y59" s="163" t="str">
        <f t="shared" si="5"/>
        <v>Nivel II: Riesgo Importante</v>
      </c>
      <c r="Z59" s="163">
        <v>1</v>
      </c>
      <c r="AA59" s="163" t="s">
        <v>926</v>
      </c>
      <c r="AB59" s="161" t="s">
        <v>424</v>
      </c>
      <c r="AC59" s="161" t="s">
        <v>424</v>
      </c>
      <c r="AD59" s="161" t="s">
        <v>424</v>
      </c>
      <c r="AE59" s="164" t="s">
        <v>1006</v>
      </c>
      <c r="AF59" s="161" t="s">
        <v>528</v>
      </c>
      <c r="AG59" s="166" t="s">
        <v>460</v>
      </c>
    </row>
    <row r="60" spans="1:33" ht="89.25" hidden="1" x14ac:dyDescent="0.2">
      <c r="A60" s="162" t="s">
        <v>879</v>
      </c>
      <c r="B60" s="162" t="s">
        <v>1226</v>
      </c>
      <c r="C60" s="162" t="s">
        <v>882</v>
      </c>
      <c r="D60" s="162" t="s">
        <v>987</v>
      </c>
      <c r="E60" s="161" t="s">
        <v>999</v>
      </c>
      <c r="F60" s="162" t="s">
        <v>1117</v>
      </c>
      <c r="G60" s="162" t="s">
        <v>985</v>
      </c>
      <c r="H60" s="162" t="s">
        <v>508</v>
      </c>
      <c r="I60" s="163" t="s">
        <v>421</v>
      </c>
      <c r="J60" s="163" t="s">
        <v>422</v>
      </c>
      <c r="K60" s="163" t="s">
        <v>460</v>
      </c>
      <c r="L60" s="163" t="s">
        <v>469</v>
      </c>
      <c r="M60" s="168"/>
      <c r="N60" s="161" t="s">
        <v>423</v>
      </c>
      <c r="O60" s="162" t="s">
        <v>1013</v>
      </c>
      <c r="P60" s="163" t="s">
        <v>185</v>
      </c>
      <c r="Q60" s="171">
        <f t="shared" si="0"/>
        <v>2</v>
      </c>
      <c r="R60" s="163" t="s">
        <v>416</v>
      </c>
      <c r="S60" s="172">
        <f t="shared" si="1"/>
        <v>3</v>
      </c>
      <c r="T60" s="166">
        <f t="shared" si="2"/>
        <v>6</v>
      </c>
      <c r="U60" s="163" t="s">
        <v>185</v>
      </c>
      <c r="V60" s="163" t="s">
        <v>187</v>
      </c>
      <c r="W60" s="172">
        <f t="shared" si="3"/>
        <v>25</v>
      </c>
      <c r="X60" s="166">
        <f t="shared" si="4"/>
        <v>150</v>
      </c>
      <c r="Y60" s="163" t="str">
        <f t="shared" si="5"/>
        <v>Nivel II: Riesgo Importante</v>
      </c>
      <c r="Z60" s="163">
        <v>1</v>
      </c>
      <c r="AA60" s="163" t="s">
        <v>926</v>
      </c>
      <c r="AB60" s="161" t="s">
        <v>424</v>
      </c>
      <c r="AC60" s="161" t="s">
        <v>424</v>
      </c>
      <c r="AD60" s="161" t="s">
        <v>698</v>
      </c>
      <c r="AE60" s="161" t="s">
        <v>1014</v>
      </c>
      <c r="AF60" s="161" t="s">
        <v>528</v>
      </c>
      <c r="AG60" s="166" t="s">
        <v>460</v>
      </c>
    </row>
    <row r="61" spans="1:33" ht="63.75" hidden="1" x14ac:dyDescent="0.2">
      <c r="A61" s="162" t="s">
        <v>879</v>
      </c>
      <c r="B61" s="162" t="s">
        <v>1226</v>
      </c>
      <c r="C61" s="162" t="s">
        <v>882</v>
      </c>
      <c r="D61" s="162" t="s">
        <v>987</v>
      </c>
      <c r="E61" s="161" t="s">
        <v>999</v>
      </c>
      <c r="F61" s="162" t="s">
        <v>177</v>
      </c>
      <c r="G61" s="162" t="s">
        <v>727</v>
      </c>
      <c r="H61" s="162" t="s">
        <v>1049</v>
      </c>
      <c r="I61" s="163" t="s">
        <v>421</v>
      </c>
      <c r="J61" s="163" t="s">
        <v>422</v>
      </c>
      <c r="K61" s="163" t="s">
        <v>460</v>
      </c>
      <c r="L61" s="163" t="s">
        <v>469</v>
      </c>
      <c r="M61" s="168"/>
      <c r="N61" s="161" t="s">
        <v>423</v>
      </c>
      <c r="O61" s="162" t="s">
        <v>705</v>
      </c>
      <c r="P61" s="163" t="s">
        <v>185</v>
      </c>
      <c r="Q61" s="171">
        <f t="shared" si="0"/>
        <v>2</v>
      </c>
      <c r="R61" s="163" t="s">
        <v>416</v>
      </c>
      <c r="S61" s="172">
        <f t="shared" si="1"/>
        <v>3</v>
      </c>
      <c r="T61" s="166">
        <f t="shared" si="2"/>
        <v>6</v>
      </c>
      <c r="U61" s="163" t="s">
        <v>184</v>
      </c>
      <c r="V61" s="163" t="s">
        <v>187</v>
      </c>
      <c r="W61" s="172">
        <f t="shared" si="3"/>
        <v>25</v>
      </c>
      <c r="X61" s="166">
        <f t="shared" si="4"/>
        <v>150</v>
      </c>
      <c r="Y61" s="163" t="str">
        <f t="shared" si="5"/>
        <v>Nivel II: Riesgo Importante</v>
      </c>
      <c r="Z61" s="163">
        <v>1</v>
      </c>
      <c r="AA61" s="163" t="s">
        <v>926</v>
      </c>
      <c r="AB61" s="161" t="s">
        <v>424</v>
      </c>
      <c r="AC61" s="161" t="s">
        <v>424</v>
      </c>
      <c r="AD61" s="161" t="s">
        <v>424</v>
      </c>
      <c r="AE61" s="162" t="s">
        <v>1045</v>
      </c>
      <c r="AF61" s="161" t="s">
        <v>931</v>
      </c>
      <c r="AG61" s="166" t="s">
        <v>460</v>
      </c>
    </row>
    <row r="62" spans="1:33" ht="89.25" hidden="1" x14ac:dyDescent="0.2">
      <c r="A62" s="162" t="s">
        <v>879</v>
      </c>
      <c r="B62" s="162" t="s">
        <v>1226</v>
      </c>
      <c r="C62" s="162" t="s">
        <v>882</v>
      </c>
      <c r="D62" s="162" t="s">
        <v>987</v>
      </c>
      <c r="E62" s="161" t="s">
        <v>997</v>
      </c>
      <c r="F62" s="162" t="s">
        <v>176</v>
      </c>
      <c r="G62" s="162" t="s">
        <v>862</v>
      </c>
      <c r="H62" s="162" t="s">
        <v>959</v>
      </c>
      <c r="I62" s="163" t="s">
        <v>421</v>
      </c>
      <c r="J62" s="163" t="s">
        <v>461</v>
      </c>
      <c r="K62" s="163" t="s">
        <v>460</v>
      </c>
      <c r="L62" s="163" t="s">
        <v>469</v>
      </c>
      <c r="M62" s="168"/>
      <c r="N62" s="161" t="s">
        <v>423</v>
      </c>
      <c r="O62" s="162" t="s">
        <v>1013</v>
      </c>
      <c r="P62" s="163" t="s">
        <v>184</v>
      </c>
      <c r="Q62" s="171">
        <f t="shared" si="0"/>
        <v>1</v>
      </c>
      <c r="R62" s="163" t="s">
        <v>429</v>
      </c>
      <c r="S62" s="172">
        <f t="shared" si="1"/>
        <v>2</v>
      </c>
      <c r="T62" s="166">
        <f t="shared" si="2"/>
        <v>2</v>
      </c>
      <c r="U62" s="163" t="s">
        <v>184</v>
      </c>
      <c r="V62" s="163" t="s">
        <v>428</v>
      </c>
      <c r="W62" s="172">
        <f t="shared" si="3"/>
        <v>10</v>
      </c>
      <c r="X62" s="166">
        <f t="shared" si="4"/>
        <v>20</v>
      </c>
      <c r="Y62" s="163" t="str">
        <f t="shared" si="5"/>
        <v>Nivel IV: Riesgo Tolerable (Aceptable)</v>
      </c>
      <c r="Z62" s="163">
        <v>1</v>
      </c>
      <c r="AA62" s="163" t="s">
        <v>926</v>
      </c>
      <c r="AB62" s="161" t="s">
        <v>424</v>
      </c>
      <c r="AC62" s="161" t="s">
        <v>424</v>
      </c>
      <c r="AD62" s="161" t="s">
        <v>424</v>
      </c>
      <c r="AE62" s="162" t="s">
        <v>1028</v>
      </c>
      <c r="AF62" s="161" t="s">
        <v>961</v>
      </c>
      <c r="AG62" s="166" t="s">
        <v>460</v>
      </c>
    </row>
    <row r="63" spans="1:33" ht="102" hidden="1" x14ac:dyDescent="0.2">
      <c r="A63" s="162" t="s">
        <v>879</v>
      </c>
      <c r="B63" s="162" t="s">
        <v>1226</v>
      </c>
      <c r="C63" s="162" t="s">
        <v>882</v>
      </c>
      <c r="D63" s="162" t="s">
        <v>987</v>
      </c>
      <c r="E63" s="161" t="s">
        <v>996</v>
      </c>
      <c r="F63" s="162" t="s">
        <v>283</v>
      </c>
      <c r="G63" s="162" t="s">
        <v>939</v>
      </c>
      <c r="H63" s="162" t="s">
        <v>963</v>
      </c>
      <c r="I63" s="163" t="s">
        <v>421</v>
      </c>
      <c r="J63" s="163" t="s">
        <v>461</v>
      </c>
      <c r="K63" s="163" t="s">
        <v>460</v>
      </c>
      <c r="L63" s="163" t="s">
        <v>469</v>
      </c>
      <c r="M63" s="161" t="s">
        <v>423</v>
      </c>
      <c r="N63" s="161" t="s">
        <v>1059</v>
      </c>
      <c r="O63" s="164" t="s">
        <v>1008</v>
      </c>
      <c r="P63" s="163" t="s">
        <v>184</v>
      </c>
      <c r="Q63" s="171">
        <f t="shared" si="0"/>
        <v>1</v>
      </c>
      <c r="R63" s="163" t="s">
        <v>429</v>
      </c>
      <c r="S63" s="172">
        <f t="shared" si="1"/>
        <v>2</v>
      </c>
      <c r="T63" s="166">
        <f t="shared" si="2"/>
        <v>2</v>
      </c>
      <c r="U63" s="163" t="s">
        <v>184</v>
      </c>
      <c r="V63" s="163" t="s">
        <v>428</v>
      </c>
      <c r="W63" s="172">
        <f t="shared" si="3"/>
        <v>10</v>
      </c>
      <c r="X63" s="166">
        <f t="shared" si="4"/>
        <v>20</v>
      </c>
      <c r="Y63" s="163" t="str">
        <f t="shared" si="5"/>
        <v>Nivel IV: Riesgo Tolerable (Aceptable)</v>
      </c>
      <c r="Z63" s="163">
        <v>1</v>
      </c>
      <c r="AA63" s="163" t="s">
        <v>926</v>
      </c>
      <c r="AB63" s="161" t="s">
        <v>424</v>
      </c>
      <c r="AC63" s="161" t="s">
        <v>424</v>
      </c>
      <c r="AD63" s="161" t="s">
        <v>424</v>
      </c>
      <c r="AE63" s="161" t="s">
        <v>1060</v>
      </c>
      <c r="AF63" s="161" t="s">
        <v>586</v>
      </c>
      <c r="AG63" s="166" t="s">
        <v>460</v>
      </c>
    </row>
    <row r="64" spans="1:33" ht="102" hidden="1" x14ac:dyDescent="0.2">
      <c r="A64" s="162" t="s">
        <v>879</v>
      </c>
      <c r="B64" s="162" t="s">
        <v>1226</v>
      </c>
      <c r="C64" s="162" t="s">
        <v>882</v>
      </c>
      <c r="D64" s="162" t="s">
        <v>987</v>
      </c>
      <c r="E64" s="161" t="s">
        <v>999</v>
      </c>
      <c r="F64" s="162" t="s">
        <v>294</v>
      </c>
      <c r="G64" s="162" t="s">
        <v>728</v>
      </c>
      <c r="H64" s="162" t="s">
        <v>966</v>
      </c>
      <c r="I64" s="163" t="s">
        <v>421</v>
      </c>
      <c r="J64" s="163" t="s">
        <v>422</v>
      </c>
      <c r="K64" s="163" t="s">
        <v>460</v>
      </c>
      <c r="L64" s="163" t="s">
        <v>469</v>
      </c>
      <c r="M64" s="161" t="s">
        <v>423</v>
      </c>
      <c r="N64" s="161" t="s">
        <v>1016</v>
      </c>
      <c r="O64" s="164" t="s">
        <v>1008</v>
      </c>
      <c r="P64" s="163" t="s">
        <v>184</v>
      </c>
      <c r="Q64" s="171">
        <f t="shared" si="0"/>
        <v>1</v>
      </c>
      <c r="R64" s="163" t="s">
        <v>416</v>
      </c>
      <c r="S64" s="172">
        <f t="shared" si="1"/>
        <v>3</v>
      </c>
      <c r="T64" s="166">
        <f t="shared" si="2"/>
        <v>3</v>
      </c>
      <c r="U64" s="163" t="s">
        <v>184</v>
      </c>
      <c r="V64" s="163" t="s">
        <v>187</v>
      </c>
      <c r="W64" s="172">
        <f t="shared" si="3"/>
        <v>25</v>
      </c>
      <c r="X64" s="166">
        <f t="shared" si="4"/>
        <v>75</v>
      </c>
      <c r="Y64" s="163" t="str">
        <f t="shared" si="5"/>
        <v>Nivel III: Riesgo Moderado (Aceptable)</v>
      </c>
      <c r="Z64" s="163">
        <v>1</v>
      </c>
      <c r="AA64" s="163" t="s">
        <v>926</v>
      </c>
      <c r="AB64" s="161" t="s">
        <v>424</v>
      </c>
      <c r="AC64" s="161" t="s">
        <v>424</v>
      </c>
      <c r="AD64" s="161" t="s">
        <v>424</v>
      </c>
      <c r="AE64" s="167" t="s">
        <v>1080</v>
      </c>
      <c r="AF64" s="161" t="s">
        <v>600</v>
      </c>
      <c r="AG64" s="166" t="s">
        <v>460</v>
      </c>
    </row>
    <row r="65" spans="1:33" ht="89.25" hidden="1" x14ac:dyDescent="0.2">
      <c r="A65" s="162" t="s">
        <v>879</v>
      </c>
      <c r="B65" s="162" t="s">
        <v>1226</v>
      </c>
      <c r="C65" s="162" t="s">
        <v>882</v>
      </c>
      <c r="D65" s="162" t="s">
        <v>987</v>
      </c>
      <c r="E65" s="161" t="s">
        <v>999</v>
      </c>
      <c r="F65" s="162" t="s">
        <v>347</v>
      </c>
      <c r="G65" s="162" t="s">
        <v>587</v>
      </c>
      <c r="H65" s="162" t="s">
        <v>1236</v>
      </c>
      <c r="I65" s="163" t="s">
        <v>421</v>
      </c>
      <c r="J65" s="163" t="s">
        <v>422</v>
      </c>
      <c r="K65" s="163" t="s">
        <v>460</v>
      </c>
      <c r="L65" s="163" t="s">
        <v>469</v>
      </c>
      <c r="M65" s="163" t="s">
        <v>1192</v>
      </c>
      <c r="N65" s="161" t="s">
        <v>1145</v>
      </c>
      <c r="O65" s="162" t="s">
        <v>1026</v>
      </c>
      <c r="P65" s="163" t="s">
        <v>184</v>
      </c>
      <c r="Q65" s="171">
        <f t="shared" si="0"/>
        <v>1</v>
      </c>
      <c r="R65" s="163" t="s">
        <v>485</v>
      </c>
      <c r="S65" s="172">
        <f t="shared" si="1"/>
        <v>1</v>
      </c>
      <c r="T65" s="166">
        <f t="shared" si="2"/>
        <v>1</v>
      </c>
      <c r="U65" s="163" t="s">
        <v>184</v>
      </c>
      <c r="V65" s="163" t="s">
        <v>971</v>
      </c>
      <c r="W65" s="172">
        <f t="shared" si="3"/>
        <v>100</v>
      </c>
      <c r="X65" s="166">
        <f t="shared" si="4"/>
        <v>100</v>
      </c>
      <c r="Y65" s="163" t="str">
        <f t="shared" si="5"/>
        <v>Nivel III: Riesgo Moderado (Aceptable)</v>
      </c>
      <c r="Z65" s="163">
        <v>1</v>
      </c>
      <c r="AA65" s="163" t="s">
        <v>926</v>
      </c>
      <c r="AB65" s="161" t="s">
        <v>424</v>
      </c>
      <c r="AC65" s="161" t="s">
        <v>424</v>
      </c>
      <c r="AD65" s="161" t="s">
        <v>424</v>
      </c>
      <c r="AE65" s="161" t="s">
        <v>1029</v>
      </c>
      <c r="AF65" s="161" t="s">
        <v>600</v>
      </c>
      <c r="AG65" s="166" t="s">
        <v>460</v>
      </c>
    </row>
    <row r="66" spans="1:33" ht="102" hidden="1" x14ac:dyDescent="0.2">
      <c r="A66" s="162" t="s">
        <v>879</v>
      </c>
      <c r="B66" s="162" t="s">
        <v>1226</v>
      </c>
      <c r="C66" s="162" t="s">
        <v>882</v>
      </c>
      <c r="D66" s="162" t="s">
        <v>987</v>
      </c>
      <c r="E66" s="161" t="s">
        <v>995</v>
      </c>
      <c r="F66" s="162" t="s">
        <v>714</v>
      </c>
      <c r="G66" s="162" t="s">
        <v>1036</v>
      </c>
      <c r="H66" s="162" t="s">
        <v>625</v>
      </c>
      <c r="I66" s="163" t="s">
        <v>421</v>
      </c>
      <c r="J66" s="163" t="s">
        <v>422</v>
      </c>
      <c r="K66" s="163" t="s">
        <v>460</v>
      </c>
      <c r="L66" s="163" t="s">
        <v>469</v>
      </c>
      <c r="M66" s="168"/>
      <c r="N66" s="161" t="s">
        <v>423</v>
      </c>
      <c r="O66" s="164" t="s">
        <v>1038</v>
      </c>
      <c r="P66" s="163" t="s">
        <v>184</v>
      </c>
      <c r="Q66" s="171">
        <f t="shared" si="0"/>
        <v>1</v>
      </c>
      <c r="R66" s="163" t="s">
        <v>485</v>
      </c>
      <c r="S66" s="172">
        <f t="shared" si="1"/>
        <v>1</v>
      </c>
      <c r="T66" s="166">
        <f t="shared" si="2"/>
        <v>1</v>
      </c>
      <c r="U66" s="163" t="s">
        <v>184</v>
      </c>
      <c r="V66" s="163" t="s">
        <v>187</v>
      </c>
      <c r="W66" s="172">
        <f t="shared" si="3"/>
        <v>25</v>
      </c>
      <c r="X66" s="166">
        <f t="shared" si="4"/>
        <v>25</v>
      </c>
      <c r="Y66" s="163" t="str">
        <f t="shared" si="5"/>
        <v>Nivel IV: Riesgo Tolerable (Aceptable)</v>
      </c>
      <c r="Z66" s="163">
        <v>1</v>
      </c>
      <c r="AA66" s="163" t="s">
        <v>926</v>
      </c>
      <c r="AB66" s="161" t="s">
        <v>424</v>
      </c>
      <c r="AC66" s="161" t="s">
        <v>424</v>
      </c>
      <c r="AD66" s="161" t="s">
        <v>514</v>
      </c>
      <c r="AE66" s="161" t="s">
        <v>1039</v>
      </c>
      <c r="AF66" s="161" t="s">
        <v>1040</v>
      </c>
      <c r="AG66" s="166" t="s">
        <v>460</v>
      </c>
    </row>
    <row r="67" spans="1:33" ht="89.25" hidden="1" x14ac:dyDescent="0.2">
      <c r="A67" s="162" t="s">
        <v>879</v>
      </c>
      <c r="B67" s="162" t="s">
        <v>1226</v>
      </c>
      <c r="C67" s="162" t="s">
        <v>882</v>
      </c>
      <c r="D67" s="162" t="s">
        <v>987</v>
      </c>
      <c r="E67" s="161" t="s">
        <v>995</v>
      </c>
      <c r="F67" s="162" t="s">
        <v>719</v>
      </c>
      <c r="G67" s="162" t="s">
        <v>976</v>
      </c>
      <c r="H67" s="162" t="s">
        <v>722</v>
      </c>
      <c r="I67" s="163" t="s">
        <v>421</v>
      </c>
      <c r="J67" s="163" t="s">
        <v>422</v>
      </c>
      <c r="K67" s="163" t="s">
        <v>460</v>
      </c>
      <c r="L67" s="163" t="s">
        <v>469</v>
      </c>
      <c r="M67" s="168"/>
      <c r="N67" s="161" t="s">
        <v>423</v>
      </c>
      <c r="O67" s="162" t="s">
        <v>1041</v>
      </c>
      <c r="P67" s="163" t="s">
        <v>184</v>
      </c>
      <c r="Q67" s="171">
        <f t="shared" si="0"/>
        <v>1</v>
      </c>
      <c r="R67" s="163" t="s">
        <v>485</v>
      </c>
      <c r="S67" s="172">
        <f t="shared" si="1"/>
        <v>1</v>
      </c>
      <c r="T67" s="166">
        <f t="shared" si="2"/>
        <v>1</v>
      </c>
      <c r="U67" s="163" t="s">
        <v>184</v>
      </c>
      <c r="V67" s="163" t="s">
        <v>187</v>
      </c>
      <c r="W67" s="172">
        <f t="shared" si="3"/>
        <v>25</v>
      </c>
      <c r="X67" s="166">
        <f t="shared" si="4"/>
        <v>25</v>
      </c>
      <c r="Y67" s="163" t="str">
        <f t="shared" si="5"/>
        <v>Nivel IV: Riesgo Tolerable (Aceptable)</v>
      </c>
      <c r="Z67" s="163">
        <v>1</v>
      </c>
      <c r="AA67" s="163" t="s">
        <v>926</v>
      </c>
      <c r="AB67" s="161" t="s">
        <v>424</v>
      </c>
      <c r="AC67" s="161" t="s">
        <v>424</v>
      </c>
      <c r="AD67" s="161" t="s">
        <v>424</v>
      </c>
      <c r="AE67" s="161" t="s">
        <v>1042</v>
      </c>
      <c r="AF67" s="161" t="s">
        <v>600</v>
      </c>
      <c r="AG67" s="166" t="s">
        <v>460</v>
      </c>
    </row>
    <row r="68" spans="1:33" ht="89.25" hidden="1" x14ac:dyDescent="0.2">
      <c r="A68" s="162" t="s">
        <v>879</v>
      </c>
      <c r="B68" s="162" t="s">
        <v>1226</v>
      </c>
      <c r="C68" s="162" t="s">
        <v>882</v>
      </c>
      <c r="D68" s="162" t="s">
        <v>987</v>
      </c>
      <c r="E68" s="161" t="s">
        <v>995</v>
      </c>
      <c r="F68" s="162" t="s">
        <v>720</v>
      </c>
      <c r="G68" s="162" t="s">
        <v>863</v>
      </c>
      <c r="H68" s="162" t="s">
        <v>724</v>
      </c>
      <c r="I68" s="163" t="s">
        <v>421</v>
      </c>
      <c r="J68" s="163" t="s">
        <v>422</v>
      </c>
      <c r="K68" s="163" t="s">
        <v>460</v>
      </c>
      <c r="L68" s="163" t="s">
        <v>469</v>
      </c>
      <c r="M68" s="168"/>
      <c r="N68" s="161" t="s">
        <v>1081</v>
      </c>
      <c r="O68" s="162" t="s">
        <v>1041</v>
      </c>
      <c r="P68" s="163" t="s">
        <v>184</v>
      </c>
      <c r="Q68" s="171">
        <f t="shared" si="0"/>
        <v>1</v>
      </c>
      <c r="R68" s="163" t="s">
        <v>485</v>
      </c>
      <c r="S68" s="172">
        <f t="shared" si="1"/>
        <v>1</v>
      </c>
      <c r="T68" s="166">
        <f t="shared" si="2"/>
        <v>1</v>
      </c>
      <c r="U68" s="163" t="s">
        <v>184</v>
      </c>
      <c r="V68" s="163" t="s">
        <v>187</v>
      </c>
      <c r="W68" s="172">
        <f t="shared" si="3"/>
        <v>25</v>
      </c>
      <c r="X68" s="166">
        <f t="shared" si="4"/>
        <v>25</v>
      </c>
      <c r="Y68" s="163" t="str">
        <f t="shared" si="5"/>
        <v>Nivel IV: Riesgo Tolerable (Aceptable)</v>
      </c>
      <c r="Z68" s="163">
        <v>1</v>
      </c>
      <c r="AA68" s="163" t="s">
        <v>926</v>
      </c>
      <c r="AB68" s="161" t="s">
        <v>424</v>
      </c>
      <c r="AC68" s="161" t="s">
        <v>424</v>
      </c>
      <c r="AD68" s="161" t="s">
        <v>424</v>
      </c>
      <c r="AE68" s="161" t="s">
        <v>1042</v>
      </c>
      <c r="AF68" s="161" t="s">
        <v>600</v>
      </c>
      <c r="AG68" s="166" t="s">
        <v>460</v>
      </c>
    </row>
    <row r="69" spans="1:33" ht="127.5" hidden="1" x14ac:dyDescent="0.2">
      <c r="A69" s="162" t="s">
        <v>879</v>
      </c>
      <c r="B69" s="162" t="s">
        <v>1226</v>
      </c>
      <c r="C69" s="162" t="s">
        <v>882</v>
      </c>
      <c r="D69" s="162" t="s">
        <v>987</v>
      </c>
      <c r="E69" s="161" t="s">
        <v>175</v>
      </c>
      <c r="F69" s="162" t="s">
        <v>592</v>
      </c>
      <c r="G69" s="162" t="s">
        <v>593</v>
      </c>
      <c r="H69" s="162" t="s">
        <v>602</v>
      </c>
      <c r="I69" s="163" t="s">
        <v>421</v>
      </c>
      <c r="J69" s="163" t="s">
        <v>422</v>
      </c>
      <c r="K69" s="163" t="s">
        <v>460</v>
      </c>
      <c r="L69" s="163" t="s">
        <v>469</v>
      </c>
      <c r="M69" s="168"/>
      <c r="N69" s="161" t="s">
        <v>423</v>
      </c>
      <c r="O69" s="162" t="s">
        <v>1034</v>
      </c>
      <c r="P69" s="163" t="s">
        <v>184</v>
      </c>
      <c r="Q69" s="171">
        <f t="shared" si="0"/>
        <v>1</v>
      </c>
      <c r="R69" s="163" t="s">
        <v>485</v>
      </c>
      <c r="S69" s="172">
        <f t="shared" si="1"/>
        <v>1</v>
      </c>
      <c r="T69" s="166">
        <f t="shared" si="2"/>
        <v>1</v>
      </c>
      <c r="U69" s="163" t="s">
        <v>184</v>
      </c>
      <c r="V69" s="163" t="s">
        <v>428</v>
      </c>
      <c r="W69" s="172">
        <f t="shared" si="3"/>
        <v>10</v>
      </c>
      <c r="X69" s="166">
        <f t="shared" si="4"/>
        <v>10</v>
      </c>
      <c r="Y69" s="163" t="str">
        <f t="shared" si="5"/>
        <v>Nivel IV: Riesgo Tolerable (Aceptable)</v>
      </c>
      <c r="Z69" s="163">
        <v>1</v>
      </c>
      <c r="AA69" s="163" t="s">
        <v>926</v>
      </c>
      <c r="AB69" s="161" t="s">
        <v>424</v>
      </c>
      <c r="AC69" s="161" t="s">
        <v>424</v>
      </c>
      <c r="AD69" s="161" t="s">
        <v>424</v>
      </c>
      <c r="AE69" s="161" t="s">
        <v>1035</v>
      </c>
      <c r="AF69" s="161" t="s">
        <v>600</v>
      </c>
      <c r="AG69" s="166" t="s">
        <v>460</v>
      </c>
    </row>
    <row r="70" spans="1:33" ht="114.75" hidden="1" x14ac:dyDescent="0.2">
      <c r="A70" s="162" t="s">
        <v>879</v>
      </c>
      <c r="B70" s="162" t="s">
        <v>1226</v>
      </c>
      <c r="C70" s="162" t="s">
        <v>882</v>
      </c>
      <c r="D70" s="162" t="s">
        <v>987</v>
      </c>
      <c r="E70" s="161" t="s">
        <v>175</v>
      </c>
      <c r="F70" s="162" t="s">
        <v>594</v>
      </c>
      <c r="G70" s="162" t="s">
        <v>595</v>
      </c>
      <c r="H70" s="162" t="s">
        <v>602</v>
      </c>
      <c r="I70" s="163" t="s">
        <v>421</v>
      </c>
      <c r="J70" s="163" t="s">
        <v>422</v>
      </c>
      <c r="K70" s="163" t="s">
        <v>460</v>
      </c>
      <c r="L70" s="163" t="s">
        <v>469</v>
      </c>
      <c r="M70" s="168"/>
      <c r="N70" s="161" t="s">
        <v>423</v>
      </c>
      <c r="O70" s="162" t="s">
        <v>1034</v>
      </c>
      <c r="P70" s="163" t="s">
        <v>184</v>
      </c>
      <c r="Q70" s="171">
        <f t="shared" ref="Q70:Q91" si="9">IF(P70="Muy Alto",10,IF(P70="Alto",6,IF(P70="Medio",2,IF(P70="Bajo",1,))))</f>
        <v>1</v>
      </c>
      <c r="R70" s="163" t="s">
        <v>485</v>
      </c>
      <c r="S70" s="172">
        <f t="shared" ref="S70:S96" si="10">IF(R70="Continua",4,IF(R70="Frecuente",3,IF(R70="Ocasional",2,IF(R70="Esporádica",1,))))</f>
        <v>1</v>
      </c>
      <c r="T70" s="166">
        <f t="shared" ref="T70:T96" si="11">Q70*S70</f>
        <v>1</v>
      </c>
      <c r="U70" s="163" t="s">
        <v>184</v>
      </c>
      <c r="V70" s="163" t="s">
        <v>428</v>
      </c>
      <c r="W70" s="172">
        <f t="shared" ref="W70:W133" si="12">IF(V70="Mortal o catastrófico",100,IF(V70="Muy grave",60,IF(V70="Grave",25,IF(V70="Leve",10,))))</f>
        <v>10</v>
      </c>
      <c r="X70" s="166">
        <f t="shared" ref="X70:X96" si="13">T70*W70</f>
        <v>10</v>
      </c>
      <c r="Y70" s="163" t="str">
        <f t="shared" ref="Y70:Y96" si="14">IF(AND(X70&gt;=600,X70&lt;=4000),"Nivel I: Riesgo Inaceptable",IF(AND(X70&gt;=150,X70&lt;=500),"Nivel II: Riesgo Importante",IF(AND(X70&gt;=40,X70&lt;=120),"Nivel III: Riesgo Moderado (Aceptable)","Nivel IV: Riesgo Tolerable (Aceptable)")))</f>
        <v>Nivel IV: Riesgo Tolerable (Aceptable)</v>
      </c>
      <c r="Z70" s="163">
        <v>1</v>
      </c>
      <c r="AA70" s="163" t="s">
        <v>926</v>
      </c>
      <c r="AB70" s="161" t="s">
        <v>424</v>
      </c>
      <c r="AC70" s="161" t="s">
        <v>424</v>
      </c>
      <c r="AD70" s="161" t="s">
        <v>424</v>
      </c>
      <c r="AE70" s="161" t="s">
        <v>1035</v>
      </c>
      <c r="AF70" s="161" t="s">
        <v>600</v>
      </c>
      <c r="AG70" s="166" t="s">
        <v>460</v>
      </c>
    </row>
    <row r="71" spans="1:33" ht="114.75" hidden="1" x14ac:dyDescent="0.2">
      <c r="A71" s="162" t="s">
        <v>879</v>
      </c>
      <c r="B71" s="162" t="s">
        <v>1226</v>
      </c>
      <c r="C71" s="162" t="s">
        <v>882</v>
      </c>
      <c r="D71" s="162" t="s">
        <v>987</v>
      </c>
      <c r="E71" s="161" t="s">
        <v>175</v>
      </c>
      <c r="F71" s="162" t="s">
        <v>596</v>
      </c>
      <c r="G71" s="162" t="s">
        <v>599</v>
      </c>
      <c r="H71" s="162" t="s">
        <v>602</v>
      </c>
      <c r="I71" s="163" t="s">
        <v>421</v>
      </c>
      <c r="J71" s="163" t="s">
        <v>422</v>
      </c>
      <c r="K71" s="163" t="s">
        <v>460</v>
      </c>
      <c r="L71" s="163" t="s">
        <v>469</v>
      </c>
      <c r="M71" s="168"/>
      <c r="N71" s="161" t="s">
        <v>423</v>
      </c>
      <c r="O71" s="162" t="s">
        <v>1034</v>
      </c>
      <c r="P71" s="163" t="s">
        <v>184</v>
      </c>
      <c r="Q71" s="171">
        <f t="shared" si="9"/>
        <v>1</v>
      </c>
      <c r="R71" s="163" t="s">
        <v>485</v>
      </c>
      <c r="S71" s="172">
        <f t="shared" si="10"/>
        <v>1</v>
      </c>
      <c r="T71" s="166">
        <f t="shared" si="11"/>
        <v>1</v>
      </c>
      <c r="U71" s="163" t="s">
        <v>184</v>
      </c>
      <c r="V71" s="163" t="s">
        <v>428</v>
      </c>
      <c r="W71" s="172">
        <f t="shared" si="12"/>
        <v>10</v>
      </c>
      <c r="X71" s="166">
        <f t="shared" si="13"/>
        <v>10</v>
      </c>
      <c r="Y71" s="163" t="str">
        <f t="shared" si="14"/>
        <v>Nivel IV: Riesgo Tolerable (Aceptable)</v>
      </c>
      <c r="Z71" s="163">
        <v>1</v>
      </c>
      <c r="AA71" s="163" t="s">
        <v>926</v>
      </c>
      <c r="AB71" s="161" t="s">
        <v>424</v>
      </c>
      <c r="AC71" s="161" t="s">
        <v>424</v>
      </c>
      <c r="AD71" s="161" t="s">
        <v>424</v>
      </c>
      <c r="AE71" s="161" t="s">
        <v>1035</v>
      </c>
      <c r="AF71" s="161" t="s">
        <v>600</v>
      </c>
      <c r="AG71" s="166" t="s">
        <v>460</v>
      </c>
    </row>
    <row r="72" spans="1:33" ht="114.75" hidden="1" x14ac:dyDescent="0.2">
      <c r="A72" s="162" t="s">
        <v>879</v>
      </c>
      <c r="B72" s="162" t="s">
        <v>1226</v>
      </c>
      <c r="C72" s="162" t="s">
        <v>882</v>
      </c>
      <c r="D72" s="162" t="s">
        <v>987</v>
      </c>
      <c r="E72" s="161" t="s">
        <v>175</v>
      </c>
      <c r="F72" s="162" t="s">
        <v>597</v>
      </c>
      <c r="G72" s="162" t="s">
        <v>598</v>
      </c>
      <c r="H72" s="162" t="s">
        <v>602</v>
      </c>
      <c r="I72" s="163" t="s">
        <v>421</v>
      </c>
      <c r="J72" s="163" t="s">
        <v>422</v>
      </c>
      <c r="K72" s="163" t="s">
        <v>460</v>
      </c>
      <c r="L72" s="163" t="s">
        <v>469</v>
      </c>
      <c r="M72" s="168"/>
      <c r="N72" s="161" t="s">
        <v>423</v>
      </c>
      <c r="O72" s="162" t="s">
        <v>1034</v>
      </c>
      <c r="P72" s="163" t="s">
        <v>184</v>
      </c>
      <c r="Q72" s="171">
        <f t="shared" si="9"/>
        <v>1</v>
      </c>
      <c r="R72" s="163" t="s">
        <v>485</v>
      </c>
      <c r="S72" s="172">
        <f t="shared" si="10"/>
        <v>1</v>
      </c>
      <c r="T72" s="166">
        <f t="shared" si="11"/>
        <v>1</v>
      </c>
      <c r="U72" s="163" t="s">
        <v>184</v>
      </c>
      <c r="V72" s="163" t="s">
        <v>428</v>
      </c>
      <c r="W72" s="172">
        <f t="shared" si="12"/>
        <v>10</v>
      </c>
      <c r="X72" s="166">
        <f t="shared" si="13"/>
        <v>10</v>
      </c>
      <c r="Y72" s="163" t="str">
        <f t="shared" si="14"/>
        <v>Nivel IV: Riesgo Tolerable (Aceptable)</v>
      </c>
      <c r="Z72" s="163">
        <v>1</v>
      </c>
      <c r="AA72" s="163" t="s">
        <v>926</v>
      </c>
      <c r="AB72" s="161" t="s">
        <v>424</v>
      </c>
      <c r="AC72" s="161" t="s">
        <v>424</v>
      </c>
      <c r="AD72" s="161" t="s">
        <v>424</v>
      </c>
      <c r="AE72" s="161" t="s">
        <v>1035</v>
      </c>
      <c r="AF72" s="161" t="s">
        <v>600</v>
      </c>
      <c r="AG72" s="166" t="s">
        <v>460</v>
      </c>
    </row>
    <row r="73" spans="1:33" ht="69.75" hidden="1" customHeight="1" x14ac:dyDescent="0.2">
      <c r="A73" s="162" t="s">
        <v>879</v>
      </c>
      <c r="B73" s="162" t="s">
        <v>1226</v>
      </c>
      <c r="C73" s="162" t="s">
        <v>882</v>
      </c>
      <c r="D73" s="162" t="s">
        <v>987</v>
      </c>
      <c r="E73" s="161" t="s">
        <v>999</v>
      </c>
      <c r="F73" s="162" t="s">
        <v>578</v>
      </c>
      <c r="G73" s="162" t="s">
        <v>1054</v>
      </c>
      <c r="H73" s="162" t="s">
        <v>979</v>
      </c>
      <c r="I73" s="163" t="s">
        <v>421</v>
      </c>
      <c r="J73" s="163" t="s">
        <v>461</v>
      </c>
      <c r="K73" s="163" t="s">
        <v>460</v>
      </c>
      <c r="L73" s="163" t="s">
        <v>469</v>
      </c>
      <c r="M73" s="165" t="s">
        <v>423</v>
      </c>
      <c r="N73" s="161" t="s">
        <v>1055</v>
      </c>
      <c r="O73" s="162" t="s">
        <v>1053</v>
      </c>
      <c r="P73" s="163" t="s">
        <v>184</v>
      </c>
      <c r="Q73" s="171">
        <f t="shared" si="9"/>
        <v>1</v>
      </c>
      <c r="R73" s="163" t="s">
        <v>485</v>
      </c>
      <c r="S73" s="172">
        <f t="shared" si="10"/>
        <v>1</v>
      </c>
      <c r="T73" s="166">
        <f t="shared" si="11"/>
        <v>1</v>
      </c>
      <c r="U73" s="163" t="s">
        <v>184</v>
      </c>
      <c r="V73" s="163" t="s">
        <v>187</v>
      </c>
      <c r="W73" s="172">
        <f t="shared" si="12"/>
        <v>25</v>
      </c>
      <c r="X73" s="166">
        <f t="shared" si="13"/>
        <v>25</v>
      </c>
      <c r="Y73" s="163" t="str">
        <f t="shared" si="14"/>
        <v>Nivel IV: Riesgo Tolerable (Aceptable)</v>
      </c>
      <c r="Z73" s="163">
        <v>1</v>
      </c>
      <c r="AA73" s="163" t="s">
        <v>926</v>
      </c>
      <c r="AB73" s="161" t="s">
        <v>424</v>
      </c>
      <c r="AC73" s="161" t="s">
        <v>424</v>
      </c>
      <c r="AD73" s="161" t="s">
        <v>424</v>
      </c>
      <c r="AE73" s="161" t="s">
        <v>1057</v>
      </c>
      <c r="AF73" s="161" t="s">
        <v>600</v>
      </c>
      <c r="AG73" s="166" t="s">
        <v>460</v>
      </c>
    </row>
    <row r="74" spans="1:33" ht="62.25" hidden="1" customHeight="1" x14ac:dyDescent="0.2">
      <c r="A74" s="162" t="s">
        <v>879</v>
      </c>
      <c r="B74" s="162" t="s">
        <v>1226</v>
      </c>
      <c r="C74" s="162" t="s">
        <v>882</v>
      </c>
      <c r="D74" s="162" t="s">
        <v>987</v>
      </c>
      <c r="E74" s="161" t="s">
        <v>999</v>
      </c>
      <c r="F74" s="162" t="s">
        <v>1120</v>
      </c>
      <c r="G74" s="162" t="s">
        <v>1159</v>
      </c>
      <c r="H74" s="162" t="s">
        <v>979</v>
      </c>
      <c r="I74" s="163" t="s">
        <v>421</v>
      </c>
      <c r="J74" s="163" t="s">
        <v>461</v>
      </c>
      <c r="K74" s="163" t="s">
        <v>460</v>
      </c>
      <c r="L74" s="163" t="s">
        <v>469</v>
      </c>
      <c r="M74" s="165" t="s">
        <v>423</v>
      </c>
      <c r="N74" s="161" t="s">
        <v>1142</v>
      </c>
      <c r="O74" s="162" t="s">
        <v>1141</v>
      </c>
      <c r="P74" s="163" t="s">
        <v>184</v>
      </c>
      <c r="Q74" s="171">
        <f t="shared" si="9"/>
        <v>1</v>
      </c>
      <c r="R74" s="163" t="s">
        <v>485</v>
      </c>
      <c r="S74" s="172">
        <f t="shared" si="10"/>
        <v>1</v>
      </c>
      <c r="T74" s="166">
        <f t="shared" si="11"/>
        <v>1</v>
      </c>
      <c r="U74" s="163" t="s">
        <v>184</v>
      </c>
      <c r="V74" s="163" t="s">
        <v>187</v>
      </c>
      <c r="W74" s="172">
        <f t="shared" si="12"/>
        <v>25</v>
      </c>
      <c r="X74" s="166">
        <f t="shared" si="13"/>
        <v>25</v>
      </c>
      <c r="Y74" s="163" t="str">
        <f t="shared" si="14"/>
        <v>Nivel IV: Riesgo Tolerable (Aceptable)</v>
      </c>
      <c r="Z74" s="163">
        <v>1</v>
      </c>
      <c r="AA74" s="163" t="s">
        <v>926</v>
      </c>
      <c r="AB74" s="161" t="s">
        <v>424</v>
      </c>
      <c r="AC74" s="161" t="s">
        <v>424</v>
      </c>
      <c r="AD74" s="161" t="s">
        <v>424</v>
      </c>
      <c r="AE74" s="161" t="s">
        <v>1056</v>
      </c>
      <c r="AF74" s="161" t="s">
        <v>528</v>
      </c>
      <c r="AG74" s="166" t="s">
        <v>460</v>
      </c>
    </row>
    <row r="75" spans="1:33" ht="51" hidden="1" x14ac:dyDescent="0.2">
      <c r="A75" s="162" t="s">
        <v>879</v>
      </c>
      <c r="B75" s="162" t="s">
        <v>1226</v>
      </c>
      <c r="C75" s="162" t="s">
        <v>882</v>
      </c>
      <c r="D75" s="162" t="s">
        <v>987</v>
      </c>
      <c r="E75" s="161" t="s">
        <v>1000</v>
      </c>
      <c r="F75" s="162" t="s">
        <v>1123</v>
      </c>
      <c r="G75" s="162" t="s">
        <v>981</v>
      </c>
      <c r="H75" s="162" t="s">
        <v>1237</v>
      </c>
      <c r="I75" s="163" t="s">
        <v>421</v>
      </c>
      <c r="J75" s="163" t="s">
        <v>422</v>
      </c>
      <c r="K75" s="163" t="s">
        <v>460</v>
      </c>
      <c r="L75" s="163" t="s">
        <v>469</v>
      </c>
      <c r="M75" s="161" t="s">
        <v>423</v>
      </c>
      <c r="N75" s="161" t="s">
        <v>1145</v>
      </c>
      <c r="O75" s="162" t="s">
        <v>1144</v>
      </c>
      <c r="P75" s="163" t="s">
        <v>184</v>
      </c>
      <c r="Q75" s="171">
        <f t="shared" si="9"/>
        <v>1</v>
      </c>
      <c r="R75" s="163" t="s">
        <v>485</v>
      </c>
      <c r="S75" s="172">
        <f t="shared" si="10"/>
        <v>1</v>
      </c>
      <c r="T75" s="166">
        <f t="shared" si="11"/>
        <v>1</v>
      </c>
      <c r="U75" s="163" t="s">
        <v>184</v>
      </c>
      <c r="V75" s="163" t="s">
        <v>187</v>
      </c>
      <c r="W75" s="172">
        <f t="shared" si="12"/>
        <v>25</v>
      </c>
      <c r="X75" s="166">
        <f t="shared" si="13"/>
        <v>25</v>
      </c>
      <c r="Y75" s="163" t="str">
        <f t="shared" si="14"/>
        <v>Nivel IV: Riesgo Tolerable (Aceptable)</v>
      </c>
      <c r="Z75" s="163">
        <v>1</v>
      </c>
      <c r="AA75" s="163" t="s">
        <v>926</v>
      </c>
      <c r="AB75" s="161" t="s">
        <v>424</v>
      </c>
      <c r="AC75" s="161" t="s">
        <v>424</v>
      </c>
      <c r="AD75" s="161" t="s">
        <v>424</v>
      </c>
      <c r="AE75" s="161" t="s">
        <v>1024</v>
      </c>
      <c r="AF75" s="161" t="s">
        <v>600</v>
      </c>
      <c r="AG75" s="166" t="s">
        <v>460</v>
      </c>
    </row>
    <row r="76" spans="1:33" ht="117" hidden="1" customHeight="1" x14ac:dyDescent="0.2">
      <c r="A76" s="162" t="s">
        <v>878</v>
      </c>
      <c r="B76" s="162" t="s">
        <v>650</v>
      </c>
      <c r="C76" s="162" t="s">
        <v>989</v>
      </c>
      <c r="D76" s="162" t="s">
        <v>988</v>
      </c>
      <c r="E76" s="161" t="s">
        <v>998</v>
      </c>
      <c r="F76" s="162" t="s">
        <v>1113</v>
      </c>
      <c r="G76" s="162" t="s">
        <v>924</v>
      </c>
      <c r="H76" s="162" t="s">
        <v>557</v>
      </c>
      <c r="I76" s="163" t="s">
        <v>529</v>
      </c>
      <c r="J76" s="163" t="s">
        <v>422</v>
      </c>
      <c r="K76" s="163" t="s">
        <v>460</v>
      </c>
      <c r="L76" s="163" t="s">
        <v>469</v>
      </c>
      <c r="M76" s="161" t="s">
        <v>902</v>
      </c>
      <c r="N76" s="163" t="s">
        <v>1128</v>
      </c>
      <c r="O76" s="162" t="s">
        <v>1050</v>
      </c>
      <c r="P76" s="163" t="s">
        <v>185</v>
      </c>
      <c r="Q76" s="171">
        <f t="shared" si="9"/>
        <v>2</v>
      </c>
      <c r="R76" s="163" t="s">
        <v>186</v>
      </c>
      <c r="S76" s="172">
        <f t="shared" si="10"/>
        <v>4</v>
      </c>
      <c r="T76" s="166">
        <f t="shared" si="11"/>
        <v>8</v>
      </c>
      <c r="U76" s="163" t="str">
        <f t="shared" ref="U76:U91" si="15">IF(AND(T76&gt;=0,T76&lt;=4),"Bajo",IF(AND(T76&gt;=6,T76&lt;=8),"Medio",IF(AND(T76&gt;=10,T76&lt;=20),"Alto",IF(AND(T76&gt;=20,T76&lt;=40),"Muy Alto",))))</f>
        <v>Medio</v>
      </c>
      <c r="V76" s="163" t="s">
        <v>187</v>
      </c>
      <c r="W76" s="172">
        <f t="shared" si="12"/>
        <v>25</v>
      </c>
      <c r="X76" s="166">
        <f t="shared" si="13"/>
        <v>200</v>
      </c>
      <c r="Y76" s="163" t="str">
        <f t="shared" si="14"/>
        <v>Nivel II: Riesgo Importante</v>
      </c>
      <c r="Z76" s="163">
        <v>11</v>
      </c>
      <c r="AA76" s="164" t="s">
        <v>990</v>
      </c>
      <c r="AB76" s="161" t="s">
        <v>424</v>
      </c>
      <c r="AC76" s="161" t="s">
        <v>424</v>
      </c>
      <c r="AD76" s="161" t="s">
        <v>424</v>
      </c>
      <c r="AE76" s="161" t="s">
        <v>1129</v>
      </c>
      <c r="AF76" s="161" t="s">
        <v>600</v>
      </c>
      <c r="AG76" s="166" t="s">
        <v>460</v>
      </c>
    </row>
    <row r="77" spans="1:33" ht="135.75" hidden="1" customHeight="1" x14ac:dyDescent="0.2">
      <c r="A77" s="162" t="s">
        <v>878</v>
      </c>
      <c r="B77" s="162" t="s">
        <v>650</v>
      </c>
      <c r="C77" s="162" t="s">
        <v>989</v>
      </c>
      <c r="D77" s="162" t="s">
        <v>988</v>
      </c>
      <c r="E77" s="161" t="s">
        <v>998</v>
      </c>
      <c r="F77" s="162" t="s">
        <v>178</v>
      </c>
      <c r="G77" s="162" t="s">
        <v>836</v>
      </c>
      <c r="H77" s="162" t="s">
        <v>559</v>
      </c>
      <c r="I77" s="163" t="s">
        <v>421</v>
      </c>
      <c r="J77" s="163" t="s">
        <v>422</v>
      </c>
      <c r="K77" s="163" t="s">
        <v>460</v>
      </c>
      <c r="L77" s="163" t="s">
        <v>469</v>
      </c>
      <c r="M77" s="161" t="s">
        <v>606</v>
      </c>
      <c r="N77" s="161" t="s">
        <v>606</v>
      </c>
      <c r="O77" s="162" t="s">
        <v>1046</v>
      </c>
      <c r="P77" s="163" t="s">
        <v>185</v>
      </c>
      <c r="Q77" s="171">
        <f t="shared" si="9"/>
        <v>2</v>
      </c>
      <c r="R77" s="163" t="s">
        <v>416</v>
      </c>
      <c r="S77" s="172">
        <f t="shared" si="10"/>
        <v>3</v>
      </c>
      <c r="T77" s="166">
        <f t="shared" si="11"/>
        <v>6</v>
      </c>
      <c r="U77" s="163" t="str">
        <f t="shared" si="15"/>
        <v>Medio</v>
      </c>
      <c r="V77" s="163" t="s">
        <v>187</v>
      </c>
      <c r="W77" s="172">
        <f t="shared" si="12"/>
        <v>25</v>
      </c>
      <c r="X77" s="166">
        <f t="shared" si="13"/>
        <v>150</v>
      </c>
      <c r="Y77" s="163" t="str">
        <f t="shared" si="14"/>
        <v>Nivel II: Riesgo Importante</v>
      </c>
      <c r="Z77" s="163">
        <v>11</v>
      </c>
      <c r="AA77" s="164" t="s">
        <v>990</v>
      </c>
      <c r="AB77" s="161" t="s">
        <v>424</v>
      </c>
      <c r="AC77" s="161" t="s">
        <v>424</v>
      </c>
      <c r="AD77" s="161" t="s">
        <v>424</v>
      </c>
      <c r="AE77" s="161" t="s">
        <v>1047</v>
      </c>
      <c r="AF77" s="161" t="s">
        <v>600</v>
      </c>
      <c r="AG77" s="166" t="s">
        <v>460</v>
      </c>
    </row>
    <row r="78" spans="1:33" ht="76.5" hidden="1" x14ac:dyDescent="0.2">
      <c r="A78" s="162" t="s">
        <v>878</v>
      </c>
      <c r="B78" s="162" t="s">
        <v>650</v>
      </c>
      <c r="C78" s="162" t="s">
        <v>989</v>
      </c>
      <c r="D78" s="162" t="s">
        <v>988</v>
      </c>
      <c r="E78" s="161" t="s">
        <v>999</v>
      </c>
      <c r="F78" s="162" t="s">
        <v>292</v>
      </c>
      <c r="G78" s="162" t="s">
        <v>805</v>
      </c>
      <c r="H78" s="162" t="s">
        <v>472</v>
      </c>
      <c r="I78" s="163" t="s">
        <v>421</v>
      </c>
      <c r="J78" s="163" t="s">
        <v>461</v>
      </c>
      <c r="K78" s="163" t="s">
        <v>460</v>
      </c>
      <c r="L78" s="163" t="s">
        <v>469</v>
      </c>
      <c r="M78" s="161" t="s">
        <v>606</v>
      </c>
      <c r="N78" s="168"/>
      <c r="O78" s="162" t="s">
        <v>1030</v>
      </c>
      <c r="P78" s="163" t="s">
        <v>184</v>
      </c>
      <c r="Q78" s="171">
        <f t="shared" si="9"/>
        <v>1</v>
      </c>
      <c r="R78" s="163" t="s">
        <v>416</v>
      </c>
      <c r="S78" s="172">
        <f t="shared" si="10"/>
        <v>3</v>
      </c>
      <c r="T78" s="166">
        <f t="shared" si="11"/>
        <v>3</v>
      </c>
      <c r="U78" s="163" t="str">
        <f t="shared" si="15"/>
        <v>Bajo</v>
      </c>
      <c r="V78" s="163" t="s">
        <v>428</v>
      </c>
      <c r="W78" s="172">
        <f t="shared" si="12"/>
        <v>10</v>
      </c>
      <c r="X78" s="166">
        <f t="shared" si="13"/>
        <v>30</v>
      </c>
      <c r="Y78" s="163" t="str">
        <f t="shared" si="14"/>
        <v>Nivel IV: Riesgo Tolerable (Aceptable)</v>
      </c>
      <c r="Z78" s="163">
        <v>11</v>
      </c>
      <c r="AA78" s="164" t="s">
        <v>990</v>
      </c>
      <c r="AB78" s="161" t="s">
        <v>424</v>
      </c>
      <c r="AC78" s="161" t="s">
        <v>424</v>
      </c>
      <c r="AD78" s="161" t="s">
        <v>424</v>
      </c>
      <c r="AE78" s="161" t="s">
        <v>1031</v>
      </c>
      <c r="AF78" s="162" t="s">
        <v>609</v>
      </c>
      <c r="AG78" s="166" t="s">
        <v>460</v>
      </c>
    </row>
    <row r="79" spans="1:33" ht="63.75" hidden="1" x14ac:dyDescent="0.2">
      <c r="A79" s="162" t="s">
        <v>878</v>
      </c>
      <c r="B79" s="162" t="s">
        <v>650</v>
      </c>
      <c r="C79" s="162" t="s">
        <v>989</v>
      </c>
      <c r="D79" s="162" t="s">
        <v>988</v>
      </c>
      <c r="E79" s="161" t="s">
        <v>999</v>
      </c>
      <c r="F79" s="162" t="s">
        <v>177</v>
      </c>
      <c r="G79" s="162" t="s">
        <v>807</v>
      </c>
      <c r="H79" s="162" t="s">
        <v>1049</v>
      </c>
      <c r="I79" s="163" t="s">
        <v>421</v>
      </c>
      <c r="J79" s="163" t="s">
        <v>422</v>
      </c>
      <c r="K79" s="163" t="s">
        <v>460</v>
      </c>
      <c r="L79" s="163" t="s">
        <v>469</v>
      </c>
      <c r="M79" s="161" t="s">
        <v>809</v>
      </c>
      <c r="N79" s="168"/>
      <c r="O79" s="162" t="s">
        <v>705</v>
      </c>
      <c r="P79" s="163" t="s">
        <v>185</v>
      </c>
      <c r="Q79" s="171">
        <f t="shared" si="9"/>
        <v>2</v>
      </c>
      <c r="R79" s="163" t="s">
        <v>416</v>
      </c>
      <c r="S79" s="172">
        <f t="shared" si="10"/>
        <v>3</v>
      </c>
      <c r="T79" s="166">
        <f t="shared" si="11"/>
        <v>6</v>
      </c>
      <c r="U79" s="163" t="str">
        <f t="shared" si="15"/>
        <v>Medio</v>
      </c>
      <c r="V79" s="163" t="s">
        <v>187</v>
      </c>
      <c r="W79" s="172">
        <f t="shared" si="12"/>
        <v>25</v>
      </c>
      <c r="X79" s="166">
        <f t="shared" si="13"/>
        <v>150</v>
      </c>
      <c r="Y79" s="163" t="str">
        <f t="shared" si="14"/>
        <v>Nivel II: Riesgo Importante</v>
      </c>
      <c r="Z79" s="163">
        <v>11</v>
      </c>
      <c r="AA79" s="164" t="s">
        <v>990</v>
      </c>
      <c r="AB79" s="161" t="s">
        <v>424</v>
      </c>
      <c r="AC79" s="161" t="s">
        <v>424</v>
      </c>
      <c r="AD79" s="161" t="s">
        <v>424</v>
      </c>
      <c r="AE79" s="162" t="s">
        <v>1045</v>
      </c>
      <c r="AF79" s="161" t="s">
        <v>931</v>
      </c>
      <c r="AG79" s="166" t="s">
        <v>460</v>
      </c>
    </row>
    <row r="80" spans="1:33" ht="89.25" hidden="1" x14ac:dyDescent="0.2">
      <c r="A80" s="162" t="s">
        <v>878</v>
      </c>
      <c r="B80" s="162" t="s">
        <v>650</v>
      </c>
      <c r="C80" s="162" t="s">
        <v>989</v>
      </c>
      <c r="D80" s="162" t="s">
        <v>988</v>
      </c>
      <c r="E80" s="161" t="s">
        <v>999</v>
      </c>
      <c r="F80" s="162" t="s">
        <v>288</v>
      </c>
      <c r="G80" s="162" t="s">
        <v>612</v>
      </c>
      <c r="H80" s="162" t="s">
        <v>614</v>
      </c>
      <c r="I80" s="163" t="s">
        <v>421</v>
      </c>
      <c r="J80" s="163" t="s">
        <v>422</v>
      </c>
      <c r="K80" s="163" t="s">
        <v>460</v>
      </c>
      <c r="L80" s="163" t="s">
        <v>469</v>
      </c>
      <c r="M80" s="161" t="s">
        <v>1012</v>
      </c>
      <c r="N80" s="168"/>
      <c r="O80" s="162" t="s">
        <v>1013</v>
      </c>
      <c r="P80" s="163" t="s">
        <v>185</v>
      </c>
      <c r="Q80" s="171">
        <f t="shared" si="9"/>
        <v>2</v>
      </c>
      <c r="R80" s="163" t="s">
        <v>429</v>
      </c>
      <c r="S80" s="172">
        <f t="shared" si="10"/>
        <v>2</v>
      </c>
      <c r="T80" s="166">
        <f t="shared" si="11"/>
        <v>4</v>
      </c>
      <c r="U80" s="163" t="str">
        <f t="shared" si="15"/>
        <v>Bajo</v>
      </c>
      <c r="V80" s="163" t="s">
        <v>187</v>
      </c>
      <c r="W80" s="172">
        <f t="shared" si="12"/>
        <v>25</v>
      </c>
      <c r="X80" s="166">
        <f t="shared" si="13"/>
        <v>100</v>
      </c>
      <c r="Y80" s="163" t="str">
        <f t="shared" si="14"/>
        <v>Nivel III: Riesgo Moderado (Aceptable)</v>
      </c>
      <c r="Z80" s="163">
        <v>11</v>
      </c>
      <c r="AA80" s="164" t="s">
        <v>990</v>
      </c>
      <c r="AB80" s="161" t="s">
        <v>424</v>
      </c>
      <c r="AC80" s="161" t="s">
        <v>424</v>
      </c>
      <c r="AD80" s="161" t="s">
        <v>424</v>
      </c>
      <c r="AE80" s="161" t="s">
        <v>1015</v>
      </c>
      <c r="AF80" s="161" t="s">
        <v>528</v>
      </c>
      <c r="AG80" s="166" t="s">
        <v>460</v>
      </c>
    </row>
    <row r="81" spans="1:33" ht="89.25" hidden="1" x14ac:dyDescent="0.2">
      <c r="A81" s="162" t="s">
        <v>878</v>
      </c>
      <c r="B81" s="162" t="s">
        <v>650</v>
      </c>
      <c r="C81" s="162" t="s">
        <v>989</v>
      </c>
      <c r="D81" s="162" t="s">
        <v>988</v>
      </c>
      <c r="E81" s="161" t="s">
        <v>999</v>
      </c>
      <c r="F81" s="162" t="s">
        <v>288</v>
      </c>
      <c r="G81" s="162" t="s">
        <v>837</v>
      </c>
      <c r="H81" s="162" t="s">
        <v>507</v>
      </c>
      <c r="I81" s="163" t="s">
        <v>421</v>
      </c>
      <c r="J81" s="163" t="s">
        <v>461</v>
      </c>
      <c r="K81" s="163" t="s">
        <v>460</v>
      </c>
      <c r="L81" s="163" t="s">
        <v>469</v>
      </c>
      <c r="M81" s="161" t="s">
        <v>423</v>
      </c>
      <c r="N81" s="168"/>
      <c r="O81" s="162" t="s">
        <v>1005</v>
      </c>
      <c r="P81" s="163" t="s">
        <v>185</v>
      </c>
      <c r="Q81" s="171">
        <f t="shared" si="9"/>
        <v>2</v>
      </c>
      <c r="R81" s="163" t="s">
        <v>429</v>
      </c>
      <c r="S81" s="172">
        <f t="shared" si="10"/>
        <v>2</v>
      </c>
      <c r="T81" s="166">
        <f t="shared" si="11"/>
        <v>4</v>
      </c>
      <c r="U81" s="163" t="str">
        <f t="shared" si="15"/>
        <v>Bajo</v>
      </c>
      <c r="V81" s="163" t="s">
        <v>187</v>
      </c>
      <c r="W81" s="172">
        <f t="shared" si="12"/>
        <v>25</v>
      </c>
      <c r="X81" s="166">
        <f t="shared" si="13"/>
        <v>100</v>
      </c>
      <c r="Y81" s="163" t="str">
        <f t="shared" si="14"/>
        <v>Nivel III: Riesgo Moderado (Aceptable)</v>
      </c>
      <c r="Z81" s="163">
        <v>11</v>
      </c>
      <c r="AA81" s="164" t="s">
        <v>990</v>
      </c>
      <c r="AB81" s="161" t="s">
        <v>424</v>
      </c>
      <c r="AC81" s="161" t="s">
        <v>424</v>
      </c>
      <c r="AD81" s="161" t="s">
        <v>424</v>
      </c>
      <c r="AE81" s="162" t="s">
        <v>1007</v>
      </c>
      <c r="AF81" s="161" t="s">
        <v>528</v>
      </c>
      <c r="AG81" s="166" t="s">
        <v>460</v>
      </c>
    </row>
    <row r="82" spans="1:33" ht="92.25" hidden="1" customHeight="1" x14ac:dyDescent="0.2">
      <c r="A82" s="162" t="s">
        <v>878</v>
      </c>
      <c r="B82" s="162" t="s">
        <v>650</v>
      </c>
      <c r="C82" s="162" t="s">
        <v>989</v>
      </c>
      <c r="D82" s="162" t="s">
        <v>988</v>
      </c>
      <c r="E82" s="161" t="s">
        <v>999</v>
      </c>
      <c r="F82" s="162" t="s">
        <v>1117</v>
      </c>
      <c r="G82" s="162" t="s">
        <v>1302</v>
      </c>
      <c r="H82" s="162" t="s">
        <v>1303</v>
      </c>
      <c r="I82" s="163" t="s">
        <v>529</v>
      </c>
      <c r="J82" s="163" t="s">
        <v>461</v>
      </c>
      <c r="K82" s="163" t="s">
        <v>460</v>
      </c>
      <c r="L82" s="163" t="s">
        <v>469</v>
      </c>
      <c r="M82" s="161" t="s">
        <v>606</v>
      </c>
      <c r="N82" s="161" t="s">
        <v>606</v>
      </c>
      <c r="O82" s="162" t="s">
        <v>1304</v>
      </c>
      <c r="P82" s="163" t="s">
        <v>185</v>
      </c>
      <c r="Q82" s="171">
        <f t="shared" si="9"/>
        <v>2</v>
      </c>
      <c r="R82" s="163" t="s">
        <v>429</v>
      </c>
      <c r="S82" s="172">
        <f t="shared" si="10"/>
        <v>2</v>
      </c>
      <c r="T82" s="166">
        <f t="shared" si="11"/>
        <v>4</v>
      </c>
      <c r="U82" s="163" t="str">
        <f t="shared" si="15"/>
        <v>Bajo</v>
      </c>
      <c r="V82" s="163" t="s">
        <v>187</v>
      </c>
      <c r="W82" s="172">
        <f t="shared" si="12"/>
        <v>25</v>
      </c>
      <c r="X82" s="166">
        <f t="shared" si="13"/>
        <v>100</v>
      </c>
      <c r="Y82" s="163" t="str">
        <f t="shared" si="14"/>
        <v>Nivel III: Riesgo Moderado (Aceptable)</v>
      </c>
      <c r="Z82" s="163">
        <v>11</v>
      </c>
      <c r="AA82" s="164"/>
      <c r="AB82" s="161"/>
      <c r="AC82" s="161"/>
      <c r="AD82" s="161" t="s">
        <v>1305</v>
      </c>
      <c r="AE82" s="201" t="s">
        <v>1307</v>
      </c>
      <c r="AF82" s="202" t="s">
        <v>1306</v>
      </c>
      <c r="AG82" s="166" t="s">
        <v>460</v>
      </c>
    </row>
    <row r="83" spans="1:33" ht="114.75" hidden="1" x14ac:dyDescent="0.2">
      <c r="A83" s="162" t="s">
        <v>878</v>
      </c>
      <c r="B83" s="162" t="s">
        <v>650</v>
      </c>
      <c r="C83" s="162" t="s">
        <v>989</v>
      </c>
      <c r="D83" s="162" t="s">
        <v>988</v>
      </c>
      <c r="E83" s="161" t="s">
        <v>999</v>
      </c>
      <c r="F83" s="162" t="s">
        <v>1116</v>
      </c>
      <c r="G83" s="162" t="s">
        <v>838</v>
      </c>
      <c r="H83" s="162" t="s">
        <v>478</v>
      </c>
      <c r="I83" s="163" t="s">
        <v>421</v>
      </c>
      <c r="J83" s="163" t="s">
        <v>461</v>
      </c>
      <c r="K83" s="163" t="s">
        <v>460</v>
      </c>
      <c r="L83" s="163" t="s">
        <v>469</v>
      </c>
      <c r="M83" s="161" t="s">
        <v>928</v>
      </c>
      <c r="N83" s="168"/>
      <c r="O83" s="162" t="s">
        <v>932</v>
      </c>
      <c r="P83" s="163" t="s">
        <v>185</v>
      </c>
      <c r="Q83" s="171">
        <f t="shared" si="9"/>
        <v>2</v>
      </c>
      <c r="R83" s="163" t="s">
        <v>429</v>
      </c>
      <c r="S83" s="172">
        <f t="shared" si="10"/>
        <v>2</v>
      </c>
      <c r="T83" s="166">
        <f t="shared" si="11"/>
        <v>4</v>
      </c>
      <c r="U83" s="163" t="str">
        <f t="shared" si="15"/>
        <v>Bajo</v>
      </c>
      <c r="V83" s="163" t="s">
        <v>428</v>
      </c>
      <c r="W83" s="172">
        <f t="shared" si="12"/>
        <v>10</v>
      </c>
      <c r="X83" s="166">
        <f t="shared" si="13"/>
        <v>40</v>
      </c>
      <c r="Y83" s="163" t="str">
        <f t="shared" si="14"/>
        <v>Nivel III: Riesgo Moderado (Aceptable)</v>
      </c>
      <c r="Z83" s="163">
        <v>11</v>
      </c>
      <c r="AA83" s="164" t="s">
        <v>990</v>
      </c>
      <c r="AB83" s="161" t="s">
        <v>424</v>
      </c>
      <c r="AC83" s="161" t="s">
        <v>424</v>
      </c>
      <c r="AD83" s="161" t="s">
        <v>424</v>
      </c>
      <c r="AE83" s="161" t="s">
        <v>930</v>
      </c>
      <c r="AF83" s="161" t="s">
        <v>696</v>
      </c>
      <c r="AG83" s="166" t="s">
        <v>460</v>
      </c>
    </row>
    <row r="84" spans="1:33" ht="102" hidden="1" x14ac:dyDescent="0.2">
      <c r="A84" s="162" t="s">
        <v>878</v>
      </c>
      <c r="B84" s="162" t="s">
        <v>650</v>
      </c>
      <c r="C84" s="162" t="s">
        <v>989</v>
      </c>
      <c r="D84" s="162" t="s">
        <v>988</v>
      </c>
      <c r="E84" s="161" t="s">
        <v>996</v>
      </c>
      <c r="F84" s="162" t="s">
        <v>283</v>
      </c>
      <c r="G84" s="162" t="s">
        <v>1058</v>
      </c>
      <c r="H84" s="162" t="s">
        <v>963</v>
      </c>
      <c r="I84" s="163" t="s">
        <v>421</v>
      </c>
      <c r="J84" s="163" t="s">
        <v>422</v>
      </c>
      <c r="K84" s="163" t="s">
        <v>460</v>
      </c>
      <c r="L84" s="163" t="s">
        <v>469</v>
      </c>
      <c r="M84" s="161" t="s">
        <v>991</v>
      </c>
      <c r="N84" s="168"/>
      <c r="O84" s="164" t="s">
        <v>1008</v>
      </c>
      <c r="P84" s="163" t="s">
        <v>184</v>
      </c>
      <c r="Q84" s="171">
        <f t="shared" si="9"/>
        <v>1</v>
      </c>
      <c r="R84" s="163" t="s">
        <v>186</v>
      </c>
      <c r="S84" s="172">
        <f t="shared" si="10"/>
        <v>4</v>
      </c>
      <c r="T84" s="166">
        <f t="shared" si="11"/>
        <v>4</v>
      </c>
      <c r="U84" s="163" t="str">
        <f t="shared" si="15"/>
        <v>Bajo</v>
      </c>
      <c r="V84" s="163" t="s">
        <v>428</v>
      </c>
      <c r="W84" s="172">
        <f t="shared" si="12"/>
        <v>10</v>
      </c>
      <c r="X84" s="166">
        <f t="shared" si="13"/>
        <v>40</v>
      </c>
      <c r="Y84" s="163" t="str">
        <f t="shared" si="14"/>
        <v>Nivel III: Riesgo Moderado (Aceptable)</v>
      </c>
      <c r="Z84" s="163">
        <v>11</v>
      </c>
      <c r="AA84" s="164" t="s">
        <v>990</v>
      </c>
      <c r="AB84" s="161" t="s">
        <v>424</v>
      </c>
      <c r="AC84" s="161" t="s">
        <v>424</v>
      </c>
      <c r="AD84" s="161" t="s">
        <v>424</v>
      </c>
      <c r="AE84" s="161" t="s">
        <v>1060</v>
      </c>
      <c r="AF84" s="161" t="s">
        <v>586</v>
      </c>
      <c r="AG84" s="166" t="s">
        <v>460</v>
      </c>
    </row>
    <row r="85" spans="1:33" ht="114.75" hidden="1" x14ac:dyDescent="0.2">
      <c r="A85" s="162" t="s">
        <v>878</v>
      </c>
      <c r="B85" s="162" t="s">
        <v>650</v>
      </c>
      <c r="C85" s="162" t="s">
        <v>989</v>
      </c>
      <c r="D85" s="162" t="s">
        <v>988</v>
      </c>
      <c r="E85" s="161" t="s">
        <v>996</v>
      </c>
      <c r="F85" s="162" t="s">
        <v>430</v>
      </c>
      <c r="G85" s="162" t="s">
        <v>841</v>
      </c>
      <c r="H85" s="162" t="s">
        <v>623</v>
      </c>
      <c r="I85" s="163" t="s">
        <v>421</v>
      </c>
      <c r="J85" s="163" t="s">
        <v>461</v>
      </c>
      <c r="K85" s="163" t="s">
        <v>460</v>
      </c>
      <c r="L85" s="163" t="s">
        <v>469</v>
      </c>
      <c r="M85" s="161" t="s">
        <v>991</v>
      </c>
      <c r="N85" s="168"/>
      <c r="O85" s="162" t="s">
        <v>1032</v>
      </c>
      <c r="P85" s="163" t="s">
        <v>184</v>
      </c>
      <c r="Q85" s="171">
        <f t="shared" si="9"/>
        <v>1</v>
      </c>
      <c r="R85" s="163" t="s">
        <v>429</v>
      </c>
      <c r="S85" s="172">
        <f t="shared" si="10"/>
        <v>2</v>
      </c>
      <c r="T85" s="166">
        <f t="shared" si="11"/>
        <v>2</v>
      </c>
      <c r="U85" s="163" t="str">
        <f t="shared" si="15"/>
        <v>Bajo</v>
      </c>
      <c r="V85" s="163" t="s">
        <v>428</v>
      </c>
      <c r="W85" s="172">
        <f t="shared" si="12"/>
        <v>10</v>
      </c>
      <c r="X85" s="166">
        <f t="shared" si="13"/>
        <v>20</v>
      </c>
      <c r="Y85" s="163" t="str">
        <f t="shared" si="14"/>
        <v>Nivel IV: Riesgo Tolerable (Aceptable)</v>
      </c>
      <c r="Z85" s="163">
        <v>11</v>
      </c>
      <c r="AA85" s="164" t="s">
        <v>990</v>
      </c>
      <c r="AB85" s="161" t="s">
        <v>424</v>
      </c>
      <c r="AC85" s="161" t="s">
        <v>424</v>
      </c>
      <c r="AD85" s="161" t="s">
        <v>424</v>
      </c>
      <c r="AE85" s="161" t="s">
        <v>1033</v>
      </c>
      <c r="AF85" s="161" t="s">
        <v>600</v>
      </c>
      <c r="AG85" s="166" t="s">
        <v>460</v>
      </c>
    </row>
    <row r="86" spans="1:33" ht="102" hidden="1" x14ac:dyDescent="0.2">
      <c r="A86" s="162" t="s">
        <v>878</v>
      </c>
      <c r="B86" s="162" t="s">
        <v>650</v>
      </c>
      <c r="C86" s="162" t="s">
        <v>989</v>
      </c>
      <c r="D86" s="162" t="s">
        <v>988</v>
      </c>
      <c r="E86" s="161" t="s">
        <v>999</v>
      </c>
      <c r="F86" s="162" t="s">
        <v>294</v>
      </c>
      <c r="G86" s="162" t="s">
        <v>843</v>
      </c>
      <c r="H86" s="162" t="s">
        <v>966</v>
      </c>
      <c r="I86" s="163" t="s">
        <v>421</v>
      </c>
      <c r="J86" s="163" t="s">
        <v>422</v>
      </c>
      <c r="K86" s="163" t="s">
        <v>460</v>
      </c>
      <c r="L86" s="163" t="s">
        <v>469</v>
      </c>
      <c r="M86" s="161" t="s">
        <v>1079</v>
      </c>
      <c r="N86" s="168"/>
      <c r="O86" s="164" t="s">
        <v>1008</v>
      </c>
      <c r="P86" s="163" t="s">
        <v>184</v>
      </c>
      <c r="Q86" s="171">
        <f t="shared" si="9"/>
        <v>1</v>
      </c>
      <c r="R86" s="163" t="s">
        <v>186</v>
      </c>
      <c r="S86" s="172">
        <f t="shared" si="10"/>
        <v>4</v>
      </c>
      <c r="T86" s="166">
        <f t="shared" si="11"/>
        <v>4</v>
      </c>
      <c r="U86" s="163" t="str">
        <f t="shared" si="15"/>
        <v>Bajo</v>
      </c>
      <c r="V86" s="163" t="s">
        <v>187</v>
      </c>
      <c r="W86" s="172">
        <f t="shared" si="12"/>
        <v>25</v>
      </c>
      <c r="X86" s="166">
        <f t="shared" si="13"/>
        <v>100</v>
      </c>
      <c r="Y86" s="163" t="str">
        <f t="shared" si="14"/>
        <v>Nivel III: Riesgo Moderado (Aceptable)</v>
      </c>
      <c r="Z86" s="163">
        <v>11</v>
      </c>
      <c r="AA86" s="164" t="s">
        <v>990</v>
      </c>
      <c r="AB86" s="161" t="s">
        <v>424</v>
      </c>
      <c r="AC86" s="161" t="s">
        <v>424</v>
      </c>
      <c r="AD86" s="161" t="s">
        <v>424</v>
      </c>
      <c r="AE86" s="167" t="s">
        <v>1080</v>
      </c>
      <c r="AF86" s="161" t="s">
        <v>600</v>
      </c>
      <c r="AG86" s="166" t="s">
        <v>460</v>
      </c>
    </row>
    <row r="87" spans="1:33" ht="89.25" hidden="1" x14ac:dyDescent="0.2">
      <c r="A87" s="162" t="s">
        <v>878</v>
      </c>
      <c r="B87" s="162" t="s">
        <v>650</v>
      </c>
      <c r="C87" s="162" t="s">
        <v>989</v>
      </c>
      <c r="D87" s="162" t="s">
        <v>988</v>
      </c>
      <c r="E87" s="161" t="s">
        <v>999</v>
      </c>
      <c r="F87" s="162" t="s">
        <v>347</v>
      </c>
      <c r="G87" s="162" t="s">
        <v>845</v>
      </c>
      <c r="H87" s="162" t="s">
        <v>1236</v>
      </c>
      <c r="I87" s="163" t="s">
        <v>421</v>
      </c>
      <c r="J87" s="163" t="s">
        <v>422</v>
      </c>
      <c r="K87" s="163" t="s">
        <v>460</v>
      </c>
      <c r="L87" s="163" t="s">
        <v>469</v>
      </c>
      <c r="M87" s="161" t="s">
        <v>991</v>
      </c>
      <c r="N87" s="168"/>
      <c r="O87" s="162" t="s">
        <v>1027</v>
      </c>
      <c r="P87" s="163" t="s">
        <v>184</v>
      </c>
      <c r="Q87" s="171">
        <f t="shared" si="9"/>
        <v>1</v>
      </c>
      <c r="R87" s="163" t="s">
        <v>485</v>
      </c>
      <c r="S87" s="172">
        <f t="shared" si="10"/>
        <v>1</v>
      </c>
      <c r="T87" s="166">
        <f t="shared" si="11"/>
        <v>1</v>
      </c>
      <c r="U87" s="163" t="str">
        <f t="shared" si="15"/>
        <v>Bajo</v>
      </c>
      <c r="V87" s="163" t="s">
        <v>971</v>
      </c>
      <c r="W87" s="172">
        <f t="shared" si="12"/>
        <v>100</v>
      </c>
      <c r="X87" s="166">
        <f t="shared" si="13"/>
        <v>100</v>
      </c>
      <c r="Y87" s="163" t="str">
        <f t="shared" si="14"/>
        <v>Nivel III: Riesgo Moderado (Aceptable)</v>
      </c>
      <c r="Z87" s="163">
        <v>11</v>
      </c>
      <c r="AA87" s="164" t="s">
        <v>990</v>
      </c>
      <c r="AB87" s="161" t="s">
        <v>424</v>
      </c>
      <c r="AC87" s="161" t="s">
        <v>424</v>
      </c>
      <c r="AD87" s="161" t="s">
        <v>424</v>
      </c>
      <c r="AE87" s="161" t="s">
        <v>1029</v>
      </c>
      <c r="AF87" s="161" t="s">
        <v>600</v>
      </c>
      <c r="AG87" s="166" t="s">
        <v>460</v>
      </c>
    </row>
    <row r="88" spans="1:33" ht="76.5" hidden="1" x14ac:dyDescent="0.2">
      <c r="A88" s="162" t="s">
        <v>878</v>
      </c>
      <c r="B88" s="162" t="s">
        <v>650</v>
      </c>
      <c r="C88" s="162" t="s">
        <v>989</v>
      </c>
      <c r="D88" s="162" t="s">
        <v>988</v>
      </c>
      <c r="E88" s="161" t="s">
        <v>999</v>
      </c>
      <c r="F88" s="162" t="s">
        <v>578</v>
      </c>
      <c r="G88" s="162" t="s">
        <v>846</v>
      </c>
      <c r="H88" s="162" t="s">
        <v>979</v>
      </c>
      <c r="I88" s="163" t="s">
        <v>421</v>
      </c>
      <c r="J88" s="163" t="s">
        <v>422</v>
      </c>
      <c r="K88" s="163" t="s">
        <v>460</v>
      </c>
      <c r="L88" s="163" t="s">
        <v>469</v>
      </c>
      <c r="M88" s="161" t="s">
        <v>1052</v>
      </c>
      <c r="N88" s="168"/>
      <c r="O88" s="162" t="s">
        <v>1053</v>
      </c>
      <c r="P88" s="163" t="s">
        <v>184</v>
      </c>
      <c r="Q88" s="171">
        <f t="shared" si="9"/>
        <v>1</v>
      </c>
      <c r="R88" s="163" t="s">
        <v>186</v>
      </c>
      <c r="S88" s="172">
        <f t="shared" si="10"/>
        <v>4</v>
      </c>
      <c r="T88" s="166">
        <f t="shared" si="11"/>
        <v>4</v>
      </c>
      <c r="U88" s="163" t="str">
        <f t="shared" si="15"/>
        <v>Bajo</v>
      </c>
      <c r="V88" s="163" t="s">
        <v>992</v>
      </c>
      <c r="W88" s="172">
        <f t="shared" si="12"/>
        <v>60</v>
      </c>
      <c r="X88" s="166">
        <f t="shared" si="13"/>
        <v>240</v>
      </c>
      <c r="Y88" s="163" t="str">
        <f t="shared" si="14"/>
        <v>Nivel II: Riesgo Importante</v>
      </c>
      <c r="Z88" s="163">
        <v>11</v>
      </c>
      <c r="AA88" s="164" t="s">
        <v>990</v>
      </c>
      <c r="AB88" s="161" t="s">
        <v>424</v>
      </c>
      <c r="AC88" s="161" t="s">
        <v>424</v>
      </c>
      <c r="AD88" s="161" t="s">
        <v>424</v>
      </c>
      <c r="AE88" s="161" t="s">
        <v>1057</v>
      </c>
      <c r="AF88" s="161" t="s">
        <v>446</v>
      </c>
      <c r="AG88" s="166" t="s">
        <v>460</v>
      </c>
    </row>
    <row r="89" spans="1:33" ht="76.5" hidden="1" x14ac:dyDescent="0.2">
      <c r="A89" s="162" t="s">
        <v>878</v>
      </c>
      <c r="B89" s="162" t="s">
        <v>650</v>
      </c>
      <c r="C89" s="162" t="s">
        <v>989</v>
      </c>
      <c r="D89" s="162" t="s">
        <v>988</v>
      </c>
      <c r="E89" s="161" t="s">
        <v>999</v>
      </c>
      <c r="F89" s="162" t="s">
        <v>1120</v>
      </c>
      <c r="G89" s="162" t="s">
        <v>1159</v>
      </c>
      <c r="H89" s="162" t="s">
        <v>446</v>
      </c>
      <c r="I89" s="163" t="s">
        <v>421</v>
      </c>
      <c r="J89" s="163" t="s">
        <v>422</v>
      </c>
      <c r="K89" s="163" t="s">
        <v>460</v>
      </c>
      <c r="L89" s="163" t="s">
        <v>469</v>
      </c>
      <c r="M89" s="165" t="s">
        <v>423</v>
      </c>
      <c r="N89" s="161" t="s">
        <v>1142</v>
      </c>
      <c r="O89" s="162" t="s">
        <v>1141</v>
      </c>
      <c r="P89" s="163" t="s">
        <v>185</v>
      </c>
      <c r="Q89" s="171">
        <f t="shared" si="9"/>
        <v>2</v>
      </c>
      <c r="R89" s="163" t="s">
        <v>186</v>
      </c>
      <c r="S89" s="172">
        <f t="shared" si="10"/>
        <v>4</v>
      </c>
      <c r="T89" s="166">
        <f t="shared" si="11"/>
        <v>8</v>
      </c>
      <c r="U89" s="163" t="str">
        <f t="shared" si="15"/>
        <v>Medio</v>
      </c>
      <c r="V89" s="163" t="s">
        <v>971</v>
      </c>
      <c r="W89" s="172">
        <f t="shared" si="12"/>
        <v>100</v>
      </c>
      <c r="X89" s="166">
        <f t="shared" si="13"/>
        <v>800</v>
      </c>
      <c r="Y89" s="163" t="str">
        <f t="shared" ref="Y89" si="16">IF(AND(X89&gt;=600,X89&lt;=4000),"Nivel I: Riesgo Inaceptable",IF(AND(X89&gt;=150,X89&lt;=500),"Nivel II: Riesgo Importante",IF(AND(X89&gt;=40,X89&lt;=120),"Nivel III: Riesgo Moderado (Aceptable)","Nivel IV: Riesgo Tolerable (Aceptable)")))</f>
        <v>Nivel I: Riesgo Inaceptable</v>
      </c>
      <c r="Z89" s="163">
        <v>11</v>
      </c>
      <c r="AA89" s="164" t="s">
        <v>990</v>
      </c>
      <c r="AB89" s="161" t="s">
        <v>424</v>
      </c>
      <c r="AC89" s="161" t="s">
        <v>424</v>
      </c>
      <c r="AD89" s="161" t="s">
        <v>424</v>
      </c>
      <c r="AE89" s="161" t="s">
        <v>1056</v>
      </c>
      <c r="AF89" s="161" t="s">
        <v>446</v>
      </c>
      <c r="AG89" s="166" t="s">
        <v>460</v>
      </c>
    </row>
    <row r="90" spans="1:33" ht="102" hidden="1" x14ac:dyDescent="0.2">
      <c r="A90" s="162" t="s">
        <v>878</v>
      </c>
      <c r="B90" s="162" t="s">
        <v>650</v>
      </c>
      <c r="C90" s="162" t="s">
        <v>989</v>
      </c>
      <c r="D90" s="162" t="s">
        <v>988</v>
      </c>
      <c r="E90" s="161" t="s">
        <v>995</v>
      </c>
      <c r="F90" s="162" t="s">
        <v>714</v>
      </c>
      <c r="G90" s="162" t="s">
        <v>1036</v>
      </c>
      <c r="H90" s="162" t="s">
        <v>625</v>
      </c>
      <c r="I90" s="163" t="s">
        <v>421</v>
      </c>
      <c r="J90" s="163" t="s">
        <v>422</v>
      </c>
      <c r="K90" s="163" t="s">
        <v>460</v>
      </c>
      <c r="L90" s="163" t="s">
        <v>469</v>
      </c>
      <c r="M90" s="161" t="s">
        <v>1037</v>
      </c>
      <c r="N90" s="168"/>
      <c r="O90" s="164" t="s">
        <v>1038</v>
      </c>
      <c r="P90" s="163" t="s">
        <v>184</v>
      </c>
      <c r="Q90" s="171">
        <f t="shared" si="9"/>
        <v>1</v>
      </c>
      <c r="R90" s="163" t="s">
        <v>485</v>
      </c>
      <c r="S90" s="172">
        <f t="shared" si="10"/>
        <v>1</v>
      </c>
      <c r="T90" s="166">
        <f t="shared" si="11"/>
        <v>1</v>
      </c>
      <c r="U90" s="163" t="str">
        <f t="shared" si="15"/>
        <v>Bajo</v>
      </c>
      <c r="V90" s="163" t="s">
        <v>187</v>
      </c>
      <c r="W90" s="172">
        <f t="shared" si="12"/>
        <v>25</v>
      </c>
      <c r="X90" s="166">
        <f t="shared" si="13"/>
        <v>25</v>
      </c>
      <c r="Y90" s="163" t="str">
        <f t="shared" si="14"/>
        <v>Nivel IV: Riesgo Tolerable (Aceptable)</v>
      </c>
      <c r="Z90" s="163">
        <v>11</v>
      </c>
      <c r="AA90" s="164" t="s">
        <v>990</v>
      </c>
      <c r="AB90" s="161" t="s">
        <v>424</v>
      </c>
      <c r="AC90" s="161" t="s">
        <v>424</v>
      </c>
      <c r="AD90" s="161" t="s">
        <v>993</v>
      </c>
      <c r="AE90" s="161" t="s">
        <v>1039</v>
      </c>
      <c r="AF90" s="161" t="s">
        <v>1040</v>
      </c>
      <c r="AG90" s="166" t="s">
        <v>460</v>
      </c>
    </row>
    <row r="91" spans="1:33" ht="114.75" hidden="1" x14ac:dyDescent="0.2">
      <c r="A91" s="162" t="s">
        <v>878</v>
      </c>
      <c r="B91" s="162" t="s">
        <v>650</v>
      </c>
      <c r="C91" s="162" t="s">
        <v>989</v>
      </c>
      <c r="D91" s="162" t="s">
        <v>988</v>
      </c>
      <c r="E91" s="161" t="s">
        <v>175</v>
      </c>
      <c r="F91" s="162" t="s">
        <v>596</v>
      </c>
      <c r="G91" s="162" t="s">
        <v>994</v>
      </c>
      <c r="H91" s="162" t="s">
        <v>602</v>
      </c>
      <c r="I91" s="163" t="s">
        <v>421</v>
      </c>
      <c r="J91" s="163" t="s">
        <v>422</v>
      </c>
      <c r="K91" s="163" t="s">
        <v>460</v>
      </c>
      <c r="L91" s="163" t="s">
        <v>469</v>
      </c>
      <c r="M91" s="161" t="s">
        <v>423</v>
      </c>
      <c r="N91" s="168"/>
      <c r="O91" s="162" t="s">
        <v>1034</v>
      </c>
      <c r="P91" s="163" t="s">
        <v>185</v>
      </c>
      <c r="Q91" s="171">
        <f t="shared" si="9"/>
        <v>2</v>
      </c>
      <c r="R91" s="163" t="s">
        <v>186</v>
      </c>
      <c r="S91" s="172">
        <f t="shared" si="10"/>
        <v>4</v>
      </c>
      <c r="T91" s="166">
        <f t="shared" si="11"/>
        <v>8</v>
      </c>
      <c r="U91" s="163" t="str">
        <f t="shared" si="15"/>
        <v>Medio</v>
      </c>
      <c r="V91" s="163" t="s">
        <v>428</v>
      </c>
      <c r="W91" s="172">
        <f t="shared" si="12"/>
        <v>10</v>
      </c>
      <c r="X91" s="166">
        <f t="shared" si="13"/>
        <v>80</v>
      </c>
      <c r="Y91" s="163" t="str">
        <f t="shared" si="14"/>
        <v>Nivel III: Riesgo Moderado (Aceptable)</v>
      </c>
      <c r="Z91" s="163">
        <v>11</v>
      </c>
      <c r="AA91" s="164" t="s">
        <v>990</v>
      </c>
      <c r="AB91" s="161" t="s">
        <v>424</v>
      </c>
      <c r="AC91" s="161" t="s">
        <v>424</v>
      </c>
      <c r="AD91" s="161" t="s">
        <v>424</v>
      </c>
      <c r="AE91" s="161" t="s">
        <v>1035</v>
      </c>
      <c r="AF91" s="161" t="s">
        <v>600</v>
      </c>
      <c r="AG91" s="166" t="s">
        <v>460</v>
      </c>
    </row>
    <row r="92" spans="1:33" ht="114.75" hidden="1" x14ac:dyDescent="0.2">
      <c r="A92" s="162" t="s">
        <v>878</v>
      </c>
      <c r="B92" s="162" t="s">
        <v>650</v>
      </c>
      <c r="C92" s="162" t="s">
        <v>989</v>
      </c>
      <c r="D92" s="162" t="s">
        <v>988</v>
      </c>
      <c r="E92" s="161" t="s">
        <v>175</v>
      </c>
      <c r="F92" s="162" t="s">
        <v>596</v>
      </c>
      <c r="G92" s="162" t="s">
        <v>599</v>
      </c>
      <c r="H92" s="162" t="s">
        <v>602</v>
      </c>
      <c r="I92" s="163" t="s">
        <v>421</v>
      </c>
      <c r="J92" s="163" t="s">
        <v>422</v>
      </c>
      <c r="K92" s="163" t="s">
        <v>460</v>
      </c>
      <c r="L92" s="163" t="s">
        <v>469</v>
      </c>
      <c r="M92" s="161" t="s">
        <v>423</v>
      </c>
      <c r="N92" s="168"/>
      <c r="O92" s="162" t="s">
        <v>1034</v>
      </c>
      <c r="P92" s="163" t="s">
        <v>185</v>
      </c>
      <c r="Q92" s="171">
        <f t="shared" ref="Q92" si="17">IF(P92="Muy Alto",10,IF(P92="Alto",6,IF(P92="Medio",2,IF(P92="Bajo",1,))))</f>
        <v>2</v>
      </c>
      <c r="R92" s="163" t="s">
        <v>186</v>
      </c>
      <c r="S92" s="172">
        <f t="shared" si="10"/>
        <v>4</v>
      </c>
      <c r="T92" s="166">
        <f t="shared" si="11"/>
        <v>8</v>
      </c>
      <c r="U92" s="163" t="str">
        <f t="shared" ref="U92" si="18">IF(AND(T92&gt;=0,T92&lt;=4),"Bajo",IF(AND(T92&gt;=6,T92&lt;=8),"Medio",IF(AND(T92&gt;=10,T92&lt;=20),"Alto",IF(AND(T92&gt;=20,T92&lt;=40),"Muy Alto",))))</f>
        <v>Medio</v>
      </c>
      <c r="V92" s="163" t="s">
        <v>428</v>
      </c>
      <c r="W92" s="172">
        <f t="shared" si="12"/>
        <v>10</v>
      </c>
      <c r="X92" s="166">
        <f t="shared" si="13"/>
        <v>80</v>
      </c>
      <c r="Y92" s="163" t="str">
        <f t="shared" si="14"/>
        <v>Nivel III: Riesgo Moderado (Aceptable)</v>
      </c>
      <c r="Z92" s="163">
        <v>11</v>
      </c>
      <c r="AA92" s="164" t="s">
        <v>990</v>
      </c>
      <c r="AB92" s="161" t="s">
        <v>424</v>
      </c>
      <c r="AC92" s="161" t="s">
        <v>424</v>
      </c>
      <c r="AD92" s="161" t="s">
        <v>424</v>
      </c>
      <c r="AE92" s="161" t="s">
        <v>1035</v>
      </c>
      <c r="AF92" s="161" t="s">
        <v>600</v>
      </c>
      <c r="AG92" s="166" t="s">
        <v>460</v>
      </c>
    </row>
    <row r="93" spans="1:33" ht="51" hidden="1" x14ac:dyDescent="0.2">
      <c r="A93" s="162" t="s">
        <v>878</v>
      </c>
      <c r="B93" s="162" t="s">
        <v>650</v>
      </c>
      <c r="C93" s="162" t="s">
        <v>989</v>
      </c>
      <c r="D93" s="162" t="s">
        <v>988</v>
      </c>
      <c r="E93" s="161" t="s">
        <v>1000</v>
      </c>
      <c r="F93" s="162" t="s">
        <v>1127</v>
      </c>
      <c r="G93" s="162" t="s">
        <v>1022</v>
      </c>
      <c r="H93" s="162" t="s">
        <v>1237</v>
      </c>
      <c r="I93" s="163" t="s">
        <v>421</v>
      </c>
      <c r="J93" s="163" t="s">
        <v>422</v>
      </c>
      <c r="K93" s="163" t="s">
        <v>460</v>
      </c>
      <c r="L93" s="163" t="s">
        <v>469</v>
      </c>
      <c r="M93" s="161" t="s">
        <v>423</v>
      </c>
      <c r="N93" s="168"/>
      <c r="O93" s="162" t="s">
        <v>1023</v>
      </c>
      <c r="P93" s="163" t="s">
        <v>184</v>
      </c>
      <c r="Q93" s="171">
        <f t="shared" ref="Q93:Q96" si="19">IF(P93="Muy Alto",10,IF(P93="Alto",6,IF(P93="Medio",2,IF(P93="Bajo",1,))))</f>
        <v>1</v>
      </c>
      <c r="R93" s="163" t="s">
        <v>186</v>
      </c>
      <c r="S93" s="172">
        <f t="shared" si="10"/>
        <v>4</v>
      </c>
      <c r="T93" s="166">
        <f t="shared" si="11"/>
        <v>4</v>
      </c>
      <c r="U93" s="163" t="str">
        <f t="shared" ref="U93:U94" si="20">IF(AND(T93&gt;=0,T93&lt;=4),"Bajo",IF(AND(T93&gt;=6,T93&lt;=8),"Medio",IF(AND(T93&gt;=10,T93&lt;=20),"Alto",IF(AND(T93&gt;=20,T93&lt;=40),"Muy Alto",))))</f>
        <v>Bajo</v>
      </c>
      <c r="V93" s="163" t="s">
        <v>971</v>
      </c>
      <c r="W93" s="172">
        <f t="shared" si="12"/>
        <v>100</v>
      </c>
      <c r="X93" s="166">
        <f t="shared" si="13"/>
        <v>400</v>
      </c>
      <c r="Y93" s="163" t="str">
        <f t="shared" si="14"/>
        <v>Nivel II: Riesgo Importante</v>
      </c>
      <c r="Z93" s="163">
        <v>11</v>
      </c>
      <c r="AA93" s="164" t="s">
        <v>990</v>
      </c>
      <c r="AB93" s="161" t="s">
        <v>424</v>
      </c>
      <c r="AC93" s="161" t="s">
        <v>424</v>
      </c>
      <c r="AD93" s="161" t="s">
        <v>424</v>
      </c>
      <c r="AE93" s="161" t="s">
        <v>1025</v>
      </c>
      <c r="AF93" s="161" t="s">
        <v>600</v>
      </c>
      <c r="AG93" s="166" t="s">
        <v>460</v>
      </c>
    </row>
    <row r="94" spans="1:33" ht="51" hidden="1" x14ac:dyDescent="0.2">
      <c r="A94" s="162" t="s">
        <v>878</v>
      </c>
      <c r="B94" s="162" t="s">
        <v>650</v>
      </c>
      <c r="C94" s="162" t="s">
        <v>989</v>
      </c>
      <c r="D94" s="162" t="s">
        <v>988</v>
      </c>
      <c r="E94" s="161" t="s">
        <v>1000</v>
      </c>
      <c r="F94" s="162" t="s">
        <v>546</v>
      </c>
      <c r="G94" s="162" t="s">
        <v>1022</v>
      </c>
      <c r="H94" s="162" t="s">
        <v>1237</v>
      </c>
      <c r="I94" s="163" t="s">
        <v>421</v>
      </c>
      <c r="J94" s="163" t="s">
        <v>422</v>
      </c>
      <c r="K94" s="163" t="s">
        <v>460</v>
      </c>
      <c r="L94" s="163" t="s">
        <v>469</v>
      </c>
      <c r="M94" s="161" t="s">
        <v>423</v>
      </c>
      <c r="N94" s="168"/>
      <c r="O94" s="162" t="s">
        <v>1023</v>
      </c>
      <c r="P94" s="163" t="s">
        <v>184</v>
      </c>
      <c r="Q94" s="171">
        <f t="shared" si="19"/>
        <v>1</v>
      </c>
      <c r="R94" s="163" t="s">
        <v>186</v>
      </c>
      <c r="S94" s="172">
        <f t="shared" si="10"/>
        <v>4</v>
      </c>
      <c r="T94" s="166">
        <f t="shared" si="11"/>
        <v>4</v>
      </c>
      <c r="U94" s="163" t="str">
        <f t="shared" si="20"/>
        <v>Bajo</v>
      </c>
      <c r="V94" s="163" t="s">
        <v>971</v>
      </c>
      <c r="W94" s="172">
        <f t="shared" si="12"/>
        <v>100</v>
      </c>
      <c r="X94" s="166">
        <f t="shared" si="13"/>
        <v>400</v>
      </c>
      <c r="Y94" s="163" t="str">
        <f t="shared" si="14"/>
        <v>Nivel II: Riesgo Importante</v>
      </c>
      <c r="Z94" s="163">
        <v>11</v>
      </c>
      <c r="AA94" s="164" t="s">
        <v>990</v>
      </c>
      <c r="AB94" s="161" t="s">
        <v>424</v>
      </c>
      <c r="AC94" s="161" t="s">
        <v>424</v>
      </c>
      <c r="AD94" s="161" t="s">
        <v>424</v>
      </c>
      <c r="AE94" s="161" t="s">
        <v>1025</v>
      </c>
      <c r="AF94" s="161" t="s">
        <v>600</v>
      </c>
      <c r="AG94" s="166" t="s">
        <v>460</v>
      </c>
    </row>
    <row r="95" spans="1:33" ht="89.25" hidden="1" x14ac:dyDescent="0.2">
      <c r="A95" s="162" t="s">
        <v>878</v>
      </c>
      <c r="B95" s="162" t="s">
        <v>650</v>
      </c>
      <c r="C95" s="162" t="s">
        <v>989</v>
      </c>
      <c r="D95" s="162" t="s">
        <v>988</v>
      </c>
      <c r="E95" s="161" t="s">
        <v>995</v>
      </c>
      <c r="F95" s="162" t="s">
        <v>719</v>
      </c>
      <c r="G95" s="162" t="s">
        <v>1043</v>
      </c>
      <c r="H95" s="162" t="s">
        <v>722</v>
      </c>
      <c r="I95" s="163" t="s">
        <v>421</v>
      </c>
      <c r="J95" s="163" t="s">
        <v>422</v>
      </c>
      <c r="K95" s="163" t="s">
        <v>460</v>
      </c>
      <c r="L95" s="163" t="s">
        <v>469</v>
      </c>
      <c r="M95" s="161" t="s">
        <v>423</v>
      </c>
      <c r="N95" s="168"/>
      <c r="O95" s="162" t="s">
        <v>1044</v>
      </c>
      <c r="P95" s="163" t="s">
        <v>184</v>
      </c>
      <c r="Q95" s="171">
        <f t="shared" si="19"/>
        <v>1</v>
      </c>
      <c r="R95" s="163" t="s">
        <v>485</v>
      </c>
      <c r="S95" s="172">
        <f t="shared" si="10"/>
        <v>1</v>
      </c>
      <c r="T95" s="166">
        <f t="shared" si="11"/>
        <v>1</v>
      </c>
      <c r="U95" s="163" t="s">
        <v>184</v>
      </c>
      <c r="V95" s="163" t="s">
        <v>187</v>
      </c>
      <c r="W95" s="172">
        <f t="shared" si="12"/>
        <v>25</v>
      </c>
      <c r="X95" s="166">
        <f t="shared" si="13"/>
        <v>25</v>
      </c>
      <c r="Y95" s="163" t="str">
        <f t="shared" si="14"/>
        <v>Nivel IV: Riesgo Tolerable (Aceptable)</v>
      </c>
      <c r="Z95" s="163">
        <v>11</v>
      </c>
      <c r="AA95" s="163" t="s">
        <v>926</v>
      </c>
      <c r="AB95" s="161" t="s">
        <v>424</v>
      </c>
      <c r="AC95" s="161" t="s">
        <v>424</v>
      </c>
      <c r="AD95" s="161" t="s">
        <v>424</v>
      </c>
      <c r="AE95" s="161" t="s">
        <v>1042</v>
      </c>
      <c r="AF95" s="161" t="s">
        <v>600</v>
      </c>
      <c r="AG95" s="166" t="s">
        <v>460</v>
      </c>
    </row>
    <row r="96" spans="1:33" ht="89.25" hidden="1" x14ac:dyDescent="0.2">
      <c r="A96" s="162" t="s">
        <v>878</v>
      </c>
      <c r="B96" s="162" t="s">
        <v>650</v>
      </c>
      <c r="C96" s="162" t="s">
        <v>989</v>
      </c>
      <c r="D96" s="162" t="s">
        <v>988</v>
      </c>
      <c r="E96" s="161" t="s">
        <v>995</v>
      </c>
      <c r="F96" s="162" t="s">
        <v>720</v>
      </c>
      <c r="G96" s="162" t="s">
        <v>1043</v>
      </c>
      <c r="H96" s="162" t="s">
        <v>724</v>
      </c>
      <c r="I96" s="163" t="s">
        <v>421</v>
      </c>
      <c r="J96" s="163" t="s">
        <v>422</v>
      </c>
      <c r="K96" s="163" t="s">
        <v>460</v>
      </c>
      <c r="L96" s="163" t="s">
        <v>469</v>
      </c>
      <c r="M96" s="161" t="s">
        <v>1081</v>
      </c>
      <c r="N96" s="168"/>
      <c r="O96" s="162" t="s">
        <v>1044</v>
      </c>
      <c r="P96" s="163" t="s">
        <v>184</v>
      </c>
      <c r="Q96" s="171">
        <f t="shared" si="19"/>
        <v>1</v>
      </c>
      <c r="R96" s="163" t="s">
        <v>485</v>
      </c>
      <c r="S96" s="172">
        <f t="shared" si="10"/>
        <v>1</v>
      </c>
      <c r="T96" s="166">
        <f t="shared" si="11"/>
        <v>1</v>
      </c>
      <c r="U96" s="163" t="s">
        <v>184</v>
      </c>
      <c r="V96" s="163" t="s">
        <v>187</v>
      </c>
      <c r="W96" s="172">
        <f t="shared" si="12"/>
        <v>25</v>
      </c>
      <c r="X96" s="166">
        <f t="shared" si="13"/>
        <v>25</v>
      </c>
      <c r="Y96" s="163" t="str">
        <f t="shared" si="14"/>
        <v>Nivel IV: Riesgo Tolerable (Aceptable)</v>
      </c>
      <c r="Z96" s="163">
        <v>11</v>
      </c>
      <c r="AA96" s="163" t="s">
        <v>926</v>
      </c>
      <c r="AB96" s="161" t="s">
        <v>424</v>
      </c>
      <c r="AC96" s="161" t="s">
        <v>424</v>
      </c>
      <c r="AD96" s="161" t="s">
        <v>424</v>
      </c>
      <c r="AE96" s="161" t="s">
        <v>1042</v>
      </c>
      <c r="AF96" s="161" t="s">
        <v>600</v>
      </c>
      <c r="AG96" s="166" t="s">
        <v>460</v>
      </c>
    </row>
    <row r="97" spans="1:33" ht="127.5" hidden="1" x14ac:dyDescent="0.2">
      <c r="A97" s="164" t="s">
        <v>879</v>
      </c>
      <c r="B97" s="164" t="s">
        <v>1229</v>
      </c>
      <c r="C97" s="164" t="s">
        <v>1083</v>
      </c>
      <c r="D97" s="164" t="s">
        <v>986</v>
      </c>
      <c r="E97" s="161" t="s">
        <v>998</v>
      </c>
      <c r="F97" s="162" t="s">
        <v>1113</v>
      </c>
      <c r="G97" s="162" t="s">
        <v>924</v>
      </c>
      <c r="H97" s="162" t="s">
        <v>557</v>
      </c>
      <c r="I97" s="163" t="s">
        <v>421</v>
      </c>
      <c r="J97" s="163" t="s">
        <v>422</v>
      </c>
      <c r="K97" s="163" t="s">
        <v>460</v>
      </c>
      <c r="L97" s="163" t="s">
        <v>469</v>
      </c>
      <c r="M97" s="161" t="s">
        <v>902</v>
      </c>
      <c r="N97" s="163" t="s">
        <v>1128</v>
      </c>
      <c r="O97" s="162" t="s">
        <v>1050</v>
      </c>
      <c r="P97" s="163" t="s">
        <v>185</v>
      </c>
      <c r="Q97" s="171">
        <f t="shared" ref="Q97:Q100" si="21">IF(P97="Muy Alto",10,IF(P97="Alto",6,IF(P97="Medio",2,IF(P97="Bajo",1,))))</f>
        <v>2</v>
      </c>
      <c r="R97" s="163" t="s">
        <v>186</v>
      </c>
      <c r="S97" s="172">
        <f t="shared" ref="S97:S100" si="22">IF(R97="Continua",4,IF(R97="Frecuente",3,IF(R97="Ocasional",2,IF(R97="Esporádica",1,))))</f>
        <v>4</v>
      </c>
      <c r="T97" s="166">
        <f t="shared" ref="T97:T100" si="23">Q97*S97</f>
        <v>8</v>
      </c>
      <c r="U97" s="163" t="str">
        <f t="shared" ref="U97:U100" si="24">IF(AND(T97&gt;=0,T97&lt;=4),"Bajo",IF(AND(T97&gt;=6,T97&lt;=8),"Medio",IF(AND(T97&gt;=10,T97&lt;=20),"Alto",IF(AND(T97&gt;=20,T97&lt;=40),"Muy Alto",))))</f>
        <v>Medio</v>
      </c>
      <c r="V97" s="163" t="s">
        <v>187</v>
      </c>
      <c r="W97" s="172">
        <f t="shared" si="12"/>
        <v>25</v>
      </c>
      <c r="X97" s="166">
        <f t="shared" ref="X97:X100" si="25">T97*W97</f>
        <v>200</v>
      </c>
      <c r="Y97" s="163" t="str">
        <f t="shared" ref="Y97:Y100" si="26">IF(AND(X97&gt;=600,X97&lt;=4000),"Nivel I: Riesgo Inaceptable",IF(AND(X97&gt;=150,X97&lt;=500),"Nivel II: Riesgo Importante",IF(AND(X97&gt;=40,X97&lt;=120),"Nivel III: Riesgo Moderado (Aceptable)","Nivel IV: Riesgo Tolerable (Aceptable)")))</f>
        <v>Nivel II: Riesgo Importante</v>
      </c>
      <c r="Z97" s="163">
        <v>2</v>
      </c>
      <c r="AA97" s="163" t="s">
        <v>926</v>
      </c>
      <c r="AB97" s="161" t="s">
        <v>424</v>
      </c>
      <c r="AC97" s="161" t="s">
        <v>424</v>
      </c>
      <c r="AD97" s="161" t="s">
        <v>424</v>
      </c>
      <c r="AE97" s="161" t="s">
        <v>1129</v>
      </c>
      <c r="AF97" s="161" t="s">
        <v>600</v>
      </c>
      <c r="AG97" s="166" t="s">
        <v>460</v>
      </c>
    </row>
    <row r="98" spans="1:33" ht="165" hidden="1" customHeight="1" x14ac:dyDescent="0.2">
      <c r="A98" s="162" t="s">
        <v>879</v>
      </c>
      <c r="B98" s="162" t="s">
        <v>1229</v>
      </c>
      <c r="C98" s="162" t="s">
        <v>1083</v>
      </c>
      <c r="D98" s="162" t="s">
        <v>986</v>
      </c>
      <c r="E98" s="161" t="s">
        <v>998</v>
      </c>
      <c r="F98" s="162" t="s">
        <v>178</v>
      </c>
      <c r="G98" s="162" t="s">
        <v>1067</v>
      </c>
      <c r="H98" s="162" t="s">
        <v>559</v>
      </c>
      <c r="I98" s="163" t="s">
        <v>421</v>
      </c>
      <c r="J98" s="163" t="s">
        <v>422</v>
      </c>
      <c r="K98" s="163" t="s">
        <v>460</v>
      </c>
      <c r="L98" s="163" t="s">
        <v>469</v>
      </c>
      <c r="M98" s="161" t="s">
        <v>606</v>
      </c>
      <c r="N98" s="161" t="s">
        <v>606</v>
      </c>
      <c r="O98" s="162" t="s">
        <v>1046</v>
      </c>
      <c r="P98" s="163" t="s">
        <v>185</v>
      </c>
      <c r="Q98" s="171">
        <f t="shared" si="21"/>
        <v>2</v>
      </c>
      <c r="R98" s="163" t="s">
        <v>186</v>
      </c>
      <c r="S98" s="172">
        <f t="shared" si="22"/>
        <v>4</v>
      </c>
      <c r="T98" s="166">
        <f t="shared" si="23"/>
        <v>8</v>
      </c>
      <c r="U98" s="163" t="str">
        <f t="shared" si="24"/>
        <v>Medio</v>
      </c>
      <c r="V98" s="163" t="s">
        <v>187</v>
      </c>
      <c r="W98" s="172">
        <f t="shared" si="12"/>
        <v>25</v>
      </c>
      <c r="X98" s="166">
        <f t="shared" si="25"/>
        <v>200</v>
      </c>
      <c r="Y98" s="163" t="str">
        <f t="shared" si="26"/>
        <v>Nivel II: Riesgo Importante</v>
      </c>
      <c r="Z98" s="163">
        <v>2</v>
      </c>
      <c r="AA98" s="163" t="s">
        <v>926</v>
      </c>
      <c r="AB98" s="161" t="s">
        <v>424</v>
      </c>
      <c r="AC98" s="161" t="s">
        <v>424</v>
      </c>
      <c r="AD98" s="161" t="s">
        <v>424</v>
      </c>
      <c r="AE98" s="161" t="s">
        <v>1130</v>
      </c>
      <c r="AF98" s="161" t="s">
        <v>600</v>
      </c>
      <c r="AG98" s="166" t="s">
        <v>460</v>
      </c>
    </row>
    <row r="99" spans="1:33" ht="165" hidden="1" customHeight="1" x14ac:dyDescent="0.2">
      <c r="A99" s="162" t="s">
        <v>879</v>
      </c>
      <c r="B99" s="162" t="s">
        <v>1229</v>
      </c>
      <c r="C99" s="162" t="s">
        <v>1083</v>
      </c>
      <c r="D99" s="162" t="s">
        <v>986</v>
      </c>
      <c r="E99" s="161" t="s">
        <v>999</v>
      </c>
      <c r="F99" s="162" t="s">
        <v>292</v>
      </c>
      <c r="G99" s="162" t="s">
        <v>1068</v>
      </c>
      <c r="H99" s="162" t="s">
        <v>472</v>
      </c>
      <c r="I99" s="163" t="s">
        <v>421</v>
      </c>
      <c r="J99" s="163" t="s">
        <v>461</v>
      </c>
      <c r="K99" s="163" t="s">
        <v>460</v>
      </c>
      <c r="L99" s="163" t="s">
        <v>469</v>
      </c>
      <c r="M99" s="161" t="s">
        <v>1069</v>
      </c>
      <c r="N99" s="168"/>
      <c r="O99" s="162" t="s">
        <v>1070</v>
      </c>
      <c r="P99" s="163" t="s">
        <v>184</v>
      </c>
      <c r="Q99" s="171">
        <f t="shared" si="21"/>
        <v>1</v>
      </c>
      <c r="R99" s="163" t="s">
        <v>429</v>
      </c>
      <c r="S99" s="172">
        <f t="shared" si="22"/>
        <v>2</v>
      </c>
      <c r="T99" s="166">
        <f t="shared" si="23"/>
        <v>2</v>
      </c>
      <c r="U99" s="163" t="str">
        <f t="shared" si="24"/>
        <v>Bajo</v>
      </c>
      <c r="V99" s="163" t="s">
        <v>428</v>
      </c>
      <c r="W99" s="172">
        <f t="shared" si="12"/>
        <v>10</v>
      </c>
      <c r="X99" s="166">
        <f t="shared" si="25"/>
        <v>20</v>
      </c>
      <c r="Y99" s="163" t="str">
        <f t="shared" si="26"/>
        <v>Nivel IV: Riesgo Tolerable (Aceptable)</v>
      </c>
      <c r="Z99" s="163">
        <v>2</v>
      </c>
      <c r="AA99" s="163" t="s">
        <v>926</v>
      </c>
      <c r="AB99" s="161" t="s">
        <v>424</v>
      </c>
      <c r="AC99" s="161" t="s">
        <v>424</v>
      </c>
      <c r="AD99" s="161" t="s">
        <v>424</v>
      </c>
      <c r="AE99" s="161" t="s">
        <v>1071</v>
      </c>
      <c r="AF99" s="162" t="s">
        <v>609</v>
      </c>
      <c r="AG99" s="166" t="s">
        <v>460</v>
      </c>
    </row>
    <row r="100" spans="1:33" ht="89.25" hidden="1" x14ac:dyDescent="0.2">
      <c r="A100" s="162" t="s">
        <v>879</v>
      </c>
      <c r="B100" s="162" t="s">
        <v>1229</v>
      </c>
      <c r="C100" s="162" t="s">
        <v>1083</v>
      </c>
      <c r="D100" s="162" t="s">
        <v>986</v>
      </c>
      <c r="E100" s="161" t="s">
        <v>999</v>
      </c>
      <c r="F100" s="162" t="s">
        <v>288</v>
      </c>
      <c r="G100" s="162" t="s">
        <v>837</v>
      </c>
      <c r="H100" s="162" t="s">
        <v>507</v>
      </c>
      <c r="I100" s="163" t="s">
        <v>421</v>
      </c>
      <c r="J100" s="163" t="s">
        <v>461</v>
      </c>
      <c r="K100" s="163" t="s">
        <v>460</v>
      </c>
      <c r="L100" s="163" t="s">
        <v>469</v>
      </c>
      <c r="M100" s="161" t="s">
        <v>423</v>
      </c>
      <c r="N100" s="168"/>
      <c r="O100" s="162" t="s">
        <v>1005</v>
      </c>
      <c r="P100" s="163" t="s">
        <v>185</v>
      </c>
      <c r="Q100" s="171">
        <f t="shared" si="21"/>
        <v>2</v>
      </c>
      <c r="R100" s="163" t="s">
        <v>429</v>
      </c>
      <c r="S100" s="172">
        <f t="shared" si="22"/>
        <v>2</v>
      </c>
      <c r="T100" s="166">
        <f t="shared" si="23"/>
        <v>4</v>
      </c>
      <c r="U100" s="163" t="str">
        <f t="shared" si="24"/>
        <v>Bajo</v>
      </c>
      <c r="V100" s="163" t="s">
        <v>187</v>
      </c>
      <c r="W100" s="172">
        <f t="shared" si="12"/>
        <v>25</v>
      </c>
      <c r="X100" s="166">
        <f t="shared" si="25"/>
        <v>100</v>
      </c>
      <c r="Y100" s="163" t="str">
        <f t="shared" si="26"/>
        <v>Nivel III: Riesgo Moderado (Aceptable)</v>
      </c>
      <c r="Z100" s="163">
        <v>2</v>
      </c>
      <c r="AA100" s="163" t="s">
        <v>926</v>
      </c>
      <c r="AB100" s="161" t="s">
        <v>424</v>
      </c>
      <c r="AC100" s="161" t="s">
        <v>424</v>
      </c>
      <c r="AD100" s="161" t="s">
        <v>424</v>
      </c>
      <c r="AE100" s="162" t="s">
        <v>1007</v>
      </c>
      <c r="AF100" s="161" t="s">
        <v>528</v>
      </c>
      <c r="AG100" s="166" t="s">
        <v>460</v>
      </c>
    </row>
    <row r="101" spans="1:33" ht="76.5" hidden="1" x14ac:dyDescent="0.2">
      <c r="A101" s="162" t="s">
        <v>879</v>
      </c>
      <c r="B101" s="162" t="s">
        <v>1229</v>
      </c>
      <c r="C101" s="162" t="s">
        <v>1083</v>
      </c>
      <c r="D101" s="162" t="s">
        <v>986</v>
      </c>
      <c r="E101" s="161" t="s">
        <v>999</v>
      </c>
      <c r="F101" s="162" t="s">
        <v>288</v>
      </c>
      <c r="G101" s="162" t="s">
        <v>488</v>
      </c>
      <c r="H101" s="162" t="s">
        <v>614</v>
      </c>
      <c r="I101" s="163" t="s">
        <v>421</v>
      </c>
      <c r="J101" s="163" t="s">
        <v>461</v>
      </c>
      <c r="K101" s="163" t="s">
        <v>460</v>
      </c>
      <c r="L101" s="163" t="s">
        <v>469</v>
      </c>
      <c r="M101" s="161" t="s">
        <v>1065</v>
      </c>
      <c r="N101" s="168"/>
      <c r="O101" s="162" t="s">
        <v>1026</v>
      </c>
      <c r="P101" s="163" t="s">
        <v>184</v>
      </c>
      <c r="Q101" s="171">
        <f t="shared" ref="Q101" si="27">IF(P101="Muy Alto",10,IF(P101="Alto",6,IF(P101="Medio",2,IF(P101="Bajo",1,))))</f>
        <v>1</v>
      </c>
      <c r="R101" s="163" t="s">
        <v>485</v>
      </c>
      <c r="S101" s="172">
        <f t="shared" ref="S101" si="28">IF(R101="Continua",4,IF(R101="Frecuente",3,IF(R101="Ocasional",2,IF(R101="Esporádica",1,))))</f>
        <v>1</v>
      </c>
      <c r="T101" s="166">
        <f t="shared" ref="T101" si="29">Q101*S101</f>
        <v>1</v>
      </c>
      <c r="U101" s="163" t="str">
        <f t="shared" ref="U101" si="30">IF(AND(T101&gt;=0,T101&lt;=4),"Bajo",IF(AND(T101&gt;=6,T101&lt;=8),"Medio",IF(AND(T101&gt;=10,T101&lt;=20),"Alto",IF(AND(T101&gt;=20,T101&lt;=40),"Muy Alto",))))</f>
        <v>Bajo</v>
      </c>
      <c r="V101" s="163" t="s">
        <v>187</v>
      </c>
      <c r="W101" s="172">
        <f t="shared" si="12"/>
        <v>25</v>
      </c>
      <c r="X101" s="166">
        <f t="shared" ref="X101" si="31">T101*W101</f>
        <v>25</v>
      </c>
      <c r="Y101" s="163" t="str">
        <f t="shared" ref="Y101" si="32">IF(AND(X101&gt;=600,X101&lt;=4000),"Nivel I: Riesgo Inaceptable",IF(AND(X101&gt;=150,X101&lt;=500),"Nivel II: Riesgo Importante",IF(AND(X101&gt;=40,X101&lt;=120),"Nivel III: Riesgo Moderado (Aceptable)","Nivel IV: Riesgo Tolerable (Aceptable)")))</f>
        <v>Nivel IV: Riesgo Tolerable (Aceptable)</v>
      </c>
      <c r="Z101" s="163">
        <v>2</v>
      </c>
      <c r="AA101" s="163" t="s">
        <v>926</v>
      </c>
      <c r="AB101" s="161" t="s">
        <v>424</v>
      </c>
      <c r="AC101" s="161" t="s">
        <v>424</v>
      </c>
      <c r="AD101" s="161" t="s">
        <v>424</v>
      </c>
      <c r="AE101" s="161" t="s">
        <v>1066</v>
      </c>
      <c r="AF101" s="161" t="s">
        <v>528</v>
      </c>
      <c r="AG101" s="166" t="s">
        <v>460</v>
      </c>
    </row>
    <row r="102" spans="1:33" ht="76.5" hidden="1" x14ac:dyDescent="0.2">
      <c r="A102" s="162" t="s">
        <v>879</v>
      </c>
      <c r="B102" s="162" t="s">
        <v>1229</v>
      </c>
      <c r="C102" s="162" t="s">
        <v>1083</v>
      </c>
      <c r="D102" s="162" t="s">
        <v>986</v>
      </c>
      <c r="E102" s="161" t="s">
        <v>999</v>
      </c>
      <c r="F102" s="162" t="s">
        <v>1117</v>
      </c>
      <c r="G102" s="162" t="s">
        <v>564</v>
      </c>
      <c r="H102" s="162" t="s">
        <v>1072</v>
      </c>
      <c r="I102" s="163" t="s">
        <v>421</v>
      </c>
      <c r="J102" s="163" t="s">
        <v>461</v>
      </c>
      <c r="K102" s="163" t="s">
        <v>460</v>
      </c>
      <c r="L102" s="163" t="s">
        <v>469</v>
      </c>
      <c r="M102" s="166" t="s">
        <v>423</v>
      </c>
      <c r="N102" s="168"/>
      <c r="O102" s="162" t="s">
        <v>1026</v>
      </c>
      <c r="P102" s="163" t="s">
        <v>184</v>
      </c>
      <c r="Q102" s="171">
        <f t="shared" ref="Q102:Q104" si="33">IF(P102="Muy Alto",10,IF(P102="Alto",6,IF(P102="Medio",2,IF(P102="Bajo",1,))))</f>
        <v>1</v>
      </c>
      <c r="R102" s="163" t="s">
        <v>485</v>
      </c>
      <c r="S102" s="172">
        <f t="shared" ref="S102:S104" si="34">IF(R102="Continua",4,IF(R102="Frecuente",3,IF(R102="Ocasional",2,IF(R102="Esporádica",1,))))</f>
        <v>1</v>
      </c>
      <c r="T102" s="166">
        <f t="shared" ref="T102:T104" si="35">Q102*S102</f>
        <v>1</v>
      </c>
      <c r="U102" s="163" t="str">
        <f t="shared" ref="U102:U103" si="36">IF(AND(T102&gt;=0,T102&lt;=4),"Bajo",IF(AND(T102&gt;=6,T102&lt;=8),"Medio",IF(AND(T102&gt;=10,T102&lt;=20),"Alto",IF(AND(T102&gt;=20,T102&lt;=40),"Muy Alto",))))</f>
        <v>Bajo</v>
      </c>
      <c r="V102" s="163" t="s">
        <v>428</v>
      </c>
      <c r="W102" s="172">
        <f t="shared" si="12"/>
        <v>10</v>
      </c>
      <c r="X102" s="166">
        <f t="shared" ref="X102:X104" si="37">T102*W102</f>
        <v>10</v>
      </c>
      <c r="Y102" s="163" t="str">
        <f t="shared" ref="Y102:Y104" si="38">IF(AND(X102&gt;=600,X102&lt;=4000),"Nivel I: Riesgo Inaceptable",IF(AND(X102&gt;=150,X102&lt;=500),"Nivel II: Riesgo Importante",IF(AND(X102&gt;=40,X102&lt;=120),"Nivel III: Riesgo Moderado (Aceptable)","Nivel IV: Riesgo Tolerable (Aceptable)")))</f>
        <v>Nivel IV: Riesgo Tolerable (Aceptable)</v>
      </c>
      <c r="Z102" s="163">
        <v>2</v>
      </c>
      <c r="AA102" s="163" t="s">
        <v>926</v>
      </c>
      <c r="AB102" s="161" t="s">
        <v>424</v>
      </c>
      <c r="AC102" s="161" t="s">
        <v>424</v>
      </c>
      <c r="AD102" s="161" t="s">
        <v>424</v>
      </c>
      <c r="AE102" s="161" t="s">
        <v>1066</v>
      </c>
      <c r="AF102" s="161" t="s">
        <v>528</v>
      </c>
      <c r="AG102" s="166" t="s">
        <v>460</v>
      </c>
    </row>
    <row r="103" spans="1:33" ht="102" hidden="1" x14ac:dyDescent="0.2">
      <c r="A103" s="162" t="s">
        <v>879</v>
      </c>
      <c r="B103" s="162" t="s">
        <v>1229</v>
      </c>
      <c r="C103" s="162" t="s">
        <v>1083</v>
      </c>
      <c r="D103" s="162" t="s">
        <v>986</v>
      </c>
      <c r="E103" s="161" t="s">
        <v>996</v>
      </c>
      <c r="F103" s="162" t="s">
        <v>430</v>
      </c>
      <c r="G103" s="162" t="s">
        <v>486</v>
      </c>
      <c r="H103" s="162" t="s">
        <v>623</v>
      </c>
      <c r="I103" s="163" t="s">
        <v>421</v>
      </c>
      <c r="J103" s="163" t="s">
        <v>422</v>
      </c>
      <c r="K103" s="163" t="s">
        <v>460</v>
      </c>
      <c r="L103" s="163" t="s">
        <v>469</v>
      </c>
      <c r="M103" s="169" t="s">
        <v>1073</v>
      </c>
      <c r="N103" s="168"/>
      <c r="O103" s="162" t="s">
        <v>1032</v>
      </c>
      <c r="P103" s="163" t="s">
        <v>185</v>
      </c>
      <c r="Q103" s="171">
        <f t="shared" si="33"/>
        <v>2</v>
      </c>
      <c r="R103" s="163" t="s">
        <v>485</v>
      </c>
      <c r="S103" s="172">
        <f t="shared" si="34"/>
        <v>1</v>
      </c>
      <c r="T103" s="166">
        <f t="shared" si="35"/>
        <v>2</v>
      </c>
      <c r="U103" s="163" t="str">
        <f t="shared" si="36"/>
        <v>Bajo</v>
      </c>
      <c r="V103" s="163" t="s">
        <v>428</v>
      </c>
      <c r="W103" s="172">
        <f t="shared" si="12"/>
        <v>10</v>
      </c>
      <c r="X103" s="166">
        <f t="shared" si="37"/>
        <v>20</v>
      </c>
      <c r="Y103" s="163" t="str">
        <f t="shared" si="38"/>
        <v>Nivel IV: Riesgo Tolerable (Aceptable)</v>
      </c>
      <c r="Z103" s="163">
        <v>2</v>
      </c>
      <c r="AA103" s="163" t="s">
        <v>926</v>
      </c>
      <c r="AB103" s="161" t="s">
        <v>424</v>
      </c>
      <c r="AC103" s="161" t="s">
        <v>424</v>
      </c>
      <c r="AD103" s="161" t="s">
        <v>424</v>
      </c>
      <c r="AE103" s="161" t="s">
        <v>1075</v>
      </c>
      <c r="AF103" s="161" t="s">
        <v>600</v>
      </c>
      <c r="AG103" s="166" t="s">
        <v>460</v>
      </c>
    </row>
    <row r="104" spans="1:33" ht="140.25" hidden="1" customHeight="1" x14ac:dyDescent="0.2">
      <c r="A104" s="162" t="s">
        <v>879</v>
      </c>
      <c r="B104" s="162" t="s">
        <v>1229</v>
      </c>
      <c r="C104" s="162" t="s">
        <v>1083</v>
      </c>
      <c r="D104" s="162" t="s">
        <v>986</v>
      </c>
      <c r="E104" s="161" t="s">
        <v>999</v>
      </c>
      <c r="F104" s="162" t="s">
        <v>294</v>
      </c>
      <c r="G104" s="162" t="s">
        <v>1077</v>
      </c>
      <c r="H104" s="162" t="s">
        <v>966</v>
      </c>
      <c r="I104" s="163" t="s">
        <v>421</v>
      </c>
      <c r="J104" s="163" t="s">
        <v>422</v>
      </c>
      <c r="K104" s="163" t="s">
        <v>460</v>
      </c>
      <c r="L104" s="163" t="s">
        <v>469</v>
      </c>
      <c r="M104" s="161" t="s">
        <v>1079</v>
      </c>
      <c r="N104" s="168"/>
      <c r="O104" s="164" t="s">
        <v>1026</v>
      </c>
      <c r="P104" s="163" t="s">
        <v>184</v>
      </c>
      <c r="Q104" s="171">
        <f t="shared" si="33"/>
        <v>1</v>
      </c>
      <c r="R104" s="163" t="s">
        <v>416</v>
      </c>
      <c r="S104" s="172">
        <f t="shared" si="34"/>
        <v>3</v>
      </c>
      <c r="T104" s="166">
        <f t="shared" si="35"/>
        <v>3</v>
      </c>
      <c r="U104" s="163" t="s">
        <v>184</v>
      </c>
      <c r="V104" s="163" t="s">
        <v>187</v>
      </c>
      <c r="W104" s="172">
        <f t="shared" si="12"/>
        <v>25</v>
      </c>
      <c r="X104" s="166">
        <f t="shared" si="37"/>
        <v>75</v>
      </c>
      <c r="Y104" s="163" t="str">
        <f t="shared" si="38"/>
        <v>Nivel III: Riesgo Moderado (Aceptable)</v>
      </c>
      <c r="Z104" s="163">
        <v>2</v>
      </c>
      <c r="AA104" s="163" t="s">
        <v>926</v>
      </c>
      <c r="AB104" s="161" t="s">
        <v>424</v>
      </c>
      <c r="AC104" s="161" t="s">
        <v>424</v>
      </c>
      <c r="AD104" s="161" t="s">
        <v>424</v>
      </c>
      <c r="AE104" s="167" t="s">
        <v>1080</v>
      </c>
      <c r="AF104" s="161" t="s">
        <v>600</v>
      </c>
      <c r="AG104" s="166" t="s">
        <v>460</v>
      </c>
    </row>
    <row r="105" spans="1:33" ht="89.25" hidden="1" x14ac:dyDescent="0.2">
      <c r="A105" s="162" t="s">
        <v>879</v>
      </c>
      <c r="B105" s="162" t="s">
        <v>1229</v>
      </c>
      <c r="C105" s="162" t="s">
        <v>1083</v>
      </c>
      <c r="D105" s="162" t="s">
        <v>986</v>
      </c>
      <c r="E105" s="161" t="s">
        <v>999</v>
      </c>
      <c r="F105" s="162" t="s">
        <v>347</v>
      </c>
      <c r="G105" s="162" t="s">
        <v>587</v>
      </c>
      <c r="H105" s="162" t="s">
        <v>1236</v>
      </c>
      <c r="I105" s="163" t="s">
        <v>421</v>
      </c>
      <c r="J105" s="163" t="s">
        <v>422</v>
      </c>
      <c r="K105" s="163" t="s">
        <v>460</v>
      </c>
      <c r="L105" s="163" t="s">
        <v>469</v>
      </c>
      <c r="M105" s="163" t="s">
        <v>1192</v>
      </c>
      <c r="N105" s="161" t="s">
        <v>1145</v>
      </c>
      <c r="O105" s="162" t="s">
        <v>1026</v>
      </c>
      <c r="P105" s="163" t="s">
        <v>184</v>
      </c>
      <c r="Q105" s="171">
        <f t="shared" ref="Q105" si="39">IF(P105="Muy Alto",10,IF(P105="Alto",6,IF(P105="Medio",2,IF(P105="Bajo",1,))))</f>
        <v>1</v>
      </c>
      <c r="R105" s="163" t="s">
        <v>485</v>
      </c>
      <c r="S105" s="172">
        <f t="shared" ref="S105" si="40">IF(R105="Continua",4,IF(R105="Frecuente",3,IF(R105="Ocasional",2,IF(R105="Esporádica",1,))))</f>
        <v>1</v>
      </c>
      <c r="T105" s="166">
        <f t="shared" ref="T105" si="41">Q105*S105</f>
        <v>1</v>
      </c>
      <c r="U105" s="163" t="s">
        <v>184</v>
      </c>
      <c r="V105" s="163" t="s">
        <v>971</v>
      </c>
      <c r="W105" s="172">
        <f t="shared" si="12"/>
        <v>100</v>
      </c>
      <c r="X105" s="166">
        <f t="shared" ref="X105" si="42">T105*W105</f>
        <v>100</v>
      </c>
      <c r="Y105" s="163" t="str">
        <f t="shared" ref="Y105" si="43">IF(AND(X105&gt;=600,X105&lt;=4000),"Nivel I: Riesgo Inaceptable",IF(AND(X105&gt;=150,X105&lt;=500),"Nivel II: Riesgo Importante",IF(AND(X105&gt;=40,X105&lt;=120),"Nivel III: Riesgo Moderado (Aceptable)","Nivel IV: Riesgo Tolerable (Aceptable)")))</f>
        <v>Nivel III: Riesgo Moderado (Aceptable)</v>
      </c>
      <c r="Z105" s="163">
        <v>2</v>
      </c>
      <c r="AA105" s="163" t="s">
        <v>926</v>
      </c>
      <c r="AB105" s="161" t="s">
        <v>424</v>
      </c>
      <c r="AC105" s="161" t="s">
        <v>424</v>
      </c>
      <c r="AD105" s="161" t="s">
        <v>424</v>
      </c>
      <c r="AE105" s="161" t="s">
        <v>1029</v>
      </c>
      <c r="AF105" s="161" t="s">
        <v>600</v>
      </c>
      <c r="AG105" s="166" t="s">
        <v>460</v>
      </c>
    </row>
    <row r="106" spans="1:33" ht="102" hidden="1" x14ac:dyDescent="0.2">
      <c r="A106" s="162" t="s">
        <v>879</v>
      </c>
      <c r="B106" s="162" t="s">
        <v>1229</v>
      </c>
      <c r="C106" s="162" t="s">
        <v>1083</v>
      </c>
      <c r="D106" s="162" t="s">
        <v>986</v>
      </c>
      <c r="E106" s="161" t="s">
        <v>995</v>
      </c>
      <c r="F106" s="162" t="s">
        <v>714</v>
      </c>
      <c r="G106" s="162" t="s">
        <v>1036</v>
      </c>
      <c r="H106" s="162" t="s">
        <v>625</v>
      </c>
      <c r="I106" s="163" t="s">
        <v>421</v>
      </c>
      <c r="J106" s="163" t="s">
        <v>422</v>
      </c>
      <c r="K106" s="163" t="s">
        <v>460</v>
      </c>
      <c r="L106" s="163" t="s">
        <v>469</v>
      </c>
      <c r="M106" s="161" t="s">
        <v>1037</v>
      </c>
      <c r="N106" s="168"/>
      <c r="O106" s="164" t="s">
        <v>1038</v>
      </c>
      <c r="P106" s="163" t="s">
        <v>184</v>
      </c>
      <c r="Q106" s="171">
        <f t="shared" ref="Q106" si="44">IF(P106="Muy Alto",10,IF(P106="Alto",6,IF(P106="Medio",2,IF(P106="Bajo",1,))))</f>
        <v>1</v>
      </c>
      <c r="R106" s="163" t="s">
        <v>485</v>
      </c>
      <c r="S106" s="172">
        <f t="shared" ref="S106" si="45">IF(R106="Continua",4,IF(R106="Frecuente",3,IF(R106="Ocasional",2,IF(R106="Esporádica",1,))))</f>
        <v>1</v>
      </c>
      <c r="T106" s="166">
        <f t="shared" ref="T106" si="46">Q106*S106</f>
        <v>1</v>
      </c>
      <c r="U106" s="163" t="str">
        <f t="shared" ref="U106" si="47">IF(AND(T106&gt;=0,T106&lt;=4),"Bajo",IF(AND(T106&gt;=6,T106&lt;=8),"Medio",IF(AND(T106&gt;=10,T106&lt;=20),"Alto",IF(AND(T106&gt;=20,T106&lt;=40),"Muy Alto",))))</f>
        <v>Bajo</v>
      </c>
      <c r="V106" s="163" t="s">
        <v>187</v>
      </c>
      <c r="W106" s="172">
        <f t="shared" si="12"/>
        <v>25</v>
      </c>
      <c r="X106" s="166">
        <f t="shared" ref="X106" si="48">T106*W106</f>
        <v>25</v>
      </c>
      <c r="Y106" s="163" t="str">
        <f t="shared" ref="Y106" si="49">IF(AND(X106&gt;=600,X106&lt;=4000),"Nivel I: Riesgo Inaceptable",IF(AND(X106&gt;=150,X106&lt;=500),"Nivel II: Riesgo Importante",IF(AND(X106&gt;=40,X106&lt;=120),"Nivel III: Riesgo Moderado (Aceptable)","Nivel IV: Riesgo Tolerable (Aceptable)")))</f>
        <v>Nivel IV: Riesgo Tolerable (Aceptable)</v>
      </c>
      <c r="Z106" s="163">
        <v>2</v>
      </c>
      <c r="AA106" s="163" t="s">
        <v>926</v>
      </c>
      <c r="AB106" s="161" t="s">
        <v>424</v>
      </c>
      <c r="AC106" s="161" t="s">
        <v>424</v>
      </c>
      <c r="AD106" s="161" t="s">
        <v>514</v>
      </c>
      <c r="AE106" s="161" t="s">
        <v>1039</v>
      </c>
      <c r="AF106" s="161" t="s">
        <v>1040</v>
      </c>
      <c r="AG106" s="166" t="s">
        <v>460</v>
      </c>
    </row>
    <row r="107" spans="1:33" ht="331.5" hidden="1" customHeight="1" x14ac:dyDescent="0.2">
      <c r="A107" s="162" t="s">
        <v>879</v>
      </c>
      <c r="B107" s="162" t="s">
        <v>1229</v>
      </c>
      <c r="C107" s="162" t="s">
        <v>1083</v>
      </c>
      <c r="D107" s="162" t="s">
        <v>986</v>
      </c>
      <c r="E107" s="161" t="s">
        <v>175</v>
      </c>
      <c r="F107" s="162" t="s">
        <v>592</v>
      </c>
      <c r="G107" s="162" t="s">
        <v>593</v>
      </c>
      <c r="H107" s="162" t="s">
        <v>602</v>
      </c>
      <c r="I107" s="163" t="s">
        <v>421</v>
      </c>
      <c r="J107" s="163" t="s">
        <v>422</v>
      </c>
      <c r="K107" s="163" t="s">
        <v>460</v>
      </c>
      <c r="L107" s="163" t="s">
        <v>469</v>
      </c>
      <c r="M107" s="161" t="s">
        <v>423</v>
      </c>
      <c r="N107" s="168"/>
      <c r="O107" s="162" t="s">
        <v>1034</v>
      </c>
      <c r="P107" s="163" t="s">
        <v>184</v>
      </c>
      <c r="Q107" s="171">
        <f t="shared" ref="Q107" si="50">IF(P107="Muy Alto",10,IF(P107="Alto",6,IF(P107="Medio",2,IF(P107="Bajo",1,))))</f>
        <v>1</v>
      </c>
      <c r="R107" s="163" t="s">
        <v>485</v>
      </c>
      <c r="S107" s="172">
        <f t="shared" ref="S107" si="51">IF(R107="Continua",4,IF(R107="Frecuente",3,IF(R107="Ocasional",2,IF(R107="Esporádica",1,))))</f>
        <v>1</v>
      </c>
      <c r="T107" s="166">
        <f t="shared" ref="T107" si="52">Q107*S107</f>
        <v>1</v>
      </c>
      <c r="U107" s="163" t="s">
        <v>184</v>
      </c>
      <c r="V107" s="163" t="s">
        <v>428</v>
      </c>
      <c r="W107" s="172">
        <f t="shared" si="12"/>
        <v>10</v>
      </c>
      <c r="X107" s="166">
        <f t="shared" ref="X107" si="53">T107*W107</f>
        <v>10</v>
      </c>
      <c r="Y107" s="163" t="str">
        <f t="shared" ref="Y107" si="54">IF(AND(X107&gt;=600,X107&lt;=4000),"Nivel I: Riesgo Inaceptable",IF(AND(X107&gt;=150,X107&lt;=500),"Nivel II: Riesgo Importante",IF(AND(X107&gt;=40,X107&lt;=120),"Nivel III: Riesgo Moderado (Aceptable)","Nivel IV: Riesgo Tolerable (Aceptable)")))</f>
        <v>Nivel IV: Riesgo Tolerable (Aceptable)</v>
      </c>
      <c r="Z107" s="163">
        <v>2</v>
      </c>
      <c r="AA107" s="163" t="s">
        <v>926</v>
      </c>
      <c r="AB107" s="161" t="s">
        <v>424</v>
      </c>
      <c r="AC107" s="161" t="s">
        <v>424</v>
      </c>
      <c r="AD107" s="161" t="s">
        <v>424</v>
      </c>
      <c r="AE107" s="161" t="s">
        <v>1035</v>
      </c>
      <c r="AF107" s="161" t="s">
        <v>600</v>
      </c>
      <c r="AG107" s="166" t="s">
        <v>460</v>
      </c>
    </row>
    <row r="108" spans="1:33" ht="114.75" hidden="1" x14ac:dyDescent="0.2">
      <c r="A108" s="162" t="s">
        <v>879</v>
      </c>
      <c r="B108" s="162" t="s">
        <v>1229</v>
      </c>
      <c r="C108" s="162" t="s">
        <v>1083</v>
      </c>
      <c r="D108" s="162" t="s">
        <v>986</v>
      </c>
      <c r="E108" s="161" t="s">
        <v>175</v>
      </c>
      <c r="F108" s="162" t="s">
        <v>594</v>
      </c>
      <c r="G108" s="162" t="s">
        <v>595</v>
      </c>
      <c r="H108" s="162" t="s">
        <v>602</v>
      </c>
      <c r="I108" s="163" t="s">
        <v>421</v>
      </c>
      <c r="J108" s="163" t="s">
        <v>422</v>
      </c>
      <c r="K108" s="163" t="s">
        <v>460</v>
      </c>
      <c r="L108" s="163" t="s">
        <v>469</v>
      </c>
      <c r="M108" s="161" t="s">
        <v>423</v>
      </c>
      <c r="N108" s="168"/>
      <c r="O108" s="162" t="s">
        <v>1034</v>
      </c>
      <c r="P108" s="163" t="s">
        <v>184</v>
      </c>
      <c r="Q108" s="171">
        <f t="shared" ref="Q108:Q111" si="55">IF(P108="Muy Alto",10,IF(P108="Alto",6,IF(P108="Medio",2,IF(P108="Bajo",1,))))</f>
        <v>1</v>
      </c>
      <c r="R108" s="163" t="s">
        <v>485</v>
      </c>
      <c r="S108" s="172">
        <f t="shared" ref="S108:S111" si="56">IF(R108="Continua",4,IF(R108="Frecuente",3,IF(R108="Ocasional",2,IF(R108="Esporádica",1,))))</f>
        <v>1</v>
      </c>
      <c r="T108" s="166">
        <f t="shared" ref="T108:T111" si="57">Q108*S108</f>
        <v>1</v>
      </c>
      <c r="U108" s="163" t="s">
        <v>184</v>
      </c>
      <c r="V108" s="163" t="s">
        <v>428</v>
      </c>
      <c r="W108" s="172">
        <f t="shared" si="12"/>
        <v>10</v>
      </c>
      <c r="X108" s="166">
        <f t="shared" ref="X108:X111" si="58">T108*W108</f>
        <v>10</v>
      </c>
      <c r="Y108" s="163" t="str">
        <f t="shared" ref="Y108:Y111" si="59">IF(AND(X108&gt;=600,X108&lt;=4000),"Nivel I: Riesgo Inaceptable",IF(AND(X108&gt;=150,X108&lt;=500),"Nivel II: Riesgo Importante",IF(AND(X108&gt;=40,X108&lt;=120),"Nivel III: Riesgo Moderado (Aceptable)","Nivel IV: Riesgo Tolerable (Aceptable)")))</f>
        <v>Nivel IV: Riesgo Tolerable (Aceptable)</v>
      </c>
      <c r="Z108" s="163">
        <v>2</v>
      </c>
      <c r="AA108" s="163" t="s">
        <v>926</v>
      </c>
      <c r="AB108" s="161" t="s">
        <v>424</v>
      </c>
      <c r="AC108" s="161" t="s">
        <v>424</v>
      </c>
      <c r="AD108" s="161" t="s">
        <v>424</v>
      </c>
      <c r="AE108" s="161" t="s">
        <v>1035</v>
      </c>
      <c r="AF108" s="161" t="s">
        <v>600</v>
      </c>
      <c r="AG108" s="166" t="s">
        <v>460</v>
      </c>
    </row>
    <row r="109" spans="1:33" ht="225" hidden="1" customHeight="1" x14ac:dyDescent="0.2">
      <c r="A109" s="162" t="s">
        <v>879</v>
      </c>
      <c r="B109" s="162" t="s">
        <v>1229</v>
      </c>
      <c r="C109" s="162" t="s">
        <v>1083</v>
      </c>
      <c r="D109" s="162" t="s">
        <v>986</v>
      </c>
      <c r="E109" s="161" t="s">
        <v>175</v>
      </c>
      <c r="F109" s="162" t="s">
        <v>596</v>
      </c>
      <c r="G109" s="162" t="s">
        <v>599</v>
      </c>
      <c r="H109" s="162" t="s">
        <v>602</v>
      </c>
      <c r="I109" s="163" t="s">
        <v>421</v>
      </c>
      <c r="J109" s="163" t="s">
        <v>422</v>
      </c>
      <c r="K109" s="163" t="s">
        <v>460</v>
      </c>
      <c r="L109" s="163" t="s">
        <v>469</v>
      </c>
      <c r="M109" s="161" t="s">
        <v>423</v>
      </c>
      <c r="N109" s="168"/>
      <c r="O109" s="162" t="s">
        <v>1034</v>
      </c>
      <c r="P109" s="163" t="s">
        <v>185</v>
      </c>
      <c r="Q109" s="171">
        <f t="shared" si="55"/>
        <v>2</v>
      </c>
      <c r="R109" s="163" t="s">
        <v>186</v>
      </c>
      <c r="S109" s="172">
        <f t="shared" si="56"/>
        <v>4</v>
      </c>
      <c r="T109" s="166">
        <f t="shared" si="57"/>
        <v>8</v>
      </c>
      <c r="U109" s="163" t="str">
        <f t="shared" ref="U109" si="60">IF(AND(T109&gt;=0,T109&lt;=4),"Bajo",IF(AND(T109&gt;=6,T109&lt;=8),"Medio",IF(AND(T109&gt;=10,T109&lt;=20),"Alto",IF(AND(T109&gt;=20,T109&lt;=40),"Muy Alto",))))</f>
        <v>Medio</v>
      </c>
      <c r="V109" s="163" t="s">
        <v>428</v>
      </c>
      <c r="W109" s="172">
        <f t="shared" si="12"/>
        <v>10</v>
      </c>
      <c r="X109" s="166">
        <f t="shared" si="58"/>
        <v>80</v>
      </c>
      <c r="Y109" s="163" t="str">
        <f t="shared" si="59"/>
        <v>Nivel III: Riesgo Moderado (Aceptable)</v>
      </c>
      <c r="Z109" s="163">
        <v>2</v>
      </c>
      <c r="AA109" s="163" t="s">
        <v>926</v>
      </c>
      <c r="AB109" s="161" t="s">
        <v>424</v>
      </c>
      <c r="AC109" s="161" t="s">
        <v>424</v>
      </c>
      <c r="AD109" s="161" t="s">
        <v>424</v>
      </c>
      <c r="AE109" s="161" t="s">
        <v>1035</v>
      </c>
      <c r="AF109" s="161" t="s">
        <v>600</v>
      </c>
      <c r="AG109" s="166" t="s">
        <v>460</v>
      </c>
    </row>
    <row r="110" spans="1:33" ht="267.75" hidden="1" customHeight="1" x14ac:dyDescent="0.2">
      <c r="A110" s="162" t="s">
        <v>879</v>
      </c>
      <c r="B110" s="162" t="s">
        <v>1229</v>
      </c>
      <c r="C110" s="162" t="s">
        <v>1083</v>
      </c>
      <c r="D110" s="162" t="s">
        <v>986</v>
      </c>
      <c r="E110" s="161" t="s">
        <v>175</v>
      </c>
      <c r="F110" s="162" t="s">
        <v>597</v>
      </c>
      <c r="G110" s="162" t="s">
        <v>598</v>
      </c>
      <c r="H110" s="162" t="s">
        <v>602</v>
      </c>
      <c r="I110" s="163" t="s">
        <v>421</v>
      </c>
      <c r="J110" s="163" t="s">
        <v>422</v>
      </c>
      <c r="K110" s="163" t="s">
        <v>460</v>
      </c>
      <c r="L110" s="163" t="s">
        <v>469</v>
      </c>
      <c r="M110" s="161" t="s">
        <v>423</v>
      </c>
      <c r="N110" s="168"/>
      <c r="O110" s="162" t="s">
        <v>1034</v>
      </c>
      <c r="P110" s="163" t="s">
        <v>184</v>
      </c>
      <c r="Q110" s="171">
        <f t="shared" si="55"/>
        <v>1</v>
      </c>
      <c r="R110" s="163" t="s">
        <v>485</v>
      </c>
      <c r="S110" s="172">
        <f t="shared" si="56"/>
        <v>1</v>
      </c>
      <c r="T110" s="166">
        <f t="shared" si="57"/>
        <v>1</v>
      </c>
      <c r="U110" s="163" t="s">
        <v>184</v>
      </c>
      <c r="V110" s="163" t="s">
        <v>428</v>
      </c>
      <c r="W110" s="172">
        <f t="shared" si="12"/>
        <v>10</v>
      </c>
      <c r="X110" s="166">
        <f t="shared" si="58"/>
        <v>10</v>
      </c>
      <c r="Y110" s="163" t="str">
        <f t="shared" si="59"/>
        <v>Nivel IV: Riesgo Tolerable (Aceptable)</v>
      </c>
      <c r="Z110" s="163">
        <v>2</v>
      </c>
      <c r="AA110" s="163" t="s">
        <v>926</v>
      </c>
      <c r="AB110" s="161" t="s">
        <v>424</v>
      </c>
      <c r="AC110" s="161" t="s">
        <v>424</v>
      </c>
      <c r="AD110" s="161" t="s">
        <v>424</v>
      </c>
      <c r="AE110" s="161" t="s">
        <v>1035</v>
      </c>
      <c r="AF110" s="161" t="s">
        <v>600</v>
      </c>
      <c r="AG110" s="166" t="s">
        <v>460</v>
      </c>
    </row>
    <row r="111" spans="1:33" ht="153" hidden="1" customHeight="1" x14ac:dyDescent="0.2">
      <c r="A111" s="162" t="s">
        <v>879</v>
      </c>
      <c r="B111" s="162" t="s">
        <v>1229</v>
      </c>
      <c r="C111" s="162" t="s">
        <v>1083</v>
      </c>
      <c r="D111" s="162" t="s">
        <v>986</v>
      </c>
      <c r="E111" s="161" t="s">
        <v>999</v>
      </c>
      <c r="F111" s="162" t="s">
        <v>578</v>
      </c>
      <c r="G111" s="162" t="s">
        <v>1076</v>
      </c>
      <c r="H111" s="162" t="s">
        <v>979</v>
      </c>
      <c r="I111" s="163" t="s">
        <v>421</v>
      </c>
      <c r="J111" s="163" t="s">
        <v>422</v>
      </c>
      <c r="K111" s="163" t="s">
        <v>460</v>
      </c>
      <c r="L111" s="163" t="s">
        <v>469</v>
      </c>
      <c r="M111" s="161" t="s">
        <v>1055</v>
      </c>
      <c r="N111" s="168"/>
      <c r="O111" s="162" t="s">
        <v>1053</v>
      </c>
      <c r="P111" s="163" t="s">
        <v>184</v>
      </c>
      <c r="Q111" s="171">
        <f t="shared" si="55"/>
        <v>1</v>
      </c>
      <c r="R111" s="163" t="s">
        <v>485</v>
      </c>
      <c r="S111" s="172">
        <f t="shared" si="56"/>
        <v>1</v>
      </c>
      <c r="T111" s="166">
        <f t="shared" si="57"/>
        <v>1</v>
      </c>
      <c r="U111" s="163" t="s">
        <v>184</v>
      </c>
      <c r="V111" s="163" t="s">
        <v>187</v>
      </c>
      <c r="W111" s="172">
        <f t="shared" si="12"/>
        <v>25</v>
      </c>
      <c r="X111" s="166">
        <f t="shared" si="58"/>
        <v>25</v>
      </c>
      <c r="Y111" s="163" t="str">
        <f t="shared" si="59"/>
        <v>Nivel IV: Riesgo Tolerable (Aceptable)</v>
      </c>
      <c r="Z111" s="163">
        <v>2</v>
      </c>
      <c r="AA111" s="163" t="s">
        <v>926</v>
      </c>
      <c r="AB111" s="161" t="s">
        <v>424</v>
      </c>
      <c r="AC111" s="161" t="s">
        <v>424</v>
      </c>
      <c r="AD111" s="161" t="s">
        <v>424</v>
      </c>
      <c r="AE111" s="161" t="s">
        <v>1057</v>
      </c>
      <c r="AF111" s="161" t="s">
        <v>600</v>
      </c>
      <c r="AG111" s="166" t="s">
        <v>460</v>
      </c>
    </row>
    <row r="112" spans="1:33" ht="76.5" hidden="1" x14ac:dyDescent="0.2">
      <c r="A112" s="162" t="s">
        <v>879</v>
      </c>
      <c r="B112" s="162" t="s">
        <v>1229</v>
      </c>
      <c r="C112" s="162" t="s">
        <v>1083</v>
      </c>
      <c r="D112" s="162" t="s">
        <v>986</v>
      </c>
      <c r="E112" s="161" t="s">
        <v>999</v>
      </c>
      <c r="F112" s="162" t="s">
        <v>1120</v>
      </c>
      <c r="G112" s="162" t="s">
        <v>1159</v>
      </c>
      <c r="H112" s="162" t="s">
        <v>979</v>
      </c>
      <c r="I112" s="163" t="s">
        <v>421</v>
      </c>
      <c r="J112" s="163" t="s">
        <v>461</v>
      </c>
      <c r="K112" s="163" t="s">
        <v>460</v>
      </c>
      <c r="L112" s="163" t="s">
        <v>469</v>
      </c>
      <c r="M112" s="165" t="s">
        <v>423</v>
      </c>
      <c r="N112" s="161" t="s">
        <v>1142</v>
      </c>
      <c r="O112" s="162" t="s">
        <v>1141</v>
      </c>
      <c r="P112" s="163" t="s">
        <v>184</v>
      </c>
      <c r="Q112" s="171">
        <f t="shared" ref="Q112" si="61">IF(P112="Muy Alto",10,IF(P112="Alto",6,IF(P112="Medio",2,IF(P112="Bajo",1,))))</f>
        <v>1</v>
      </c>
      <c r="R112" s="163" t="s">
        <v>485</v>
      </c>
      <c r="S112" s="172">
        <f t="shared" ref="S112" si="62">IF(R112="Continua",4,IF(R112="Frecuente",3,IF(R112="Ocasional",2,IF(R112="Esporádica",1,))))</f>
        <v>1</v>
      </c>
      <c r="T112" s="166">
        <f t="shared" ref="T112" si="63">Q112*S112</f>
        <v>1</v>
      </c>
      <c r="U112" s="163" t="s">
        <v>184</v>
      </c>
      <c r="V112" s="163" t="s">
        <v>187</v>
      </c>
      <c r="W112" s="172">
        <f t="shared" si="12"/>
        <v>25</v>
      </c>
      <c r="X112" s="166">
        <f t="shared" ref="X112" si="64">T112*W112</f>
        <v>25</v>
      </c>
      <c r="Y112" s="163" t="str">
        <f t="shared" ref="Y112" si="65">IF(AND(X112&gt;=600,X112&lt;=4000),"Nivel I: Riesgo Inaceptable",IF(AND(X112&gt;=150,X112&lt;=500),"Nivel II: Riesgo Importante",IF(AND(X112&gt;=40,X112&lt;=120),"Nivel III: Riesgo Moderado (Aceptable)","Nivel IV: Riesgo Tolerable (Aceptable)")))</f>
        <v>Nivel IV: Riesgo Tolerable (Aceptable)</v>
      </c>
      <c r="Z112" s="163">
        <v>2</v>
      </c>
      <c r="AA112" s="163" t="s">
        <v>926</v>
      </c>
      <c r="AB112" s="161" t="s">
        <v>424</v>
      </c>
      <c r="AC112" s="161" t="s">
        <v>424</v>
      </c>
      <c r="AD112" s="161" t="s">
        <v>424</v>
      </c>
      <c r="AE112" s="161" t="s">
        <v>1056</v>
      </c>
      <c r="AF112" s="161" t="s">
        <v>528</v>
      </c>
      <c r="AG112" s="166" t="s">
        <v>460</v>
      </c>
    </row>
    <row r="113" spans="1:33" ht="51" hidden="1" x14ac:dyDescent="0.2">
      <c r="A113" s="162" t="s">
        <v>879</v>
      </c>
      <c r="B113" s="162" t="s">
        <v>1229</v>
      </c>
      <c r="C113" s="162" t="s">
        <v>1083</v>
      </c>
      <c r="D113" s="162" t="s">
        <v>986</v>
      </c>
      <c r="E113" s="161" t="s">
        <v>1000</v>
      </c>
      <c r="F113" s="162" t="s">
        <v>1123</v>
      </c>
      <c r="G113" s="162" t="s">
        <v>981</v>
      </c>
      <c r="H113" s="162" t="s">
        <v>1237</v>
      </c>
      <c r="I113" s="163" t="s">
        <v>421</v>
      </c>
      <c r="J113" s="163" t="s">
        <v>422</v>
      </c>
      <c r="K113" s="163" t="s">
        <v>460</v>
      </c>
      <c r="L113" s="163" t="s">
        <v>469</v>
      </c>
      <c r="M113" s="161" t="s">
        <v>423</v>
      </c>
      <c r="N113" s="161" t="s">
        <v>1145</v>
      </c>
      <c r="O113" s="162" t="s">
        <v>1144</v>
      </c>
      <c r="P113" s="163" t="s">
        <v>184</v>
      </c>
      <c r="Q113" s="171">
        <f t="shared" ref="Q113:Q131" si="66">IF(P113="Muy Alto",10,IF(P113="Alto",6,IF(P113="Medio",2,IF(P113="Bajo",1,))))</f>
        <v>1</v>
      </c>
      <c r="R113" s="163" t="s">
        <v>485</v>
      </c>
      <c r="S113" s="172">
        <f t="shared" ref="S113:S131" si="67">IF(R113="Continua",4,IF(R113="Frecuente",3,IF(R113="Ocasional",2,IF(R113="Esporádica",1,))))</f>
        <v>1</v>
      </c>
      <c r="T113" s="166">
        <f t="shared" ref="T113:T131" si="68">Q113*S113</f>
        <v>1</v>
      </c>
      <c r="U113" s="163" t="s">
        <v>184</v>
      </c>
      <c r="V113" s="163" t="s">
        <v>187</v>
      </c>
      <c r="W113" s="172">
        <f t="shared" si="12"/>
        <v>25</v>
      </c>
      <c r="X113" s="166">
        <f t="shared" ref="X113:X131" si="69">T113*W113</f>
        <v>25</v>
      </c>
      <c r="Y113" s="163" t="str">
        <f t="shared" ref="Y113:Y131" si="70">IF(AND(X113&gt;=600,X113&lt;=4000),"Nivel I: Riesgo Inaceptable",IF(AND(X113&gt;=150,X113&lt;=500),"Nivel II: Riesgo Importante",IF(AND(X113&gt;=40,X113&lt;=120),"Nivel III: Riesgo Moderado (Aceptable)","Nivel IV: Riesgo Tolerable (Aceptable)")))</f>
        <v>Nivel IV: Riesgo Tolerable (Aceptable)</v>
      </c>
      <c r="Z113" s="163">
        <v>2</v>
      </c>
      <c r="AA113" s="163" t="s">
        <v>926</v>
      </c>
      <c r="AB113" s="161" t="s">
        <v>424</v>
      </c>
      <c r="AC113" s="161" t="s">
        <v>424</v>
      </c>
      <c r="AD113" s="161" t="s">
        <v>424</v>
      </c>
      <c r="AE113" s="161" t="s">
        <v>1024</v>
      </c>
      <c r="AF113" s="161" t="s">
        <v>600</v>
      </c>
      <c r="AG113" s="166" t="s">
        <v>460</v>
      </c>
    </row>
    <row r="114" spans="1:33" ht="114.75" hidden="1" customHeight="1" x14ac:dyDescent="0.2">
      <c r="A114" s="162" t="s">
        <v>879</v>
      </c>
      <c r="B114" s="162" t="s">
        <v>1229</v>
      </c>
      <c r="C114" s="162" t="s">
        <v>1083</v>
      </c>
      <c r="D114" s="162" t="s">
        <v>986</v>
      </c>
      <c r="E114" s="161" t="s">
        <v>995</v>
      </c>
      <c r="F114" s="162" t="s">
        <v>719</v>
      </c>
      <c r="G114" s="162" t="s">
        <v>981</v>
      </c>
      <c r="H114" s="162" t="s">
        <v>722</v>
      </c>
      <c r="I114" s="163" t="s">
        <v>421</v>
      </c>
      <c r="J114" s="163" t="s">
        <v>422</v>
      </c>
      <c r="K114" s="163" t="s">
        <v>460</v>
      </c>
      <c r="L114" s="163" t="s">
        <v>469</v>
      </c>
      <c r="M114" s="161" t="s">
        <v>423</v>
      </c>
      <c r="N114" s="168"/>
      <c r="O114" s="162" t="s">
        <v>1092</v>
      </c>
      <c r="P114" s="163" t="s">
        <v>184</v>
      </c>
      <c r="Q114" s="171">
        <f t="shared" si="66"/>
        <v>1</v>
      </c>
      <c r="R114" s="163" t="s">
        <v>485</v>
      </c>
      <c r="S114" s="172">
        <f t="shared" si="67"/>
        <v>1</v>
      </c>
      <c r="T114" s="166">
        <f t="shared" si="68"/>
        <v>1</v>
      </c>
      <c r="U114" s="163" t="s">
        <v>184</v>
      </c>
      <c r="V114" s="163" t="s">
        <v>187</v>
      </c>
      <c r="W114" s="172">
        <f t="shared" si="12"/>
        <v>25</v>
      </c>
      <c r="X114" s="166">
        <f t="shared" si="69"/>
        <v>25</v>
      </c>
      <c r="Y114" s="163" t="str">
        <f t="shared" si="70"/>
        <v>Nivel IV: Riesgo Tolerable (Aceptable)</v>
      </c>
      <c r="Z114" s="163">
        <v>2</v>
      </c>
      <c r="AA114" s="163" t="s">
        <v>926</v>
      </c>
      <c r="AB114" s="161" t="s">
        <v>424</v>
      </c>
      <c r="AC114" s="161" t="s">
        <v>424</v>
      </c>
      <c r="AD114" s="161" t="s">
        <v>424</v>
      </c>
      <c r="AE114" s="161" t="s">
        <v>1042</v>
      </c>
      <c r="AF114" s="161" t="s">
        <v>600</v>
      </c>
      <c r="AG114" s="166" t="s">
        <v>460</v>
      </c>
    </row>
    <row r="115" spans="1:33" ht="127.5" hidden="1" customHeight="1" x14ac:dyDescent="0.2">
      <c r="A115" s="162" t="s">
        <v>879</v>
      </c>
      <c r="B115" s="162" t="s">
        <v>1229</v>
      </c>
      <c r="C115" s="162" t="s">
        <v>1083</v>
      </c>
      <c r="D115" s="162" t="s">
        <v>986</v>
      </c>
      <c r="E115" s="161" t="s">
        <v>995</v>
      </c>
      <c r="F115" s="162" t="s">
        <v>720</v>
      </c>
      <c r="G115" s="162" t="s">
        <v>981</v>
      </c>
      <c r="H115" s="162" t="s">
        <v>724</v>
      </c>
      <c r="I115" s="163" t="s">
        <v>421</v>
      </c>
      <c r="J115" s="163" t="s">
        <v>422</v>
      </c>
      <c r="K115" s="163" t="s">
        <v>460</v>
      </c>
      <c r="L115" s="163" t="s">
        <v>469</v>
      </c>
      <c r="M115" s="161" t="s">
        <v>1081</v>
      </c>
      <c r="N115" s="168"/>
      <c r="O115" s="162" t="s">
        <v>1092</v>
      </c>
      <c r="P115" s="163" t="s">
        <v>184</v>
      </c>
      <c r="Q115" s="171">
        <f t="shared" si="66"/>
        <v>1</v>
      </c>
      <c r="R115" s="163" t="s">
        <v>485</v>
      </c>
      <c r="S115" s="172">
        <f t="shared" si="67"/>
        <v>1</v>
      </c>
      <c r="T115" s="166">
        <f t="shared" si="68"/>
        <v>1</v>
      </c>
      <c r="U115" s="163" t="s">
        <v>184</v>
      </c>
      <c r="V115" s="163" t="s">
        <v>187</v>
      </c>
      <c r="W115" s="172">
        <f t="shared" si="12"/>
        <v>25</v>
      </c>
      <c r="X115" s="166">
        <f t="shared" si="69"/>
        <v>25</v>
      </c>
      <c r="Y115" s="163" t="str">
        <f t="shared" si="70"/>
        <v>Nivel IV: Riesgo Tolerable (Aceptable)</v>
      </c>
      <c r="Z115" s="163">
        <v>2</v>
      </c>
      <c r="AA115" s="163" t="s">
        <v>926</v>
      </c>
      <c r="AB115" s="161" t="s">
        <v>424</v>
      </c>
      <c r="AC115" s="161" t="s">
        <v>424</v>
      </c>
      <c r="AD115" s="161" t="s">
        <v>424</v>
      </c>
      <c r="AE115" s="161" t="s">
        <v>1042</v>
      </c>
      <c r="AF115" s="161" t="s">
        <v>600</v>
      </c>
      <c r="AG115" s="166" t="s">
        <v>460</v>
      </c>
    </row>
    <row r="116" spans="1:33" ht="51" hidden="1" x14ac:dyDescent="0.2">
      <c r="A116" s="162" t="s">
        <v>879</v>
      </c>
      <c r="B116" s="162" t="s">
        <v>1229</v>
      </c>
      <c r="C116" s="162" t="s">
        <v>1083</v>
      </c>
      <c r="D116" s="162" t="s">
        <v>986</v>
      </c>
      <c r="E116" s="161" t="s">
        <v>1000</v>
      </c>
      <c r="F116" s="162" t="s">
        <v>1127</v>
      </c>
      <c r="G116" s="162" t="s">
        <v>1152</v>
      </c>
      <c r="H116" s="162" t="s">
        <v>1237</v>
      </c>
      <c r="I116" s="163" t="s">
        <v>421</v>
      </c>
      <c r="J116" s="163" t="s">
        <v>461</v>
      </c>
      <c r="K116" s="163" t="s">
        <v>460</v>
      </c>
      <c r="L116" s="163" t="s">
        <v>469</v>
      </c>
      <c r="M116" s="161" t="s">
        <v>423</v>
      </c>
      <c r="N116" s="168"/>
      <c r="O116" s="162" t="s">
        <v>1023</v>
      </c>
      <c r="P116" s="163" t="s">
        <v>184</v>
      </c>
      <c r="Q116" s="171">
        <f t="shared" si="66"/>
        <v>1</v>
      </c>
      <c r="R116" s="163" t="s">
        <v>485</v>
      </c>
      <c r="S116" s="172">
        <f t="shared" si="67"/>
        <v>1</v>
      </c>
      <c r="T116" s="166">
        <f t="shared" si="68"/>
        <v>1</v>
      </c>
      <c r="U116" s="163" t="str">
        <f t="shared" ref="U116:U123" si="71">IF(AND(T116&gt;=0,T116&lt;=4),"Bajo",IF(AND(T116&gt;=6,T116&lt;=8),"Medio",IF(AND(T116&gt;=10,T116&lt;=20),"Alto",IF(AND(T116&gt;=20,T116&lt;=40),"Muy Alto",))))</f>
        <v>Bajo</v>
      </c>
      <c r="V116" s="163" t="s">
        <v>971</v>
      </c>
      <c r="W116" s="172">
        <f t="shared" si="12"/>
        <v>100</v>
      </c>
      <c r="X116" s="166">
        <f t="shared" si="69"/>
        <v>100</v>
      </c>
      <c r="Y116" s="163" t="str">
        <f t="shared" si="70"/>
        <v>Nivel III: Riesgo Moderado (Aceptable)</v>
      </c>
      <c r="Z116" s="163">
        <v>2</v>
      </c>
      <c r="AA116" s="163" t="s">
        <v>926</v>
      </c>
      <c r="AB116" s="161" t="s">
        <v>424</v>
      </c>
      <c r="AC116" s="161" t="s">
        <v>424</v>
      </c>
      <c r="AD116" s="161" t="s">
        <v>424</v>
      </c>
      <c r="AE116" s="161" t="s">
        <v>1025</v>
      </c>
      <c r="AF116" s="161" t="s">
        <v>600</v>
      </c>
      <c r="AG116" s="166" t="s">
        <v>460</v>
      </c>
    </row>
    <row r="117" spans="1:33" ht="127.5" hidden="1" x14ac:dyDescent="0.2">
      <c r="A117" s="162" t="s">
        <v>879</v>
      </c>
      <c r="B117" s="162" t="s">
        <v>1228</v>
      </c>
      <c r="C117" s="162" t="s">
        <v>1084</v>
      </c>
      <c r="D117" s="162" t="s">
        <v>1082</v>
      </c>
      <c r="E117" s="161" t="s">
        <v>998</v>
      </c>
      <c r="F117" s="162" t="s">
        <v>1113</v>
      </c>
      <c r="G117" s="162" t="s">
        <v>924</v>
      </c>
      <c r="H117" s="162" t="s">
        <v>557</v>
      </c>
      <c r="I117" s="163" t="s">
        <v>421</v>
      </c>
      <c r="J117" s="163" t="s">
        <v>422</v>
      </c>
      <c r="K117" s="163" t="s">
        <v>460</v>
      </c>
      <c r="L117" s="163" t="s">
        <v>469</v>
      </c>
      <c r="M117" s="161" t="s">
        <v>902</v>
      </c>
      <c r="N117" s="163" t="s">
        <v>1128</v>
      </c>
      <c r="O117" s="162" t="s">
        <v>1050</v>
      </c>
      <c r="P117" s="163" t="s">
        <v>185</v>
      </c>
      <c r="Q117" s="171">
        <f t="shared" si="66"/>
        <v>2</v>
      </c>
      <c r="R117" s="163" t="s">
        <v>186</v>
      </c>
      <c r="S117" s="172">
        <f t="shared" si="67"/>
        <v>4</v>
      </c>
      <c r="T117" s="166">
        <f t="shared" si="68"/>
        <v>8</v>
      </c>
      <c r="U117" s="163" t="str">
        <f t="shared" si="71"/>
        <v>Medio</v>
      </c>
      <c r="V117" s="163" t="s">
        <v>187</v>
      </c>
      <c r="W117" s="172">
        <f t="shared" si="12"/>
        <v>25</v>
      </c>
      <c r="X117" s="166">
        <f t="shared" si="69"/>
        <v>200</v>
      </c>
      <c r="Y117" s="163" t="str">
        <f t="shared" si="70"/>
        <v>Nivel II: Riesgo Importante</v>
      </c>
      <c r="Z117" s="163">
        <v>2</v>
      </c>
      <c r="AA117" s="163" t="s">
        <v>926</v>
      </c>
      <c r="AB117" s="161" t="s">
        <v>424</v>
      </c>
      <c r="AC117" s="161" t="s">
        <v>424</v>
      </c>
      <c r="AD117" s="161" t="s">
        <v>424</v>
      </c>
      <c r="AE117" s="161" t="s">
        <v>1129</v>
      </c>
      <c r="AF117" s="161" t="s">
        <v>600</v>
      </c>
      <c r="AG117" s="166" t="s">
        <v>460</v>
      </c>
    </row>
    <row r="118" spans="1:33" ht="165" hidden="1" customHeight="1" x14ac:dyDescent="0.2">
      <c r="A118" s="162" t="s">
        <v>879</v>
      </c>
      <c r="B118" s="162" t="s">
        <v>1228</v>
      </c>
      <c r="C118" s="162" t="s">
        <v>1084</v>
      </c>
      <c r="D118" s="162" t="s">
        <v>1082</v>
      </c>
      <c r="E118" s="161" t="s">
        <v>998</v>
      </c>
      <c r="F118" s="162" t="s">
        <v>178</v>
      </c>
      <c r="G118" s="162" t="s">
        <v>1067</v>
      </c>
      <c r="H118" s="162" t="s">
        <v>559</v>
      </c>
      <c r="I118" s="163" t="s">
        <v>421</v>
      </c>
      <c r="J118" s="163" t="s">
        <v>422</v>
      </c>
      <c r="K118" s="163" t="s">
        <v>460</v>
      </c>
      <c r="L118" s="163" t="s">
        <v>469</v>
      </c>
      <c r="M118" s="161" t="s">
        <v>606</v>
      </c>
      <c r="N118" s="161" t="s">
        <v>606</v>
      </c>
      <c r="O118" s="162" t="s">
        <v>1046</v>
      </c>
      <c r="P118" s="163" t="s">
        <v>185</v>
      </c>
      <c r="Q118" s="171">
        <f t="shared" si="66"/>
        <v>2</v>
      </c>
      <c r="R118" s="163" t="s">
        <v>186</v>
      </c>
      <c r="S118" s="172">
        <f t="shared" si="67"/>
        <v>4</v>
      </c>
      <c r="T118" s="166">
        <f t="shared" si="68"/>
        <v>8</v>
      </c>
      <c r="U118" s="163" t="str">
        <f t="shared" si="71"/>
        <v>Medio</v>
      </c>
      <c r="V118" s="163" t="s">
        <v>187</v>
      </c>
      <c r="W118" s="172">
        <f t="shared" si="12"/>
        <v>25</v>
      </c>
      <c r="X118" s="166">
        <f t="shared" si="69"/>
        <v>200</v>
      </c>
      <c r="Y118" s="163" t="str">
        <f t="shared" si="70"/>
        <v>Nivel II: Riesgo Importante</v>
      </c>
      <c r="Z118" s="163">
        <v>2</v>
      </c>
      <c r="AA118" s="163" t="s">
        <v>926</v>
      </c>
      <c r="AB118" s="161" t="s">
        <v>424</v>
      </c>
      <c r="AC118" s="161" t="s">
        <v>424</v>
      </c>
      <c r="AD118" s="161" t="s">
        <v>424</v>
      </c>
      <c r="AE118" s="161" t="s">
        <v>1130</v>
      </c>
      <c r="AF118" s="161" t="s">
        <v>600</v>
      </c>
      <c r="AG118" s="166" t="s">
        <v>460</v>
      </c>
    </row>
    <row r="119" spans="1:33" ht="165" hidden="1" customHeight="1" x14ac:dyDescent="0.2">
      <c r="A119" s="162" t="s">
        <v>879</v>
      </c>
      <c r="B119" s="162" t="s">
        <v>1228</v>
      </c>
      <c r="C119" s="162" t="s">
        <v>1084</v>
      </c>
      <c r="D119" s="162" t="s">
        <v>1082</v>
      </c>
      <c r="E119" s="161" t="s">
        <v>999</v>
      </c>
      <c r="F119" s="162" t="s">
        <v>292</v>
      </c>
      <c r="G119" s="162" t="s">
        <v>1068</v>
      </c>
      <c r="H119" s="162" t="s">
        <v>472</v>
      </c>
      <c r="I119" s="163" t="s">
        <v>421</v>
      </c>
      <c r="J119" s="163" t="s">
        <v>461</v>
      </c>
      <c r="K119" s="163" t="s">
        <v>460</v>
      </c>
      <c r="L119" s="163" t="s">
        <v>469</v>
      </c>
      <c r="M119" s="161" t="s">
        <v>1069</v>
      </c>
      <c r="N119" s="168"/>
      <c r="O119" s="162" t="s">
        <v>1070</v>
      </c>
      <c r="P119" s="163" t="s">
        <v>184</v>
      </c>
      <c r="Q119" s="171">
        <f t="shared" si="66"/>
        <v>1</v>
      </c>
      <c r="R119" s="163" t="s">
        <v>429</v>
      </c>
      <c r="S119" s="172">
        <f t="shared" si="67"/>
        <v>2</v>
      </c>
      <c r="T119" s="166">
        <f t="shared" si="68"/>
        <v>2</v>
      </c>
      <c r="U119" s="163" t="str">
        <f t="shared" si="71"/>
        <v>Bajo</v>
      </c>
      <c r="V119" s="163" t="s">
        <v>428</v>
      </c>
      <c r="W119" s="172">
        <f t="shared" si="12"/>
        <v>10</v>
      </c>
      <c r="X119" s="166">
        <f t="shared" si="69"/>
        <v>20</v>
      </c>
      <c r="Y119" s="163" t="str">
        <f t="shared" si="70"/>
        <v>Nivel IV: Riesgo Tolerable (Aceptable)</v>
      </c>
      <c r="Z119" s="163">
        <v>2</v>
      </c>
      <c r="AA119" s="163" t="s">
        <v>926</v>
      </c>
      <c r="AB119" s="161" t="s">
        <v>424</v>
      </c>
      <c r="AC119" s="161" t="s">
        <v>424</v>
      </c>
      <c r="AD119" s="161" t="s">
        <v>424</v>
      </c>
      <c r="AE119" s="161" t="s">
        <v>1071</v>
      </c>
      <c r="AF119" s="162" t="s">
        <v>609</v>
      </c>
      <c r="AG119" s="166" t="s">
        <v>460</v>
      </c>
    </row>
    <row r="120" spans="1:33" ht="89.25" hidden="1" x14ac:dyDescent="0.2">
      <c r="A120" s="162" t="s">
        <v>879</v>
      </c>
      <c r="B120" s="162" t="s">
        <v>1228</v>
      </c>
      <c r="C120" s="162" t="s">
        <v>1084</v>
      </c>
      <c r="D120" s="162" t="s">
        <v>1082</v>
      </c>
      <c r="E120" s="161" t="s">
        <v>999</v>
      </c>
      <c r="F120" s="162" t="s">
        <v>288</v>
      </c>
      <c r="G120" s="162" t="s">
        <v>837</v>
      </c>
      <c r="H120" s="162" t="s">
        <v>507</v>
      </c>
      <c r="I120" s="163" t="s">
        <v>421</v>
      </c>
      <c r="J120" s="163" t="s">
        <v>461</v>
      </c>
      <c r="K120" s="163" t="s">
        <v>460</v>
      </c>
      <c r="L120" s="163" t="s">
        <v>469</v>
      </c>
      <c r="M120" s="161" t="s">
        <v>423</v>
      </c>
      <c r="N120" s="168"/>
      <c r="O120" s="162" t="s">
        <v>1005</v>
      </c>
      <c r="P120" s="163" t="s">
        <v>185</v>
      </c>
      <c r="Q120" s="171">
        <f t="shared" si="66"/>
        <v>2</v>
      </c>
      <c r="R120" s="163" t="s">
        <v>429</v>
      </c>
      <c r="S120" s="172">
        <f t="shared" si="67"/>
        <v>2</v>
      </c>
      <c r="T120" s="166">
        <f t="shared" si="68"/>
        <v>4</v>
      </c>
      <c r="U120" s="163" t="str">
        <f t="shared" si="71"/>
        <v>Bajo</v>
      </c>
      <c r="V120" s="163" t="s">
        <v>187</v>
      </c>
      <c r="W120" s="172">
        <f t="shared" si="12"/>
        <v>25</v>
      </c>
      <c r="X120" s="166">
        <f t="shared" si="69"/>
        <v>100</v>
      </c>
      <c r="Y120" s="163" t="str">
        <f t="shared" si="70"/>
        <v>Nivel III: Riesgo Moderado (Aceptable)</v>
      </c>
      <c r="Z120" s="163">
        <v>2</v>
      </c>
      <c r="AA120" s="163" t="s">
        <v>926</v>
      </c>
      <c r="AB120" s="161" t="s">
        <v>424</v>
      </c>
      <c r="AC120" s="161" t="s">
        <v>424</v>
      </c>
      <c r="AD120" s="161" t="s">
        <v>424</v>
      </c>
      <c r="AE120" s="162" t="s">
        <v>1007</v>
      </c>
      <c r="AF120" s="161" t="s">
        <v>528</v>
      </c>
      <c r="AG120" s="166" t="s">
        <v>460</v>
      </c>
    </row>
    <row r="121" spans="1:33" ht="76.5" hidden="1" x14ac:dyDescent="0.2">
      <c r="A121" s="162" t="s">
        <v>879</v>
      </c>
      <c r="B121" s="162" t="s">
        <v>1228</v>
      </c>
      <c r="C121" s="162" t="s">
        <v>1084</v>
      </c>
      <c r="D121" s="162" t="s">
        <v>1082</v>
      </c>
      <c r="E121" s="161" t="s">
        <v>999</v>
      </c>
      <c r="F121" s="162" t="s">
        <v>288</v>
      </c>
      <c r="G121" s="162" t="s">
        <v>488</v>
      </c>
      <c r="H121" s="162" t="s">
        <v>614</v>
      </c>
      <c r="I121" s="163" t="s">
        <v>421</v>
      </c>
      <c r="J121" s="163" t="s">
        <v>461</v>
      </c>
      <c r="K121" s="163" t="s">
        <v>460</v>
      </c>
      <c r="L121" s="163" t="s">
        <v>469</v>
      </c>
      <c r="M121" s="161" t="s">
        <v>1065</v>
      </c>
      <c r="N121" s="168"/>
      <c r="O121" s="162" t="s">
        <v>1026</v>
      </c>
      <c r="P121" s="163" t="s">
        <v>184</v>
      </c>
      <c r="Q121" s="171">
        <f t="shared" si="66"/>
        <v>1</v>
      </c>
      <c r="R121" s="163" t="s">
        <v>485</v>
      </c>
      <c r="S121" s="172">
        <f t="shared" si="67"/>
        <v>1</v>
      </c>
      <c r="T121" s="166">
        <f t="shared" si="68"/>
        <v>1</v>
      </c>
      <c r="U121" s="163" t="str">
        <f t="shared" si="71"/>
        <v>Bajo</v>
      </c>
      <c r="V121" s="163" t="s">
        <v>187</v>
      </c>
      <c r="W121" s="172">
        <f t="shared" si="12"/>
        <v>25</v>
      </c>
      <c r="X121" s="166">
        <f t="shared" si="69"/>
        <v>25</v>
      </c>
      <c r="Y121" s="163" t="str">
        <f t="shared" si="70"/>
        <v>Nivel IV: Riesgo Tolerable (Aceptable)</v>
      </c>
      <c r="Z121" s="163">
        <v>2</v>
      </c>
      <c r="AA121" s="163" t="s">
        <v>926</v>
      </c>
      <c r="AB121" s="161" t="s">
        <v>424</v>
      </c>
      <c r="AC121" s="161" t="s">
        <v>424</v>
      </c>
      <c r="AD121" s="161" t="s">
        <v>424</v>
      </c>
      <c r="AE121" s="161" t="s">
        <v>1066</v>
      </c>
      <c r="AF121" s="161" t="s">
        <v>528</v>
      </c>
      <c r="AG121" s="166" t="s">
        <v>460</v>
      </c>
    </row>
    <row r="122" spans="1:33" ht="76.5" hidden="1" x14ac:dyDescent="0.2">
      <c r="A122" s="162" t="s">
        <v>879</v>
      </c>
      <c r="B122" s="162" t="s">
        <v>1228</v>
      </c>
      <c r="C122" s="162" t="s">
        <v>1084</v>
      </c>
      <c r="D122" s="162" t="s">
        <v>1082</v>
      </c>
      <c r="E122" s="161" t="s">
        <v>999</v>
      </c>
      <c r="F122" s="162" t="s">
        <v>1117</v>
      </c>
      <c r="G122" s="162" t="s">
        <v>564</v>
      </c>
      <c r="H122" s="162" t="s">
        <v>1072</v>
      </c>
      <c r="I122" s="163" t="s">
        <v>421</v>
      </c>
      <c r="J122" s="163" t="s">
        <v>461</v>
      </c>
      <c r="K122" s="163" t="s">
        <v>460</v>
      </c>
      <c r="L122" s="163" t="s">
        <v>469</v>
      </c>
      <c r="M122" s="166" t="s">
        <v>423</v>
      </c>
      <c r="N122" s="168"/>
      <c r="O122" s="162" t="s">
        <v>1026</v>
      </c>
      <c r="P122" s="163" t="s">
        <v>184</v>
      </c>
      <c r="Q122" s="171">
        <f t="shared" si="66"/>
        <v>1</v>
      </c>
      <c r="R122" s="163" t="s">
        <v>485</v>
      </c>
      <c r="S122" s="172">
        <f t="shared" si="67"/>
        <v>1</v>
      </c>
      <c r="T122" s="166">
        <f t="shared" si="68"/>
        <v>1</v>
      </c>
      <c r="U122" s="163" t="str">
        <f t="shared" si="71"/>
        <v>Bajo</v>
      </c>
      <c r="V122" s="163" t="s">
        <v>428</v>
      </c>
      <c r="W122" s="172">
        <f t="shared" si="12"/>
        <v>10</v>
      </c>
      <c r="X122" s="166">
        <f t="shared" si="69"/>
        <v>10</v>
      </c>
      <c r="Y122" s="163" t="str">
        <f t="shared" si="70"/>
        <v>Nivel IV: Riesgo Tolerable (Aceptable)</v>
      </c>
      <c r="Z122" s="163">
        <v>2</v>
      </c>
      <c r="AA122" s="163" t="s">
        <v>926</v>
      </c>
      <c r="AB122" s="161" t="s">
        <v>424</v>
      </c>
      <c r="AC122" s="161" t="s">
        <v>424</v>
      </c>
      <c r="AD122" s="161" t="s">
        <v>424</v>
      </c>
      <c r="AE122" s="161" t="s">
        <v>1066</v>
      </c>
      <c r="AF122" s="161" t="s">
        <v>528</v>
      </c>
      <c r="AG122" s="166" t="s">
        <v>460</v>
      </c>
    </row>
    <row r="123" spans="1:33" ht="102" hidden="1" x14ac:dyDescent="0.2">
      <c r="A123" s="162" t="s">
        <v>879</v>
      </c>
      <c r="B123" s="162" t="s">
        <v>1228</v>
      </c>
      <c r="C123" s="162" t="s">
        <v>1084</v>
      </c>
      <c r="D123" s="162" t="s">
        <v>1082</v>
      </c>
      <c r="E123" s="161" t="s">
        <v>996</v>
      </c>
      <c r="F123" s="162" t="s">
        <v>430</v>
      </c>
      <c r="G123" s="162" t="s">
        <v>486</v>
      </c>
      <c r="H123" s="162" t="s">
        <v>623</v>
      </c>
      <c r="I123" s="163" t="s">
        <v>421</v>
      </c>
      <c r="J123" s="163" t="s">
        <v>422</v>
      </c>
      <c r="K123" s="163" t="s">
        <v>460</v>
      </c>
      <c r="L123" s="163" t="s">
        <v>469</v>
      </c>
      <c r="M123" s="169" t="s">
        <v>1073</v>
      </c>
      <c r="N123" s="168"/>
      <c r="O123" s="162" t="s">
        <v>1032</v>
      </c>
      <c r="P123" s="163" t="s">
        <v>184</v>
      </c>
      <c r="Q123" s="171">
        <f t="shared" si="66"/>
        <v>1</v>
      </c>
      <c r="R123" s="163" t="s">
        <v>429</v>
      </c>
      <c r="S123" s="172">
        <f t="shared" si="67"/>
        <v>2</v>
      </c>
      <c r="T123" s="166">
        <f t="shared" si="68"/>
        <v>2</v>
      </c>
      <c r="U123" s="163" t="str">
        <f t="shared" si="71"/>
        <v>Bajo</v>
      </c>
      <c r="V123" s="163" t="s">
        <v>428</v>
      </c>
      <c r="W123" s="172">
        <f t="shared" si="12"/>
        <v>10</v>
      </c>
      <c r="X123" s="166">
        <f t="shared" si="69"/>
        <v>20</v>
      </c>
      <c r="Y123" s="163" t="str">
        <f t="shared" si="70"/>
        <v>Nivel IV: Riesgo Tolerable (Aceptable)</v>
      </c>
      <c r="Z123" s="163">
        <v>2</v>
      </c>
      <c r="AA123" s="163" t="s">
        <v>926</v>
      </c>
      <c r="AB123" s="161" t="s">
        <v>424</v>
      </c>
      <c r="AC123" s="161" t="s">
        <v>424</v>
      </c>
      <c r="AD123" s="161" t="s">
        <v>424</v>
      </c>
      <c r="AE123" s="161" t="s">
        <v>1075</v>
      </c>
      <c r="AF123" s="161" t="s">
        <v>600</v>
      </c>
      <c r="AG123" s="166" t="s">
        <v>460</v>
      </c>
    </row>
    <row r="124" spans="1:33" ht="140.25" hidden="1" customHeight="1" x14ac:dyDescent="0.2">
      <c r="A124" s="162" t="s">
        <v>879</v>
      </c>
      <c r="B124" s="162" t="s">
        <v>1228</v>
      </c>
      <c r="C124" s="162" t="s">
        <v>1084</v>
      </c>
      <c r="D124" s="162" t="s">
        <v>1082</v>
      </c>
      <c r="E124" s="161" t="s">
        <v>999</v>
      </c>
      <c r="F124" s="162" t="s">
        <v>294</v>
      </c>
      <c r="G124" s="162" t="s">
        <v>1077</v>
      </c>
      <c r="H124" s="162" t="s">
        <v>966</v>
      </c>
      <c r="I124" s="163" t="s">
        <v>421</v>
      </c>
      <c r="J124" s="163" t="s">
        <v>422</v>
      </c>
      <c r="K124" s="163" t="s">
        <v>460</v>
      </c>
      <c r="L124" s="163" t="s">
        <v>469</v>
      </c>
      <c r="M124" s="161" t="s">
        <v>1079</v>
      </c>
      <c r="N124" s="168"/>
      <c r="O124" s="164" t="s">
        <v>1026</v>
      </c>
      <c r="P124" s="163" t="s">
        <v>184</v>
      </c>
      <c r="Q124" s="171">
        <f t="shared" si="66"/>
        <v>1</v>
      </c>
      <c r="R124" s="163" t="s">
        <v>416</v>
      </c>
      <c r="S124" s="172">
        <f t="shared" si="67"/>
        <v>3</v>
      </c>
      <c r="T124" s="166">
        <f t="shared" si="68"/>
        <v>3</v>
      </c>
      <c r="U124" s="163" t="s">
        <v>184</v>
      </c>
      <c r="V124" s="163" t="s">
        <v>187</v>
      </c>
      <c r="W124" s="172">
        <f t="shared" si="12"/>
        <v>25</v>
      </c>
      <c r="X124" s="166">
        <f t="shared" si="69"/>
        <v>75</v>
      </c>
      <c r="Y124" s="163" t="str">
        <f t="shared" si="70"/>
        <v>Nivel III: Riesgo Moderado (Aceptable)</v>
      </c>
      <c r="Z124" s="163">
        <v>2</v>
      </c>
      <c r="AA124" s="163" t="s">
        <v>926</v>
      </c>
      <c r="AB124" s="161" t="s">
        <v>424</v>
      </c>
      <c r="AC124" s="161" t="s">
        <v>424</v>
      </c>
      <c r="AD124" s="161" t="s">
        <v>424</v>
      </c>
      <c r="AE124" s="167" t="s">
        <v>1080</v>
      </c>
      <c r="AF124" s="161" t="s">
        <v>600</v>
      </c>
      <c r="AG124" s="166" t="s">
        <v>460</v>
      </c>
    </row>
    <row r="125" spans="1:33" ht="89.25" hidden="1" x14ac:dyDescent="0.2">
      <c r="A125" s="162" t="s">
        <v>879</v>
      </c>
      <c r="B125" s="162" t="s">
        <v>1228</v>
      </c>
      <c r="C125" s="162" t="s">
        <v>1084</v>
      </c>
      <c r="D125" s="162" t="s">
        <v>1082</v>
      </c>
      <c r="E125" s="161" t="s">
        <v>999</v>
      </c>
      <c r="F125" s="162" t="s">
        <v>347</v>
      </c>
      <c r="G125" s="162" t="s">
        <v>587</v>
      </c>
      <c r="H125" s="162" t="s">
        <v>1236</v>
      </c>
      <c r="I125" s="163" t="s">
        <v>421</v>
      </c>
      <c r="J125" s="163" t="s">
        <v>422</v>
      </c>
      <c r="K125" s="163" t="s">
        <v>460</v>
      </c>
      <c r="L125" s="163" t="s">
        <v>469</v>
      </c>
      <c r="M125" s="163" t="s">
        <v>1192</v>
      </c>
      <c r="N125" s="161" t="s">
        <v>1145</v>
      </c>
      <c r="O125" s="162" t="s">
        <v>1026</v>
      </c>
      <c r="P125" s="163" t="s">
        <v>184</v>
      </c>
      <c r="Q125" s="171">
        <f t="shared" si="66"/>
        <v>1</v>
      </c>
      <c r="R125" s="163" t="s">
        <v>485</v>
      </c>
      <c r="S125" s="172">
        <f t="shared" si="67"/>
        <v>1</v>
      </c>
      <c r="T125" s="166">
        <f t="shared" si="68"/>
        <v>1</v>
      </c>
      <c r="U125" s="163" t="s">
        <v>184</v>
      </c>
      <c r="V125" s="163" t="s">
        <v>971</v>
      </c>
      <c r="W125" s="172">
        <f t="shared" si="12"/>
        <v>100</v>
      </c>
      <c r="X125" s="166">
        <f t="shared" si="69"/>
        <v>100</v>
      </c>
      <c r="Y125" s="163" t="str">
        <f t="shared" si="70"/>
        <v>Nivel III: Riesgo Moderado (Aceptable)</v>
      </c>
      <c r="Z125" s="163">
        <v>2</v>
      </c>
      <c r="AA125" s="163" t="s">
        <v>926</v>
      </c>
      <c r="AB125" s="161" t="s">
        <v>424</v>
      </c>
      <c r="AC125" s="161" t="s">
        <v>424</v>
      </c>
      <c r="AD125" s="161" t="s">
        <v>424</v>
      </c>
      <c r="AE125" s="161" t="s">
        <v>1029</v>
      </c>
      <c r="AF125" s="161" t="s">
        <v>600</v>
      </c>
      <c r="AG125" s="166" t="s">
        <v>460</v>
      </c>
    </row>
    <row r="126" spans="1:33" ht="102" hidden="1" x14ac:dyDescent="0.2">
      <c r="A126" s="162" t="s">
        <v>879</v>
      </c>
      <c r="B126" s="162" t="s">
        <v>1228</v>
      </c>
      <c r="C126" s="162" t="s">
        <v>1084</v>
      </c>
      <c r="D126" s="162" t="s">
        <v>1082</v>
      </c>
      <c r="E126" s="161" t="s">
        <v>995</v>
      </c>
      <c r="F126" s="162" t="s">
        <v>714</v>
      </c>
      <c r="G126" s="162" t="s">
        <v>1036</v>
      </c>
      <c r="H126" s="162" t="s">
        <v>625</v>
      </c>
      <c r="I126" s="163" t="s">
        <v>421</v>
      </c>
      <c r="J126" s="163" t="s">
        <v>422</v>
      </c>
      <c r="K126" s="163" t="s">
        <v>460</v>
      </c>
      <c r="L126" s="163" t="s">
        <v>469</v>
      </c>
      <c r="M126" s="161" t="s">
        <v>1037</v>
      </c>
      <c r="N126" s="168"/>
      <c r="O126" s="164" t="s">
        <v>1038</v>
      </c>
      <c r="P126" s="163" t="s">
        <v>184</v>
      </c>
      <c r="Q126" s="171">
        <f t="shared" si="66"/>
        <v>1</v>
      </c>
      <c r="R126" s="163" t="s">
        <v>485</v>
      </c>
      <c r="S126" s="172">
        <f t="shared" si="67"/>
        <v>1</v>
      </c>
      <c r="T126" s="166">
        <f t="shared" si="68"/>
        <v>1</v>
      </c>
      <c r="U126" s="163" t="str">
        <f t="shared" ref="U126" si="72">IF(AND(T126&gt;=0,T126&lt;=4),"Bajo",IF(AND(T126&gt;=6,T126&lt;=8),"Medio",IF(AND(T126&gt;=10,T126&lt;=20),"Alto",IF(AND(T126&gt;=20,T126&lt;=40),"Muy Alto",))))</f>
        <v>Bajo</v>
      </c>
      <c r="V126" s="163" t="s">
        <v>187</v>
      </c>
      <c r="W126" s="172">
        <f t="shared" si="12"/>
        <v>25</v>
      </c>
      <c r="X126" s="166">
        <f t="shared" si="69"/>
        <v>25</v>
      </c>
      <c r="Y126" s="163" t="str">
        <f t="shared" si="70"/>
        <v>Nivel IV: Riesgo Tolerable (Aceptable)</v>
      </c>
      <c r="Z126" s="163">
        <v>2</v>
      </c>
      <c r="AA126" s="163" t="s">
        <v>926</v>
      </c>
      <c r="AB126" s="161" t="s">
        <v>424</v>
      </c>
      <c r="AC126" s="161" t="s">
        <v>424</v>
      </c>
      <c r="AD126" s="161" t="s">
        <v>514</v>
      </c>
      <c r="AE126" s="161" t="s">
        <v>1039</v>
      </c>
      <c r="AF126" s="161" t="s">
        <v>1040</v>
      </c>
      <c r="AG126" s="166" t="s">
        <v>460</v>
      </c>
    </row>
    <row r="127" spans="1:33" ht="331.5" hidden="1" customHeight="1" x14ac:dyDescent="0.2">
      <c r="A127" s="162" t="s">
        <v>879</v>
      </c>
      <c r="B127" s="162" t="s">
        <v>1228</v>
      </c>
      <c r="C127" s="162" t="s">
        <v>1084</v>
      </c>
      <c r="D127" s="162" t="s">
        <v>1082</v>
      </c>
      <c r="E127" s="161" t="s">
        <v>175</v>
      </c>
      <c r="F127" s="162" t="s">
        <v>592</v>
      </c>
      <c r="G127" s="162" t="s">
        <v>593</v>
      </c>
      <c r="H127" s="162" t="s">
        <v>602</v>
      </c>
      <c r="I127" s="163" t="s">
        <v>421</v>
      </c>
      <c r="J127" s="163" t="s">
        <v>422</v>
      </c>
      <c r="K127" s="163" t="s">
        <v>460</v>
      </c>
      <c r="L127" s="163" t="s">
        <v>469</v>
      </c>
      <c r="M127" s="161" t="s">
        <v>423</v>
      </c>
      <c r="N127" s="168"/>
      <c r="O127" s="162" t="s">
        <v>1034</v>
      </c>
      <c r="P127" s="163" t="s">
        <v>184</v>
      </c>
      <c r="Q127" s="171">
        <f t="shared" si="66"/>
        <v>1</v>
      </c>
      <c r="R127" s="163" t="s">
        <v>485</v>
      </c>
      <c r="S127" s="172">
        <f t="shared" si="67"/>
        <v>1</v>
      </c>
      <c r="T127" s="166">
        <f t="shared" si="68"/>
        <v>1</v>
      </c>
      <c r="U127" s="163" t="s">
        <v>184</v>
      </c>
      <c r="V127" s="163" t="s">
        <v>428</v>
      </c>
      <c r="W127" s="172">
        <f t="shared" si="12"/>
        <v>10</v>
      </c>
      <c r="X127" s="166">
        <f t="shared" si="69"/>
        <v>10</v>
      </c>
      <c r="Y127" s="163" t="str">
        <f t="shared" si="70"/>
        <v>Nivel IV: Riesgo Tolerable (Aceptable)</v>
      </c>
      <c r="Z127" s="163">
        <v>2</v>
      </c>
      <c r="AA127" s="163" t="s">
        <v>926</v>
      </c>
      <c r="AB127" s="161" t="s">
        <v>424</v>
      </c>
      <c r="AC127" s="161" t="s">
        <v>424</v>
      </c>
      <c r="AD127" s="161" t="s">
        <v>424</v>
      </c>
      <c r="AE127" s="161" t="s">
        <v>1035</v>
      </c>
      <c r="AF127" s="161" t="s">
        <v>600</v>
      </c>
      <c r="AG127" s="166" t="s">
        <v>460</v>
      </c>
    </row>
    <row r="128" spans="1:33" ht="114.75" hidden="1" x14ac:dyDescent="0.2">
      <c r="A128" s="162" t="s">
        <v>879</v>
      </c>
      <c r="B128" s="162" t="s">
        <v>1228</v>
      </c>
      <c r="C128" s="162" t="s">
        <v>1084</v>
      </c>
      <c r="D128" s="162" t="s">
        <v>1082</v>
      </c>
      <c r="E128" s="161" t="s">
        <v>175</v>
      </c>
      <c r="F128" s="162" t="s">
        <v>594</v>
      </c>
      <c r="G128" s="162" t="s">
        <v>595</v>
      </c>
      <c r="H128" s="162" t="s">
        <v>602</v>
      </c>
      <c r="I128" s="163" t="s">
        <v>421</v>
      </c>
      <c r="J128" s="163" t="s">
        <v>422</v>
      </c>
      <c r="K128" s="163" t="s">
        <v>460</v>
      </c>
      <c r="L128" s="163" t="s">
        <v>469</v>
      </c>
      <c r="M128" s="161" t="s">
        <v>423</v>
      </c>
      <c r="N128" s="168"/>
      <c r="O128" s="162" t="s">
        <v>1034</v>
      </c>
      <c r="P128" s="163" t="s">
        <v>184</v>
      </c>
      <c r="Q128" s="171">
        <f t="shared" si="66"/>
        <v>1</v>
      </c>
      <c r="R128" s="163" t="s">
        <v>485</v>
      </c>
      <c r="S128" s="172">
        <f t="shared" si="67"/>
        <v>1</v>
      </c>
      <c r="T128" s="166">
        <f t="shared" si="68"/>
        <v>1</v>
      </c>
      <c r="U128" s="163" t="s">
        <v>184</v>
      </c>
      <c r="V128" s="163" t="s">
        <v>428</v>
      </c>
      <c r="W128" s="172">
        <f t="shared" si="12"/>
        <v>10</v>
      </c>
      <c r="X128" s="166">
        <f t="shared" si="69"/>
        <v>10</v>
      </c>
      <c r="Y128" s="163" t="str">
        <f t="shared" si="70"/>
        <v>Nivel IV: Riesgo Tolerable (Aceptable)</v>
      </c>
      <c r="Z128" s="163">
        <v>2</v>
      </c>
      <c r="AA128" s="163" t="s">
        <v>926</v>
      </c>
      <c r="AB128" s="161" t="s">
        <v>424</v>
      </c>
      <c r="AC128" s="161" t="s">
        <v>424</v>
      </c>
      <c r="AD128" s="161" t="s">
        <v>424</v>
      </c>
      <c r="AE128" s="161" t="s">
        <v>1035</v>
      </c>
      <c r="AF128" s="161" t="s">
        <v>600</v>
      </c>
      <c r="AG128" s="166" t="s">
        <v>460</v>
      </c>
    </row>
    <row r="129" spans="1:33" ht="225" hidden="1" customHeight="1" x14ac:dyDescent="0.2">
      <c r="A129" s="162" t="s">
        <v>879</v>
      </c>
      <c r="B129" s="162" t="s">
        <v>1228</v>
      </c>
      <c r="C129" s="162" t="s">
        <v>1084</v>
      </c>
      <c r="D129" s="162" t="s">
        <v>1082</v>
      </c>
      <c r="E129" s="161" t="s">
        <v>175</v>
      </c>
      <c r="F129" s="162" t="s">
        <v>596</v>
      </c>
      <c r="G129" s="162" t="s">
        <v>599</v>
      </c>
      <c r="H129" s="162" t="s">
        <v>602</v>
      </c>
      <c r="I129" s="163" t="s">
        <v>421</v>
      </c>
      <c r="J129" s="163" t="s">
        <v>422</v>
      </c>
      <c r="K129" s="163" t="s">
        <v>460</v>
      </c>
      <c r="L129" s="163" t="s">
        <v>469</v>
      </c>
      <c r="M129" s="161" t="s">
        <v>423</v>
      </c>
      <c r="N129" s="168"/>
      <c r="O129" s="162" t="s">
        <v>1034</v>
      </c>
      <c r="P129" s="163" t="s">
        <v>185</v>
      </c>
      <c r="Q129" s="171">
        <f t="shared" si="66"/>
        <v>2</v>
      </c>
      <c r="R129" s="163" t="s">
        <v>186</v>
      </c>
      <c r="S129" s="172">
        <f t="shared" si="67"/>
        <v>4</v>
      </c>
      <c r="T129" s="166">
        <f t="shared" si="68"/>
        <v>8</v>
      </c>
      <c r="U129" s="163" t="str">
        <f t="shared" ref="U129" si="73">IF(AND(T129&gt;=0,T129&lt;=4),"Bajo",IF(AND(T129&gt;=6,T129&lt;=8),"Medio",IF(AND(T129&gt;=10,T129&lt;=20),"Alto",IF(AND(T129&gt;=20,T129&lt;=40),"Muy Alto",))))</f>
        <v>Medio</v>
      </c>
      <c r="V129" s="163" t="s">
        <v>428</v>
      </c>
      <c r="W129" s="172">
        <f t="shared" si="12"/>
        <v>10</v>
      </c>
      <c r="X129" s="166">
        <f t="shared" si="69"/>
        <v>80</v>
      </c>
      <c r="Y129" s="163" t="str">
        <f t="shared" si="70"/>
        <v>Nivel III: Riesgo Moderado (Aceptable)</v>
      </c>
      <c r="Z129" s="163">
        <v>2</v>
      </c>
      <c r="AA129" s="163" t="s">
        <v>926</v>
      </c>
      <c r="AB129" s="161" t="s">
        <v>424</v>
      </c>
      <c r="AC129" s="161" t="s">
        <v>424</v>
      </c>
      <c r="AD129" s="161" t="s">
        <v>424</v>
      </c>
      <c r="AE129" s="161" t="s">
        <v>1035</v>
      </c>
      <c r="AF129" s="161" t="s">
        <v>600</v>
      </c>
      <c r="AG129" s="166" t="s">
        <v>460</v>
      </c>
    </row>
    <row r="130" spans="1:33" ht="267.75" hidden="1" customHeight="1" x14ac:dyDescent="0.2">
      <c r="A130" s="162" t="s">
        <v>879</v>
      </c>
      <c r="B130" s="162" t="s">
        <v>1228</v>
      </c>
      <c r="C130" s="162" t="s">
        <v>1084</v>
      </c>
      <c r="D130" s="162" t="s">
        <v>1082</v>
      </c>
      <c r="E130" s="161" t="s">
        <v>175</v>
      </c>
      <c r="F130" s="162" t="s">
        <v>597</v>
      </c>
      <c r="G130" s="162" t="s">
        <v>598</v>
      </c>
      <c r="H130" s="162" t="s">
        <v>602</v>
      </c>
      <c r="I130" s="163" t="s">
        <v>421</v>
      </c>
      <c r="J130" s="163" t="s">
        <v>422</v>
      </c>
      <c r="K130" s="163" t="s">
        <v>460</v>
      </c>
      <c r="L130" s="163" t="s">
        <v>469</v>
      </c>
      <c r="M130" s="161" t="s">
        <v>423</v>
      </c>
      <c r="N130" s="168"/>
      <c r="O130" s="162" t="s">
        <v>1034</v>
      </c>
      <c r="P130" s="163" t="s">
        <v>184</v>
      </c>
      <c r="Q130" s="171">
        <f t="shared" si="66"/>
        <v>1</v>
      </c>
      <c r="R130" s="163" t="s">
        <v>485</v>
      </c>
      <c r="S130" s="172">
        <f t="shared" si="67"/>
        <v>1</v>
      </c>
      <c r="T130" s="166">
        <f t="shared" si="68"/>
        <v>1</v>
      </c>
      <c r="U130" s="163" t="s">
        <v>184</v>
      </c>
      <c r="V130" s="163" t="s">
        <v>428</v>
      </c>
      <c r="W130" s="172">
        <f t="shared" si="12"/>
        <v>10</v>
      </c>
      <c r="X130" s="166">
        <f t="shared" si="69"/>
        <v>10</v>
      </c>
      <c r="Y130" s="163" t="str">
        <f t="shared" si="70"/>
        <v>Nivel IV: Riesgo Tolerable (Aceptable)</v>
      </c>
      <c r="Z130" s="163">
        <v>2</v>
      </c>
      <c r="AA130" s="163" t="s">
        <v>926</v>
      </c>
      <c r="AB130" s="161" t="s">
        <v>424</v>
      </c>
      <c r="AC130" s="161" t="s">
        <v>424</v>
      </c>
      <c r="AD130" s="161" t="s">
        <v>424</v>
      </c>
      <c r="AE130" s="161" t="s">
        <v>1035</v>
      </c>
      <c r="AF130" s="161" t="s">
        <v>600</v>
      </c>
      <c r="AG130" s="166" t="s">
        <v>460</v>
      </c>
    </row>
    <row r="131" spans="1:33" ht="51" hidden="1" x14ac:dyDescent="0.2">
      <c r="A131" s="162" t="s">
        <v>879</v>
      </c>
      <c r="B131" s="162" t="s">
        <v>1228</v>
      </c>
      <c r="C131" s="162" t="s">
        <v>1084</v>
      </c>
      <c r="D131" s="162" t="s">
        <v>1082</v>
      </c>
      <c r="E131" s="161" t="s">
        <v>999</v>
      </c>
      <c r="F131" s="162" t="s">
        <v>578</v>
      </c>
      <c r="G131" s="162" t="s">
        <v>1085</v>
      </c>
      <c r="H131" s="162" t="s">
        <v>979</v>
      </c>
      <c r="I131" s="163" t="s">
        <v>421</v>
      </c>
      <c r="J131" s="163" t="s">
        <v>422</v>
      </c>
      <c r="K131" s="163" t="s">
        <v>460</v>
      </c>
      <c r="L131" s="163" t="s">
        <v>469</v>
      </c>
      <c r="M131" s="161" t="s">
        <v>1086</v>
      </c>
      <c r="N131" s="168"/>
      <c r="O131" s="162" t="s">
        <v>1087</v>
      </c>
      <c r="P131" s="163" t="s">
        <v>184</v>
      </c>
      <c r="Q131" s="171">
        <f t="shared" si="66"/>
        <v>1</v>
      </c>
      <c r="R131" s="163" t="s">
        <v>485</v>
      </c>
      <c r="S131" s="172">
        <f t="shared" si="67"/>
        <v>1</v>
      </c>
      <c r="T131" s="166">
        <f t="shared" si="68"/>
        <v>1</v>
      </c>
      <c r="U131" s="163" t="s">
        <v>184</v>
      </c>
      <c r="V131" s="163" t="s">
        <v>187</v>
      </c>
      <c r="W131" s="172">
        <f t="shared" si="12"/>
        <v>25</v>
      </c>
      <c r="X131" s="166">
        <f t="shared" si="69"/>
        <v>25</v>
      </c>
      <c r="Y131" s="163" t="str">
        <f t="shared" si="70"/>
        <v>Nivel IV: Riesgo Tolerable (Aceptable)</v>
      </c>
      <c r="Z131" s="163">
        <v>2</v>
      </c>
      <c r="AA131" s="163" t="s">
        <v>926</v>
      </c>
      <c r="AB131" s="161" t="s">
        <v>424</v>
      </c>
      <c r="AC131" s="161" t="s">
        <v>424</v>
      </c>
      <c r="AD131" s="161" t="s">
        <v>424</v>
      </c>
      <c r="AE131" s="161" t="s">
        <v>1088</v>
      </c>
      <c r="AF131" s="161" t="s">
        <v>600</v>
      </c>
      <c r="AG131" s="166" t="s">
        <v>460</v>
      </c>
    </row>
    <row r="132" spans="1:33" ht="63.75" hidden="1" x14ac:dyDescent="0.2">
      <c r="A132" s="162" t="s">
        <v>879</v>
      </c>
      <c r="B132" s="162" t="s">
        <v>1228</v>
      </c>
      <c r="C132" s="162" t="s">
        <v>1084</v>
      </c>
      <c r="D132" s="162" t="s">
        <v>1082</v>
      </c>
      <c r="E132" s="161" t="s">
        <v>1000</v>
      </c>
      <c r="F132" s="162" t="s">
        <v>1123</v>
      </c>
      <c r="G132" s="162" t="s">
        <v>1089</v>
      </c>
      <c r="H132" s="162" t="s">
        <v>1237</v>
      </c>
      <c r="I132" s="163" t="s">
        <v>421</v>
      </c>
      <c r="J132" s="163" t="s">
        <v>422</v>
      </c>
      <c r="K132" s="163" t="s">
        <v>460</v>
      </c>
      <c r="L132" s="163" t="s">
        <v>469</v>
      </c>
      <c r="M132" s="161" t="s">
        <v>423</v>
      </c>
      <c r="N132" s="161" t="s">
        <v>1145</v>
      </c>
      <c r="O132" s="162" t="s">
        <v>1144</v>
      </c>
      <c r="P132" s="163" t="s">
        <v>184</v>
      </c>
      <c r="Q132" s="171">
        <f t="shared" ref="Q132:Q153" si="74">IF(P132="Muy Alto",10,IF(P132="Alto",6,IF(P132="Medio",2,IF(P132="Bajo",1,))))</f>
        <v>1</v>
      </c>
      <c r="R132" s="163" t="s">
        <v>485</v>
      </c>
      <c r="S132" s="172">
        <f t="shared" ref="S132:S153" si="75">IF(R132="Continua",4,IF(R132="Frecuente",3,IF(R132="Ocasional",2,IF(R132="Esporádica",1,))))</f>
        <v>1</v>
      </c>
      <c r="T132" s="166">
        <f t="shared" ref="T132:T153" si="76">Q132*S132</f>
        <v>1</v>
      </c>
      <c r="U132" s="163" t="s">
        <v>184</v>
      </c>
      <c r="V132" s="163" t="s">
        <v>187</v>
      </c>
      <c r="W132" s="172">
        <f t="shared" si="12"/>
        <v>25</v>
      </c>
      <c r="X132" s="166">
        <f t="shared" ref="X132:X153" si="77">T132*W132</f>
        <v>25</v>
      </c>
      <c r="Y132" s="163" t="str">
        <f t="shared" ref="Y132:Y153" si="78">IF(AND(X132&gt;=600,X132&lt;=4000),"Nivel I: Riesgo Inaceptable",IF(AND(X132&gt;=150,X132&lt;=500),"Nivel II: Riesgo Importante",IF(AND(X132&gt;=40,X132&lt;=120),"Nivel III: Riesgo Moderado (Aceptable)","Nivel IV: Riesgo Tolerable (Aceptable)")))</f>
        <v>Nivel IV: Riesgo Tolerable (Aceptable)</v>
      </c>
      <c r="Z132" s="163">
        <v>1</v>
      </c>
      <c r="AA132" s="163" t="s">
        <v>926</v>
      </c>
      <c r="AB132" s="161" t="s">
        <v>424</v>
      </c>
      <c r="AC132" s="161" t="s">
        <v>424</v>
      </c>
      <c r="AD132" s="161" t="s">
        <v>424</v>
      </c>
      <c r="AE132" s="161" t="s">
        <v>1091</v>
      </c>
      <c r="AF132" s="161" t="s">
        <v>600</v>
      </c>
      <c r="AG132" s="166" t="s">
        <v>460</v>
      </c>
    </row>
    <row r="133" spans="1:33" ht="114.75" hidden="1" customHeight="1" x14ac:dyDescent="0.2">
      <c r="A133" s="162" t="s">
        <v>879</v>
      </c>
      <c r="B133" s="162" t="s">
        <v>1228</v>
      </c>
      <c r="C133" s="162" t="s">
        <v>1084</v>
      </c>
      <c r="D133" s="162" t="s">
        <v>1082</v>
      </c>
      <c r="E133" s="161" t="s">
        <v>995</v>
      </c>
      <c r="F133" s="162" t="s">
        <v>719</v>
      </c>
      <c r="G133" s="162" t="s">
        <v>1089</v>
      </c>
      <c r="H133" s="162" t="s">
        <v>722</v>
      </c>
      <c r="I133" s="163" t="s">
        <v>421</v>
      </c>
      <c r="J133" s="163" t="s">
        <v>422</v>
      </c>
      <c r="K133" s="163" t="s">
        <v>460</v>
      </c>
      <c r="L133" s="163" t="s">
        <v>469</v>
      </c>
      <c r="M133" s="161" t="s">
        <v>423</v>
      </c>
      <c r="N133" s="168"/>
      <c r="O133" s="162" t="s">
        <v>1090</v>
      </c>
      <c r="P133" s="163" t="s">
        <v>184</v>
      </c>
      <c r="Q133" s="171">
        <f t="shared" si="74"/>
        <v>1</v>
      </c>
      <c r="R133" s="163" t="s">
        <v>485</v>
      </c>
      <c r="S133" s="172">
        <f t="shared" si="75"/>
        <v>1</v>
      </c>
      <c r="T133" s="166">
        <f t="shared" si="76"/>
        <v>1</v>
      </c>
      <c r="U133" s="163" t="s">
        <v>184</v>
      </c>
      <c r="V133" s="163" t="s">
        <v>187</v>
      </c>
      <c r="W133" s="172">
        <f t="shared" si="12"/>
        <v>25</v>
      </c>
      <c r="X133" s="166">
        <f t="shared" si="77"/>
        <v>25</v>
      </c>
      <c r="Y133" s="163" t="str">
        <f t="shared" si="78"/>
        <v>Nivel IV: Riesgo Tolerable (Aceptable)</v>
      </c>
      <c r="Z133" s="163">
        <v>1</v>
      </c>
      <c r="AA133" s="163" t="s">
        <v>926</v>
      </c>
      <c r="AB133" s="161" t="s">
        <v>424</v>
      </c>
      <c r="AC133" s="161" t="s">
        <v>424</v>
      </c>
      <c r="AD133" s="161" t="s">
        <v>424</v>
      </c>
      <c r="AE133" s="161" t="s">
        <v>1091</v>
      </c>
      <c r="AF133" s="161" t="s">
        <v>600</v>
      </c>
      <c r="AG133" s="166" t="s">
        <v>460</v>
      </c>
    </row>
    <row r="134" spans="1:33" ht="127.5" hidden="1" customHeight="1" x14ac:dyDescent="0.2">
      <c r="A134" s="162" t="s">
        <v>879</v>
      </c>
      <c r="B134" s="162" t="s">
        <v>1228</v>
      </c>
      <c r="C134" s="162" t="s">
        <v>1084</v>
      </c>
      <c r="D134" s="162" t="s">
        <v>1082</v>
      </c>
      <c r="E134" s="161" t="s">
        <v>995</v>
      </c>
      <c r="F134" s="162" t="s">
        <v>720</v>
      </c>
      <c r="G134" s="162" t="s">
        <v>1089</v>
      </c>
      <c r="H134" s="162" t="s">
        <v>724</v>
      </c>
      <c r="I134" s="163" t="s">
        <v>421</v>
      </c>
      <c r="J134" s="163" t="s">
        <v>422</v>
      </c>
      <c r="K134" s="163" t="s">
        <v>460</v>
      </c>
      <c r="L134" s="163" t="s">
        <v>469</v>
      </c>
      <c r="M134" s="161" t="s">
        <v>1081</v>
      </c>
      <c r="N134" s="168"/>
      <c r="O134" s="162" t="s">
        <v>1090</v>
      </c>
      <c r="P134" s="163" t="s">
        <v>184</v>
      </c>
      <c r="Q134" s="171">
        <f t="shared" si="74"/>
        <v>1</v>
      </c>
      <c r="R134" s="163" t="s">
        <v>485</v>
      </c>
      <c r="S134" s="172">
        <f t="shared" si="75"/>
        <v>1</v>
      </c>
      <c r="T134" s="166">
        <f t="shared" si="76"/>
        <v>1</v>
      </c>
      <c r="U134" s="163" t="s">
        <v>184</v>
      </c>
      <c r="V134" s="163" t="s">
        <v>187</v>
      </c>
      <c r="W134" s="172">
        <f t="shared" ref="W134:W196" si="79">IF(V134="Mortal o catastrófico",100,IF(V134="Muy grave",60,IF(V134="Grave",25,IF(V134="Leve",10,))))</f>
        <v>25</v>
      </c>
      <c r="X134" s="166">
        <f t="shared" si="77"/>
        <v>25</v>
      </c>
      <c r="Y134" s="163" t="str">
        <f t="shared" si="78"/>
        <v>Nivel IV: Riesgo Tolerable (Aceptable)</v>
      </c>
      <c r="Z134" s="163">
        <v>1</v>
      </c>
      <c r="AA134" s="163" t="s">
        <v>926</v>
      </c>
      <c r="AB134" s="161" t="s">
        <v>424</v>
      </c>
      <c r="AC134" s="161" t="s">
        <v>424</v>
      </c>
      <c r="AD134" s="161" t="s">
        <v>424</v>
      </c>
      <c r="AE134" s="161" t="s">
        <v>1091</v>
      </c>
      <c r="AF134" s="161" t="s">
        <v>600</v>
      </c>
      <c r="AG134" s="166" t="s">
        <v>460</v>
      </c>
    </row>
    <row r="135" spans="1:33" ht="127.5" hidden="1" x14ac:dyDescent="0.2">
      <c r="A135" s="162" t="s">
        <v>879</v>
      </c>
      <c r="B135" s="162" t="s">
        <v>1230</v>
      </c>
      <c r="C135" s="162" t="s">
        <v>1084</v>
      </c>
      <c r="D135" s="162" t="s">
        <v>1093</v>
      </c>
      <c r="E135" s="161" t="s">
        <v>998</v>
      </c>
      <c r="F135" s="162" t="s">
        <v>1113</v>
      </c>
      <c r="G135" s="162" t="s">
        <v>924</v>
      </c>
      <c r="H135" s="162" t="s">
        <v>557</v>
      </c>
      <c r="I135" s="163" t="s">
        <v>421</v>
      </c>
      <c r="J135" s="163" t="s">
        <v>422</v>
      </c>
      <c r="K135" s="163" t="s">
        <v>460</v>
      </c>
      <c r="L135" s="163" t="s">
        <v>469</v>
      </c>
      <c r="M135" s="161" t="s">
        <v>902</v>
      </c>
      <c r="N135" s="163" t="s">
        <v>1128</v>
      </c>
      <c r="O135" s="162" t="s">
        <v>1050</v>
      </c>
      <c r="P135" s="163" t="s">
        <v>185</v>
      </c>
      <c r="Q135" s="171">
        <f t="shared" si="74"/>
        <v>2</v>
      </c>
      <c r="R135" s="163" t="s">
        <v>186</v>
      </c>
      <c r="S135" s="172">
        <f t="shared" si="75"/>
        <v>4</v>
      </c>
      <c r="T135" s="166">
        <f t="shared" si="76"/>
        <v>8</v>
      </c>
      <c r="U135" s="163" t="str">
        <f t="shared" ref="U135:U140" si="80">IF(AND(T135&gt;=0,T135&lt;=4),"Bajo",IF(AND(T135&gt;=6,T135&lt;=8),"Medio",IF(AND(T135&gt;=10,T135&lt;=20),"Alto",IF(AND(T135&gt;=20,T135&lt;=40),"Muy Alto",))))</f>
        <v>Medio</v>
      </c>
      <c r="V135" s="163" t="s">
        <v>187</v>
      </c>
      <c r="W135" s="172">
        <f t="shared" si="79"/>
        <v>25</v>
      </c>
      <c r="X135" s="166">
        <f t="shared" si="77"/>
        <v>200</v>
      </c>
      <c r="Y135" s="163" t="str">
        <f t="shared" si="78"/>
        <v>Nivel II: Riesgo Importante</v>
      </c>
      <c r="Z135" s="163">
        <v>2</v>
      </c>
      <c r="AA135" s="163" t="s">
        <v>926</v>
      </c>
      <c r="AB135" s="161" t="s">
        <v>424</v>
      </c>
      <c r="AC135" s="161" t="s">
        <v>424</v>
      </c>
      <c r="AD135" s="161" t="s">
        <v>424</v>
      </c>
      <c r="AE135" s="161" t="s">
        <v>1129</v>
      </c>
      <c r="AF135" s="161" t="s">
        <v>600</v>
      </c>
      <c r="AG135" s="166" t="s">
        <v>460</v>
      </c>
    </row>
    <row r="136" spans="1:33" ht="165" hidden="1" customHeight="1" x14ac:dyDescent="0.2">
      <c r="A136" s="162" t="s">
        <v>879</v>
      </c>
      <c r="B136" s="162" t="s">
        <v>1230</v>
      </c>
      <c r="C136" s="162" t="s">
        <v>1084</v>
      </c>
      <c r="D136" s="162" t="s">
        <v>1093</v>
      </c>
      <c r="E136" s="161" t="s">
        <v>998</v>
      </c>
      <c r="F136" s="162" t="s">
        <v>178</v>
      </c>
      <c r="G136" s="162" t="s">
        <v>1067</v>
      </c>
      <c r="H136" s="162" t="s">
        <v>559</v>
      </c>
      <c r="I136" s="163" t="s">
        <v>421</v>
      </c>
      <c r="J136" s="163" t="s">
        <v>422</v>
      </c>
      <c r="K136" s="163" t="s">
        <v>460</v>
      </c>
      <c r="L136" s="163" t="s">
        <v>469</v>
      </c>
      <c r="M136" s="161" t="s">
        <v>606</v>
      </c>
      <c r="N136" s="161" t="s">
        <v>606</v>
      </c>
      <c r="O136" s="162" t="s">
        <v>1046</v>
      </c>
      <c r="P136" s="163" t="s">
        <v>185</v>
      </c>
      <c r="Q136" s="171">
        <f t="shared" si="74"/>
        <v>2</v>
      </c>
      <c r="R136" s="163" t="s">
        <v>186</v>
      </c>
      <c r="S136" s="172">
        <f t="shared" si="75"/>
        <v>4</v>
      </c>
      <c r="T136" s="166">
        <f t="shared" si="76"/>
        <v>8</v>
      </c>
      <c r="U136" s="163" t="str">
        <f t="shared" si="80"/>
        <v>Medio</v>
      </c>
      <c r="V136" s="163" t="s">
        <v>187</v>
      </c>
      <c r="W136" s="172">
        <f t="shared" si="79"/>
        <v>25</v>
      </c>
      <c r="X136" s="166">
        <f t="shared" si="77"/>
        <v>200</v>
      </c>
      <c r="Y136" s="163" t="str">
        <f t="shared" si="78"/>
        <v>Nivel II: Riesgo Importante</v>
      </c>
      <c r="Z136" s="163">
        <v>1</v>
      </c>
      <c r="AA136" s="163" t="s">
        <v>926</v>
      </c>
      <c r="AB136" s="161" t="s">
        <v>424</v>
      </c>
      <c r="AC136" s="161" t="s">
        <v>424</v>
      </c>
      <c r="AD136" s="161" t="s">
        <v>424</v>
      </c>
      <c r="AE136" s="161" t="s">
        <v>1130</v>
      </c>
      <c r="AF136" s="161" t="s">
        <v>600</v>
      </c>
      <c r="AG136" s="166" t="s">
        <v>460</v>
      </c>
    </row>
    <row r="137" spans="1:33" ht="89.25" hidden="1" x14ac:dyDescent="0.2">
      <c r="A137" s="162" t="s">
        <v>879</v>
      </c>
      <c r="B137" s="162" t="s">
        <v>1230</v>
      </c>
      <c r="C137" s="162" t="s">
        <v>1084</v>
      </c>
      <c r="D137" s="162" t="s">
        <v>1093</v>
      </c>
      <c r="E137" s="161" t="s">
        <v>999</v>
      </c>
      <c r="F137" s="162" t="s">
        <v>292</v>
      </c>
      <c r="G137" s="162" t="s">
        <v>837</v>
      </c>
      <c r="H137" s="162" t="s">
        <v>507</v>
      </c>
      <c r="I137" s="163" t="s">
        <v>421</v>
      </c>
      <c r="J137" s="163" t="s">
        <v>461</v>
      </c>
      <c r="K137" s="163" t="s">
        <v>460</v>
      </c>
      <c r="L137" s="163" t="s">
        <v>469</v>
      </c>
      <c r="M137" s="161" t="s">
        <v>423</v>
      </c>
      <c r="N137" s="168"/>
      <c r="O137" s="162" t="s">
        <v>1005</v>
      </c>
      <c r="P137" s="163" t="s">
        <v>185</v>
      </c>
      <c r="Q137" s="171">
        <f t="shared" si="74"/>
        <v>2</v>
      </c>
      <c r="R137" s="163" t="s">
        <v>429</v>
      </c>
      <c r="S137" s="172">
        <f t="shared" si="75"/>
        <v>2</v>
      </c>
      <c r="T137" s="166">
        <f t="shared" si="76"/>
        <v>4</v>
      </c>
      <c r="U137" s="163" t="str">
        <f t="shared" si="80"/>
        <v>Bajo</v>
      </c>
      <c r="V137" s="163" t="s">
        <v>187</v>
      </c>
      <c r="W137" s="172">
        <f t="shared" si="79"/>
        <v>25</v>
      </c>
      <c r="X137" s="166">
        <f t="shared" si="77"/>
        <v>100</v>
      </c>
      <c r="Y137" s="163" t="str">
        <f t="shared" si="78"/>
        <v>Nivel III: Riesgo Moderado (Aceptable)</v>
      </c>
      <c r="Z137" s="163">
        <v>2</v>
      </c>
      <c r="AA137" s="163" t="s">
        <v>926</v>
      </c>
      <c r="AB137" s="161" t="s">
        <v>424</v>
      </c>
      <c r="AC137" s="161" t="s">
        <v>424</v>
      </c>
      <c r="AD137" s="161" t="s">
        <v>424</v>
      </c>
      <c r="AE137" s="162" t="s">
        <v>1007</v>
      </c>
      <c r="AF137" s="161" t="s">
        <v>528</v>
      </c>
      <c r="AG137" s="166" t="s">
        <v>460</v>
      </c>
    </row>
    <row r="138" spans="1:33" ht="76.5" hidden="1" x14ac:dyDescent="0.2">
      <c r="A138" s="162" t="s">
        <v>879</v>
      </c>
      <c r="B138" s="162" t="s">
        <v>1230</v>
      </c>
      <c r="C138" s="162" t="s">
        <v>1084</v>
      </c>
      <c r="D138" s="162" t="s">
        <v>1093</v>
      </c>
      <c r="E138" s="161" t="s">
        <v>999</v>
      </c>
      <c r="F138" s="162" t="s">
        <v>288</v>
      </c>
      <c r="G138" s="162" t="s">
        <v>488</v>
      </c>
      <c r="H138" s="162" t="s">
        <v>614</v>
      </c>
      <c r="I138" s="163" t="s">
        <v>421</v>
      </c>
      <c r="J138" s="163" t="s">
        <v>461</v>
      </c>
      <c r="K138" s="163" t="s">
        <v>460</v>
      </c>
      <c r="L138" s="163" t="s">
        <v>469</v>
      </c>
      <c r="M138" s="161" t="s">
        <v>1065</v>
      </c>
      <c r="N138" s="168"/>
      <c r="O138" s="162" t="s">
        <v>1026</v>
      </c>
      <c r="P138" s="163" t="s">
        <v>184</v>
      </c>
      <c r="Q138" s="171">
        <f t="shared" si="74"/>
        <v>1</v>
      </c>
      <c r="R138" s="163" t="s">
        <v>485</v>
      </c>
      <c r="S138" s="172">
        <f t="shared" si="75"/>
        <v>1</v>
      </c>
      <c r="T138" s="166">
        <f t="shared" si="76"/>
        <v>1</v>
      </c>
      <c r="U138" s="163" t="str">
        <f t="shared" si="80"/>
        <v>Bajo</v>
      </c>
      <c r="V138" s="163" t="s">
        <v>187</v>
      </c>
      <c r="W138" s="172">
        <f t="shared" si="79"/>
        <v>25</v>
      </c>
      <c r="X138" s="166">
        <f t="shared" si="77"/>
        <v>25</v>
      </c>
      <c r="Y138" s="163" t="str">
        <f t="shared" si="78"/>
        <v>Nivel IV: Riesgo Tolerable (Aceptable)</v>
      </c>
      <c r="Z138" s="163">
        <v>2</v>
      </c>
      <c r="AA138" s="163" t="s">
        <v>926</v>
      </c>
      <c r="AB138" s="161" t="s">
        <v>424</v>
      </c>
      <c r="AC138" s="161" t="s">
        <v>424</v>
      </c>
      <c r="AD138" s="161" t="s">
        <v>424</v>
      </c>
      <c r="AE138" s="161" t="s">
        <v>1066</v>
      </c>
      <c r="AF138" s="161" t="s">
        <v>528</v>
      </c>
      <c r="AG138" s="166" t="s">
        <v>460</v>
      </c>
    </row>
    <row r="139" spans="1:33" ht="76.5" hidden="1" x14ac:dyDescent="0.2">
      <c r="A139" s="162" t="s">
        <v>879</v>
      </c>
      <c r="B139" s="162" t="s">
        <v>1230</v>
      </c>
      <c r="C139" s="162" t="s">
        <v>1084</v>
      </c>
      <c r="D139" s="162" t="s">
        <v>1093</v>
      </c>
      <c r="E139" s="161" t="s">
        <v>999</v>
      </c>
      <c r="F139" s="162" t="s">
        <v>1117</v>
      </c>
      <c r="G139" s="162" t="s">
        <v>564</v>
      </c>
      <c r="H139" s="162" t="s">
        <v>1072</v>
      </c>
      <c r="I139" s="163" t="s">
        <v>421</v>
      </c>
      <c r="J139" s="163" t="s">
        <v>461</v>
      </c>
      <c r="K139" s="163" t="s">
        <v>460</v>
      </c>
      <c r="L139" s="163" t="s">
        <v>469</v>
      </c>
      <c r="M139" s="166" t="s">
        <v>423</v>
      </c>
      <c r="N139" s="168"/>
      <c r="O139" s="162" t="s">
        <v>1026</v>
      </c>
      <c r="P139" s="163" t="s">
        <v>184</v>
      </c>
      <c r="Q139" s="171">
        <f t="shared" si="74"/>
        <v>1</v>
      </c>
      <c r="R139" s="163" t="s">
        <v>485</v>
      </c>
      <c r="S139" s="172">
        <f t="shared" si="75"/>
        <v>1</v>
      </c>
      <c r="T139" s="166">
        <f t="shared" si="76"/>
        <v>1</v>
      </c>
      <c r="U139" s="163" t="str">
        <f t="shared" si="80"/>
        <v>Bajo</v>
      </c>
      <c r="V139" s="163" t="s">
        <v>428</v>
      </c>
      <c r="W139" s="172">
        <f t="shared" si="79"/>
        <v>10</v>
      </c>
      <c r="X139" s="166">
        <f t="shared" si="77"/>
        <v>10</v>
      </c>
      <c r="Y139" s="163" t="str">
        <f t="shared" si="78"/>
        <v>Nivel IV: Riesgo Tolerable (Aceptable)</v>
      </c>
      <c r="Z139" s="163">
        <v>2</v>
      </c>
      <c r="AA139" s="163" t="s">
        <v>926</v>
      </c>
      <c r="AB139" s="161" t="s">
        <v>424</v>
      </c>
      <c r="AC139" s="161" t="s">
        <v>424</v>
      </c>
      <c r="AD139" s="161" t="s">
        <v>424</v>
      </c>
      <c r="AE139" s="161" t="s">
        <v>1066</v>
      </c>
      <c r="AF139" s="161" t="s">
        <v>528</v>
      </c>
      <c r="AG139" s="166" t="s">
        <v>460</v>
      </c>
    </row>
    <row r="140" spans="1:33" ht="102" hidden="1" x14ac:dyDescent="0.2">
      <c r="A140" s="162" t="s">
        <v>879</v>
      </c>
      <c r="B140" s="162" t="s">
        <v>1230</v>
      </c>
      <c r="C140" s="162" t="s">
        <v>1084</v>
      </c>
      <c r="D140" s="162" t="s">
        <v>1093</v>
      </c>
      <c r="E140" s="161" t="s">
        <v>996</v>
      </c>
      <c r="F140" s="162" t="s">
        <v>430</v>
      </c>
      <c r="G140" s="162" t="s">
        <v>486</v>
      </c>
      <c r="H140" s="162" t="s">
        <v>623</v>
      </c>
      <c r="I140" s="163" t="s">
        <v>421</v>
      </c>
      <c r="J140" s="163" t="s">
        <v>422</v>
      </c>
      <c r="K140" s="163" t="s">
        <v>460</v>
      </c>
      <c r="L140" s="163" t="s">
        <v>469</v>
      </c>
      <c r="M140" s="169" t="s">
        <v>1073</v>
      </c>
      <c r="N140" s="168"/>
      <c r="O140" s="162" t="s">
        <v>1032</v>
      </c>
      <c r="P140" s="163" t="s">
        <v>184</v>
      </c>
      <c r="Q140" s="171">
        <f t="shared" si="74"/>
        <v>1</v>
      </c>
      <c r="R140" s="163" t="s">
        <v>485</v>
      </c>
      <c r="S140" s="172">
        <f t="shared" si="75"/>
        <v>1</v>
      </c>
      <c r="T140" s="166">
        <f t="shared" si="76"/>
        <v>1</v>
      </c>
      <c r="U140" s="163" t="str">
        <f t="shared" si="80"/>
        <v>Bajo</v>
      </c>
      <c r="V140" s="163" t="s">
        <v>428</v>
      </c>
      <c r="W140" s="172">
        <f t="shared" si="79"/>
        <v>10</v>
      </c>
      <c r="X140" s="166">
        <f t="shared" si="77"/>
        <v>10</v>
      </c>
      <c r="Y140" s="163" t="str">
        <f t="shared" si="78"/>
        <v>Nivel IV: Riesgo Tolerable (Aceptable)</v>
      </c>
      <c r="Z140" s="163">
        <v>2</v>
      </c>
      <c r="AA140" s="163" t="s">
        <v>926</v>
      </c>
      <c r="AB140" s="161" t="s">
        <v>424</v>
      </c>
      <c r="AC140" s="161" t="s">
        <v>424</v>
      </c>
      <c r="AD140" s="161" t="s">
        <v>424</v>
      </c>
      <c r="AE140" s="161" t="s">
        <v>1075</v>
      </c>
      <c r="AF140" s="161" t="s">
        <v>600</v>
      </c>
      <c r="AG140" s="166" t="s">
        <v>460</v>
      </c>
    </row>
    <row r="141" spans="1:33" ht="140.25" hidden="1" customHeight="1" x14ac:dyDescent="0.2">
      <c r="A141" s="162" t="s">
        <v>879</v>
      </c>
      <c r="B141" s="162" t="s">
        <v>1230</v>
      </c>
      <c r="C141" s="162" t="s">
        <v>1084</v>
      </c>
      <c r="D141" s="162" t="s">
        <v>1093</v>
      </c>
      <c r="E141" s="161" t="s">
        <v>999</v>
      </c>
      <c r="F141" s="162" t="s">
        <v>294</v>
      </c>
      <c r="G141" s="162" t="s">
        <v>1077</v>
      </c>
      <c r="H141" s="162" t="s">
        <v>966</v>
      </c>
      <c r="I141" s="163" t="s">
        <v>421</v>
      </c>
      <c r="J141" s="163" t="s">
        <v>422</v>
      </c>
      <c r="K141" s="163" t="s">
        <v>460</v>
      </c>
      <c r="L141" s="163" t="s">
        <v>469</v>
      </c>
      <c r="M141" s="161" t="s">
        <v>1079</v>
      </c>
      <c r="N141" s="168"/>
      <c r="O141" s="164" t="s">
        <v>1026</v>
      </c>
      <c r="P141" s="163" t="s">
        <v>184</v>
      </c>
      <c r="Q141" s="171">
        <f t="shared" si="74"/>
        <v>1</v>
      </c>
      <c r="R141" s="163" t="s">
        <v>416</v>
      </c>
      <c r="S141" s="172">
        <f t="shared" si="75"/>
        <v>3</v>
      </c>
      <c r="T141" s="166">
        <f t="shared" si="76"/>
        <v>3</v>
      </c>
      <c r="U141" s="163" t="s">
        <v>184</v>
      </c>
      <c r="V141" s="163" t="s">
        <v>187</v>
      </c>
      <c r="W141" s="172">
        <f t="shared" si="79"/>
        <v>25</v>
      </c>
      <c r="X141" s="166">
        <f t="shared" si="77"/>
        <v>75</v>
      </c>
      <c r="Y141" s="163" t="str">
        <f t="shared" si="78"/>
        <v>Nivel III: Riesgo Moderado (Aceptable)</v>
      </c>
      <c r="Z141" s="163">
        <v>2</v>
      </c>
      <c r="AA141" s="163" t="s">
        <v>926</v>
      </c>
      <c r="AB141" s="161" t="s">
        <v>424</v>
      </c>
      <c r="AC141" s="161" t="s">
        <v>424</v>
      </c>
      <c r="AD141" s="161" t="s">
        <v>424</v>
      </c>
      <c r="AE141" s="167" t="s">
        <v>1080</v>
      </c>
      <c r="AF141" s="161" t="s">
        <v>600</v>
      </c>
      <c r="AG141" s="166" t="s">
        <v>460</v>
      </c>
    </row>
    <row r="142" spans="1:33" ht="89.25" hidden="1" x14ac:dyDescent="0.2">
      <c r="A142" s="162" t="s">
        <v>879</v>
      </c>
      <c r="B142" s="162" t="s">
        <v>1230</v>
      </c>
      <c r="C142" s="162" t="s">
        <v>1084</v>
      </c>
      <c r="D142" s="162" t="s">
        <v>1093</v>
      </c>
      <c r="E142" s="161" t="s">
        <v>999</v>
      </c>
      <c r="F142" s="162" t="s">
        <v>347</v>
      </c>
      <c r="G142" s="162" t="s">
        <v>587</v>
      </c>
      <c r="H142" s="162" t="s">
        <v>1236</v>
      </c>
      <c r="I142" s="163" t="s">
        <v>421</v>
      </c>
      <c r="J142" s="163" t="s">
        <v>422</v>
      </c>
      <c r="K142" s="163" t="s">
        <v>460</v>
      </c>
      <c r="L142" s="163" t="s">
        <v>469</v>
      </c>
      <c r="M142" s="163" t="s">
        <v>1192</v>
      </c>
      <c r="N142" s="161" t="s">
        <v>1145</v>
      </c>
      <c r="O142" s="162" t="s">
        <v>1026</v>
      </c>
      <c r="P142" s="163" t="s">
        <v>184</v>
      </c>
      <c r="Q142" s="171">
        <f t="shared" si="74"/>
        <v>1</v>
      </c>
      <c r="R142" s="163" t="s">
        <v>485</v>
      </c>
      <c r="S142" s="172">
        <f t="shared" si="75"/>
        <v>1</v>
      </c>
      <c r="T142" s="166">
        <f t="shared" si="76"/>
        <v>1</v>
      </c>
      <c r="U142" s="163" t="s">
        <v>184</v>
      </c>
      <c r="V142" s="163" t="s">
        <v>971</v>
      </c>
      <c r="W142" s="172">
        <f t="shared" si="79"/>
        <v>100</v>
      </c>
      <c r="X142" s="166">
        <f t="shared" si="77"/>
        <v>100</v>
      </c>
      <c r="Y142" s="163" t="str">
        <f t="shared" si="78"/>
        <v>Nivel III: Riesgo Moderado (Aceptable)</v>
      </c>
      <c r="Z142" s="163">
        <v>2</v>
      </c>
      <c r="AA142" s="163" t="s">
        <v>926</v>
      </c>
      <c r="AB142" s="161" t="s">
        <v>424</v>
      </c>
      <c r="AC142" s="161" t="s">
        <v>424</v>
      </c>
      <c r="AD142" s="161" t="s">
        <v>424</v>
      </c>
      <c r="AE142" s="161" t="s">
        <v>1029</v>
      </c>
      <c r="AF142" s="161" t="s">
        <v>600</v>
      </c>
      <c r="AG142" s="166" t="s">
        <v>460</v>
      </c>
    </row>
    <row r="143" spans="1:33" ht="102" hidden="1" x14ac:dyDescent="0.2">
      <c r="A143" s="162" t="s">
        <v>879</v>
      </c>
      <c r="B143" s="162" t="s">
        <v>1230</v>
      </c>
      <c r="C143" s="162" t="s">
        <v>1084</v>
      </c>
      <c r="D143" s="162" t="s">
        <v>1093</v>
      </c>
      <c r="E143" s="161" t="s">
        <v>995</v>
      </c>
      <c r="F143" s="162" t="s">
        <v>714</v>
      </c>
      <c r="G143" s="162" t="s">
        <v>1036</v>
      </c>
      <c r="H143" s="162" t="s">
        <v>625</v>
      </c>
      <c r="I143" s="163" t="s">
        <v>421</v>
      </c>
      <c r="J143" s="163" t="s">
        <v>422</v>
      </c>
      <c r="K143" s="163" t="s">
        <v>460</v>
      </c>
      <c r="L143" s="163" t="s">
        <v>469</v>
      </c>
      <c r="M143" s="161" t="s">
        <v>1037</v>
      </c>
      <c r="N143" s="168"/>
      <c r="O143" s="164" t="s">
        <v>1038</v>
      </c>
      <c r="P143" s="163" t="s">
        <v>184</v>
      </c>
      <c r="Q143" s="171">
        <f t="shared" si="74"/>
        <v>1</v>
      </c>
      <c r="R143" s="163" t="s">
        <v>485</v>
      </c>
      <c r="S143" s="172">
        <f t="shared" si="75"/>
        <v>1</v>
      </c>
      <c r="T143" s="166">
        <f t="shared" si="76"/>
        <v>1</v>
      </c>
      <c r="U143" s="163" t="str">
        <f t="shared" ref="U143" si="81">IF(AND(T143&gt;=0,T143&lt;=4),"Bajo",IF(AND(T143&gt;=6,T143&lt;=8),"Medio",IF(AND(T143&gt;=10,T143&lt;=20),"Alto",IF(AND(T143&gt;=20,T143&lt;=40),"Muy Alto",))))</f>
        <v>Bajo</v>
      </c>
      <c r="V143" s="163" t="s">
        <v>187</v>
      </c>
      <c r="W143" s="172">
        <f t="shared" si="79"/>
        <v>25</v>
      </c>
      <c r="X143" s="166">
        <f t="shared" si="77"/>
        <v>25</v>
      </c>
      <c r="Y143" s="163" t="str">
        <f t="shared" si="78"/>
        <v>Nivel IV: Riesgo Tolerable (Aceptable)</v>
      </c>
      <c r="Z143" s="163">
        <v>2</v>
      </c>
      <c r="AA143" s="163" t="s">
        <v>926</v>
      </c>
      <c r="AB143" s="161" t="s">
        <v>424</v>
      </c>
      <c r="AC143" s="161" t="s">
        <v>424</v>
      </c>
      <c r="AD143" s="161" t="s">
        <v>514</v>
      </c>
      <c r="AE143" s="161" t="s">
        <v>1039</v>
      </c>
      <c r="AF143" s="161" t="s">
        <v>1040</v>
      </c>
      <c r="AG143" s="166" t="s">
        <v>460</v>
      </c>
    </row>
    <row r="144" spans="1:33" ht="331.5" hidden="1" customHeight="1" x14ac:dyDescent="0.2">
      <c r="A144" s="162" t="s">
        <v>879</v>
      </c>
      <c r="B144" s="162" t="s">
        <v>1230</v>
      </c>
      <c r="C144" s="162" t="s">
        <v>1084</v>
      </c>
      <c r="D144" s="162" t="s">
        <v>1093</v>
      </c>
      <c r="E144" s="161" t="s">
        <v>175</v>
      </c>
      <c r="F144" s="162" t="s">
        <v>592</v>
      </c>
      <c r="G144" s="162" t="s">
        <v>593</v>
      </c>
      <c r="H144" s="162" t="s">
        <v>602</v>
      </c>
      <c r="I144" s="163" t="s">
        <v>421</v>
      </c>
      <c r="J144" s="163" t="s">
        <v>422</v>
      </c>
      <c r="K144" s="163" t="s">
        <v>460</v>
      </c>
      <c r="L144" s="163" t="s">
        <v>469</v>
      </c>
      <c r="M144" s="161" t="s">
        <v>423</v>
      </c>
      <c r="N144" s="168"/>
      <c r="O144" s="162" t="s">
        <v>1034</v>
      </c>
      <c r="P144" s="163" t="s">
        <v>184</v>
      </c>
      <c r="Q144" s="171">
        <f t="shared" si="74"/>
        <v>1</v>
      </c>
      <c r="R144" s="163" t="s">
        <v>485</v>
      </c>
      <c r="S144" s="172">
        <f t="shared" si="75"/>
        <v>1</v>
      </c>
      <c r="T144" s="166">
        <f t="shared" si="76"/>
        <v>1</v>
      </c>
      <c r="U144" s="163" t="s">
        <v>184</v>
      </c>
      <c r="V144" s="163" t="s">
        <v>428</v>
      </c>
      <c r="W144" s="172">
        <f t="shared" si="79"/>
        <v>10</v>
      </c>
      <c r="X144" s="166">
        <f t="shared" si="77"/>
        <v>10</v>
      </c>
      <c r="Y144" s="163" t="str">
        <f t="shared" si="78"/>
        <v>Nivel IV: Riesgo Tolerable (Aceptable)</v>
      </c>
      <c r="Z144" s="163">
        <v>2</v>
      </c>
      <c r="AA144" s="163" t="s">
        <v>926</v>
      </c>
      <c r="AB144" s="161" t="s">
        <v>424</v>
      </c>
      <c r="AC144" s="161" t="s">
        <v>424</v>
      </c>
      <c r="AD144" s="161" t="s">
        <v>424</v>
      </c>
      <c r="AE144" s="161" t="s">
        <v>1035</v>
      </c>
      <c r="AF144" s="161" t="s">
        <v>600</v>
      </c>
      <c r="AG144" s="166" t="s">
        <v>460</v>
      </c>
    </row>
    <row r="145" spans="1:33" ht="114.75" hidden="1" x14ac:dyDescent="0.2">
      <c r="A145" s="162" t="s">
        <v>879</v>
      </c>
      <c r="B145" s="162" t="s">
        <v>1230</v>
      </c>
      <c r="C145" s="162" t="s">
        <v>1084</v>
      </c>
      <c r="D145" s="162" t="s">
        <v>1093</v>
      </c>
      <c r="E145" s="161" t="s">
        <v>175</v>
      </c>
      <c r="F145" s="162" t="s">
        <v>594</v>
      </c>
      <c r="G145" s="162" t="s">
        <v>595</v>
      </c>
      <c r="H145" s="162" t="s">
        <v>602</v>
      </c>
      <c r="I145" s="163" t="s">
        <v>421</v>
      </c>
      <c r="J145" s="163" t="s">
        <v>422</v>
      </c>
      <c r="K145" s="163" t="s">
        <v>460</v>
      </c>
      <c r="L145" s="163" t="s">
        <v>469</v>
      </c>
      <c r="M145" s="161" t="s">
        <v>423</v>
      </c>
      <c r="N145" s="168"/>
      <c r="O145" s="162" t="s">
        <v>1034</v>
      </c>
      <c r="P145" s="163" t="s">
        <v>184</v>
      </c>
      <c r="Q145" s="171">
        <f t="shared" si="74"/>
        <v>1</v>
      </c>
      <c r="R145" s="163" t="s">
        <v>485</v>
      </c>
      <c r="S145" s="172">
        <f t="shared" si="75"/>
        <v>1</v>
      </c>
      <c r="T145" s="166">
        <f t="shared" si="76"/>
        <v>1</v>
      </c>
      <c r="U145" s="163" t="s">
        <v>184</v>
      </c>
      <c r="V145" s="163" t="s">
        <v>428</v>
      </c>
      <c r="W145" s="172">
        <f t="shared" si="79"/>
        <v>10</v>
      </c>
      <c r="X145" s="166">
        <f t="shared" si="77"/>
        <v>10</v>
      </c>
      <c r="Y145" s="163" t="str">
        <f t="shared" si="78"/>
        <v>Nivel IV: Riesgo Tolerable (Aceptable)</v>
      </c>
      <c r="Z145" s="163">
        <v>2</v>
      </c>
      <c r="AA145" s="163" t="s">
        <v>926</v>
      </c>
      <c r="AB145" s="161" t="s">
        <v>424</v>
      </c>
      <c r="AC145" s="161" t="s">
        <v>424</v>
      </c>
      <c r="AD145" s="161" t="s">
        <v>424</v>
      </c>
      <c r="AE145" s="161" t="s">
        <v>1035</v>
      </c>
      <c r="AF145" s="161" t="s">
        <v>600</v>
      </c>
      <c r="AG145" s="166" t="s">
        <v>460</v>
      </c>
    </row>
    <row r="146" spans="1:33" ht="225" hidden="1" customHeight="1" x14ac:dyDescent="0.2">
      <c r="A146" s="162" t="s">
        <v>879</v>
      </c>
      <c r="B146" s="162" t="s">
        <v>1230</v>
      </c>
      <c r="C146" s="162" t="s">
        <v>1084</v>
      </c>
      <c r="D146" s="162" t="s">
        <v>1093</v>
      </c>
      <c r="E146" s="161" t="s">
        <v>175</v>
      </c>
      <c r="F146" s="162" t="s">
        <v>596</v>
      </c>
      <c r="G146" s="162" t="s">
        <v>599</v>
      </c>
      <c r="H146" s="162" t="s">
        <v>602</v>
      </c>
      <c r="I146" s="163" t="s">
        <v>421</v>
      </c>
      <c r="J146" s="163" t="s">
        <v>422</v>
      </c>
      <c r="K146" s="163" t="s">
        <v>460</v>
      </c>
      <c r="L146" s="163" t="s">
        <v>469</v>
      </c>
      <c r="M146" s="161" t="s">
        <v>423</v>
      </c>
      <c r="N146" s="168"/>
      <c r="O146" s="162" t="s">
        <v>1034</v>
      </c>
      <c r="P146" s="163" t="s">
        <v>185</v>
      </c>
      <c r="Q146" s="171">
        <f t="shared" si="74"/>
        <v>2</v>
      </c>
      <c r="R146" s="163" t="s">
        <v>186</v>
      </c>
      <c r="S146" s="172">
        <f t="shared" si="75"/>
        <v>4</v>
      </c>
      <c r="T146" s="166">
        <f t="shared" si="76"/>
        <v>8</v>
      </c>
      <c r="U146" s="163" t="str">
        <f t="shared" ref="U146" si="82">IF(AND(T146&gt;=0,T146&lt;=4),"Bajo",IF(AND(T146&gt;=6,T146&lt;=8),"Medio",IF(AND(T146&gt;=10,T146&lt;=20),"Alto",IF(AND(T146&gt;=20,T146&lt;=40),"Muy Alto",))))</f>
        <v>Medio</v>
      </c>
      <c r="V146" s="163" t="s">
        <v>428</v>
      </c>
      <c r="W146" s="172">
        <f t="shared" si="79"/>
        <v>10</v>
      </c>
      <c r="X146" s="166">
        <f t="shared" si="77"/>
        <v>80</v>
      </c>
      <c r="Y146" s="163" t="str">
        <f t="shared" si="78"/>
        <v>Nivel III: Riesgo Moderado (Aceptable)</v>
      </c>
      <c r="Z146" s="163">
        <v>2</v>
      </c>
      <c r="AA146" s="163" t="s">
        <v>926</v>
      </c>
      <c r="AB146" s="161" t="s">
        <v>424</v>
      </c>
      <c r="AC146" s="161" t="s">
        <v>424</v>
      </c>
      <c r="AD146" s="161" t="s">
        <v>424</v>
      </c>
      <c r="AE146" s="161" t="s">
        <v>1035</v>
      </c>
      <c r="AF146" s="161" t="s">
        <v>600</v>
      </c>
      <c r="AG146" s="166" t="s">
        <v>460</v>
      </c>
    </row>
    <row r="147" spans="1:33" ht="267.75" hidden="1" customHeight="1" x14ac:dyDescent="0.2">
      <c r="A147" s="162" t="s">
        <v>879</v>
      </c>
      <c r="B147" s="162" t="s">
        <v>1230</v>
      </c>
      <c r="C147" s="162" t="s">
        <v>1084</v>
      </c>
      <c r="D147" s="162" t="s">
        <v>1093</v>
      </c>
      <c r="E147" s="161" t="s">
        <v>175</v>
      </c>
      <c r="F147" s="162" t="s">
        <v>597</v>
      </c>
      <c r="G147" s="162" t="s">
        <v>598</v>
      </c>
      <c r="H147" s="162" t="s">
        <v>602</v>
      </c>
      <c r="I147" s="163" t="s">
        <v>421</v>
      </c>
      <c r="J147" s="163" t="s">
        <v>422</v>
      </c>
      <c r="K147" s="163" t="s">
        <v>460</v>
      </c>
      <c r="L147" s="163" t="s">
        <v>469</v>
      </c>
      <c r="M147" s="161" t="s">
        <v>423</v>
      </c>
      <c r="N147" s="168"/>
      <c r="O147" s="162" t="s">
        <v>1034</v>
      </c>
      <c r="P147" s="163" t="s">
        <v>184</v>
      </c>
      <c r="Q147" s="171">
        <f t="shared" si="74"/>
        <v>1</v>
      </c>
      <c r="R147" s="163" t="s">
        <v>485</v>
      </c>
      <c r="S147" s="172">
        <f t="shared" si="75"/>
        <v>1</v>
      </c>
      <c r="T147" s="166">
        <f t="shared" si="76"/>
        <v>1</v>
      </c>
      <c r="U147" s="163" t="s">
        <v>184</v>
      </c>
      <c r="V147" s="163" t="s">
        <v>428</v>
      </c>
      <c r="W147" s="172">
        <f t="shared" si="79"/>
        <v>10</v>
      </c>
      <c r="X147" s="166">
        <f t="shared" si="77"/>
        <v>10</v>
      </c>
      <c r="Y147" s="163" t="str">
        <f t="shared" si="78"/>
        <v>Nivel IV: Riesgo Tolerable (Aceptable)</v>
      </c>
      <c r="Z147" s="163">
        <v>2</v>
      </c>
      <c r="AA147" s="163" t="s">
        <v>926</v>
      </c>
      <c r="AB147" s="161" t="s">
        <v>424</v>
      </c>
      <c r="AC147" s="161" t="s">
        <v>424</v>
      </c>
      <c r="AD147" s="161" t="s">
        <v>424</v>
      </c>
      <c r="AE147" s="161" t="s">
        <v>1035</v>
      </c>
      <c r="AF147" s="161" t="s">
        <v>600</v>
      </c>
      <c r="AG147" s="166" t="s">
        <v>460</v>
      </c>
    </row>
    <row r="148" spans="1:33" ht="153" hidden="1" customHeight="1" x14ac:dyDescent="0.2">
      <c r="A148" s="162" t="s">
        <v>879</v>
      </c>
      <c r="B148" s="162" t="s">
        <v>1230</v>
      </c>
      <c r="C148" s="162" t="s">
        <v>1084</v>
      </c>
      <c r="D148" s="162" t="s">
        <v>1093</v>
      </c>
      <c r="E148" s="161" t="s">
        <v>999</v>
      </c>
      <c r="F148" s="162" t="s">
        <v>578</v>
      </c>
      <c r="G148" s="162" t="s">
        <v>1076</v>
      </c>
      <c r="H148" s="162" t="s">
        <v>979</v>
      </c>
      <c r="I148" s="163" t="s">
        <v>421</v>
      </c>
      <c r="J148" s="163" t="s">
        <v>422</v>
      </c>
      <c r="K148" s="163" t="s">
        <v>460</v>
      </c>
      <c r="L148" s="163" t="s">
        <v>469</v>
      </c>
      <c r="M148" s="161" t="s">
        <v>1055</v>
      </c>
      <c r="N148" s="168"/>
      <c r="O148" s="162" t="s">
        <v>1053</v>
      </c>
      <c r="P148" s="163" t="s">
        <v>184</v>
      </c>
      <c r="Q148" s="171">
        <f t="shared" si="74"/>
        <v>1</v>
      </c>
      <c r="R148" s="163" t="s">
        <v>485</v>
      </c>
      <c r="S148" s="172">
        <f t="shared" si="75"/>
        <v>1</v>
      </c>
      <c r="T148" s="166">
        <f t="shared" si="76"/>
        <v>1</v>
      </c>
      <c r="U148" s="163" t="s">
        <v>184</v>
      </c>
      <c r="V148" s="163" t="s">
        <v>187</v>
      </c>
      <c r="W148" s="172">
        <f t="shared" si="79"/>
        <v>25</v>
      </c>
      <c r="X148" s="166">
        <f t="shared" si="77"/>
        <v>25</v>
      </c>
      <c r="Y148" s="163" t="str">
        <f t="shared" si="78"/>
        <v>Nivel IV: Riesgo Tolerable (Aceptable)</v>
      </c>
      <c r="Z148" s="163">
        <v>2</v>
      </c>
      <c r="AA148" s="163" t="s">
        <v>926</v>
      </c>
      <c r="AB148" s="161" t="s">
        <v>424</v>
      </c>
      <c r="AC148" s="161" t="s">
        <v>424</v>
      </c>
      <c r="AD148" s="161" t="s">
        <v>424</v>
      </c>
      <c r="AE148" s="161" t="s">
        <v>1057</v>
      </c>
      <c r="AF148" s="161" t="s">
        <v>600</v>
      </c>
      <c r="AG148" s="166" t="s">
        <v>460</v>
      </c>
    </row>
    <row r="149" spans="1:33" ht="76.5" hidden="1" x14ac:dyDescent="0.2">
      <c r="A149" s="162" t="s">
        <v>879</v>
      </c>
      <c r="B149" s="162" t="s">
        <v>1230</v>
      </c>
      <c r="C149" s="162" t="s">
        <v>1084</v>
      </c>
      <c r="D149" s="162" t="s">
        <v>1093</v>
      </c>
      <c r="E149" s="161" t="s">
        <v>999</v>
      </c>
      <c r="F149" s="162" t="s">
        <v>1120</v>
      </c>
      <c r="G149" s="162" t="s">
        <v>1159</v>
      </c>
      <c r="H149" s="162" t="s">
        <v>979</v>
      </c>
      <c r="I149" s="163" t="s">
        <v>421</v>
      </c>
      <c r="J149" s="163" t="s">
        <v>461</v>
      </c>
      <c r="K149" s="163" t="s">
        <v>460</v>
      </c>
      <c r="L149" s="163" t="s">
        <v>469</v>
      </c>
      <c r="M149" s="165" t="s">
        <v>423</v>
      </c>
      <c r="N149" s="161" t="s">
        <v>1142</v>
      </c>
      <c r="O149" s="162" t="s">
        <v>1141</v>
      </c>
      <c r="P149" s="163" t="s">
        <v>184</v>
      </c>
      <c r="Q149" s="171">
        <f t="shared" si="74"/>
        <v>1</v>
      </c>
      <c r="R149" s="163" t="s">
        <v>485</v>
      </c>
      <c r="S149" s="172">
        <f t="shared" si="75"/>
        <v>1</v>
      </c>
      <c r="T149" s="166">
        <f t="shared" si="76"/>
        <v>1</v>
      </c>
      <c r="U149" s="163" t="s">
        <v>184</v>
      </c>
      <c r="V149" s="163" t="s">
        <v>187</v>
      </c>
      <c r="W149" s="172">
        <f t="shared" si="79"/>
        <v>25</v>
      </c>
      <c r="X149" s="166">
        <f t="shared" si="77"/>
        <v>25</v>
      </c>
      <c r="Y149" s="163" t="str">
        <f t="shared" si="78"/>
        <v>Nivel IV: Riesgo Tolerable (Aceptable)</v>
      </c>
      <c r="Z149" s="163">
        <v>2</v>
      </c>
      <c r="AA149" s="163" t="s">
        <v>926</v>
      </c>
      <c r="AB149" s="161" t="s">
        <v>424</v>
      </c>
      <c r="AC149" s="161" t="s">
        <v>424</v>
      </c>
      <c r="AD149" s="161" t="s">
        <v>424</v>
      </c>
      <c r="AE149" s="161" t="s">
        <v>1056</v>
      </c>
      <c r="AF149" s="161" t="s">
        <v>528</v>
      </c>
      <c r="AG149" s="166" t="s">
        <v>460</v>
      </c>
    </row>
    <row r="150" spans="1:33" ht="51" hidden="1" x14ac:dyDescent="0.2">
      <c r="A150" s="162" t="s">
        <v>879</v>
      </c>
      <c r="B150" s="162" t="s">
        <v>1230</v>
      </c>
      <c r="C150" s="162" t="s">
        <v>1084</v>
      </c>
      <c r="D150" s="162" t="s">
        <v>1093</v>
      </c>
      <c r="E150" s="161" t="s">
        <v>1000</v>
      </c>
      <c r="F150" s="162" t="s">
        <v>1123</v>
      </c>
      <c r="G150" s="162" t="s">
        <v>981</v>
      </c>
      <c r="H150" s="162" t="s">
        <v>1237</v>
      </c>
      <c r="I150" s="163" t="s">
        <v>421</v>
      </c>
      <c r="J150" s="163" t="s">
        <v>422</v>
      </c>
      <c r="K150" s="163" t="s">
        <v>460</v>
      </c>
      <c r="L150" s="163" t="s">
        <v>469</v>
      </c>
      <c r="M150" s="161" t="s">
        <v>423</v>
      </c>
      <c r="N150" s="161" t="s">
        <v>1145</v>
      </c>
      <c r="O150" s="162" t="s">
        <v>1144</v>
      </c>
      <c r="P150" s="163" t="s">
        <v>184</v>
      </c>
      <c r="Q150" s="171">
        <f t="shared" si="74"/>
        <v>1</v>
      </c>
      <c r="R150" s="163" t="s">
        <v>485</v>
      </c>
      <c r="S150" s="172">
        <f t="shared" si="75"/>
        <v>1</v>
      </c>
      <c r="T150" s="166">
        <f t="shared" si="76"/>
        <v>1</v>
      </c>
      <c r="U150" s="163" t="s">
        <v>184</v>
      </c>
      <c r="V150" s="163" t="s">
        <v>187</v>
      </c>
      <c r="W150" s="172">
        <f t="shared" si="79"/>
        <v>25</v>
      </c>
      <c r="X150" s="166">
        <f t="shared" si="77"/>
        <v>25</v>
      </c>
      <c r="Y150" s="163" t="str">
        <f t="shared" si="78"/>
        <v>Nivel IV: Riesgo Tolerable (Aceptable)</v>
      </c>
      <c r="Z150" s="163">
        <v>2</v>
      </c>
      <c r="AA150" s="163" t="s">
        <v>926</v>
      </c>
      <c r="AB150" s="161" t="s">
        <v>424</v>
      </c>
      <c r="AC150" s="161" t="s">
        <v>424</v>
      </c>
      <c r="AD150" s="161" t="s">
        <v>424</v>
      </c>
      <c r="AE150" s="161" t="s">
        <v>1024</v>
      </c>
      <c r="AF150" s="161" t="s">
        <v>600</v>
      </c>
      <c r="AG150" s="166" t="s">
        <v>460</v>
      </c>
    </row>
    <row r="151" spans="1:33" ht="114.75" hidden="1" customHeight="1" x14ac:dyDescent="0.2">
      <c r="A151" s="162" t="s">
        <v>879</v>
      </c>
      <c r="B151" s="162" t="s">
        <v>1230</v>
      </c>
      <c r="C151" s="162" t="s">
        <v>1084</v>
      </c>
      <c r="D151" s="162" t="s">
        <v>1093</v>
      </c>
      <c r="E151" s="161" t="s">
        <v>995</v>
      </c>
      <c r="F151" s="162" t="s">
        <v>719</v>
      </c>
      <c r="G151" s="162" t="s">
        <v>981</v>
      </c>
      <c r="H151" s="162" t="s">
        <v>722</v>
      </c>
      <c r="I151" s="163" t="s">
        <v>421</v>
      </c>
      <c r="J151" s="163" t="s">
        <v>422</v>
      </c>
      <c r="K151" s="163" t="s">
        <v>460</v>
      </c>
      <c r="L151" s="163" t="s">
        <v>469</v>
      </c>
      <c r="M151" s="161" t="s">
        <v>423</v>
      </c>
      <c r="N151" s="168"/>
      <c r="O151" s="162" t="s">
        <v>1092</v>
      </c>
      <c r="P151" s="163" t="s">
        <v>184</v>
      </c>
      <c r="Q151" s="171">
        <f t="shared" si="74"/>
        <v>1</v>
      </c>
      <c r="R151" s="163" t="s">
        <v>485</v>
      </c>
      <c r="S151" s="172">
        <f t="shared" si="75"/>
        <v>1</v>
      </c>
      <c r="T151" s="166">
        <f t="shared" si="76"/>
        <v>1</v>
      </c>
      <c r="U151" s="163" t="s">
        <v>184</v>
      </c>
      <c r="V151" s="163" t="s">
        <v>187</v>
      </c>
      <c r="W151" s="172">
        <f t="shared" si="79"/>
        <v>25</v>
      </c>
      <c r="X151" s="166">
        <f t="shared" si="77"/>
        <v>25</v>
      </c>
      <c r="Y151" s="163" t="str">
        <f t="shared" si="78"/>
        <v>Nivel IV: Riesgo Tolerable (Aceptable)</v>
      </c>
      <c r="Z151" s="163">
        <v>2</v>
      </c>
      <c r="AA151" s="163" t="s">
        <v>926</v>
      </c>
      <c r="AB151" s="161" t="s">
        <v>424</v>
      </c>
      <c r="AC151" s="161" t="s">
        <v>424</v>
      </c>
      <c r="AD151" s="161" t="s">
        <v>424</v>
      </c>
      <c r="AE151" s="161" t="s">
        <v>1042</v>
      </c>
      <c r="AF151" s="161" t="s">
        <v>600</v>
      </c>
      <c r="AG151" s="166" t="s">
        <v>460</v>
      </c>
    </row>
    <row r="152" spans="1:33" ht="127.5" hidden="1" customHeight="1" x14ac:dyDescent="0.2">
      <c r="A152" s="162" t="s">
        <v>879</v>
      </c>
      <c r="B152" s="162" t="s">
        <v>1230</v>
      </c>
      <c r="C152" s="162" t="s">
        <v>1084</v>
      </c>
      <c r="D152" s="162" t="s">
        <v>1093</v>
      </c>
      <c r="E152" s="161" t="s">
        <v>995</v>
      </c>
      <c r="F152" s="162" t="s">
        <v>720</v>
      </c>
      <c r="G152" s="162" t="s">
        <v>981</v>
      </c>
      <c r="H152" s="162" t="s">
        <v>724</v>
      </c>
      <c r="I152" s="163" t="s">
        <v>421</v>
      </c>
      <c r="J152" s="163" t="s">
        <v>422</v>
      </c>
      <c r="K152" s="163" t="s">
        <v>460</v>
      </c>
      <c r="L152" s="163" t="s">
        <v>469</v>
      </c>
      <c r="M152" s="161" t="s">
        <v>1081</v>
      </c>
      <c r="N152" s="168"/>
      <c r="O152" s="162" t="s">
        <v>1092</v>
      </c>
      <c r="P152" s="163" t="s">
        <v>184</v>
      </c>
      <c r="Q152" s="171">
        <f t="shared" si="74"/>
        <v>1</v>
      </c>
      <c r="R152" s="163" t="s">
        <v>485</v>
      </c>
      <c r="S152" s="172">
        <f t="shared" si="75"/>
        <v>1</v>
      </c>
      <c r="T152" s="166">
        <f t="shared" si="76"/>
        <v>1</v>
      </c>
      <c r="U152" s="163" t="s">
        <v>184</v>
      </c>
      <c r="V152" s="163" t="s">
        <v>187</v>
      </c>
      <c r="W152" s="172">
        <f t="shared" si="79"/>
        <v>25</v>
      </c>
      <c r="X152" s="166">
        <f t="shared" si="77"/>
        <v>25</v>
      </c>
      <c r="Y152" s="163" t="str">
        <f t="shared" si="78"/>
        <v>Nivel IV: Riesgo Tolerable (Aceptable)</v>
      </c>
      <c r="Z152" s="163">
        <v>2</v>
      </c>
      <c r="AA152" s="163" t="s">
        <v>926</v>
      </c>
      <c r="AB152" s="161" t="s">
        <v>424</v>
      </c>
      <c r="AC152" s="161" t="s">
        <v>424</v>
      </c>
      <c r="AD152" s="161" t="s">
        <v>424</v>
      </c>
      <c r="AE152" s="161" t="s">
        <v>1042</v>
      </c>
      <c r="AF152" s="161" t="s">
        <v>600</v>
      </c>
      <c r="AG152" s="166" t="s">
        <v>460</v>
      </c>
    </row>
    <row r="153" spans="1:33" ht="51" hidden="1" x14ac:dyDescent="0.2">
      <c r="A153" s="162" t="s">
        <v>879</v>
      </c>
      <c r="B153" s="162" t="s">
        <v>1230</v>
      </c>
      <c r="C153" s="162" t="s">
        <v>1084</v>
      </c>
      <c r="D153" s="162" t="s">
        <v>1093</v>
      </c>
      <c r="E153" s="161" t="s">
        <v>1000</v>
      </c>
      <c r="F153" s="162" t="s">
        <v>1127</v>
      </c>
      <c r="G153" s="162" t="s">
        <v>1152</v>
      </c>
      <c r="H153" s="162" t="s">
        <v>1237</v>
      </c>
      <c r="I153" s="163" t="s">
        <v>421</v>
      </c>
      <c r="J153" s="163" t="s">
        <v>461</v>
      </c>
      <c r="K153" s="163" t="s">
        <v>460</v>
      </c>
      <c r="L153" s="163" t="s">
        <v>469</v>
      </c>
      <c r="M153" s="161" t="s">
        <v>423</v>
      </c>
      <c r="N153" s="168"/>
      <c r="O153" s="162" t="s">
        <v>1023</v>
      </c>
      <c r="P153" s="163" t="s">
        <v>184</v>
      </c>
      <c r="Q153" s="171">
        <f t="shared" si="74"/>
        <v>1</v>
      </c>
      <c r="R153" s="163" t="s">
        <v>485</v>
      </c>
      <c r="S153" s="172">
        <f t="shared" si="75"/>
        <v>1</v>
      </c>
      <c r="T153" s="166">
        <f t="shared" si="76"/>
        <v>1</v>
      </c>
      <c r="U153" s="163" t="str">
        <f t="shared" ref="U153:U160" si="83">IF(AND(T153&gt;=0,T153&lt;=4),"Bajo",IF(AND(T153&gt;=6,T153&lt;=8),"Medio",IF(AND(T153&gt;=10,T153&lt;=20),"Alto",IF(AND(T153&gt;=20,T153&lt;=40),"Muy Alto",))))</f>
        <v>Bajo</v>
      </c>
      <c r="V153" s="163" t="s">
        <v>971</v>
      </c>
      <c r="W153" s="172">
        <f t="shared" si="79"/>
        <v>100</v>
      </c>
      <c r="X153" s="166">
        <f t="shared" si="77"/>
        <v>100</v>
      </c>
      <c r="Y153" s="163" t="str">
        <f t="shared" si="78"/>
        <v>Nivel III: Riesgo Moderado (Aceptable)</v>
      </c>
      <c r="Z153" s="163">
        <v>2</v>
      </c>
      <c r="AA153" s="163" t="s">
        <v>926</v>
      </c>
      <c r="AB153" s="161" t="s">
        <v>424</v>
      </c>
      <c r="AC153" s="161" t="s">
        <v>424</v>
      </c>
      <c r="AD153" s="161" t="s">
        <v>424</v>
      </c>
      <c r="AE153" s="161" t="s">
        <v>1025</v>
      </c>
      <c r="AF153" s="161" t="s">
        <v>600</v>
      </c>
      <c r="AG153" s="166" t="s">
        <v>460</v>
      </c>
    </row>
    <row r="154" spans="1:33" ht="127.5" hidden="1" x14ac:dyDescent="0.2">
      <c r="A154" s="162" t="s">
        <v>879</v>
      </c>
      <c r="B154" s="162" t="s">
        <v>1231</v>
      </c>
      <c r="C154" s="162" t="s">
        <v>1084</v>
      </c>
      <c r="D154" s="162" t="s">
        <v>1094</v>
      </c>
      <c r="E154" s="161" t="s">
        <v>998</v>
      </c>
      <c r="F154" s="162" t="s">
        <v>1113</v>
      </c>
      <c r="G154" s="162" t="s">
        <v>924</v>
      </c>
      <c r="H154" s="162" t="s">
        <v>557</v>
      </c>
      <c r="I154" s="163" t="s">
        <v>421</v>
      </c>
      <c r="J154" s="163" t="s">
        <v>422</v>
      </c>
      <c r="K154" s="163" t="s">
        <v>460</v>
      </c>
      <c r="L154" s="163" t="s">
        <v>469</v>
      </c>
      <c r="M154" s="161" t="s">
        <v>902</v>
      </c>
      <c r="N154" s="163" t="s">
        <v>1128</v>
      </c>
      <c r="O154" s="162" t="s">
        <v>1050</v>
      </c>
      <c r="P154" s="163" t="s">
        <v>185</v>
      </c>
      <c r="Q154" s="171">
        <f t="shared" ref="Q154:Q171" si="84">IF(P154="Muy Alto",10,IF(P154="Alto",6,IF(P154="Medio",2,IF(P154="Bajo",1,))))</f>
        <v>2</v>
      </c>
      <c r="R154" s="163" t="s">
        <v>186</v>
      </c>
      <c r="S154" s="172">
        <f t="shared" ref="S154:S171" si="85">IF(R154="Continua",4,IF(R154="Frecuente",3,IF(R154="Ocasional",2,IF(R154="Esporádica",1,))))</f>
        <v>4</v>
      </c>
      <c r="T154" s="166">
        <f t="shared" ref="T154:T171" si="86">Q154*S154</f>
        <v>8</v>
      </c>
      <c r="U154" s="163" t="str">
        <f t="shared" si="83"/>
        <v>Medio</v>
      </c>
      <c r="V154" s="163" t="s">
        <v>187</v>
      </c>
      <c r="W154" s="172">
        <f t="shared" si="79"/>
        <v>25</v>
      </c>
      <c r="X154" s="166">
        <f t="shared" ref="X154:X171" si="87">T154*W154</f>
        <v>200</v>
      </c>
      <c r="Y154" s="163" t="str">
        <f t="shared" ref="Y154:Y171" si="88">IF(AND(X154&gt;=600,X154&lt;=4000),"Nivel I: Riesgo Inaceptable",IF(AND(X154&gt;=150,X154&lt;=500),"Nivel II: Riesgo Importante",IF(AND(X154&gt;=40,X154&lt;=120),"Nivel III: Riesgo Moderado (Aceptable)","Nivel IV: Riesgo Tolerable (Aceptable)")))</f>
        <v>Nivel II: Riesgo Importante</v>
      </c>
      <c r="Z154" s="163">
        <v>1</v>
      </c>
      <c r="AA154" s="163" t="s">
        <v>926</v>
      </c>
      <c r="AB154" s="161" t="s">
        <v>424</v>
      </c>
      <c r="AC154" s="161" t="s">
        <v>424</v>
      </c>
      <c r="AD154" s="161" t="s">
        <v>424</v>
      </c>
      <c r="AE154" s="161" t="s">
        <v>1129</v>
      </c>
      <c r="AF154" s="161" t="s">
        <v>600</v>
      </c>
      <c r="AG154" s="166" t="s">
        <v>460</v>
      </c>
    </row>
    <row r="155" spans="1:33" ht="165" hidden="1" customHeight="1" x14ac:dyDescent="0.2">
      <c r="A155" s="162" t="s">
        <v>879</v>
      </c>
      <c r="B155" s="162" t="s">
        <v>1231</v>
      </c>
      <c r="C155" s="162" t="s">
        <v>1084</v>
      </c>
      <c r="D155" s="162" t="s">
        <v>1094</v>
      </c>
      <c r="E155" s="161" t="s">
        <v>998</v>
      </c>
      <c r="F155" s="162" t="s">
        <v>178</v>
      </c>
      <c r="G155" s="162" t="s">
        <v>1067</v>
      </c>
      <c r="H155" s="162" t="s">
        <v>559</v>
      </c>
      <c r="I155" s="163" t="s">
        <v>421</v>
      </c>
      <c r="J155" s="163" t="s">
        <v>422</v>
      </c>
      <c r="K155" s="163" t="s">
        <v>460</v>
      </c>
      <c r="L155" s="163" t="s">
        <v>469</v>
      </c>
      <c r="M155" s="161" t="s">
        <v>606</v>
      </c>
      <c r="N155" s="161" t="s">
        <v>606</v>
      </c>
      <c r="O155" s="162" t="s">
        <v>1046</v>
      </c>
      <c r="P155" s="163" t="s">
        <v>185</v>
      </c>
      <c r="Q155" s="171">
        <f t="shared" si="84"/>
        <v>2</v>
      </c>
      <c r="R155" s="163" t="s">
        <v>186</v>
      </c>
      <c r="S155" s="172">
        <f t="shared" si="85"/>
        <v>4</v>
      </c>
      <c r="T155" s="166">
        <f t="shared" si="86"/>
        <v>8</v>
      </c>
      <c r="U155" s="163" t="str">
        <f t="shared" si="83"/>
        <v>Medio</v>
      </c>
      <c r="V155" s="163" t="s">
        <v>187</v>
      </c>
      <c r="W155" s="172">
        <f t="shared" si="79"/>
        <v>25</v>
      </c>
      <c r="X155" s="166">
        <f t="shared" si="87"/>
        <v>200</v>
      </c>
      <c r="Y155" s="163" t="str">
        <f t="shared" si="88"/>
        <v>Nivel II: Riesgo Importante</v>
      </c>
      <c r="Z155" s="163">
        <v>1</v>
      </c>
      <c r="AA155" s="163" t="s">
        <v>926</v>
      </c>
      <c r="AB155" s="161" t="s">
        <v>424</v>
      </c>
      <c r="AC155" s="161" t="s">
        <v>424</v>
      </c>
      <c r="AD155" s="161" t="s">
        <v>424</v>
      </c>
      <c r="AE155" s="161" t="s">
        <v>1130</v>
      </c>
      <c r="AF155" s="161" t="s">
        <v>600</v>
      </c>
      <c r="AG155" s="166" t="s">
        <v>460</v>
      </c>
    </row>
    <row r="156" spans="1:33" ht="165" hidden="1" customHeight="1" x14ac:dyDescent="0.2">
      <c r="A156" s="162" t="s">
        <v>879</v>
      </c>
      <c r="B156" s="162" t="s">
        <v>1231</v>
      </c>
      <c r="C156" s="162" t="s">
        <v>1084</v>
      </c>
      <c r="D156" s="162" t="s">
        <v>1094</v>
      </c>
      <c r="E156" s="161" t="s">
        <v>999</v>
      </c>
      <c r="F156" s="162" t="s">
        <v>292</v>
      </c>
      <c r="G156" s="162" t="s">
        <v>1068</v>
      </c>
      <c r="H156" s="162" t="s">
        <v>472</v>
      </c>
      <c r="I156" s="163" t="s">
        <v>421</v>
      </c>
      <c r="J156" s="163" t="s">
        <v>461</v>
      </c>
      <c r="K156" s="163" t="s">
        <v>460</v>
      </c>
      <c r="L156" s="163" t="s">
        <v>469</v>
      </c>
      <c r="M156" s="161" t="s">
        <v>1069</v>
      </c>
      <c r="N156" s="168"/>
      <c r="O156" s="162" t="s">
        <v>1070</v>
      </c>
      <c r="P156" s="163" t="s">
        <v>184</v>
      </c>
      <c r="Q156" s="171">
        <f t="shared" si="84"/>
        <v>1</v>
      </c>
      <c r="R156" s="163" t="s">
        <v>429</v>
      </c>
      <c r="S156" s="172">
        <f t="shared" si="85"/>
        <v>2</v>
      </c>
      <c r="T156" s="166">
        <f t="shared" si="86"/>
        <v>2</v>
      </c>
      <c r="U156" s="163" t="str">
        <f t="shared" si="83"/>
        <v>Bajo</v>
      </c>
      <c r="V156" s="163" t="s">
        <v>428</v>
      </c>
      <c r="W156" s="172">
        <f t="shared" si="79"/>
        <v>10</v>
      </c>
      <c r="X156" s="166">
        <f t="shared" si="87"/>
        <v>20</v>
      </c>
      <c r="Y156" s="163" t="str">
        <f t="shared" si="88"/>
        <v>Nivel IV: Riesgo Tolerable (Aceptable)</v>
      </c>
      <c r="Z156" s="163">
        <v>1</v>
      </c>
      <c r="AA156" s="163" t="s">
        <v>926</v>
      </c>
      <c r="AB156" s="161" t="s">
        <v>424</v>
      </c>
      <c r="AC156" s="161" t="s">
        <v>424</v>
      </c>
      <c r="AD156" s="161" t="s">
        <v>424</v>
      </c>
      <c r="AE156" s="161" t="s">
        <v>1071</v>
      </c>
      <c r="AF156" s="162" t="s">
        <v>609</v>
      </c>
      <c r="AG156" s="166" t="s">
        <v>460</v>
      </c>
    </row>
    <row r="157" spans="1:33" ht="89.25" hidden="1" x14ac:dyDescent="0.2">
      <c r="A157" s="162" t="s">
        <v>879</v>
      </c>
      <c r="B157" s="162" t="s">
        <v>1231</v>
      </c>
      <c r="C157" s="162" t="s">
        <v>1084</v>
      </c>
      <c r="D157" s="162" t="s">
        <v>1094</v>
      </c>
      <c r="E157" s="161" t="s">
        <v>999</v>
      </c>
      <c r="F157" s="162" t="s">
        <v>288</v>
      </c>
      <c r="G157" s="162" t="s">
        <v>837</v>
      </c>
      <c r="H157" s="162" t="s">
        <v>507</v>
      </c>
      <c r="I157" s="163" t="s">
        <v>421</v>
      </c>
      <c r="J157" s="163" t="s">
        <v>461</v>
      </c>
      <c r="K157" s="163" t="s">
        <v>460</v>
      </c>
      <c r="L157" s="163" t="s">
        <v>469</v>
      </c>
      <c r="M157" s="161" t="s">
        <v>423</v>
      </c>
      <c r="N157" s="168"/>
      <c r="O157" s="162" t="s">
        <v>1005</v>
      </c>
      <c r="P157" s="163" t="s">
        <v>185</v>
      </c>
      <c r="Q157" s="171">
        <f t="shared" si="84"/>
        <v>2</v>
      </c>
      <c r="R157" s="163" t="s">
        <v>429</v>
      </c>
      <c r="S157" s="172">
        <f t="shared" si="85"/>
        <v>2</v>
      </c>
      <c r="T157" s="166">
        <f t="shared" si="86"/>
        <v>4</v>
      </c>
      <c r="U157" s="163" t="str">
        <f t="shared" si="83"/>
        <v>Bajo</v>
      </c>
      <c r="V157" s="163" t="s">
        <v>187</v>
      </c>
      <c r="W157" s="172">
        <f t="shared" si="79"/>
        <v>25</v>
      </c>
      <c r="X157" s="166">
        <f t="shared" si="87"/>
        <v>100</v>
      </c>
      <c r="Y157" s="163" t="str">
        <f t="shared" si="88"/>
        <v>Nivel III: Riesgo Moderado (Aceptable)</v>
      </c>
      <c r="Z157" s="163">
        <v>1</v>
      </c>
      <c r="AA157" s="163" t="s">
        <v>926</v>
      </c>
      <c r="AB157" s="161" t="s">
        <v>424</v>
      </c>
      <c r="AC157" s="161" t="s">
        <v>424</v>
      </c>
      <c r="AD157" s="161" t="s">
        <v>424</v>
      </c>
      <c r="AE157" s="162" t="s">
        <v>1007</v>
      </c>
      <c r="AF157" s="161" t="s">
        <v>528</v>
      </c>
      <c r="AG157" s="166" t="s">
        <v>460</v>
      </c>
    </row>
    <row r="158" spans="1:33" ht="76.5" hidden="1" x14ac:dyDescent="0.2">
      <c r="A158" s="162" t="s">
        <v>879</v>
      </c>
      <c r="B158" s="162" t="s">
        <v>1231</v>
      </c>
      <c r="C158" s="162" t="s">
        <v>1084</v>
      </c>
      <c r="D158" s="162" t="s">
        <v>1094</v>
      </c>
      <c r="E158" s="161" t="s">
        <v>999</v>
      </c>
      <c r="F158" s="162" t="s">
        <v>288</v>
      </c>
      <c r="G158" s="162" t="s">
        <v>488</v>
      </c>
      <c r="H158" s="162" t="s">
        <v>614</v>
      </c>
      <c r="I158" s="163" t="s">
        <v>421</v>
      </c>
      <c r="J158" s="163" t="s">
        <v>461</v>
      </c>
      <c r="K158" s="163" t="s">
        <v>460</v>
      </c>
      <c r="L158" s="163" t="s">
        <v>469</v>
      </c>
      <c r="M158" s="161" t="s">
        <v>1065</v>
      </c>
      <c r="N158" s="168"/>
      <c r="O158" s="162" t="s">
        <v>1026</v>
      </c>
      <c r="P158" s="163" t="s">
        <v>184</v>
      </c>
      <c r="Q158" s="171">
        <f t="shared" si="84"/>
        <v>1</v>
      </c>
      <c r="R158" s="163" t="s">
        <v>485</v>
      </c>
      <c r="S158" s="172">
        <f t="shared" si="85"/>
        <v>1</v>
      </c>
      <c r="T158" s="166">
        <f t="shared" si="86"/>
        <v>1</v>
      </c>
      <c r="U158" s="163" t="str">
        <f t="shared" si="83"/>
        <v>Bajo</v>
      </c>
      <c r="V158" s="163" t="s">
        <v>187</v>
      </c>
      <c r="W158" s="172">
        <f t="shared" si="79"/>
        <v>25</v>
      </c>
      <c r="X158" s="166">
        <f t="shared" si="87"/>
        <v>25</v>
      </c>
      <c r="Y158" s="163" t="str">
        <f t="shared" si="88"/>
        <v>Nivel IV: Riesgo Tolerable (Aceptable)</v>
      </c>
      <c r="Z158" s="163">
        <v>1</v>
      </c>
      <c r="AA158" s="163" t="s">
        <v>926</v>
      </c>
      <c r="AB158" s="161" t="s">
        <v>424</v>
      </c>
      <c r="AC158" s="161" t="s">
        <v>424</v>
      </c>
      <c r="AD158" s="161" t="s">
        <v>424</v>
      </c>
      <c r="AE158" s="161" t="s">
        <v>1066</v>
      </c>
      <c r="AF158" s="161" t="s">
        <v>528</v>
      </c>
      <c r="AG158" s="166" t="s">
        <v>460</v>
      </c>
    </row>
    <row r="159" spans="1:33" ht="76.5" hidden="1" x14ac:dyDescent="0.2">
      <c r="A159" s="162" t="s">
        <v>879</v>
      </c>
      <c r="B159" s="162" t="s">
        <v>1231</v>
      </c>
      <c r="C159" s="162" t="s">
        <v>1084</v>
      </c>
      <c r="D159" s="162" t="s">
        <v>1094</v>
      </c>
      <c r="E159" s="161" t="s">
        <v>999</v>
      </c>
      <c r="F159" s="162" t="s">
        <v>1117</v>
      </c>
      <c r="G159" s="162" t="s">
        <v>564</v>
      </c>
      <c r="H159" s="162" t="s">
        <v>1072</v>
      </c>
      <c r="I159" s="163" t="s">
        <v>421</v>
      </c>
      <c r="J159" s="163" t="s">
        <v>461</v>
      </c>
      <c r="K159" s="163" t="s">
        <v>460</v>
      </c>
      <c r="L159" s="163" t="s">
        <v>469</v>
      </c>
      <c r="M159" s="166" t="s">
        <v>423</v>
      </c>
      <c r="N159" s="168"/>
      <c r="O159" s="162" t="s">
        <v>1026</v>
      </c>
      <c r="P159" s="163" t="s">
        <v>184</v>
      </c>
      <c r="Q159" s="171">
        <f t="shared" si="84"/>
        <v>1</v>
      </c>
      <c r="R159" s="163" t="s">
        <v>485</v>
      </c>
      <c r="S159" s="172">
        <f t="shared" si="85"/>
        <v>1</v>
      </c>
      <c r="T159" s="166">
        <f t="shared" si="86"/>
        <v>1</v>
      </c>
      <c r="U159" s="163" t="str">
        <f t="shared" si="83"/>
        <v>Bajo</v>
      </c>
      <c r="V159" s="163" t="s">
        <v>428</v>
      </c>
      <c r="W159" s="172">
        <f t="shared" si="79"/>
        <v>10</v>
      </c>
      <c r="X159" s="166">
        <f t="shared" si="87"/>
        <v>10</v>
      </c>
      <c r="Y159" s="163" t="str">
        <f t="shared" si="88"/>
        <v>Nivel IV: Riesgo Tolerable (Aceptable)</v>
      </c>
      <c r="Z159" s="163">
        <v>1</v>
      </c>
      <c r="AA159" s="163" t="s">
        <v>926</v>
      </c>
      <c r="AB159" s="161" t="s">
        <v>424</v>
      </c>
      <c r="AC159" s="161" t="s">
        <v>424</v>
      </c>
      <c r="AD159" s="161" t="s">
        <v>424</v>
      </c>
      <c r="AE159" s="161" t="s">
        <v>1066</v>
      </c>
      <c r="AF159" s="161" t="s">
        <v>528</v>
      </c>
      <c r="AG159" s="166" t="s">
        <v>460</v>
      </c>
    </row>
    <row r="160" spans="1:33" ht="102" hidden="1" x14ac:dyDescent="0.2">
      <c r="A160" s="162" t="s">
        <v>879</v>
      </c>
      <c r="B160" s="162" t="s">
        <v>1231</v>
      </c>
      <c r="C160" s="162" t="s">
        <v>1084</v>
      </c>
      <c r="D160" s="162" t="s">
        <v>1094</v>
      </c>
      <c r="E160" s="161" t="s">
        <v>996</v>
      </c>
      <c r="F160" s="162" t="s">
        <v>430</v>
      </c>
      <c r="G160" s="162" t="s">
        <v>486</v>
      </c>
      <c r="H160" s="162" t="s">
        <v>623</v>
      </c>
      <c r="I160" s="163" t="s">
        <v>421</v>
      </c>
      <c r="J160" s="163" t="s">
        <v>422</v>
      </c>
      <c r="K160" s="163" t="s">
        <v>460</v>
      </c>
      <c r="L160" s="163" t="s">
        <v>469</v>
      </c>
      <c r="M160" s="169" t="s">
        <v>1073</v>
      </c>
      <c r="N160" s="168"/>
      <c r="O160" s="162" t="s">
        <v>1032</v>
      </c>
      <c r="P160" s="163" t="s">
        <v>184</v>
      </c>
      <c r="Q160" s="171">
        <f t="shared" si="84"/>
        <v>1</v>
      </c>
      <c r="R160" s="163" t="s">
        <v>485</v>
      </c>
      <c r="S160" s="172">
        <f t="shared" si="85"/>
        <v>1</v>
      </c>
      <c r="T160" s="166">
        <f t="shared" si="86"/>
        <v>1</v>
      </c>
      <c r="U160" s="163" t="str">
        <f t="shared" si="83"/>
        <v>Bajo</v>
      </c>
      <c r="V160" s="163" t="s">
        <v>428</v>
      </c>
      <c r="W160" s="172">
        <f t="shared" si="79"/>
        <v>10</v>
      </c>
      <c r="X160" s="166">
        <f t="shared" si="87"/>
        <v>10</v>
      </c>
      <c r="Y160" s="163" t="str">
        <f t="shared" si="88"/>
        <v>Nivel IV: Riesgo Tolerable (Aceptable)</v>
      </c>
      <c r="Z160" s="163">
        <v>1</v>
      </c>
      <c r="AA160" s="163" t="s">
        <v>926</v>
      </c>
      <c r="AB160" s="161" t="s">
        <v>424</v>
      </c>
      <c r="AC160" s="161" t="s">
        <v>424</v>
      </c>
      <c r="AD160" s="161" t="s">
        <v>424</v>
      </c>
      <c r="AE160" s="161" t="s">
        <v>1075</v>
      </c>
      <c r="AF160" s="161" t="s">
        <v>600</v>
      </c>
      <c r="AG160" s="166" t="s">
        <v>460</v>
      </c>
    </row>
    <row r="161" spans="1:33" ht="140.25" hidden="1" customHeight="1" x14ac:dyDescent="0.2">
      <c r="A161" s="162" t="s">
        <v>879</v>
      </c>
      <c r="B161" s="162" t="s">
        <v>1231</v>
      </c>
      <c r="C161" s="162" t="s">
        <v>1084</v>
      </c>
      <c r="D161" s="162" t="s">
        <v>1094</v>
      </c>
      <c r="E161" s="161" t="s">
        <v>999</v>
      </c>
      <c r="F161" s="162" t="s">
        <v>294</v>
      </c>
      <c r="G161" s="162" t="s">
        <v>1077</v>
      </c>
      <c r="H161" s="162" t="s">
        <v>966</v>
      </c>
      <c r="I161" s="163" t="s">
        <v>421</v>
      </c>
      <c r="J161" s="163" t="s">
        <v>422</v>
      </c>
      <c r="K161" s="163" t="s">
        <v>460</v>
      </c>
      <c r="L161" s="163" t="s">
        <v>469</v>
      </c>
      <c r="M161" s="161" t="s">
        <v>1079</v>
      </c>
      <c r="N161" s="168"/>
      <c r="O161" s="164" t="s">
        <v>1026</v>
      </c>
      <c r="P161" s="163" t="s">
        <v>184</v>
      </c>
      <c r="Q161" s="171">
        <f t="shared" si="84"/>
        <v>1</v>
      </c>
      <c r="R161" s="163" t="s">
        <v>416</v>
      </c>
      <c r="S161" s="172">
        <f t="shared" si="85"/>
        <v>3</v>
      </c>
      <c r="T161" s="166">
        <f t="shared" si="86"/>
        <v>3</v>
      </c>
      <c r="U161" s="163" t="s">
        <v>184</v>
      </c>
      <c r="V161" s="163" t="s">
        <v>187</v>
      </c>
      <c r="W161" s="172">
        <f t="shared" si="79"/>
        <v>25</v>
      </c>
      <c r="X161" s="166">
        <f t="shared" si="87"/>
        <v>75</v>
      </c>
      <c r="Y161" s="163" t="str">
        <f t="shared" si="88"/>
        <v>Nivel III: Riesgo Moderado (Aceptable)</v>
      </c>
      <c r="Z161" s="163">
        <v>1</v>
      </c>
      <c r="AA161" s="163" t="s">
        <v>926</v>
      </c>
      <c r="AB161" s="161" t="s">
        <v>424</v>
      </c>
      <c r="AC161" s="161" t="s">
        <v>424</v>
      </c>
      <c r="AD161" s="161" t="s">
        <v>424</v>
      </c>
      <c r="AE161" s="167" t="s">
        <v>1080</v>
      </c>
      <c r="AF161" s="161" t="s">
        <v>600</v>
      </c>
      <c r="AG161" s="166" t="s">
        <v>460</v>
      </c>
    </row>
    <row r="162" spans="1:33" ht="89.25" hidden="1" x14ac:dyDescent="0.2">
      <c r="A162" s="162" t="s">
        <v>879</v>
      </c>
      <c r="B162" s="162" t="s">
        <v>1231</v>
      </c>
      <c r="C162" s="162" t="s">
        <v>1084</v>
      </c>
      <c r="D162" s="162" t="s">
        <v>1094</v>
      </c>
      <c r="E162" s="161" t="s">
        <v>999</v>
      </c>
      <c r="F162" s="162" t="s">
        <v>347</v>
      </c>
      <c r="G162" s="162" t="s">
        <v>587</v>
      </c>
      <c r="H162" s="162" t="s">
        <v>1236</v>
      </c>
      <c r="I162" s="163" t="s">
        <v>421</v>
      </c>
      <c r="J162" s="163" t="s">
        <v>422</v>
      </c>
      <c r="K162" s="163" t="s">
        <v>460</v>
      </c>
      <c r="L162" s="163" t="s">
        <v>469</v>
      </c>
      <c r="M162" s="163" t="s">
        <v>1192</v>
      </c>
      <c r="N162" s="161" t="s">
        <v>1145</v>
      </c>
      <c r="O162" s="162" t="s">
        <v>1026</v>
      </c>
      <c r="P162" s="163" t="s">
        <v>184</v>
      </c>
      <c r="Q162" s="171">
        <f t="shared" si="84"/>
        <v>1</v>
      </c>
      <c r="R162" s="163" t="s">
        <v>485</v>
      </c>
      <c r="S162" s="172">
        <f t="shared" si="85"/>
        <v>1</v>
      </c>
      <c r="T162" s="166">
        <f t="shared" si="86"/>
        <v>1</v>
      </c>
      <c r="U162" s="163" t="s">
        <v>184</v>
      </c>
      <c r="V162" s="163" t="s">
        <v>971</v>
      </c>
      <c r="W162" s="172">
        <f t="shared" si="79"/>
        <v>100</v>
      </c>
      <c r="X162" s="166">
        <f t="shared" si="87"/>
        <v>100</v>
      </c>
      <c r="Y162" s="163" t="str">
        <f t="shared" si="88"/>
        <v>Nivel III: Riesgo Moderado (Aceptable)</v>
      </c>
      <c r="Z162" s="163">
        <v>1</v>
      </c>
      <c r="AA162" s="163" t="s">
        <v>926</v>
      </c>
      <c r="AB162" s="161" t="s">
        <v>424</v>
      </c>
      <c r="AC162" s="161" t="s">
        <v>424</v>
      </c>
      <c r="AD162" s="161" t="s">
        <v>424</v>
      </c>
      <c r="AE162" s="161" t="s">
        <v>1029</v>
      </c>
      <c r="AF162" s="161" t="s">
        <v>600</v>
      </c>
      <c r="AG162" s="166" t="s">
        <v>460</v>
      </c>
    </row>
    <row r="163" spans="1:33" ht="102" hidden="1" x14ac:dyDescent="0.2">
      <c r="A163" s="162" t="s">
        <v>879</v>
      </c>
      <c r="B163" s="162" t="s">
        <v>1231</v>
      </c>
      <c r="C163" s="162" t="s">
        <v>1084</v>
      </c>
      <c r="D163" s="162" t="s">
        <v>1094</v>
      </c>
      <c r="E163" s="161" t="s">
        <v>995</v>
      </c>
      <c r="F163" s="162" t="s">
        <v>714</v>
      </c>
      <c r="G163" s="162" t="s">
        <v>1036</v>
      </c>
      <c r="H163" s="162" t="s">
        <v>625</v>
      </c>
      <c r="I163" s="163" t="s">
        <v>421</v>
      </c>
      <c r="J163" s="163" t="s">
        <v>422</v>
      </c>
      <c r="K163" s="163" t="s">
        <v>460</v>
      </c>
      <c r="L163" s="163" t="s">
        <v>469</v>
      </c>
      <c r="M163" s="161" t="s">
        <v>1037</v>
      </c>
      <c r="N163" s="168"/>
      <c r="O163" s="164" t="s">
        <v>1038</v>
      </c>
      <c r="P163" s="163" t="s">
        <v>184</v>
      </c>
      <c r="Q163" s="171">
        <f t="shared" si="84"/>
        <v>1</v>
      </c>
      <c r="R163" s="163" t="s">
        <v>485</v>
      </c>
      <c r="S163" s="172">
        <f t="shared" si="85"/>
        <v>1</v>
      </c>
      <c r="T163" s="166">
        <f t="shared" si="86"/>
        <v>1</v>
      </c>
      <c r="U163" s="163" t="str">
        <f t="shared" ref="U163" si="89">IF(AND(T163&gt;=0,T163&lt;=4),"Bajo",IF(AND(T163&gt;=6,T163&lt;=8),"Medio",IF(AND(T163&gt;=10,T163&lt;=20),"Alto",IF(AND(T163&gt;=20,T163&lt;=40),"Muy Alto",))))</f>
        <v>Bajo</v>
      </c>
      <c r="V163" s="163" t="s">
        <v>187</v>
      </c>
      <c r="W163" s="172">
        <f t="shared" si="79"/>
        <v>25</v>
      </c>
      <c r="X163" s="166">
        <f t="shared" si="87"/>
        <v>25</v>
      </c>
      <c r="Y163" s="163" t="str">
        <f t="shared" si="88"/>
        <v>Nivel IV: Riesgo Tolerable (Aceptable)</v>
      </c>
      <c r="Z163" s="163">
        <v>1</v>
      </c>
      <c r="AA163" s="163" t="s">
        <v>926</v>
      </c>
      <c r="AB163" s="161" t="s">
        <v>424</v>
      </c>
      <c r="AC163" s="161" t="s">
        <v>424</v>
      </c>
      <c r="AD163" s="161" t="s">
        <v>514</v>
      </c>
      <c r="AE163" s="161" t="s">
        <v>1039</v>
      </c>
      <c r="AF163" s="161" t="s">
        <v>1040</v>
      </c>
      <c r="AG163" s="166" t="s">
        <v>460</v>
      </c>
    </row>
    <row r="164" spans="1:33" ht="331.5" hidden="1" customHeight="1" x14ac:dyDescent="0.2">
      <c r="A164" s="162" t="s">
        <v>879</v>
      </c>
      <c r="B164" s="162" t="s">
        <v>1231</v>
      </c>
      <c r="C164" s="162" t="s">
        <v>1084</v>
      </c>
      <c r="D164" s="162" t="s">
        <v>1094</v>
      </c>
      <c r="E164" s="161" t="s">
        <v>175</v>
      </c>
      <c r="F164" s="162" t="s">
        <v>592</v>
      </c>
      <c r="G164" s="162" t="s">
        <v>593</v>
      </c>
      <c r="H164" s="162" t="s">
        <v>602</v>
      </c>
      <c r="I164" s="163" t="s">
        <v>421</v>
      </c>
      <c r="J164" s="163" t="s">
        <v>422</v>
      </c>
      <c r="K164" s="163" t="s">
        <v>460</v>
      </c>
      <c r="L164" s="163" t="s">
        <v>469</v>
      </c>
      <c r="M164" s="161" t="s">
        <v>423</v>
      </c>
      <c r="N164" s="168"/>
      <c r="O164" s="162" t="s">
        <v>1034</v>
      </c>
      <c r="P164" s="163" t="s">
        <v>184</v>
      </c>
      <c r="Q164" s="171">
        <f t="shared" si="84"/>
        <v>1</v>
      </c>
      <c r="R164" s="163" t="s">
        <v>485</v>
      </c>
      <c r="S164" s="172">
        <f t="shared" si="85"/>
        <v>1</v>
      </c>
      <c r="T164" s="166">
        <f t="shared" si="86"/>
        <v>1</v>
      </c>
      <c r="U164" s="163" t="s">
        <v>184</v>
      </c>
      <c r="V164" s="163" t="s">
        <v>428</v>
      </c>
      <c r="W164" s="172">
        <f t="shared" si="79"/>
        <v>10</v>
      </c>
      <c r="X164" s="166">
        <f t="shared" si="87"/>
        <v>10</v>
      </c>
      <c r="Y164" s="163" t="str">
        <f t="shared" si="88"/>
        <v>Nivel IV: Riesgo Tolerable (Aceptable)</v>
      </c>
      <c r="Z164" s="163">
        <v>1</v>
      </c>
      <c r="AA164" s="163" t="s">
        <v>926</v>
      </c>
      <c r="AB164" s="161" t="s">
        <v>424</v>
      </c>
      <c r="AC164" s="161" t="s">
        <v>424</v>
      </c>
      <c r="AD164" s="161" t="s">
        <v>424</v>
      </c>
      <c r="AE164" s="161" t="s">
        <v>1035</v>
      </c>
      <c r="AF164" s="161" t="s">
        <v>600</v>
      </c>
      <c r="AG164" s="166" t="s">
        <v>460</v>
      </c>
    </row>
    <row r="165" spans="1:33" ht="114.75" hidden="1" x14ac:dyDescent="0.2">
      <c r="A165" s="162" t="s">
        <v>879</v>
      </c>
      <c r="B165" s="162" t="s">
        <v>1231</v>
      </c>
      <c r="C165" s="162" t="s">
        <v>1084</v>
      </c>
      <c r="D165" s="162" t="s">
        <v>1094</v>
      </c>
      <c r="E165" s="161" t="s">
        <v>175</v>
      </c>
      <c r="F165" s="162" t="s">
        <v>594</v>
      </c>
      <c r="G165" s="162" t="s">
        <v>595</v>
      </c>
      <c r="H165" s="162" t="s">
        <v>602</v>
      </c>
      <c r="I165" s="163" t="s">
        <v>421</v>
      </c>
      <c r="J165" s="163" t="s">
        <v>422</v>
      </c>
      <c r="K165" s="163" t="s">
        <v>460</v>
      </c>
      <c r="L165" s="163" t="s">
        <v>469</v>
      </c>
      <c r="M165" s="161" t="s">
        <v>423</v>
      </c>
      <c r="N165" s="168"/>
      <c r="O165" s="162" t="s">
        <v>1034</v>
      </c>
      <c r="P165" s="163" t="s">
        <v>184</v>
      </c>
      <c r="Q165" s="171">
        <f t="shared" si="84"/>
        <v>1</v>
      </c>
      <c r="R165" s="163" t="s">
        <v>485</v>
      </c>
      <c r="S165" s="172">
        <f t="shared" si="85"/>
        <v>1</v>
      </c>
      <c r="T165" s="166">
        <f t="shared" si="86"/>
        <v>1</v>
      </c>
      <c r="U165" s="163" t="s">
        <v>184</v>
      </c>
      <c r="V165" s="163" t="s">
        <v>428</v>
      </c>
      <c r="W165" s="172">
        <f t="shared" si="79"/>
        <v>10</v>
      </c>
      <c r="X165" s="166">
        <f t="shared" si="87"/>
        <v>10</v>
      </c>
      <c r="Y165" s="163" t="str">
        <f t="shared" si="88"/>
        <v>Nivel IV: Riesgo Tolerable (Aceptable)</v>
      </c>
      <c r="Z165" s="163">
        <v>1</v>
      </c>
      <c r="AA165" s="163" t="s">
        <v>926</v>
      </c>
      <c r="AB165" s="161" t="s">
        <v>424</v>
      </c>
      <c r="AC165" s="161" t="s">
        <v>424</v>
      </c>
      <c r="AD165" s="161" t="s">
        <v>424</v>
      </c>
      <c r="AE165" s="161" t="s">
        <v>1035</v>
      </c>
      <c r="AF165" s="161" t="s">
        <v>600</v>
      </c>
      <c r="AG165" s="166" t="s">
        <v>460</v>
      </c>
    </row>
    <row r="166" spans="1:33" ht="225" hidden="1" customHeight="1" x14ac:dyDescent="0.2">
      <c r="A166" s="162" t="s">
        <v>879</v>
      </c>
      <c r="B166" s="162" t="s">
        <v>1231</v>
      </c>
      <c r="C166" s="162" t="s">
        <v>1084</v>
      </c>
      <c r="D166" s="162" t="s">
        <v>1094</v>
      </c>
      <c r="E166" s="161" t="s">
        <v>175</v>
      </c>
      <c r="F166" s="162" t="s">
        <v>596</v>
      </c>
      <c r="G166" s="162" t="s">
        <v>599</v>
      </c>
      <c r="H166" s="162" t="s">
        <v>602</v>
      </c>
      <c r="I166" s="163" t="s">
        <v>421</v>
      </c>
      <c r="J166" s="163" t="s">
        <v>422</v>
      </c>
      <c r="K166" s="163" t="s">
        <v>460</v>
      </c>
      <c r="L166" s="163" t="s">
        <v>469</v>
      </c>
      <c r="M166" s="161" t="s">
        <v>423</v>
      </c>
      <c r="N166" s="168"/>
      <c r="O166" s="162" t="s">
        <v>1034</v>
      </c>
      <c r="P166" s="163" t="s">
        <v>185</v>
      </c>
      <c r="Q166" s="171">
        <f t="shared" si="84"/>
        <v>2</v>
      </c>
      <c r="R166" s="163" t="s">
        <v>186</v>
      </c>
      <c r="S166" s="172">
        <f t="shared" si="85"/>
        <v>4</v>
      </c>
      <c r="T166" s="166">
        <f t="shared" si="86"/>
        <v>8</v>
      </c>
      <c r="U166" s="163" t="str">
        <f t="shared" ref="U166" si="90">IF(AND(T166&gt;=0,T166&lt;=4),"Bajo",IF(AND(T166&gt;=6,T166&lt;=8),"Medio",IF(AND(T166&gt;=10,T166&lt;=20),"Alto",IF(AND(T166&gt;=20,T166&lt;=40),"Muy Alto",))))</f>
        <v>Medio</v>
      </c>
      <c r="V166" s="163" t="s">
        <v>428</v>
      </c>
      <c r="W166" s="172">
        <f t="shared" si="79"/>
        <v>10</v>
      </c>
      <c r="X166" s="166">
        <f t="shared" si="87"/>
        <v>80</v>
      </c>
      <c r="Y166" s="163" t="str">
        <f t="shared" si="88"/>
        <v>Nivel III: Riesgo Moderado (Aceptable)</v>
      </c>
      <c r="Z166" s="163">
        <v>1</v>
      </c>
      <c r="AA166" s="163" t="s">
        <v>926</v>
      </c>
      <c r="AB166" s="161" t="s">
        <v>424</v>
      </c>
      <c r="AC166" s="161" t="s">
        <v>424</v>
      </c>
      <c r="AD166" s="161" t="s">
        <v>424</v>
      </c>
      <c r="AE166" s="161" t="s">
        <v>1035</v>
      </c>
      <c r="AF166" s="161" t="s">
        <v>600</v>
      </c>
      <c r="AG166" s="166" t="s">
        <v>460</v>
      </c>
    </row>
    <row r="167" spans="1:33" ht="267.75" hidden="1" customHeight="1" x14ac:dyDescent="0.2">
      <c r="A167" s="162" t="s">
        <v>879</v>
      </c>
      <c r="B167" s="162" t="s">
        <v>1231</v>
      </c>
      <c r="C167" s="162" t="s">
        <v>1084</v>
      </c>
      <c r="D167" s="162" t="s">
        <v>1094</v>
      </c>
      <c r="E167" s="161" t="s">
        <v>175</v>
      </c>
      <c r="F167" s="162" t="s">
        <v>597</v>
      </c>
      <c r="G167" s="162" t="s">
        <v>598</v>
      </c>
      <c r="H167" s="162" t="s">
        <v>602</v>
      </c>
      <c r="I167" s="163" t="s">
        <v>421</v>
      </c>
      <c r="J167" s="163" t="s">
        <v>422</v>
      </c>
      <c r="K167" s="163" t="s">
        <v>460</v>
      </c>
      <c r="L167" s="163" t="s">
        <v>469</v>
      </c>
      <c r="M167" s="161" t="s">
        <v>423</v>
      </c>
      <c r="N167" s="168"/>
      <c r="O167" s="162" t="s">
        <v>1034</v>
      </c>
      <c r="P167" s="163" t="s">
        <v>184</v>
      </c>
      <c r="Q167" s="171">
        <f t="shared" si="84"/>
        <v>1</v>
      </c>
      <c r="R167" s="163" t="s">
        <v>485</v>
      </c>
      <c r="S167" s="172">
        <f t="shared" si="85"/>
        <v>1</v>
      </c>
      <c r="T167" s="166">
        <f t="shared" si="86"/>
        <v>1</v>
      </c>
      <c r="U167" s="163" t="s">
        <v>184</v>
      </c>
      <c r="V167" s="163" t="s">
        <v>428</v>
      </c>
      <c r="W167" s="172">
        <f t="shared" si="79"/>
        <v>10</v>
      </c>
      <c r="X167" s="166">
        <f t="shared" si="87"/>
        <v>10</v>
      </c>
      <c r="Y167" s="163" t="str">
        <f t="shared" si="88"/>
        <v>Nivel IV: Riesgo Tolerable (Aceptable)</v>
      </c>
      <c r="Z167" s="163">
        <v>1</v>
      </c>
      <c r="AA167" s="163" t="s">
        <v>926</v>
      </c>
      <c r="AB167" s="161" t="s">
        <v>424</v>
      </c>
      <c r="AC167" s="161" t="s">
        <v>424</v>
      </c>
      <c r="AD167" s="161" t="s">
        <v>424</v>
      </c>
      <c r="AE167" s="161" t="s">
        <v>1035</v>
      </c>
      <c r="AF167" s="161" t="s">
        <v>600</v>
      </c>
      <c r="AG167" s="166" t="s">
        <v>460</v>
      </c>
    </row>
    <row r="168" spans="1:33" ht="51" hidden="1" x14ac:dyDescent="0.2">
      <c r="A168" s="162" t="s">
        <v>879</v>
      </c>
      <c r="B168" s="162" t="s">
        <v>1231</v>
      </c>
      <c r="C168" s="162" t="s">
        <v>1084</v>
      </c>
      <c r="D168" s="162" t="s">
        <v>1094</v>
      </c>
      <c r="E168" s="161" t="s">
        <v>999</v>
      </c>
      <c r="F168" s="162" t="s">
        <v>578</v>
      </c>
      <c r="G168" s="162" t="s">
        <v>1085</v>
      </c>
      <c r="H168" s="162" t="s">
        <v>979</v>
      </c>
      <c r="I168" s="163" t="s">
        <v>421</v>
      </c>
      <c r="J168" s="163" t="s">
        <v>422</v>
      </c>
      <c r="K168" s="163" t="s">
        <v>460</v>
      </c>
      <c r="L168" s="163" t="s">
        <v>469</v>
      </c>
      <c r="M168" s="161" t="s">
        <v>1086</v>
      </c>
      <c r="N168" s="168"/>
      <c r="O168" s="162" t="s">
        <v>1087</v>
      </c>
      <c r="P168" s="163" t="s">
        <v>184</v>
      </c>
      <c r="Q168" s="171">
        <f t="shared" si="84"/>
        <v>1</v>
      </c>
      <c r="R168" s="163" t="s">
        <v>485</v>
      </c>
      <c r="S168" s="172">
        <f t="shared" si="85"/>
        <v>1</v>
      </c>
      <c r="T168" s="166">
        <f t="shared" si="86"/>
        <v>1</v>
      </c>
      <c r="U168" s="163" t="s">
        <v>184</v>
      </c>
      <c r="V168" s="163" t="s">
        <v>187</v>
      </c>
      <c r="W168" s="172">
        <f t="shared" si="79"/>
        <v>25</v>
      </c>
      <c r="X168" s="166">
        <f t="shared" si="87"/>
        <v>25</v>
      </c>
      <c r="Y168" s="163" t="str">
        <f t="shared" si="88"/>
        <v>Nivel IV: Riesgo Tolerable (Aceptable)</v>
      </c>
      <c r="Z168" s="163">
        <v>1</v>
      </c>
      <c r="AA168" s="163" t="s">
        <v>926</v>
      </c>
      <c r="AB168" s="161" t="s">
        <v>424</v>
      </c>
      <c r="AC168" s="161" t="s">
        <v>424</v>
      </c>
      <c r="AD168" s="161" t="s">
        <v>424</v>
      </c>
      <c r="AE168" s="161" t="s">
        <v>1088</v>
      </c>
      <c r="AF168" s="161" t="s">
        <v>600</v>
      </c>
      <c r="AG168" s="166" t="s">
        <v>460</v>
      </c>
    </row>
    <row r="169" spans="1:33" ht="51" hidden="1" x14ac:dyDescent="0.2">
      <c r="A169" s="162" t="s">
        <v>879</v>
      </c>
      <c r="B169" s="162" t="s">
        <v>1231</v>
      </c>
      <c r="C169" s="162" t="s">
        <v>1084</v>
      </c>
      <c r="D169" s="162" t="s">
        <v>1094</v>
      </c>
      <c r="E169" s="161" t="s">
        <v>1000</v>
      </c>
      <c r="F169" s="162" t="s">
        <v>1123</v>
      </c>
      <c r="G169" s="162" t="s">
        <v>981</v>
      </c>
      <c r="H169" s="162" t="s">
        <v>1237</v>
      </c>
      <c r="I169" s="163" t="s">
        <v>421</v>
      </c>
      <c r="J169" s="163" t="s">
        <v>422</v>
      </c>
      <c r="K169" s="163" t="s">
        <v>460</v>
      </c>
      <c r="L169" s="163" t="s">
        <v>469</v>
      </c>
      <c r="M169" s="161" t="s">
        <v>423</v>
      </c>
      <c r="N169" s="161" t="s">
        <v>1145</v>
      </c>
      <c r="O169" s="162" t="s">
        <v>1144</v>
      </c>
      <c r="P169" s="163" t="s">
        <v>184</v>
      </c>
      <c r="Q169" s="171">
        <f t="shared" si="84"/>
        <v>1</v>
      </c>
      <c r="R169" s="163" t="s">
        <v>485</v>
      </c>
      <c r="S169" s="172">
        <f t="shared" si="85"/>
        <v>1</v>
      </c>
      <c r="T169" s="166">
        <f t="shared" si="86"/>
        <v>1</v>
      </c>
      <c r="U169" s="163" t="s">
        <v>184</v>
      </c>
      <c r="V169" s="163" t="s">
        <v>187</v>
      </c>
      <c r="W169" s="172">
        <f t="shared" si="79"/>
        <v>25</v>
      </c>
      <c r="X169" s="166">
        <f t="shared" si="87"/>
        <v>25</v>
      </c>
      <c r="Y169" s="163" t="str">
        <f t="shared" si="88"/>
        <v>Nivel IV: Riesgo Tolerable (Aceptable)</v>
      </c>
      <c r="Z169" s="163">
        <v>1</v>
      </c>
      <c r="AA169" s="163" t="s">
        <v>926</v>
      </c>
      <c r="AB169" s="161" t="s">
        <v>424</v>
      </c>
      <c r="AC169" s="161" t="s">
        <v>424</v>
      </c>
      <c r="AD169" s="161" t="s">
        <v>424</v>
      </c>
      <c r="AE169" s="161" t="s">
        <v>1024</v>
      </c>
      <c r="AF169" s="161" t="s">
        <v>600</v>
      </c>
      <c r="AG169" s="166" t="s">
        <v>460</v>
      </c>
    </row>
    <row r="170" spans="1:33" ht="114.75" hidden="1" customHeight="1" x14ac:dyDescent="0.2">
      <c r="A170" s="162" t="s">
        <v>879</v>
      </c>
      <c r="B170" s="162" t="s">
        <v>1231</v>
      </c>
      <c r="C170" s="162" t="s">
        <v>1084</v>
      </c>
      <c r="D170" s="162" t="s">
        <v>1094</v>
      </c>
      <c r="E170" s="161" t="s">
        <v>995</v>
      </c>
      <c r="F170" s="162" t="s">
        <v>719</v>
      </c>
      <c r="G170" s="162" t="s">
        <v>981</v>
      </c>
      <c r="H170" s="162" t="s">
        <v>722</v>
      </c>
      <c r="I170" s="163" t="s">
        <v>421</v>
      </c>
      <c r="J170" s="163" t="s">
        <v>422</v>
      </c>
      <c r="K170" s="163" t="s">
        <v>460</v>
      </c>
      <c r="L170" s="163" t="s">
        <v>469</v>
      </c>
      <c r="M170" s="161" t="s">
        <v>423</v>
      </c>
      <c r="N170" s="168"/>
      <c r="O170" s="162" t="s">
        <v>1092</v>
      </c>
      <c r="P170" s="163" t="s">
        <v>184</v>
      </c>
      <c r="Q170" s="171">
        <f t="shared" si="84"/>
        <v>1</v>
      </c>
      <c r="R170" s="163" t="s">
        <v>485</v>
      </c>
      <c r="S170" s="172">
        <f t="shared" si="85"/>
        <v>1</v>
      </c>
      <c r="T170" s="166">
        <f t="shared" si="86"/>
        <v>1</v>
      </c>
      <c r="U170" s="163" t="s">
        <v>184</v>
      </c>
      <c r="V170" s="163" t="s">
        <v>187</v>
      </c>
      <c r="W170" s="172">
        <f t="shared" si="79"/>
        <v>25</v>
      </c>
      <c r="X170" s="166">
        <f t="shared" si="87"/>
        <v>25</v>
      </c>
      <c r="Y170" s="163" t="str">
        <f t="shared" si="88"/>
        <v>Nivel IV: Riesgo Tolerable (Aceptable)</v>
      </c>
      <c r="Z170" s="163">
        <v>1</v>
      </c>
      <c r="AA170" s="163" t="s">
        <v>926</v>
      </c>
      <c r="AB170" s="161" t="s">
        <v>424</v>
      </c>
      <c r="AC170" s="161" t="s">
        <v>424</v>
      </c>
      <c r="AD170" s="161" t="s">
        <v>424</v>
      </c>
      <c r="AE170" s="161" t="s">
        <v>1042</v>
      </c>
      <c r="AF170" s="161" t="s">
        <v>600</v>
      </c>
      <c r="AG170" s="166" t="s">
        <v>460</v>
      </c>
    </row>
    <row r="171" spans="1:33" ht="89.25" hidden="1" x14ac:dyDescent="0.2">
      <c r="A171" s="162" t="s">
        <v>879</v>
      </c>
      <c r="B171" s="162" t="s">
        <v>1231</v>
      </c>
      <c r="C171" s="162" t="s">
        <v>1084</v>
      </c>
      <c r="D171" s="162" t="s">
        <v>1094</v>
      </c>
      <c r="E171" s="161" t="s">
        <v>995</v>
      </c>
      <c r="F171" s="162" t="s">
        <v>720</v>
      </c>
      <c r="G171" s="162" t="s">
        <v>981</v>
      </c>
      <c r="H171" s="162" t="s">
        <v>724</v>
      </c>
      <c r="I171" s="163" t="s">
        <v>421</v>
      </c>
      <c r="J171" s="163" t="s">
        <v>422</v>
      </c>
      <c r="K171" s="163" t="s">
        <v>460</v>
      </c>
      <c r="L171" s="163" t="s">
        <v>469</v>
      </c>
      <c r="M171" s="161" t="s">
        <v>1081</v>
      </c>
      <c r="N171" s="168"/>
      <c r="O171" s="162" t="s">
        <v>1092</v>
      </c>
      <c r="P171" s="163" t="s">
        <v>184</v>
      </c>
      <c r="Q171" s="171">
        <f t="shared" si="84"/>
        <v>1</v>
      </c>
      <c r="R171" s="163" t="s">
        <v>485</v>
      </c>
      <c r="S171" s="172">
        <f t="shared" si="85"/>
        <v>1</v>
      </c>
      <c r="T171" s="166">
        <f t="shared" si="86"/>
        <v>1</v>
      </c>
      <c r="U171" s="163" t="s">
        <v>184</v>
      </c>
      <c r="V171" s="163" t="s">
        <v>187</v>
      </c>
      <c r="W171" s="172">
        <f t="shared" si="79"/>
        <v>25</v>
      </c>
      <c r="X171" s="166">
        <f t="shared" si="87"/>
        <v>25</v>
      </c>
      <c r="Y171" s="163" t="str">
        <f t="shared" si="88"/>
        <v>Nivel IV: Riesgo Tolerable (Aceptable)</v>
      </c>
      <c r="Z171" s="163">
        <v>1</v>
      </c>
      <c r="AA171" s="163" t="s">
        <v>926</v>
      </c>
      <c r="AB171" s="161" t="s">
        <v>424</v>
      </c>
      <c r="AC171" s="161" t="s">
        <v>424</v>
      </c>
      <c r="AD171" s="161" t="s">
        <v>424</v>
      </c>
      <c r="AE171" s="161" t="s">
        <v>1042</v>
      </c>
      <c r="AF171" s="161" t="s">
        <v>600</v>
      </c>
      <c r="AG171" s="166" t="s">
        <v>460</v>
      </c>
    </row>
    <row r="172" spans="1:33" ht="127.5" hidden="1" x14ac:dyDescent="0.2">
      <c r="A172" s="162" t="s">
        <v>879</v>
      </c>
      <c r="B172" s="162" t="s">
        <v>1228</v>
      </c>
      <c r="C172" s="162" t="s">
        <v>1084</v>
      </c>
      <c r="D172" s="162" t="s">
        <v>1096</v>
      </c>
      <c r="E172" s="161" t="s">
        <v>998</v>
      </c>
      <c r="F172" s="162" t="s">
        <v>1113</v>
      </c>
      <c r="G172" s="162" t="s">
        <v>924</v>
      </c>
      <c r="H172" s="162" t="s">
        <v>557</v>
      </c>
      <c r="I172" s="163" t="s">
        <v>421</v>
      </c>
      <c r="J172" s="163" t="s">
        <v>422</v>
      </c>
      <c r="K172" s="163" t="s">
        <v>460</v>
      </c>
      <c r="L172" s="163" t="s">
        <v>469</v>
      </c>
      <c r="M172" s="161" t="s">
        <v>902</v>
      </c>
      <c r="N172" s="163" t="s">
        <v>1128</v>
      </c>
      <c r="O172" s="162" t="s">
        <v>1050</v>
      </c>
      <c r="P172" s="163" t="s">
        <v>185</v>
      </c>
      <c r="Q172" s="171">
        <f t="shared" ref="Q172:Q189" si="91">IF(P172="Muy Alto",10,IF(P172="Alto",6,IF(P172="Medio",2,IF(P172="Bajo",1,))))</f>
        <v>2</v>
      </c>
      <c r="R172" s="163" t="s">
        <v>186</v>
      </c>
      <c r="S172" s="172">
        <f t="shared" ref="S172:S189" si="92">IF(R172="Continua",4,IF(R172="Frecuente",3,IF(R172="Ocasional",2,IF(R172="Esporádica",1,))))</f>
        <v>4</v>
      </c>
      <c r="T172" s="166">
        <f t="shared" ref="T172:T189" si="93">Q172*S172</f>
        <v>8</v>
      </c>
      <c r="U172" s="163" t="str">
        <f t="shared" ref="U172:U178" si="94">IF(AND(T172&gt;=0,T172&lt;=4),"Bajo",IF(AND(T172&gt;=6,T172&lt;=8),"Medio",IF(AND(T172&gt;=10,T172&lt;=20),"Alto",IF(AND(T172&gt;=20,T172&lt;=40),"Muy Alto",))))</f>
        <v>Medio</v>
      </c>
      <c r="V172" s="163" t="s">
        <v>187</v>
      </c>
      <c r="W172" s="172">
        <f t="shared" si="79"/>
        <v>25</v>
      </c>
      <c r="X172" s="166">
        <f t="shared" ref="X172:X189" si="95">T172*W172</f>
        <v>200</v>
      </c>
      <c r="Y172" s="163" t="str">
        <f t="shared" ref="Y172:Y189" si="96">IF(AND(X172&gt;=600,X172&lt;=4000),"Nivel I: Riesgo Inaceptable",IF(AND(X172&gt;=150,X172&lt;=500),"Nivel II: Riesgo Importante",IF(AND(X172&gt;=40,X172&lt;=120),"Nivel III: Riesgo Moderado (Aceptable)","Nivel IV: Riesgo Tolerable (Aceptable)")))</f>
        <v>Nivel II: Riesgo Importante</v>
      </c>
      <c r="Z172" s="163">
        <v>1</v>
      </c>
      <c r="AA172" s="163" t="s">
        <v>926</v>
      </c>
      <c r="AB172" s="161" t="s">
        <v>424</v>
      </c>
      <c r="AC172" s="161" t="s">
        <v>424</v>
      </c>
      <c r="AD172" s="161" t="s">
        <v>424</v>
      </c>
      <c r="AE172" s="161" t="s">
        <v>1129</v>
      </c>
      <c r="AF172" s="161" t="s">
        <v>600</v>
      </c>
      <c r="AG172" s="166" t="s">
        <v>460</v>
      </c>
    </row>
    <row r="173" spans="1:33" ht="89.25" hidden="1" x14ac:dyDescent="0.2">
      <c r="A173" s="162" t="s">
        <v>879</v>
      </c>
      <c r="B173" s="162" t="s">
        <v>1228</v>
      </c>
      <c r="C173" s="162" t="s">
        <v>1084</v>
      </c>
      <c r="D173" s="162" t="s">
        <v>1096</v>
      </c>
      <c r="E173" s="161" t="s">
        <v>998</v>
      </c>
      <c r="F173" s="162" t="s">
        <v>178</v>
      </c>
      <c r="G173" s="162" t="s">
        <v>1067</v>
      </c>
      <c r="H173" s="162" t="s">
        <v>559</v>
      </c>
      <c r="I173" s="163" t="s">
        <v>421</v>
      </c>
      <c r="J173" s="163" t="s">
        <v>422</v>
      </c>
      <c r="K173" s="163" t="s">
        <v>460</v>
      </c>
      <c r="L173" s="163" t="s">
        <v>469</v>
      </c>
      <c r="M173" s="161" t="s">
        <v>606</v>
      </c>
      <c r="N173" s="161" t="s">
        <v>606</v>
      </c>
      <c r="O173" s="162" t="s">
        <v>1046</v>
      </c>
      <c r="P173" s="163" t="s">
        <v>185</v>
      </c>
      <c r="Q173" s="171">
        <f t="shared" si="91"/>
        <v>2</v>
      </c>
      <c r="R173" s="163" t="s">
        <v>186</v>
      </c>
      <c r="S173" s="172">
        <f t="shared" si="92"/>
        <v>4</v>
      </c>
      <c r="T173" s="166">
        <f t="shared" si="93"/>
        <v>8</v>
      </c>
      <c r="U173" s="163" t="str">
        <f t="shared" si="94"/>
        <v>Medio</v>
      </c>
      <c r="V173" s="163" t="s">
        <v>187</v>
      </c>
      <c r="W173" s="172">
        <f t="shared" si="79"/>
        <v>25</v>
      </c>
      <c r="X173" s="166">
        <f t="shared" si="95"/>
        <v>200</v>
      </c>
      <c r="Y173" s="163" t="str">
        <f t="shared" si="96"/>
        <v>Nivel II: Riesgo Importante</v>
      </c>
      <c r="Z173" s="163">
        <v>1</v>
      </c>
      <c r="AA173" s="163" t="s">
        <v>926</v>
      </c>
      <c r="AB173" s="161" t="s">
        <v>424</v>
      </c>
      <c r="AC173" s="161" t="s">
        <v>424</v>
      </c>
      <c r="AD173" s="161" t="s">
        <v>424</v>
      </c>
      <c r="AE173" s="161" t="s">
        <v>1130</v>
      </c>
      <c r="AF173" s="161" t="s">
        <v>600</v>
      </c>
      <c r="AG173" s="166" t="s">
        <v>460</v>
      </c>
    </row>
    <row r="174" spans="1:33" ht="63.75" hidden="1" x14ac:dyDescent="0.2">
      <c r="A174" s="162" t="s">
        <v>879</v>
      </c>
      <c r="B174" s="162" t="s">
        <v>1228</v>
      </c>
      <c r="C174" s="162" t="s">
        <v>1084</v>
      </c>
      <c r="D174" s="162" t="s">
        <v>1096</v>
      </c>
      <c r="E174" s="161" t="s">
        <v>999</v>
      </c>
      <c r="F174" s="162" t="s">
        <v>292</v>
      </c>
      <c r="G174" s="162" t="s">
        <v>1068</v>
      </c>
      <c r="H174" s="162" t="s">
        <v>472</v>
      </c>
      <c r="I174" s="163" t="s">
        <v>421</v>
      </c>
      <c r="J174" s="163" t="s">
        <v>461</v>
      </c>
      <c r="K174" s="163" t="s">
        <v>460</v>
      </c>
      <c r="L174" s="163" t="s">
        <v>469</v>
      </c>
      <c r="M174" s="161" t="s">
        <v>606</v>
      </c>
      <c r="N174" s="161" t="s">
        <v>1069</v>
      </c>
      <c r="O174" s="162" t="s">
        <v>1070</v>
      </c>
      <c r="P174" s="163" t="s">
        <v>184</v>
      </c>
      <c r="Q174" s="171">
        <f t="shared" si="91"/>
        <v>1</v>
      </c>
      <c r="R174" s="163" t="s">
        <v>429</v>
      </c>
      <c r="S174" s="172">
        <f t="shared" si="92"/>
        <v>2</v>
      </c>
      <c r="T174" s="166">
        <f t="shared" si="93"/>
        <v>2</v>
      </c>
      <c r="U174" s="163" t="str">
        <f t="shared" si="94"/>
        <v>Bajo</v>
      </c>
      <c r="V174" s="163" t="s">
        <v>428</v>
      </c>
      <c r="W174" s="172">
        <f t="shared" si="79"/>
        <v>10</v>
      </c>
      <c r="X174" s="166">
        <f t="shared" si="95"/>
        <v>20</v>
      </c>
      <c r="Y174" s="163" t="str">
        <f t="shared" si="96"/>
        <v>Nivel IV: Riesgo Tolerable (Aceptable)</v>
      </c>
      <c r="Z174" s="163">
        <v>1</v>
      </c>
      <c r="AA174" s="163" t="s">
        <v>926</v>
      </c>
      <c r="AB174" s="161" t="s">
        <v>424</v>
      </c>
      <c r="AC174" s="161" t="s">
        <v>424</v>
      </c>
      <c r="AD174" s="161" t="s">
        <v>424</v>
      </c>
      <c r="AE174" s="161" t="s">
        <v>1071</v>
      </c>
      <c r="AF174" s="162" t="s">
        <v>609</v>
      </c>
      <c r="AG174" s="166" t="s">
        <v>460</v>
      </c>
    </row>
    <row r="175" spans="1:33" ht="89.25" hidden="1" x14ac:dyDescent="0.2">
      <c r="A175" s="162" t="s">
        <v>879</v>
      </c>
      <c r="B175" s="162" t="s">
        <v>1228</v>
      </c>
      <c r="C175" s="162" t="s">
        <v>1084</v>
      </c>
      <c r="D175" s="162" t="s">
        <v>1096</v>
      </c>
      <c r="E175" s="161" t="s">
        <v>999</v>
      </c>
      <c r="F175" s="162" t="s">
        <v>288</v>
      </c>
      <c r="G175" s="162" t="s">
        <v>837</v>
      </c>
      <c r="H175" s="162" t="s">
        <v>507</v>
      </c>
      <c r="I175" s="163" t="s">
        <v>421</v>
      </c>
      <c r="J175" s="163" t="s">
        <v>461</v>
      </c>
      <c r="K175" s="163" t="s">
        <v>460</v>
      </c>
      <c r="L175" s="163" t="s">
        <v>469</v>
      </c>
      <c r="M175" s="161" t="s">
        <v>423</v>
      </c>
      <c r="N175" s="161" t="s">
        <v>423</v>
      </c>
      <c r="O175" s="162" t="s">
        <v>1005</v>
      </c>
      <c r="P175" s="163" t="s">
        <v>185</v>
      </c>
      <c r="Q175" s="171">
        <f t="shared" si="91"/>
        <v>2</v>
      </c>
      <c r="R175" s="163" t="s">
        <v>429</v>
      </c>
      <c r="S175" s="172">
        <f t="shared" si="92"/>
        <v>2</v>
      </c>
      <c r="T175" s="166">
        <f t="shared" si="93"/>
        <v>4</v>
      </c>
      <c r="U175" s="163" t="str">
        <f t="shared" si="94"/>
        <v>Bajo</v>
      </c>
      <c r="V175" s="163" t="s">
        <v>187</v>
      </c>
      <c r="W175" s="172">
        <f t="shared" si="79"/>
        <v>25</v>
      </c>
      <c r="X175" s="166">
        <f t="shared" si="95"/>
        <v>100</v>
      </c>
      <c r="Y175" s="163" t="str">
        <f t="shared" si="96"/>
        <v>Nivel III: Riesgo Moderado (Aceptable)</v>
      </c>
      <c r="Z175" s="163">
        <v>1</v>
      </c>
      <c r="AA175" s="163" t="s">
        <v>926</v>
      </c>
      <c r="AB175" s="161" t="s">
        <v>424</v>
      </c>
      <c r="AC175" s="161" t="s">
        <v>424</v>
      </c>
      <c r="AD175" s="161" t="s">
        <v>424</v>
      </c>
      <c r="AE175" s="162" t="s">
        <v>1007</v>
      </c>
      <c r="AF175" s="161" t="s">
        <v>528</v>
      </c>
      <c r="AG175" s="166" t="s">
        <v>460</v>
      </c>
    </row>
    <row r="176" spans="1:33" ht="76.5" hidden="1" x14ac:dyDescent="0.2">
      <c r="A176" s="162" t="s">
        <v>879</v>
      </c>
      <c r="B176" s="162" t="s">
        <v>1228</v>
      </c>
      <c r="C176" s="162" t="s">
        <v>1084</v>
      </c>
      <c r="D176" s="162" t="s">
        <v>1096</v>
      </c>
      <c r="E176" s="161" t="s">
        <v>999</v>
      </c>
      <c r="F176" s="162" t="s">
        <v>288</v>
      </c>
      <c r="G176" s="162" t="s">
        <v>488</v>
      </c>
      <c r="H176" s="162" t="s">
        <v>614</v>
      </c>
      <c r="I176" s="163" t="s">
        <v>421</v>
      </c>
      <c r="J176" s="163" t="s">
        <v>461</v>
      </c>
      <c r="K176" s="163" t="s">
        <v>460</v>
      </c>
      <c r="L176" s="163" t="s">
        <v>469</v>
      </c>
      <c r="M176" s="166" t="s">
        <v>423</v>
      </c>
      <c r="N176" s="161" t="s">
        <v>1065</v>
      </c>
      <c r="O176" s="162" t="s">
        <v>1026</v>
      </c>
      <c r="P176" s="163" t="s">
        <v>184</v>
      </c>
      <c r="Q176" s="171">
        <f t="shared" si="91"/>
        <v>1</v>
      </c>
      <c r="R176" s="163" t="s">
        <v>485</v>
      </c>
      <c r="S176" s="172">
        <f t="shared" si="92"/>
        <v>1</v>
      </c>
      <c r="T176" s="166">
        <f t="shared" si="93"/>
        <v>1</v>
      </c>
      <c r="U176" s="163" t="str">
        <f t="shared" si="94"/>
        <v>Bajo</v>
      </c>
      <c r="V176" s="163" t="s">
        <v>187</v>
      </c>
      <c r="W176" s="172">
        <f t="shared" ref="W176" si="97">IF(V176="Mortal o catastrófico",100,IF(V176="Muy grave",60,IF(V176="Grave",25,IF(V176="Leve",10,))))</f>
        <v>25</v>
      </c>
      <c r="X176" s="166">
        <f t="shared" si="95"/>
        <v>25</v>
      </c>
      <c r="Y176" s="163" t="str">
        <f t="shared" si="96"/>
        <v>Nivel IV: Riesgo Tolerable (Aceptable)</v>
      </c>
      <c r="Z176" s="163">
        <v>1</v>
      </c>
      <c r="AA176" s="163" t="s">
        <v>926</v>
      </c>
      <c r="AB176" s="161" t="s">
        <v>424</v>
      </c>
      <c r="AC176" s="161" t="s">
        <v>424</v>
      </c>
      <c r="AD176" s="161" t="s">
        <v>424</v>
      </c>
      <c r="AE176" s="161" t="s">
        <v>1066</v>
      </c>
      <c r="AF176" s="161" t="s">
        <v>528</v>
      </c>
      <c r="AG176" s="166" t="s">
        <v>460</v>
      </c>
    </row>
    <row r="177" spans="1:33" ht="76.5" hidden="1" x14ac:dyDescent="0.2">
      <c r="A177" s="162" t="s">
        <v>879</v>
      </c>
      <c r="B177" s="162" t="s">
        <v>1228</v>
      </c>
      <c r="C177" s="162" t="s">
        <v>1084</v>
      </c>
      <c r="D177" s="162" t="s">
        <v>1096</v>
      </c>
      <c r="E177" s="161" t="s">
        <v>999</v>
      </c>
      <c r="F177" s="162" t="s">
        <v>1117</v>
      </c>
      <c r="G177" s="162" t="s">
        <v>564</v>
      </c>
      <c r="H177" s="162" t="s">
        <v>1072</v>
      </c>
      <c r="I177" s="163" t="s">
        <v>421</v>
      </c>
      <c r="J177" s="163" t="s">
        <v>461</v>
      </c>
      <c r="K177" s="163" t="s">
        <v>460</v>
      </c>
      <c r="L177" s="163" t="s">
        <v>469</v>
      </c>
      <c r="M177" s="166" t="s">
        <v>423</v>
      </c>
      <c r="N177" s="166" t="s">
        <v>423</v>
      </c>
      <c r="O177" s="162" t="s">
        <v>1026</v>
      </c>
      <c r="P177" s="163" t="s">
        <v>184</v>
      </c>
      <c r="Q177" s="171">
        <f t="shared" si="91"/>
        <v>1</v>
      </c>
      <c r="R177" s="163" t="s">
        <v>485</v>
      </c>
      <c r="S177" s="172">
        <f t="shared" si="92"/>
        <v>1</v>
      </c>
      <c r="T177" s="166">
        <f t="shared" si="93"/>
        <v>1</v>
      </c>
      <c r="U177" s="163" t="str">
        <f t="shared" si="94"/>
        <v>Bajo</v>
      </c>
      <c r="V177" s="163" t="s">
        <v>428</v>
      </c>
      <c r="W177" s="172">
        <f t="shared" si="79"/>
        <v>10</v>
      </c>
      <c r="X177" s="166">
        <f t="shared" si="95"/>
        <v>10</v>
      </c>
      <c r="Y177" s="163" t="str">
        <f t="shared" si="96"/>
        <v>Nivel IV: Riesgo Tolerable (Aceptable)</v>
      </c>
      <c r="Z177" s="163">
        <v>1</v>
      </c>
      <c r="AA177" s="163" t="s">
        <v>926</v>
      </c>
      <c r="AB177" s="161" t="s">
        <v>424</v>
      </c>
      <c r="AC177" s="161" t="s">
        <v>424</v>
      </c>
      <c r="AD177" s="161" t="s">
        <v>424</v>
      </c>
      <c r="AE177" s="161" t="s">
        <v>1066</v>
      </c>
      <c r="AF177" s="161" t="s">
        <v>528</v>
      </c>
      <c r="AG177" s="166" t="s">
        <v>460</v>
      </c>
    </row>
    <row r="178" spans="1:33" ht="102" hidden="1" x14ac:dyDescent="0.2">
      <c r="A178" s="162" t="s">
        <v>879</v>
      </c>
      <c r="B178" s="162" t="s">
        <v>1228</v>
      </c>
      <c r="C178" s="162" t="s">
        <v>1084</v>
      </c>
      <c r="D178" s="162" t="s">
        <v>1096</v>
      </c>
      <c r="E178" s="161" t="s">
        <v>996</v>
      </c>
      <c r="F178" s="162" t="s">
        <v>430</v>
      </c>
      <c r="G178" s="162" t="s">
        <v>486</v>
      </c>
      <c r="H178" s="162" t="s">
        <v>623</v>
      </c>
      <c r="I178" s="163" t="s">
        <v>421</v>
      </c>
      <c r="J178" s="163" t="s">
        <v>422</v>
      </c>
      <c r="K178" s="163" t="s">
        <v>460</v>
      </c>
      <c r="L178" s="163" t="s">
        <v>469</v>
      </c>
      <c r="M178" s="163" t="s">
        <v>1074</v>
      </c>
      <c r="N178" s="169" t="s">
        <v>1073</v>
      </c>
      <c r="O178" s="162" t="s">
        <v>1032</v>
      </c>
      <c r="P178" s="163" t="s">
        <v>184</v>
      </c>
      <c r="Q178" s="171">
        <f t="shared" si="91"/>
        <v>1</v>
      </c>
      <c r="R178" s="163" t="s">
        <v>485</v>
      </c>
      <c r="S178" s="172">
        <f t="shared" si="92"/>
        <v>1</v>
      </c>
      <c r="T178" s="166">
        <f t="shared" si="93"/>
        <v>1</v>
      </c>
      <c r="U178" s="163" t="str">
        <f t="shared" si="94"/>
        <v>Bajo</v>
      </c>
      <c r="V178" s="163" t="s">
        <v>428</v>
      </c>
      <c r="W178" s="172">
        <f t="shared" si="79"/>
        <v>10</v>
      </c>
      <c r="X178" s="166">
        <f t="shared" si="95"/>
        <v>10</v>
      </c>
      <c r="Y178" s="163" t="str">
        <f t="shared" si="96"/>
        <v>Nivel IV: Riesgo Tolerable (Aceptable)</v>
      </c>
      <c r="Z178" s="163">
        <v>1</v>
      </c>
      <c r="AA178" s="163" t="s">
        <v>926</v>
      </c>
      <c r="AB178" s="161" t="s">
        <v>424</v>
      </c>
      <c r="AC178" s="161" t="s">
        <v>424</v>
      </c>
      <c r="AD178" s="161" t="s">
        <v>424</v>
      </c>
      <c r="AE178" s="161" t="s">
        <v>1075</v>
      </c>
      <c r="AF178" s="161" t="s">
        <v>600</v>
      </c>
      <c r="AG178" s="166" t="s">
        <v>460</v>
      </c>
    </row>
    <row r="179" spans="1:33" ht="76.5" hidden="1" x14ac:dyDescent="0.2">
      <c r="A179" s="162" t="s">
        <v>879</v>
      </c>
      <c r="B179" s="162" t="s">
        <v>1228</v>
      </c>
      <c r="C179" s="162" t="s">
        <v>1084</v>
      </c>
      <c r="D179" s="162" t="s">
        <v>1096</v>
      </c>
      <c r="E179" s="161" t="s">
        <v>999</v>
      </c>
      <c r="F179" s="162" t="s">
        <v>294</v>
      </c>
      <c r="G179" s="162" t="s">
        <v>1077</v>
      </c>
      <c r="H179" s="162" t="s">
        <v>966</v>
      </c>
      <c r="I179" s="163" t="s">
        <v>421</v>
      </c>
      <c r="J179" s="163" t="s">
        <v>422</v>
      </c>
      <c r="K179" s="163" t="s">
        <v>460</v>
      </c>
      <c r="L179" s="163" t="s">
        <v>469</v>
      </c>
      <c r="M179" s="161" t="s">
        <v>1078</v>
      </c>
      <c r="N179" s="161" t="s">
        <v>1079</v>
      </c>
      <c r="O179" s="164" t="s">
        <v>1026</v>
      </c>
      <c r="P179" s="163" t="s">
        <v>184</v>
      </c>
      <c r="Q179" s="171">
        <f t="shared" si="91"/>
        <v>1</v>
      </c>
      <c r="R179" s="163" t="s">
        <v>416</v>
      </c>
      <c r="S179" s="172">
        <f t="shared" si="92"/>
        <v>3</v>
      </c>
      <c r="T179" s="166">
        <f t="shared" si="93"/>
        <v>3</v>
      </c>
      <c r="U179" s="163" t="s">
        <v>184</v>
      </c>
      <c r="V179" s="163" t="s">
        <v>187</v>
      </c>
      <c r="W179" s="172">
        <f t="shared" si="79"/>
        <v>25</v>
      </c>
      <c r="X179" s="166">
        <f t="shared" si="95"/>
        <v>75</v>
      </c>
      <c r="Y179" s="163" t="str">
        <f t="shared" si="96"/>
        <v>Nivel III: Riesgo Moderado (Aceptable)</v>
      </c>
      <c r="Z179" s="163">
        <v>1</v>
      </c>
      <c r="AA179" s="163" t="s">
        <v>926</v>
      </c>
      <c r="AB179" s="161" t="s">
        <v>424</v>
      </c>
      <c r="AC179" s="161" t="s">
        <v>424</v>
      </c>
      <c r="AD179" s="161" t="s">
        <v>424</v>
      </c>
      <c r="AE179" s="167" t="s">
        <v>1080</v>
      </c>
      <c r="AF179" s="161" t="s">
        <v>600</v>
      </c>
      <c r="AG179" s="166" t="s">
        <v>460</v>
      </c>
    </row>
    <row r="180" spans="1:33" ht="89.25" hidden="1" x14ac:dyDescent="0.2">
      <c r="A180" s="162" t="s">
        <v>879</v>
      </c>
      <c r="B180" s="162" t="s">
        <v>1228</v>
      </c>
      <c r="C180" s="162" t="s">
        <v>1084</v>
      </c>
      <c r="D180" s="162" t="s">
        <v>1096</v>
      </c>
      <c r="E180" s="161" t="s">
        <v>999</v>
      </c>
      <c r="F180" s="162" t="s">
        <v>347</v>
      </c>
      <c r="G180" s="162" t="s">
        <v>587</v>
      </c>
      <c r="H180" s="162" t="s">
        <v>1236</v>
      </c>
      <c r="I180" s="163" t="s">
        <v>421</v>
      </c>
      <c r="J180" s="163" t="s">
        <v>422</v>
      </c>
      <c r="K180" s="163" t="s">
        <v>460</v>
      </c>
      <c r="L180" s="163" t="s">
        <v>469</v>
      </c>
      <c r="M180" s="163" t="s">
        <v>1192</v>
      </c>
      <c r="N180" s="161" t="s">
        <v>1145</v>
      </c>
      <c r="O180" s="162" t="s">
        <v>1026</v>
      </c>
      <c r="P180" s="163" t="s">
        <v>184</v>
      </c>
      <c r="Q180" s="171">
        <f t="shared" si="91"/>
        <v>1</v>
      </c>
      <c r="R180" s="163" t="s">
        <v>485</v>
      </c>
      <c r="S180" s="172">
        <f t="shared" si="92"/>
        <v>1</v>
      </c>
      <c r="T180" s="166">
        <f t="shared" si="93"/>
        <v>1</v>
      </c>
      <c r="U180" s="163" t="s">
        <v>184</v>
      </c>
      <c r="V180" s="163" t="s">
        <v>971</v>
      </c>
      <c r="W180" s="172">
        <f t="shared" si="79"/>
        <v>100</v>
      </c>
      <c r="X180" s="166">
        <f t="shared" si="95"/>
        <v>100</v>
      </c>
      <c r="Y180" s="163" t="str">
        <f t="shared" si="96"/>
        <v>Nivel III: Riesgo Moderado (Aceptable)</v>
      </c>
      <c r="Z180" s="163">
        <v>1</v>
      </c>
      <c r="AA180" s="163" t="s">
        <v>926</v>
      </c>
      <c r="AB180" s="161" t="s">
        <v>424</v>
      </c>
      <c r="AC180" s="161" t="s">
        <v>424</v>
      </c>
      <c r="AD180" s="161" t="s">
        <v>424</v>
      </c>
      <c r="AE180" s="161" t="s">
        <v>1029</v>
      </c>
      <c r="AF180" s="161" t="s">
        <v>600</v>
      </c>
      <c r="AG180" s="166" t="s">
        <v>460</v>
      </c>
    </row>
    <row r="181" spans="1:33" ht="102" hidden="1" x14ac:dyDescent="0.2">
      <c r="A181" s="162" t="s">
        <v>879</v>
      </c>
      <c r="B181" s="162" t="s">
        <v>1228</v>
      </c>
      <c r="C181" s="162" t="s">
        <v>1084</v>
      </c>
      <c r="D181" s="162" t="s">
        <v>1096</v>
      </c>
      <c r="E181" s="161" t="s">
        <v>995</v>
      </c>
      <c r="F181" s="162" t="s">
        <v>714</v>
      </c>
      <c r="G181" s="162" t="s">
        <v>1036</v>
      </c>
      <c r="H181" s="162" t="s">
        <v>625</v>
      </c>
      <c r="I181" s="163" t="s">
        <v>421</v>
      </c>
      <c r="J181" s="163" t="s">
        <v>422</v>
      </c>
      <c r="K181" s="163" t="s">
        <v>460</v>
      </c>
      <c r="L181" s="163" t="s">
        <v>469</v>
      </c>
      <c r="M181" s="161" t="s">
        <v>423</v>
      </c>
      <c r="N181" s="161" t="s">
        <v>1037</v>
      </c>
      <c r="O181" s="164" t="s">
        <v>1038</v>
      </c>
      <c r="P181" s="163" t="s">
        <v>184</v>
      </c>
      <c r="Q181" s="171">
        <f t="shared" si="91"/>
        <v>1</v>
      </c>
      <c r="R181" s="163" t="s">
        <v>485</v>
      </c>
      <c r="S181" s="172">
        <f t="shared" si="92"/>
        <v>1</v>
      </c>
      <c r="T181" s="166">
        <f t="shared" si="93"/>
        <v>1</v>
      </c>
      <c r="U181" s="163" t="str">
        <f t="shared" ref="U181" si="98">IF(AND(T181&gt;=0,T181&lt;=4),"Bajo",IF(AND(T181&gt;=6,T181&lt;=8),"Medio",IF(AND(T181&gt;=10,T181&lt;=20),"Alto",IF(AND(T181&gt;=20,T181&lt;=40),"Muy Alto",))))</f>
        <v>Bajo</v>
      </c>
      <c r="V181" s="163" t="s">
        <v>187</v>
      </c>
      <c r="W181" s="172">
        <f t="shared" si="79"/>
        <v>25</v>
      </c>
      <c r="X181" s="166">
        <f t="shared" si="95"/>
        <v>25</v>
      </c>
      <c r="Y181" s="163" t="str">
        <f t="shared" si="96"/>
        <v>Nivel IV: Riesgo Tolerable (Aceptable)</v>
      </c>
      <c r="Z181" s="163">
        <v>1</v>
      </c>
      <c r="AA181" s="163" t="s">
        <v>926</v>
      </c>
      <c r="AB181" s="161" t="s">
        <v>424</v>
      </c>
      <c r="AC181" s="161" t="s">
        <v>424</v>
      </c>
      <c r="AD181" s="161" t="s">
        <v>514</v>
      </c>
      <c r="AE181" s="161" t="s">
        <v>1039</v>
      </c>
      <c r="AF181" s="161" t="s">
        <v>1040</v>
      </c>
      <c r="AG181" s="166" t="s">
        <v>460</v>
      </c>
    </row>
    <row r="182" spans="1:33" ht="127.5" hidden="1" x14ac:dyDescent="0.2">
      <c r="A182" s="162" t="s">
        <v>879</v>
      </c>
      <c r="B182" s="162" t="s">
        <v>1228</v>
      </c>
      <c r="C182" s="162" t="s">
        <v>1084</v>
      </c>
      <c r="D182" s="162" t="s">
        <v>1096</v>
      </c>
      <c r="E182" s="161" t="s">
        <v>175</v>
      </c>
      <c r="F182" s="162" t="s">
        <v>592</v>
      </c>
      <c r="G182" s="162" t="s">
        <v>593</v>
      </c>
      <c r="H182" s="162" t="s">
        <v>602</v>
      </c>
      <c r="I182" s="163" t="s">
        <v>421</v>
      </c>
      <c r="J182" s="163" t="s">
        <v>422</v>
      </c>
      <c r="K182" s="163" t="s">
        <v>460</v>
      </c>
      <c r="L182" s="163" t="s">
        <v>469</v>
      </c>
      <c r="M182" s="168"/>
      <c r="N182" s="161" t="s">
        <v>423</v>
      </c>
      <c r="O182" s="162" t="s">
        <v>1034</v>
      </c>
      <c r="P182" s="163" t="s">
        <v>184</v>
      </c>
      <c r="Q182" s="171">
        <f t="shared" si="91"/>
        <v>1</v>
      </c>
      <c r="R182" s="163" t="s">
        <v>485</v>
      </c>
      <c r="S182" s="172">
        <f t="shared" si="92"/>
        <v>1</v>
      </c>
      <c r="T182" s="166">
        <f t="shared" si="93"/>
        <v>1</v>
      </c>
      <c r="U182" s="163" t="s">
        <v>184</v>
      </c>
      <c r="V182" s="163" t="s">
        <v>428</v>
      </c>
      <c r="W182" s="172">
        <f t="shared" si="79"/>
        <v>10</v>
      </c>
      <c r="X182" s="166">
        <f t="shared" si="95"/>
        <v>10</v>
      </c>
      <c r="Y182" s="163" t="str">
        <f t="shared" si="96"/>
        <v>Nivel IV: Riesgo Tolerable (Aceptable)</v>
      </c>
      <c r="Z182" s="163">
        <v>1</v>
      </c>
      <c r="AA182" s="163" t="s">
        <v>926</v>
      </c>
      <c r="AB182" s="161" t="s">
        <v>424</v>
      </c>
      <c r="AC182" s="161" t="s">
        <v>424</v>
      </c>
      <c r="AD182" s="161" t="s">
        <v>424</v>
      </c>
      <c r="AE182" s="161" t="s">
        <v>1035</v>
      </c>
      <c r="AF182" s="161" t="s">
        <v>600</v>
      </c>
      <c r="AG182" s="166" t="s">
        <v>460</v>
      </c>
    </row>
    <row r="183" spans="1:33" ht="114.75" hidden="1" x14ac:dyDescent="0.2">
      <c r="A183" s="162" t="s">
        <v>879</v>
      </c>
      <c r="B183" s="162" t="s">
        <v>1228</v>
      </c>
      <c r="C183" s="162" t="s">
        <v>1084</v>
      </c>
      <c r="D183" s="162" t="s">
        <v>1096</v>
      </c>
      <c r="E183" s="161" t="s">
        <v>175</v>
      </c>
      <c r="F183" s="162" t="s">
        <v>594</v>
      </c>
      <c r="G183" s="162" t="s">
        <v>595</v>
      </c>
      <c r="H183" s="162" t="s">
        <v>602</v>
      </c>
      <c r="I183" s="163" t="s">
        <v>421</v>
      </c>
      <c r="J183" s="163" t="s">
        <v>422</v>
      </c>
      <c r="K183" s="163" t="s">
        <v>460</v>
      </c>
      <c r="L183" s="163" t="s">
        <v>469</v>
      </c>
      <c r="M183" s="168"/>
      <c r="N183" s="161" t="s">
        <v>423</v>
      </c>
      <c r="O183" s="162" t="s">
        <v>1034</v>
      </c>
      <c r="P183" s="163" t="s">
        <v>184</v>
      </c>
      <c r="Q183" s="171">
        <f t="shared" si="91"/>
        <v>1</v>
      </c>
      <c r="R183" s="163" t="s">
        <v>485</v>
      </c>
      <c r="S183" s="172">
        <f t="shared" si="92"/>
        <v>1</v>
      </c>
      <c r="T183" s="166">
        <f t="shared" si="93"/>
        <v>1</v>
      </c>
      <c r="U183" s="163" t="s">
        <v>184</v>
      </c>
      <c r="V183" s="163" t="s">
        <v>428</v>
      </c>
      <c r="W183" s="172">
        <f t="shared" si="79"/>
        <v>10</v>
      </c>
      <c r="X183" s="166">
        <f t="shared" si="95"/>
        <v>10</v>
      </c>
      <c r="Y183" s="163" t="str">
        <f t="shared" si="96"/>
        <v>Nivel IV: Riesgo Tolerable (Aceptable)</v>
      </c>
      <c r="Z183" s="163">
        <v>1</v>
      </c>
      <c r="AA183" s="163" t="s">
        <v>926</v>
      </c>
      <c r="AB183" s="161" t="s">
        <v>424</v>
      </c>
      <c r="AC183" s="161" t="s">
        <v>424</v>
      </c>
      <c r="AD183" s="161" t="s">
        <v>424</v>
      </c>
      <c r="AE183" s="161" t="s">
        <v>1035</v>
      </c>
      <c r="AF183" s="161" t="s">
        <v>600</v>
      </c>
      <c r="AG183" s="166" t="s">
        <v>460</v>
      </c>
    </row>
    <row r="184" spans="1:33" ht="114.75" hidden="1" x14ac:dyDescent="0.2">
      <c r="A184" s="162" t="s">
        <v>879</v>
      </c>
      <c r="B184" s="162" t="s">
        <v>1228</v>
      </c>
      <c r="C184" s="162" t="s">
        <v>1084</v>
      </c>
      <c r="D184" s="162" t="s">
        <v>1096</v>
      </c>
      <c r="E184" s="161" t="s">
        <v>175</v>
      </c>
      <c r="F184" s="162" t="s">
        <v>596</v>
      </c>
      <c r="G184" s="162" t="s">
        <v>599</v>
      </c>
      <c r="H184" s="162" t="s">
        <v>602</v>
      </c>
      <c r="I184" s="163" t="s">
        <v>421</v>
      </c>
      <c r="J184" s="163" t="s">
        <v>422</v>
      </c>
      <c r="K184" s="163" t="s">
        <v>460</v>
      </c>
      <c r="L184" s="163" t="s">
        <v>469</v>
      </c>
      <c r="M184" s="161" t="s">
        <v>423</v>
      </c>
      <c r="N184" s="161" t="s">
        <v>423</v>
      </c>
      <c r="O184" s="162" t="s">
        <v>1034</v>
      </c>
      <c r="P184" s="163" t="s">
        <v>185</v>
      </c>
      <c r="Q184" s="171">
        <f t="shared" si="91"/>
        <v>2</v>
      </c>
      <c r="R184" s="163" t="s">
        <v>186</v>
      </c>
      <c r="S184" s="172">
        <f t="shared" si="92"/>
        <v>4</v>
      </c>
      <c r="T184" s="166">
        <f t="shared" si="93"/>
        <v>8</v>
      </c>
      <c r="U184" s="163" t="str">
        <f t="shared" ref="U184" si="99">IF(AND(T184&gt;=0,T184&lt;=4),"Bajo",IF(AND(T184&gt;=6,T184&lt;=8),"Medio",IF(AND(T184&gt;=10,T184&lt;=20),"Alto",IF(AND(T184&gt;=20,T184&lt;=40),"Muy Alto",))))</f>
        <v>Medio</v>
      </c>
      <c r="V184" s="163" t="s">
        <v>428</v>
      </c>
      <c r="W184" s="172">
        <f t="shared" si="79"/>
        <v>10</v>
      </c>
      <c r="X184" s="166">
        <f t="shared" si="95"/>
        <v>80</v>
      </c>
      <c r="Y184" s="163" t="str">
        <f t="shared" si="96"/>
        <v>Nivel III: Riesgo Moderado (Aceptable)</v>
      </c>
      <c r="Z184" s="163">
        <v>1</v>
      </c>
      <c r="AA184" s="163" t="s">
        <v>926</v>
      </c>
      <c r="AB184" s="161" t="s">
        <v>424</v>
      </c>
      <c r="AC184" s="161" t="s">
        <v>424</v>
      </c>
      <c r="AD184" s="161" t="s">
        <v>424</v>
      </c>
      <c r="AE184" s="161" t="s">
        <v>1035</v>
      </c>
      <c r="AF184" s="161" t="s">
        <v>600</v>
      </c>
      <c r="AG184" s="166" t="s">
        <v>460</v>
      </c>
    </row>
    <row r="185" spans="1:33" ht="114.75" hidden="1" x14ac:dyDescent="0.2">
      <c r="A185" s="162" t="s">
        <v>879</v>
      </c>
      <c r="B185" s="162" t="s">
        <v>1228</v>
      </c>
      <c r="C185" s="162" t="s">
        <v>1084</v>
      </c>
      <c r="D185" s="162" t="s">
        <v>1096</v>
      </c>
      <c r="E185" s="161" t="s">
        <v>175</v>
      </c>
      <c r="F185" s="162" t="s">
        <v>597</v>
      </c>
      <c r="G185" s="162" t="s">
        <v>598</v>
      </c>
      <c r="H185" s="162" t="s">
        <v>602</v>
      </c>
      <c r="I185" s="163" t="s">
        <v>421</v>
      </c>
      <c r="J185" s="163" t="s">
        <v>422</v>
      </c>
      <c r="K185" s="163" t="s">
        <v>460</v>
      </c>
      <c r="L185" s="163" t="s">
        <v>469</v>
      </c>
      <c r="M185" s="168"/>
      <c r="N185" s="161" t="s">
        <v>423</v>
      </c>
      <c r="O185" s="162" t="s">
        <v>1034</v>
      </c>
      <c r="P185" s="163" t="s">
        <v>184</v>
      </c>
      <c r="Q185" s="171">
        <f t="shared" si="91"/>
        <v>1</v>
      </c>
      <c r="R185" s="163" t="s">
        <v>485</v>
      </c>
      <c r="S185" s="172">
        <f t="shared" si="92"/>
        <v>1</v>
      </c>
      <c r="T185" s="166">
        <f t="shared" si="93"/>
        <v>1</v>
      </c>
      <c r="U185" s="163" t="s">
        <v>184</v>
      </c>
      <c r="V185" s="163" t="s">
        <v>428</v>
      </c>
      <c r="W185" s="172">
        <f t="shared" si="79"/>
        <v>10</v>
      </c>
      <c r="X185" s="166">
        <f t="shared" si="95"/>
        <v>10</v>
      </c>
      <c r="Y185" s="163" t="str">
        <f t="shared" si="96"/>
        <v>Nivel IV: Riesgo Tolerable (Aceptable)</v>
      </c>
      <c r="Z185" s="163">
        <v>1</v>
      </c>
      <c r="AA185" s="163" t="s">
        <v>926</v>
      </c>
      <c r="AB185" s="161" t="s">
        <v>424</v>
      </c>
      <c r="AC185" s="161" t="s">
        <v>424</v>
      </c>
      <c r="AD185" s="161" t="s">
        <v>424</v>
      </c>
      <c r="AE185" s="161" t="s">
        <v>1035</v>
      </c>
      <c r="AF185" s="161" t="s">
        <v>600</v>
      </c>
      <c r="AG185" s="166" t="s">
        <v>460</v>
      </c>
    </row>
    <row r="186" spans="1:33" ht="51" hidden="1" x14ac:dyDescent="0.2">
      <c r="A186" s="162" t="s">
        <v>879</v>
      </c>
      <c r="B186" s="162" t="s">
        <v>1228</v>
      </c>
      <c r="C186" s="162" t="s">
        <v>1084</v>
      </c>
      <c r="D186" s="162" t="s">
        <v>1096</v>
      </c>
      <c r="E186" s="161" t="s">
        <v>999</v>
      </c>
      <c r="F186" s="162" t="s">
        <v>578</v>
      </c>
      <c r="G186" s="162" t="s">
        <v>1085</v>
      </c>
      <c r="H186" s="162" t="s">
        <v>979</v>
      </c>
      <c r="I186" s="163" t="s">
        <v>421</v>
      </c>
      <c r="J186" s="163" t="s">
        <v>422</v>
      </c>
      <c r="K186" s="163" t="s">
        <v>460</v>
      </c>
      <c r="L186" s="163" t="s">
        <v>469</v>
      </c>
      <c r="M186" s="165" t="s">
        <v>423</v>
      </c>
      <c r="N186" s="161" t="s">
        <v>1086</v>
      </c>
      <c r="O186" s="162" t="s">
        <v>1087</v>
      </c>
      <c r="P186" s="163" t="s">
        <v>184</v>
      </c>
      <c r="Q186" s="171">
        <f t="shared" si="91"/>
        <v>1</v>
      </c>
      <c r="R186" s="163" t="s">
        <v>485</v>
      </c>
      <c r="S186" s="172">
        <f t="shared" si="92"/>
        <v>1</v>
      </c>
      <c r="T186" s="166">
        <f t="shared" si="93"/>
        <v>1</v>
      </c>
      <c r="U186" s="163" t="s">
        <v>184</v>
      </c>
      <c r="V186" s="163" t="s">
        <v>187</v>
      </c>
      <c r="W186" s="172">
        <f t="shared" si="79"/>
        <v>25</v>
      </c>
      <c r="X186" s="166">
        <f t="shared" si="95"/>
        <v>25</v>
      </c>
      <c r="Y186" s="163" t="str">
        <f t="shared" si="96"/>
        <v>Nivel IV: Riesgo Tolerable (Aceptable)</v>
      </c>
      <c r="Z186" s="163">
        <v>1</v>
      </c>
      <c r="AA186" s="163" t="s">
        <v>926</v>
      </c>
      <c r="AB186" s="161" t="s">
        <v>424</v>
      </c>
      <c r="AC186" s="161" t="s">
        <v>424</v>
      </c>
      <c r="AD186" s="161" t="s">
        <v>424</v>
      </c>
      <c r="AE186" s="161" t="s">
        <v>1088</v>
      </c>
      <c r="AF186" s="161" t="s">
        <v>600</v>
      </c>
      <c r="AG186" s="166" t="s">
        <v>460</v>
      </c>
    </row>
    <row r="187" spans="1:33" ht="51" hidden="1" x14ac:dyDescent="0.2">
      <c r="A187" s="162" t="s">
        <v>879</v>
      </c>
      <c r="B187" s="162" t="s">
        <v>1228</v>
      </c>
      <c r="C187" s="162" t="s">
        <v>1084</v>
      </c>
      <c r="D187" s="162" t="s">
        <v>1096</v>
      </c>
      <c r="E187" s="161" t="s">
        <v>1000</v>
      </c>
      <c r="F187" s="162" t="s">
        <v>1123</v>
      </c>
      <c r="G187" s="162" t="s">
        <v>981</v>
      </c>
      <c r="H187" s="162" t="s">
        <v>1237</v>
      </c>
      <c r="I187" s="163" t="s">
        <v>421</v>
      </c>
      <c r="J187" s="163" t="s">
        <v>422</v>
      </c>
      <c r="K187" s="163" t="s">
        <v>460</v>
      </c>
      <c r="L187" s="163" t="s">
        <v>469</v>
      </c>
      <c r="M187" s="161" t="s">
        <v>423</v>
      </c>
      <c r="N187" s="161" t="s">
        <v>1145</v>
      </c>
      <c r="O187" s="162" t="s">
        <v>1144</v>
      </c>
      <c r="P187" s="163" t="s">
        <v>184</v>
      </c>
      <c r="Q187" s="171">
        <f t="shared" si="91"/>
        <v>1</v>
      </c>
      <c r="R187" s="163" t="s">
        <v>485</v>
      </c>
      <c r="S187" s="172">
        <f t="shared" si="92"/>
        <v>1</v>
      </c>
      <c r="T187" s="166">
        <f t="shared" si="93"/>
        <v>1</v>
      </c>
      <c r="U187" s="163" t="s">
        <v>184</v>
      </c>
      <c r="V187" s="163" t="s">
        <v>187</v>
      </c>
      <c r="W187" s="172">
        <f t="shared" si="79"/>
        <v>25</v>
      </c>
      <c r="X187" s="166">
        <f t="shared" si="95"/>
        <v>25</v>
      </c>
      <c r="Y187" s="163" t="str">
        <f t="shared" si="96"/>
        <v>Nivel IV: Riesgo Tolerable (Aceptable)</v>
      </c>
      <c r="Z187" s="163">
        <v>1</v>
      </c>
      <c r="AA187" s="163" t="s">
        <v>926</v>
      </c>
      <c r="AB187" s="161" t="s">
        <v>424</v>
      </c>
      <c r="AC187" s="161" t="s">
        <v>424</v>
      </c>
      <c r="AD187" s="161" t="s">
        <v>424</v>
      </c>
      <c r="AE187" s="161" t="s">
        <v>1024</v>
      </c>
      <c r="AF187" s="161" t="s">
        <v>600</v>
      </c>
      <c r="AG187" s="166" t="s">
        <v>460</v>
      </c>
    </row>
    <row r="188" spans="1:33" ht="76.5" hidden="1" x14ac:dyDescent="0.2">
      <c r="A188" s="162" t="s">
        <v>879</v>
      </c>
      <c r="B188" s="162" t="s">
        <v>1228</v>
      </c>
      <c r="C188" s="162" t="s">
        <v>1084</v>
      </c>
      <c r="D188" s="162" t="s">
        <v>1096</v>
      </c>
      <c r="E188" s="161" t="s">
        <v>995</v>
      </c>
      <c r="F188" s="162" t="s">
        <v>719</v>
      </c>
      <c r="G188" s="162" t="s">
        <v>981</v>
      </c>
      <c r="H188" s="162" t="s">
        <v>722</v>
      </c>
      <c r="I188" s="163" t="s">
        <v>421</v>
      </c>
      <c r="J188" s="163" t="s">
        <v>422</v>
      </c>
      <c r="K188" s="163" t="s">
        <v>460</v>
      </c>
      <c r="L188" s="163" t="s">
        <v>469</v>
      </c>
      <c r="M188" s="161" t="s">
        <v>423</v>
      </c>
      <c r="N188" s="161" t="s">
        <v>423</v>
      </c>
      <c r="O188" s="162" t="s">
        <v>1092</v>
      </c>
      <c r="P188" s="163" t="s">
        <v>184</v>
      </c>
      <c r="Q188" s="171">
        <f t="shared" si="91"/>
        <v>1</v>
      </c>
      <c r="R188" s="163" t="s">
        <v>485</v>
      </c>
      <c r="S188" s="172">
        <f t="shared" si="92"/>
        <v>1</v>
      </c>
      <c r="T188" s="166">
        <f t="shared" si="93"/>
        <v>1</v>
      </c>
      <c r="U188" s="163" t="s">
        <v>184</v>
      </c>
      <c r="V188" s="163" t="s">
        <v>187</v>
      </c>
      <c r="W188" s="172">
        <f t="shared" si="79"/>
        <v>25</v>
      </c>
      <c r="X188" s="166">
        <f t="shared" si="95"/>
        <v>25</v>
      </c>
      <c r="Y188" s="163" t="str">
        <f t="shared" si="96"/>
        <v>Nivel IV: Riesgo Tolerable (Aceptable)</v>
      </c>
      <c r="Z188" s="163">
        <v>1</v>
      </c>
      <c r="AA188" s="163" t="s">
        <v>926</v>
      </c>
      <c r="AB188" s="161" t="s">
        <v>424</v>
      </c>
      <c r="AC188" s="161" t="s">
        <v>424</v>
      </c>
      <c r="AD188" s="161" t="s">
        <v>424</v>
      </c>
      <c r="AE188" s="161" t="s">
        <v>1042</v>
      </c>
      <c r="AF188" s="161" t="s">
        <v>600</v>
      </c>
      <c r="AG188" s="166" t="s">
        <v>460</v>
      </c>
    </row>
    <row r="189" spans="1:33" ht="89.25" hidden="1" x14ac:dyDescent="0.2">
      <c r="A189" s="162" t="s">
        <v>879</v>
      </c>
      <c r="B189" s="162" t="s">
        <v>1228</v>
      </c>
      <c r="C189" s="162" t="s">
        <v>1084</v>
      </c>
      <c r="D189" s="162" t="s">
        <v>1096</v>
      </c>
      <c r="E189" s="161" t="s">
        <v>995</v>
      </c>
      <c r="F189" s="162" t="s">
        <v>720</v>
      </c>
      <c r="G189" s="162" t="s">
        <v>981</v>
      </c>
      <c r="H189" s="162" t="s">
        <v>724</v>
      </c>
      <c r="I189" s="163" t="s">
        <v>421</v>
      </c>
      <c r="J189" s="163" t="s">
        <v>422</v>
      </c>
      <c r="K189" s="163" t="s">
        <v>460</v>
      </c>
      <c r="L189" s="163" t="s">
        <v>469</v>
      </c>
      <c r="M189" s="161" t="s">
        <v>423</v>
      </c>
      <c r="N189" s="161" t="s">
        <v>1081</v>
      </c>
      <c r="O189" s="162" t="s">
        <v>1092</v>
      </c>
      <c r="P189" s="163" t="s">
        <v>184</v>
      </c>
      <c r="Q189" s="171">
        <f t="shared" si="91"/>
        <v>1</v>
      </c>
      <c r="R189" s="163" t="s">
        <v>485</v>
      </c>
      <c r="S189" s="172">
        <f t="shared" si="92"/>
        <v>1</v>
      </c>
      <c r="T189" s="166">
        <f t="shared" si="93"/>
        <v>1</v>
      </c>
      <c r="U189" s="163" t="s">
        <v>184</v>
      </c>
      <c r="V189" s="163" t="s">
        <v>187</v>
      </c>
      <c r="W189" s="172">
        <f t="shared" si="79"/>
        <v>25</v>
      </c>
      <c r="X189" s="166">
        <f t="shared" si="95"/>
        <v>25</v>
      </c>
      <c r="Y189" s="163" t="str">
        <f t="shared" si="96"/>
        <v>Nivel IV: Riesgo Tolerable (Aceptable)</v>
      </c>
      <c r="Z189" s="163">
        <v>1</v>
      </c>
      <c r="AA189" s="163" t="s">
        <v>926</v>
      </c>
      <c r="AB189" s="161" t="s">
        <v>424</v>
      </c>
      <c r="AC189" s="161" t="s">
        <v>424</v>
      </c>
      <c r="AD189" s="161" t="s">
        <v>424</v>
      </c>
      <c r="AE189" s="161" t="s">
        <v>1042</v>
      </c>
      <c r="AF189" s="161" t="s">
        <v>600</v>
      </c>
      <c r="AG189" s="166" t="s">
        <v>460</v>
      </c>
    </row>
    <row r="190" spans="1:33" ht="76.900000000000006" hidden="1" customHeight="1" x14ac:dyDescent="0.2">
      <c r="A190" s="162" t="s">
        <v>879</v>
      </c>
      <c r="B190" s="162" t="s">
        <v>1226</v>
      </c>
      <c r="C190" s="162" t="s">
        <v>882</v>
      </c>
      <c r="D190" s="162" t="s">
        <v>883</v>
      </c>
      <c r="E190" s="161" t="s">
        <v>995</v>
      </c>
      <c r="F190" s="162" t="s">
        <v>720</v>
      </c>
      <c r="G190" s="162" t="s">
        <v>1100</v>
      </c>
      <c r="H190" s="162" t="s">
        <v>724</v>
      </c>
      <c r="I190" s="163" t="s">
        <v>421</v>
      </c>
      <c r="J190" s="163" t="s">
        <v>422</v>
      </c>
      <c r="K190" s="163" t="s">
        <v>460</v>
      </c>
      <c r="L190" s="163" t="s">
        <v>469</v>
      </c>
      <c r="M190" s="161" t="s">
        <v>423</v>
      </c>
      <c r="N190" s="161" t="s">
        <v>423</v>
      </c>
      <c r="O190" s="162" t="s">
        <v>1092</v>
      </c>
      <c r="P190" s="163" t="s">
        <v>184</v>
      </c>
      <c r="Q190" s="171">
        <f t="shared" ref="Q190:Q195" si="100">IF(P190="Muy Alto",10,IF(P190="Alto",6,IF(P190="Medio",2,IF(P190="Bajo",1,))))</f>
        <v>1</v>
      </c>
      <c r="R190" s="163" t="s">
        <v>485</v>
      </c>
      <c r="S190" s="172">
        <f t="shared" ref="S190:S195" si="101">IF(R190="Continua",4,IF(R190="Frecuente",3,IF(R190="Ocasional",2,IF(R190="Esporádica",1,))))</f>
        <v>1</v>
      </c>
      <c r="T190" s="166">
        <f t="shared" ref="T190:T195" si="102">Q190*S190</f>
        <v>1</v>
      </c>
      <c r="U190" s="163" t="s">
        <v>184</v>
      </c>
      <c r="V190" s="163" t="s">
        <v>187</v>
      </c>
      <c r="W190" s="172">
        <f t="shared" si="79"/>
        <v>25</v>
      </c>
      <c r="X190" s="166">
        <f t="shared" ref="X190:X195" si="103">T190*W190</f>
        <v>25</v>
      </c>
      <c r="Y190" s="163" t="str">
        <f t="shared" ref="Y190:Y195" si="104">IF(AND(X190&gt;=600,X190&lt;=4000),"Nivel I: Riesgo Inaceptable",IF(AND(X190&gt;=150,X190&lt;=500),"Nivel II: Riesgo Importante",IF(AND(X190&gt;=40,X190&lt;=120),"Nivel III: Riesgo Moderado (Aceptable)","Nivel IV: Riesgo Tolerable (Aceptable)")))</f>
        <v>Nivel IV: Riesgo Tolerable (Aceptable)</v>
      </c>
      <c r="Z190" s="163">
        <v>1</v>
      </c>
      <c r="AA190" s="163" t="s">
        <v>926</v>
      </c>
      <c r="AB190" s="161" t="s">
        <v>424</v>
      </c>
      <c r="AC190" s="161" t="s">
        <v>424</v>
      </c>
      <c r="AD190" s="161" t="s">
        <v>424</v>
      </c>
      <c r="AE190" s="161" t="s">
        <v>1042</v>
      </c>
      <c r="AF190" s="161" t="s">
        <v>600</v>
      </c>
      <c r="AG190" s="166" t="s">
        <v>460</v>
      </c>
    </row>
    <row r="191" spans="1:33" ht="76.5" hidden="1" x14ac:dyDescent="0.2">
      <c r="A191" s="162" t="s">
        <v>879</v>
      </c>
      <c r="B191" s="162" t="s">
        <v>1226</v>
      </c>
      <c r="C191" s="162" t="s">
        <v>882</v>
      </c>
      <c r="D191" s="162" t="s">
        <v>883</v>
      </c>
      <c r="E191" s="161" t="s">
        <v>995</v>
      </c>
      <c r="F191" s="162" t="s">
        <v>719</v>
      </c>
      <c r="G191" s="162" t="s">
        <v>1100</v>
      </c>
      <c r="H191" s="162" t="s">
        <v>722</v>
      </c>
      <c r="I191" s="163" t="s">
        <v>421</v>
      </c>
      <c r="J191" s="163" t="s">
        <v>422</v>
      </c>
      <c r="K191" s="163" t="s">
        <v>460</v>
      </c>
      <c r="L191" s="163" t="s">
        <v>469</v>
      </c>
      <c r="M191" s="161" t="s">
        <v>423</v>
      </c>
      <c r="N191" s="161" t="s">
        <v>423</v>
      </c>
      <c r="O191" s="162" t="s">
        <v>1092</v>
      </c>
      <c r="P191" s="163" t="s">
        <v>184</v>
      </c>
      <c r="Q191" s="171">
        <f t="shared" si="100"/>
        <v>1</v>
      </c>
      <c r="R191" s="163" t="s">
        <v>485</v>
      </c>
      <c r="S191" s="172">
        <f t="shared" si="101"/>
        <v>1</v>
      </c>
      <c r="T191" s="166">
        <f t="shared" si="102"/>
        <v>1</v>
      </c>
      <c r="U191" s="163" t="s">
        <v>184</v>
      </c>
      <c r="V191" s="163" t="s">
        <v>187</v>
      </c>
      <c r="W191" s="172">
        <f t="shared" si="79"/>
        <v>25</v>
      </c>
      <c r="X191" s="166">
        <f t="shared" si="103"/>
        <v>25</v>
      </c>
      <c r="Y191" s="163" t="str">
        <f t="shared" si="104"/>
        <v>Nivel IV: Riesgo Tolerable (Aceptable)</v>
      </c>
      <c r="Z191" s="163">
        <v>1</v>
      </c>
      <c r="AA191" s="163" t="s">
        <v>926</v>
      </c>
      <c r="AB191" s="161" t="s">
        <v>424</v>
      </c>
      <c r="AC191" s="161" t="s">
        <v>424</v>
      </c>
      <c r="AD191" s="161" t="s">
        <v>424</v>
      </c>
      <c r="AE191" s="161" t="s">
        <v>1042</v>
      </c>
      <c r="AF191" s="161" t="s">
        <v>600</v>
      </c>
      <c r="AG191" s="166" t="s">
        <v>460</v>
      </c>
    </row>
    <row r="192" spans="1:33" ht="140.25" hidden="1" x14ac:dyDescent="0.2">
      <c r="A192" s="162" t="s">
        <v>879</v>
      </c>
      <c r="B192" s="162" t="s">
        <v>1226</v>
      </c>
      <c r="C192" s="162" t="s">
        <v>882</v>
      </c>
      <c r="D192" s="162" t="s">
        <v>883</v>
      </c>
      <c r="E192" s="161" t="s">
        <v>998</v>
      </c>
      <c r="F192" s="162" t="s">
        <v>1115</v>
      </c>
      <c r="G192" s="162" t="s">
        <v>927</v>
      </c>
      <c r="H192" s="162" t="s">
        <v>694</v>
      </c>
      <c r="I192" s="163" t="s">
        <v>421</v>
      </c>
      <c r="J192" s="163" t="s">
        <v>422</v>
      </c>
      <c r="K192" s="163" t="s">
        <v>460</v>
      </c>
      <c r="L192" s="163" t="s">
        <v>469</v>
      </c>
      <c r="M192" s="161" t="s">
        <v>945</v>
      </c>
      <c r="N192" s="161" t="s">
        <v>725</v>
      </c>
      <c r="O192" s="162" t="s">
        <v>1061</v>
      </c>
      <c r="P192" s="163" t="s">
        <v>185</v>
      </c>
      <c r="Q192" s="171">
        <f t="shared" si="100"/>
        <v>2</v>
      </c>
      <c r="R192" s="163" t="s">
        <v>429</v>
      </c>
      <c r="S192" s="172">
        <f t="shared" si="101"/>
        <v>2</v>
      </c>
      <c r="T192" s="166">
        <f t="shared" si="102"/>
        <v>4</v>
      </c>
      <c r="U192" s="163" t="s">
        <v>185</v>
      </c>
      <c r="V192" s="163" t="s">
        <v>187</v>
      </c>
      <c r="W192" s="172">
        <f t="shared" si="79"/>
        <v>25</v>
      </c>
      <c r="X192" s="166">
        <f t="shared" si="103"/>
        <v>100</v>
      </c>
      <c r="Y192" s="163" t="str">
        <f t="shared" si="104"/>
        <v>Nivel III: Riesgo Moderado (Aceptable)</v>
      </c>
      <c r="Z192" s="163">
        <v>1</v>
      </c>
      <c r="AA192" s="163" t="s">
        <v>926</v>
      </c>
      <c r="AB192" s="161" t="s">
        <v>424</v>
      </c>
      <c r="AC192" s="161" t="s">
        <v>424</v>
      </c>
      <c r="AD192" s="161" t="s">
        <v>581</v>
      </c>
      <c r="AE192" s="161" t="s">
        <v>1062</v>
      </c>
      <c r="AF192" s="161" t="s">
        <v>600</v>
      </c>
      <c r="AG192" s="166" t="s">
        <v>460</v>
      </c>
    </row>
    <row r="193" spans="1:33" ht="76.5" hidden="1" x14ac:dyDescent="0.2">
      <c r="A193" s="162" t="s">
        <v>879</v>
      </c>
      <c r="B193" s="162" t="s">
        <v>1226</v>
      </c>
      <c r="C193" s="162" t="s">
        <v>882</v>
      </c>
      <c r="D193" s="162" t="s">
        <v>883</v>
      </c>
      <c r="E193" s="161" t="s">
        <v>998</v>
      </c>
      <c r="F193" s="162" t="s">
        <v>178</v>
      </c>
      <c r="G193" s="162" t="s">
        <v>942</v>
      </c>
      <c r="H193" s="162" t="s">
        <v>860</v>
      </c>
      <c r="I193" s="163" t="s">
        <v>421</v>
      </c>
      <c r="J193" s="163" t="s">
        <v>422</v>
      </c>
      <c r="K193" s="163" t="s">
        <v>460</v>
      </c>
      <c r="L193" s="163" t="s">
        <v>469</v>
      </c>
      <c r="M193" s="161" t="s">
        <v>423</v>
      </c>
      <c r="N193" s="161" t="s">
        <v>423</v>
      </c>
      <c r="O193" s="162" t="s">
        <v>1046</v>
      </c>
      <c r="P193" s="163" t="s">
        <v>184</v>
      </c>
      <c r="Q193" s="171">
        <f t="shared" si="100"/>
        <v>1</v>
      </c>
      <c r="R193" s="163" t="s">
        <v>429</v>
      </c>
      <c r="S193" s="172">
        <f t="shared" si="101"/>
        <v>2</v>
      </c>
      <c r="T193" s="166">
        <f t="shared" si="102"/>
        <v>2</v>
      </c>
      <c r="U193" s="163" t="s">
        <v>185</v>
      </c>
      <c r="V193" s="163" t="s">
        <v>187</v>
      </c>
      <c r="W193" s="172">
        <f t="shared" si="79"/>
        <v>25</v>
      </c>
      <c r="X193" s="166">
        <f t="shared" si="103"/>
        <v>50</v>
      </c>
      <c r="Y193" s="163" t="str">
        <f t="shared" si="104"/>
        <v>Nivel III: Riesgo Moderado (Aceptable)</v>
      </c>
      <c r="Z193" s="163">
        <v>1</v>
      </c>
      <c r="AA193" s="163" t="s">
        <v>926</v>
      </c>
      <c r="AB193" s="161" t="s">
        <v>424</v>
      </c>
      <c r="AC193" s="161" t="s">
        <v>424</v>
      </c>
      <c r="AD193" s="161" t="s">
        <v>692</v>
      </c>
      <c r="AE193" s="161" t="s">
        <v>1048</v>
      </c>
      <c r="AF193" s="161" t="s">
        <v>600</v>
      </c>
      <c r="AG193" s="166" t="s">
        <v>460</v>
      </c>
    </row>
    <row r="194" spans="1:33" ht="102" hidden="1" x14ac:dyDescent="0.2">
      <c r="A194" s="162" t="s">
        <v>879</v>
      </c>
      <c r="B194" s="162" t="s">
        <v>1226</v>
      </c>
      <c r="C194" s="162" t="s">
        <v>882</v>
      </c>
      <c r="D194" s="162" t="s">
        <v>883</v>
      </c>
      <c r="E194" s="161" t="s">
        <v>999</v>
      </c>
      <c r="F194" s="162" t="s">
        <v>288</v>
      </c>
      <c r="G194" s="162" t="s">
        <v>1101</v>
      </c>
      <c r="H194" s="162" t="s">
        <v>472</v>
      </c>
      <c r="I194" s="163" t="s">
        <v>421</v>
      </c>
      <c r="J194" s="163" t="s">
        <v>422</v>
      </c>
      <c r="K194" s="163" t="s">
        <v>460</v>
      </c>
      <c r="L194" s="163" t="s">
        <v>469</v>
      </c>
      <c r="M194" s="168"/>
      <c r="N194" s="161" t="s">
        <v>423</v>
      </c>
      <c r="O194" s="162" t="s">
        <v>1008</v>
      </c>
      <c r="P194" s="163" t="s">
        <v>184</v>
      </c>
      <c r="Q194" s="171">
        <f t="shared" si="100"/>
        <v>1</v>
      </c>
      <c r="R194" s="163" t="s">
        <v>485</v>
      </c>
      <c r="S194" s="172">
        <f t="shared" si="101"/>
        <v>1</v>
      </c>
      <c r="T194" s="166">
        <f t="shared" si="102"/>
        <v>1</v>
      </c>
      <c r="U194" s="163" t="s">
        <v>185</v>
      </c>
      <c r="V194" s="163" t="s">
        <v>187</v>
      </c>
      <c r="W194" s="172">
        <f t="shared" si="79"/>
        <v>25</v>
      </c>
      <c r="X194" s="166">
        <f t="shared" si="103"/>
        <v>25</v>
      </c>
      <c r="Y194" s="163" t="str">
        <f t="shared" si="104"/>
        <v>Nivel IV: Riesgo Tolerable (Aceptable)</v>
      </c>
      <c r="Z194" s="163">
        <v>2</v>
      </c>
      <c r="AA194" s="163" t="s">
        <v>926</v>
      </c>
      <c r="AB194" s="161" t="s">
        <v>424</v>
      </c>
      <c r="AC194" s="161" t="s">
        <v>424</v>
      </c>
      <c r="AD194" s="161" t="s">
        <v>424</v>
      </c>
      <c r="AE194" s="162" t="s">
        <v>1011</v>
      </c>
      <c r="AF194" s="162" t="s">
        <v>955</v>
      </c>
      <c r="AG194" s="166" t="s">
        <v>460</v>
      </c>
    </row>
    <row r="195" spans="1:33" ht="89.25" hidden="1" x14ac:dyDescent="0.2">
      <c r="A195" s="162" t="s">
        <v>879</v>
      </c>
      <c r="B195" s="162" t="s">
        <v>1226</v>
      </c>
      <c r="C195" s="162" t="s">
        <v>882</v>
      </c>
      <c r="D195" s="162" t="s">
        <v>883</v>
      </c>
      <c r="E195" s="161" t="s">
        <v>999</v>
      </c>
      <c r="F195" s="162" t="s">
        <v>355</v>
      </c>
      <c r="G195" s="162" t="s">
        <v>1098</v>
      </c>
      <c r="H195" s="162" t="s">
        <v>507</v>
      </c>
      <c r="I195" s="163" t="s">
        <v>421</v>
      </c>
      <c r="J195" s="163" t="s">
        <v>422</v>
      </c>
      <c r="K195" s="163" t="s">
        <v>460</v>
      </c>
      <c r="L195" s="163" t="s">
        <v>469</v>
      </c>
      <c r="M195" s="161" t="s">
        <v>423</v>
      </c>
      <c r="N195" s="161" t="s">
        <v>423</v>
      </c>
      <c r="O195" s="162" t="s">
        <v>1005</v>
      </c>
      <c r="P195" s="163" t="s">
        <v>185</v>
      </c>
      <c r="Q195" s="171">
        <f t="shared" si="100"/>
        <v>2</v>
      </c>
      <c r="R195" s="163" t="s">
        <v>186</v>
      </c>
      <c r="S195" s="172">
        <f t="shared" si="101"/>
        <v>4</v>
      </c>
      <c r="T195" s="166">
        <f t="shared" si="102"/>
        <v>8</v>
      </c>
      <c r="U195" s="163" t="s">
        <v>185</v>
      </c>
      <c r="V195" s="163" t="s">
        <v>187</v>
      </c>
      <c r="W195" s="172">
        <f t="shared" si="79"/>
        <v>25</v>
      </c>
      <c r="X195" s="166">
        <f t="shared" si="103"/>
        <v>200</v>
      </c>
      <c r="Y195" s="163" t="str">
        <f t="shared" si="104"/>
        <v>Nivel II: Riesgo Importante</v>
      </c>
      <c r="Z195" s="163">
        <v>1</v>
      </c>
      <c r="AA195" s="163" t="s">
        <v>926</v>
      </c>
      <c r="AB195" s="161" t="s">
        <v>424</v>
      </c>
      <c r="AC195" s="161" t="s">
        <v>424</v>
      </c>
      <c r="AD195" s="161" t="s">
        <v>424</v>
      </c>
      <c r="AE195" s="164" t="s">
        <v>1006</v>
      </c>
      <c r="AF195" s="161" t="s">
        <v>528</v>
      </c>
      <c r="AG195" s="166" t="s">
        <v>460</v>
      </c>
    </row>
    <row r="196" spans="1:33" ht="89.25" hidden="1" x14ac:dyDescent="0.2">
      <c r="A196" s="162" t="s">
        <v>879</v>
      </c>
      <c r="B196" s="162" t="s">
        <v>1226</v>
      </c>
      <c r="C196" s="162" t="s">
        <v>882</v>
      </c>
      <c r="D196" s="162" t="s">
        <v>883</v>
      </c>
      <c r="E196" s="161" t="s">
        <v>999</v>
      </c>
      <c r="F196" s="162" t="s">
        <v>1117</v>
      </c>
      <c r="G196" s="162" t="s">
        <v>1097</v>
      </c>
      <c r="H196" s="162" t="s">
        <v>508</v>
      </c>
      <c r="I196" s="163" t="s">
        <v>421</v>
      </c>
      <c r="J196" s="163" t="s">
        <v>422</v>
      </c>
      <c r="K196" s="163" t="s">
        <v>460</v>
      </c>
      <c r="L196" s="163" t="s">
        <v>469</v>
      </c>
      <c r="M196" s="168"/>
      <c r="N196" s="161" t="s">
        <v>423</v>
      </c>
      <c r="O196" s="162" t="s">
        <v>1013</v>
      </c>
      <c r="P196" s="163" t="s">
        <v>185</v>
      </c>
      <c r="Q196" s="171">
        <f t="shared" ref="Q196:Q210" si="105">IF(P196="Muy Alto",10,IF(P196="Alto",6,IF(P196="Medio",2,IF(P196="Bajo",1,))))</f>
        <v>2</v>
      </c>
      <c r="R196" s="163" t="s">
        <v>429</v>
      </c>
      <c r="S196" s="172">
        <f t="shared" ref="S196:S210" si="106">IF(R196="Continua",4,IF(R196="Frecuente",3,IF(R196="Ocasional",2,IF(R196="Esporádica",1,))))</f>
        <v>2</v>
      </c>
      <c r="T196" s="166">
        <f t="shared" ref="T196:T210" si="107">Q196*S196</f>
        <v>4</v>
      </c>
      <c r="U196" s="163" t="s">
        <v>185</v>
      </c>
      <c r="V196" s="163" t="s">
        <v>187</v>
      </c>
      <c r="W196" s="172">
        <f t="shared" si="79"/>
        <v>25</v>
      </c>
      <c r="X196" s="166">
        <f t="shared" ref="X196:X210" si="108">T196*W196</f>
        <v>100</v>
      </c>
      <c r="Y196" s="163" t="str">
        <f t="shared" ref="Y196:Y210" si="109">IF(AND(X196&gt;=600,X196&lt;=4000),"Nivel I: Riesgo Inaceptable",IF(AND(X196&gt;=150,X196&lt;=500),"Nivel II: Riesgo Importante",IF(AND(X196&gt;=40,X196&lt;=120),"Nivel III: Riesgo Moderado (Aceptable)","Nivel IV: Riesgo Tolerable (Aceptable)")))</f>
        <v>Nivel III: Riesgo Moderado (Aceptable)</v>
      </c>
      <c r="Z196" s="163">
        <v>1</v>
      </c>
      <c r="AA196" s="163" t="s">
        <v>926</v>
      </c>
      <c r="AB196" s="161" t="s">
        <v>424</v>
      </c>
      <c r="AC196" s="161" t="s">
        <v>424</v>
      </c>
      <c r="AD196" s="161" t="s">
        <v>698</v>
      </c>
      <c r="AE196" s="161" t="s">
        <v>1014</v>
      </c>
      <c r="AF196" s="161" t="s">
        <v>528</v>
      </c>
      <c r="AG196" s="166" t="s">
        <v>460</v>
      </c>
    </row>
    <row r="197" spans="1:33" ht="191.25" hidden="1" customHeight="1" x14ac:dyDescent="0.2">
      <c r="A197" s="162" t="s">
        <v>879</v>
      </c>
      <c r="B197" s="162" t="s">
        <v>1226</v>
      </c>
      <c r="C197" s="162" t="s">
        <v>882</v>
      </c>
      <c r="D197" s="162" t="s">
        <v>883</v>
      </c>
      <c r="E197" s="161" t="s">
        <v>999</v>
      </c>
      <c r="F197" s="162" t="s">
        <v>1116</v>
      </c>
      <c r="G197" s="162" t="s">
        <v>1099</v>
      </c>
      <c r="H197" s="162" t="s">
        <v>851</v>
      </c>
      <c r="I197" s="163" t="s">
        <v>421</v>
      </c>
      <c r="J197" s="163" t="s">
        <v>422</v>
      </c>
      <c r="K197" s="163" t="s">
        <v>460</v>
      </c>
      <c r="L197" s="163" t="s">
        <v>469</v>
      </c>
      <c r="M197" s="168"/>
      <c r="N197" s="161" t="s">
        <v>928</v>
      </c>
      <c r="O197" s="162" t="s">
        <v>932</v>
      </c>
      <c r="P197" s="163" t="s">
        <v>185</v>
      </c>
      <c r="Q197" s="171">
        <f t="shared" si="105"/>
        <v>2</v>
      </c>
      <c r="R197" s="163" t="s">
        <v>429</v>
      </c>
      <c r="S197" s="172">
        <f t="shared" si="106"/>
        <v>2</v>
      </c>
      <c r="T197" s="166">
        <f t="shared" si="107"/>
        <v>4</v>
      </c>
      <c r="U197" s="163" t="s">
        <v>184</v>
      </c>
      <c r="V197" s="163" t="s">
        <v>428</v>
      </c>
      <c r="W197" s="172">
        <f t="shared" ref="W197:W210" si="110">IF(V197="Mortal o catastrófico",100,IF(V197="Muy grave",60,IF(V197="Grave",25,IF(V197="Leve",10,))))</f>
        <v>10</v>
      </c>
      <c r="X197" s="166">
        <f t="shared" si="108"/>
        <v>40</v>
      </c>
      <c r="Y197" s="163" t="str">
        <f t="shared" si="109"/>
        <v>Nivel III: Riesgo Moderado (Aceptable)</v>
      </c>
      <c r="Z197" s="163">
        <v>1</v>
      </c>
      <c r="AA197" s="163" t="s">
        <v>926</v>
      </c>
      <c r="AB197" s="161" t="s">
        <v>424</v>
      </c>
      <c r="AC197" s="161" t="s">
        <v>424</v>
      </c>
      <c r="AD197" s="161" t="s">
        <v>424</v>
      </c>
      <c r="AE197" s="161" t="s">
        <v>930</v>
      </c>
      <c r="AF197" s="161" t="s">
        <v>696</v>
      </c>
      <c r="AG197" s="166" t="s">
        <v>460</v>
      </c>
    </row>
    <row r="198" spans="1:33" ht="102" hidden="1" x14ac:dyDescent="0.2">
      <c r="A198" s="162" t="s">
        <v>879</v>
      </c>
      <c r="B198" s="162" t="s">
        <v>1226</v>
      </c>
      <c r="C198" s="162" t="s">
        <v>882</v>
      </c>
      <c r="D198" s="162" t="s">
        <v>883</v>
      </c>
      <c r="E198" s="161" t="s">
        <v>999</v>
      </c>
      <c r="F198" s="162" t="s">
        <v>294</v>
      </c>
      <c r="G198" s="162" t="s">
        <v>1102</v>
      </c>
      <c r="H198" s="162" t="s">
        <v>966</v>
      </c>
      <c r="I198" s="163" t="s">
        <v>421</v>
      </c>
      <c r="J198" s="163" t="s">
        <v>422</v>
      </c>
      <c r="K198" s="163" t="s">
        <v>460</v>
      </c>
      <c r="L198" s="163" t="s">
        <v>469</v>
      </c>
      <c r="M198" s="161" t="s">
        <v>423</v>
      </c>
      <c r="N198" s="161" t="s">
        <v>1016</v>
      </c>
      <c r="O198" s="164" t="s">
        <v>1008</v>
      </c>
      <c r="P198" s="163" t="s">
        <v>184</v>
      </c>
      <c r="Q198" s="171">
        <f t="shared" si="105"/>
        <v>1</v>
      </c>
      <c r="R198" s="163" t="s">
        <v>485</v>
      </c>
      <c r="S198" s="172">
        <f t="shared" si="106"/>
        <v>1</v>
      </c>
      <c r="T198" s="166">
        <f t="shared" si="107"/>
        <v>1</v>
      </c>
      <c r="U198" s="163" t="s">
        <v>184</v>
      </c>
      <c r="V198" s="163" t="s">
        <v>187</v>
      </c>
      <c r="W198" s="172">
        <f t="shared" si="110"/>
        <v>25</v>
      </c>
      <c r="X198" s="166">
        <f t="shared" si="108"/>
        <v>25</v>
      </c>
      <c r="Y198" s="163" t="str">
        <f t="shared" si="109"/>
        <v>Nivel IV: Riesgo Tolerable (Aceptable)</v>
      </c>
      <c r="Z198" s="163">
        <v>1</v>
      </c>
      <c r="AA198" s="163" t="s">
        <v>926</v>
      </c>
      <c r="AB198" s="161" t="s">
        <v>424</v>
      </c>
      <c r="AC198" s="161" t="s">
        <v>424</v>
      </c>
      <c r="AD198" s="161" t="s">
        <v>424</v>
      </c>
      <c r="AE198" s="167" t="s">
        <v>1080</v>
      </c>
      <c r="AF198" s="161" t="s">
        <v>600</v>
      </c>
      <c r="AG198" s="166" t="s">
        <v>460</v>
      </c>
    </row>
    <row r="199" spans="1:33" ht="127.5" hidden="1" x14ac:dyDescent="0.2">
      <c r="A199" s="162" t="s">
        <v>880</v>
      </c>
      <c r="B199" s="162" t="s">
        <v>1232</v>
      </c>
      <c r="C199" s="162" t="s">
        <v>1103</v>
      </c>
      <c r="D199" s="162" t="s">
        <v>631</v>
      </c>
      <c r="E199" s="161" t="s">
        <v>998</v>
      </c>
      <c r="F199" s="162" t="s">
        <v>1113</v>
      </c>
      <c r="G199" s="162" t="s">
        <v>924</v>
      </c>
      <c r="H199" s="162" t="s">
        <v>1170</v>
      </c>
      <c r="I199" s="163" t="s">
        <v>421</v>
      </c>
      <c r="J199" s="163" t="s">
        <v>422</v>
      </c>
      <c r="K199" s="163" t="s">
        <v>460</v>
      </c>
      <c r="L199" s="163" t="s">
        <v>469</v>
      </c>
      <c r="M199" s="162" t="s">
        <v>1171</v>
      </c>
      <c r="N199" s="163" t="s">
        <v>1128</v>
      </c>
      <c r="O199" s="162" t="s">
        <v>1050</v>
      </c>
      <c r="P199" s="163" t="s">
        <v>185</v>
      </c>
      <c r="Q199" s="171">
        <f t="shared" si="105"/>
        <v>2</v>
      </c>
      <c r="R199" s="163" t="s">
        <v>186</v>
      </c>
      <c r="S199" s="172">
        <f t="shared" si="106"/>
        <v>4</v>
      </c>
      <c r="T199" s="166">
        <f t="shared" si="107"/>
        <v>8</v>
      </c>
      <c r="U199" s="163" t="str">
        <f t="shared" ref="U199:U205" si="111">IF(AND(T199&gt;=0,T199&lt;=4),"Bajo",IF(AND(T199&gt;=6,T199&lt;=8),"Medio",IF(AND(T199&gt;=10,T199&lt;=20),"Alto",IF(AND(T199&gt;=20,T199&lt;=40),"Muy Alto",))))</f>
        <v>Medio</v>
      </c>
      <c r="V199" s="163" t="s">
        <v>187</v>
      </c>
      <c r="W199" s="172">
        <f t="shared" si="110"/>
        <v>25</v>
      </c>
      <c r="X199" s="166">
        <f t="shared" si="108"/>
        <v>200</v>
      </c>
      <c r="Y199" s="163" t="str">
        <f t="shared" si="109"/>
        <v>Nivel II: Riesgo Importante</v>
      </c>
      <c r="Z199" s="163">
        <v>1</v>
      </c>
      <c r="AA199" s="163" t="s">
        <v>1151</v>
      </c>
      <c r="AB199" s="161" t="s">
        <v>424</v>
      </c>
      <c r="AC199" s="161" t="s">
        <v>424</v>
      </c>
      <c r="AD199" s="161" t="s">
        <v>424</v>
      </c>
      <c r="AE199" s="161" t="s">
        <v>1129</v>
      </c>
      <c r="AF199" s="161" t="s">
        <v>600</v>
      </c>
      <c r="AG199" s="166" t="s">
        <v>460</v>
      </c>
    </row>
    <row r="200" spans="1:33" ht="89.25" hidden="1" x14ac:dyDescent="0.2">
      <c r="A200" s="162" t="s">
        <v>880</v>
      </c>
      <c r="B200" s="162" t="s">
        <v>1232</v>
      </c>
      <c r="C200" s="162" t="s">
        <v>1103</v>
      </c>
      <c r="D200" s="162" t="s">
        <v>631</v>
      </c>
      <c r="E200" s="161" t="s">
        <v>998</v>
      </c>
      <c r="F200" s="162" t="s">
        <v>178</v>
      </c>
      <c r="G200" s="162" t="s">
        <v>1067</v>
      </c>
      <c r="H200" s="162" t="s">
        <v>559</v>
      </c>
      <c r="I200" s="163" t="s">
        <v>421</v>
      </c>
      <c r="J200" s="163" t="s">
        <v>422</v>
      </c>
      <c r="K200" s="163" t="s">
        <v>460</v>
      </c>
      <c r="L200" s="163" t="s">
        <v>469</v>
      </c>
      <c r="M200" s="161" t="s">
        <v>606</v>
      </c>
      <c r="N200" s="161" t="s">
        <v>606</v>
      </c>
      <c r="O200" s="162" t="s">
        <v>1046</v>
      </c>
      <c r="P200" s="163" t="s">
        <v>185</v>
      </c>
      <c r="Q200" s="171">
        <f t="shared" si="105"/>
        <v>2</v>
      </c>
      <c r="R200" s="163" t="s">
        <v>186</v>
      </c>
      <c r="S200" s="172">
        <f t="shared" si="106"/>
        <v>4</v>
      </c>
      <c r="T200" s="166">
        <f t="shared" si="107"/>
        <v>8</v>
      </c>
      <c r="U200" s="163" t="str">
        <f t="shared" si="111"/>
        <v>Medio</v>
      </c>
      <c r="V200" s="163" t="s">
        <v>187</v>
      </c>
      <c r="W200" s="172">
        <f t="shared" si="110"/>
        <v>25</v>
      </c>
      <c r="X200" s="166">
        <f t="shared" si="108"/>
        <v>200</v>
      </c>
      <c r="Y200" s="163" t="str">
        <f t="shared" si="109"/>
        <v>Nivel II: Riesgo Importante</v>
      </c>
      <c r="Z200" s="163">
        <v>1</v>
      </c>
      <c r="AA200" s="163" t="s">
        <v>1151</v>
      </c>
      <c r="AB200" s="161" t="s">
        <v>424</v>
      </c>
      <c r="AC200" s="161" t="s">
        <v>424</v>
      </c>
      <c r="AD200" s="161" t="s">
        <v>424</v>
      </c>
      <c r="AE200" s="161" t="s">
        <v>1130</v>
      </c>
      <c r="AF200" s="161" t="s">
        <v>600</v>
      </c>
      <c r="AG200" s="166" t="s">
        <v>460</v>
      </c>
    </row>
    <row r="201" spans="1:33" ht="140.25" hidden="1" x14ac:dyDescent="0.2">
      <c r="A201" s="162" t="s">
        <v>880</v>
      </c>
      <c r="B201" s="162" t="s">
        <v>1232</v>
      </c>
      <c r="C201" s="162" t="s">
        <v>1103</v>
      </c>
      <c r="D201" s="162" t="s">
        <v>631</v>
      </c>
      <c r="E201" s="161" t="s">
        <v>175</v>
      </c>
      <c r="F201" s="162" t="s">
        <v>1111</v>
      </c>
      <c r="G201" s="162" t="s">
        <v>1165</v>
      </c>
      <c r="H201" s="162" t="s">
        <v>602</v>
      </c>
      <c r="I201" s="173" t="s">
        <v>421</v>
      </c>
      <c r="J201" s="173" t="s">
        <v>422</v>
      </c>
      <c r="K201" s="174" t="s">
        <v>460</v>
      </c>
      <c r="L201" s="174" t="s">
        <v>469</v>
      </c>
      <c r="M201" s="175" t="s">
        <v>1167</v>
      </c>
      <c r="N201" s="175" t="s">
        <v>423</v>
      </c>
      <c r="O201" s="176" t="s">
        <v>1166</v>
      </c>
      <c r="P201" s="177" t="s">
        <v>185</v>
      </c>
      <c r="Q201" s="178">
        <f t="shared" si="105"/>
        <v>2</v>
      </c>
      <c r="R201" s="177" t="s">
        <v>429</v>
      </c>
      <c r="S201" s="179">
        <f t="shared" si="106"/>
        <v>2</v>
      </c>
      <c r="T201" s="180">
        <f t="shared" si="107"/>
        <v>4</v>
      </c>
      <c r="U201" s="181" t="str">
        <f t="shared" si="111"/>
        <v>Bajo</v>
      </c>
      <c r="V201" s="181" t="s">
        <v>428</v>
      </c>
      <c r="W201" s="179">
        <f t="shared" si="110"/>
        <v>10</v>
      </c>
      <c r="X201" s="180">
        <f t="shared" si="108"/>
        <v>40</v>
      </c>
      <c r="Y201" s="181" t="str">
        <f t="shared" si="109"/>
        <v>Nivel III: Riesgo Moderado (Aceptable)</v>
      </c>
      <c r="Z201" s="163">
        <v>1</v>
      </c>
      <c r="AA201" s="163" t="s">
        <v>1151</v>
      </c>
      <c r="AB201" s="175" t="s">
        <v>424</v>
      </c>
      <c r="AC201" s="175" t="s">
        <v>424</v>
      </c>
      <c r="AD201" s="175" t="s">
        <v>424</v>
      </c>
      <c r="AE201" s="182" t="s">
        <v>1196</v>
      </c>
      <c r="AF201" s="183" t="s">
        <v>600</v>
      </c>
      <c r="AG201" s="184" t="s">
        <v>460</v>
      </c>
    </row>
    <row r="202" spans="1:33" ht="140.25" hidden="1" x14ac:dyDescent="0.2">
      <c r="A202" s="162" t="s">
        <v>880</v>
      </c>
      <c r="B202" s="162" t="s">
        <v>1232</v>
      </c>
      <c r="C202" s="162" t="s">
        <v>1103</v>
      </c>
      <c r="D202" s="162" t="s">
        <v>631</v>
      </c>
      <c r="E202" s="161" t="s">
        <v>175</v>
      </c>
      <c r="F202" s="162" t="s">
        <v>1197</v>
      </c>
      <c r="G202" s="162" t="s">
        <v>1165</v>
      </c>
      <c r="H202" s="170" t="s">
        <v>1198</v>
      </c>
      <c r="I202" s="173" t="s">
        <v>421</v>
      </c>
      <c r="J202" s="173" t="s">
        <v>422</v>
      </c>
      <c r="K202" s="174" t="s">
        <v>460</v>
      </c>
      <c r="L202" s="174" t="s">
        <v>469</v>
      </c>
      <c r="M202" s="175" t="s">
        <v>1167</v>
      </c>
      <c r="N202" s="175" t="s">
        <v>423</v>
      </c>
      <c r="O202" s="176" t="s">
        <v>1166</v>
      </c>
      <c r="P202" s="177" t="s">
        <v>185</v>
      </c>
      <c r="Q202" s="178">
        <f t="shared" si="105"/>
        <v>2</v>
      </c>
      <c r="R202" s="177" t="s">
        <v>429</v>
      </c>
      <c r="S202" s="179">
        <f t="shared" si="106"/>
        <v>2</v>
      </c>
      <c r="T202" s="180">
        <f t="shared" si="107"/>
        <v>4</v>
      </c>
      <c r="U202" s="181" t="str">
        <f t="shared" si="111"/>
        <v>Bajo</v>
      </c>
      <c r="V202" s="181" t="s">
        <v>428</v>
      </c>
      <c r="W202" s="179">
        <f t="shared" si="110"/>
        <v>10</v>
      </c>
      <c r="X202" s="180">
        <f t="shared" si="108"/>
        <v>40</v>
      </c>
      <c r="Y202" s="181" t="str">
        <f t="shared" si="109"/>
        <v>Nivel III: Riesgo Moderado (Aceptable)</v>
      </c>
      <c r="Z202" s="163">
        <v>1</v>
      </c>
      <c r="AA202" s="163" t="s">
        <v>1151</v>
      </c>
      <c r="AB202" s="175" t="s">
        <v>424</v>
      </c>
      <c r="AC202" s="175" t="s">
        <v>424</v>
      </c>
      <c r="AD202" s="175" t="s">
        <v>424</v>
      </c>
      <c r="AE202" s="182" t="s">
        <v>1196</v>
      </c>
      <c r="AF202" s="183" t="s">
        <v>600</v>
      </c>
      <c r="AG202" s="184" t="s">
        <v>460</v>
      </c>
    </row>
    <row r="203" spans="1:33" ht="63.75" hidden="1" x14ac:dyDescent="0.2">
      <c r="A203" s="162" t="s">
        <v>880</v>
      </c>
      <c r="B203" s="162" t="s">
        <v>1232</v>
      </c>
      <c r="C203" s="162" t="s">
        <v>1103</v>
      </c>
      <c r="D203" s="162" t="s">
        <v>631</v>
      </c>
      <c r="E203" s="161" t="s">
        <v>999</v>
      </c>
      <c r="F203" s="162" t="s">
        <v>292</v>
      </c>
      <c r="G203" s="162" t="s">
        <v>1149</v>
      </c>
      <c r="H203" s="162" t="s">
        <v>472</v>
      </c>
      <c r="I203" s="163" t="s">
        <v>421</v>
      </c>
      <c r="J203" s="163" t="s">
        <v>461</v>
      </c>
      <c r="K203" s="163" t="s">
        <v>460</v>
      </c>
      <c r="L203" s="163" t="s">
        <v>469</v>
      </c>
      <c r="M203" s="161" t="s">
        <v>606</v>
      </c>
      <c r="N203" s="161" t="s">
        <v>1069</v>
      </c>
      <c r="O203" s="162" t="s">
        <v>1070</v>
      </c>
      <c r="P203" s="163" t="s">
        <v>184</v>
      </c>
      <c r="Q203" s="171">
        <f t="shared" si="105"/>
        <v>1</v>
      </c>
      <c r="R203" s="163" t="s">
        <v>429</v>
      </c>
      <c r="S203" s="172">
        <f t="shared" si="106"/>
        <v>2</v>
      </c>
      <c r="T203" s="166">
        <f t="shared" si="107"/>
        <v>2</v>
      </c>
      <c r="U203" s="163" t="str">
        <f t="shared" si="111"/>
        <v>Bajo</v>
      </c>
      <c r="V203" s="163" t="s">
        <v>428</v>
      </c>
      <c r="W203" s="172">
        <f t="shared" si="110"/>
        <v>10</v>
      </c>
      <c r="X203" s="166">
        <f t="shared" si="108"/>
        <v>20</v>
      </c>
      <c r="Y203" s="163" t="str">
        <f t="shared" si="109"/>
        <v>Nivel IV: Riesgo Tolerable (Aceptable)</v>
      </c>
      <c r="Z203" s="163">
        <v>1</v>
      </c>
      <c r="AA203" s="163" t="s">
        <v>1151</v>
      </c>
      <c r="AB203" s="161" t="s">
        <v>424</v>
      </c>
      <c r="AC203" s="161" t="s">
        <v>424</v>
      </c>
      <c r="AD203" s="161" t="s">
        <v>424</v>
      </c>
      <c r="AE203" s="161" t="s">
        <v>1071</v>
      </c>
      <c r="AF203" s="161" t="s">
        <v>600</v>
      </c>
      <c r="AG203" s="166" t="s">
        <v>460</v>
      </c>
    </row>
    <row r="204" spans="1:33" ht="76.5" hidden="1" x14ac:dyDescent="0.2">
      <c r="A204" s="162" t="s">
        <v>880</v>
      </c>
      <c r="B204" s="162" t="s">
        <v>1232</v>
      </c>
      <c r="C204" s="162" t="s">
        <v>1103</v>
      </c>
      <c r="D204" s="162" t="s">
        <v>631</v>
      </c>
      <c r="E204" s="161" t="s">
        <v>999</v>
      </c>
      <c r="F204" s="162" t="s">
        <v>288</v>
      </c>
      <c r="G204" s="162" t="s">
        <v>1131</v>
      </c>
      <c r="H204" s="162" t="s">
        <v>614</v>
      </c>
      <c r="I204" s="163" t="s">
        <v>421</v>
      </c>
      <c r="J204" s="163" t="s">
        <v>461</v>
      </c>
      <c r="K204" s="163" t="s">
        <v>460</v>
      </c>
      <c r="L204" s="163" t="s">
        <v>469</v>
      </c>
      <c r="M204" s="166" t="s">
        <v>423</v>
      </c>
      <c r="N204" s="162" t="s">
        <v>1132</v>
      </c>
      <c r="O204" s="162" t="s">
        <v>1026</v>
      </c>
      <c r="P204" s="163" t="s">
        <v>184</v>
      </c>
      <c r="Q204" s="171">
        <f t="shared" si="105"/>
        <v>1</v>
      </c>
      <c r="R204" s="163" t="s">
        <v>485</v>
      </c>
      <c r="S204" s="172">
        <f t="shared" si="106"/>
        <v>1</v>
      </c>
      <c r="T204" s="166">
        <f t="shared" si="107"/>
        <v>1</v>
      </c>
      <c r="U204" s="163" t="str">
        <f t="shared" si="111"/>
        <v>Bajo</v>
      </c>
      <c r="V204" s="163" t="s">
        <v>187</v>
      </c>
      <c r="W204" s="172">
        <f t="shared" si="110"/>
        <v>25</v>
      </c>
      <c r="X204" s="166">
        <f t="shared" si="108"/>
        <v>25</v>
      </c>
      <c r="Y204" s="163" t="str">
        <f t="shared" si="109"/>
        <v>Nivel IV: Riesgo Tolerable (Aceptable)</v>
      </c>
      <c r="Z204" s="163">
        <v>1</v>
      </c>
      <c r="AA204" s="163" t="s">
        <v>1151</v>
      </c>
      <c r="AB204" s="161" t="s">
        <v>424</v>
      </c>
      <c r="AC204" s="161" t="s">
        <v>424</v>
      </c>
      <c r="AD204" s="161" t="s">
        <v>424</v>
      </c>
      <c r="AE204" s="161" t="s">
        <v>1066</v>
      </c>
      <c r="AF204" s="161" t="s">
        <v>600</v>
      </c>
      <c r="AG204" s="166" t="s">
        <v>460</v>
      </c>
    </row>
    <row r="205" spans="1:33" ht="76.5" hidden="1" x14ac:dyDescent="0.2">
      <c r="A205" s="162" t="s">
        <v>880</v>
      </c>
      <c r="B205" s="162" t="s">
        <v>1232</v>
      </c>
      <c r="C205" s="162" t="s">
        <v>1103</v>
      </c>
      <c r="D205" s="162" t="s">
        <v>631</v>
      </c>
      <c r="E205" s="161" t="s">
        <v>999</v>
      </c>
      <c r="F205" s="162" t="s">
        <v>1117</v>
      </c>
      <c r="G205" s="162" t="s">
        <v>564</v>
      </c>
      <c r="H205" s="162" t="s">
        <v>1072</v>
      </c>
      <c r="I205" s="163" t="s">
        <v>421</v>
      </c>
      <c r="J205" s="163" t="s">
        <v>461</v>
      </c>
      <c r="K205" s="163" t="s">
        <v>460</v>
      </c>
      <c r="L205" s="163" t="s">
        <v>469</v>
      </c>
      <c r="M205" s="166" t="s">
        <v>423</v>
      </c>
      <c r="N205" s="166" t="s">
        <v>423</v>
      </c>
      <c r="O205" s="162" t="s">
        <v>1026</v>
      </c>
      <c r="P205" s="163" t="s">
        <v>184</v>
      </c>
      <c r="Q205" s="171">
        <f t="shared" si="105"/>
        <v>1</v>
      </c>
      <c r="R205" s="163" t="s">
        <v>485</v>
      </c>
      <c r="S205" s="172">
        <f t="shared" si="106"/>
        <v>1</v>
      </c>
      <c r="T205" s="166">
        <f t="shared" si="107"/>
        <v>1</v>
      </c>
      <c r="U205" s="163" t="str">
        <f t="shared" si="111"/>
        <v>Bajo</v>
      </c>
      <c r="V205" s="163" t="s">
        <v>428</v>
      </c>
      <c r="W205" s="172">
        <f t="shared" si="110"/>
        <v>10</v>
      </c>
      <c r="X205" s="166">
        <f t="shared" si="108"/>
        <v>10</v>
      </c>
      <c r="Y205" s="163" t="str">
        <f t="shared" si="109"/>
        <v>Nivel IV: Riesgo Tolerable (Aceptable)</v>
      </c>
      <c r="Z205" s="163">
        <v>1</v>
      </c>
      <c r="AA205" s="163" t="s">
        <v>1151</v>
      </c>
      <c r="AB205" s="161" t="s">
        <v>424</v>
      </c>
      <c r="AC205" s="161" t="s">
        <v>424</v>
      </c>
      <c r="AD205" s="161" t="s">
        <v>424</v>
      </c>
      <c r="AE205" s="161" t="s">
        <v>1066</v>
      </c>
      <c r="AF205" s="161" t="s">
        <v>600</v>
      </c>
      <c r="AG205" s="166" t="s">
        <v>460</v>
      </c>
    </row>
    <row r="206" spans="1:33" ht="76.5" hidden="1" x14ac:dyDescent="0.2">
      <c r="A206" s="162" t="s">
        <v>880</v>
      </c>
      <c r="B206" s="162" t="s">
        <v>1232</v>
      </c>
      <c r="C206" s="162" t="s">
        <v>1103</v>
      </c>
      <c r="D206" s="162" t="s">
        <v>631</v>
      </c>
      <c r="E206" s="161" t="s">
        <v>999</v>
      </c>
      <c r="F206" s="162" t="s">
        <v>1119</v>
      </c>
      <c r="G206" s="162" t="s">
        <v>1133</v>
      </c>
      <c r="H206" s="162" t="s">
        <v>966</v>
      </c>
      <c r="I206" s="163" t="s">
        <v>421</v>
      </c>
      <c r="J206" s="163" t="s">
        <v>422</v>
      </c>
      <c r="K206" s="163" t="s">
        <v>460</v>
      </c>
      <c r="L206" s="163" t="s">
        <v>469</v>
      </c>
      <c r="M206" s="161" t="s">
        <v>1163</v>
      </c>
      <c r="N206" s="161" t="s">
        <v>1079</v>
      </c>
      <c r="O206" s="164" t="s">
        <v>1026</v>
      </c>
      <c r="P206" s="163" t="s">
        <v>184</v>
      </c>
      <c r="Q206" s="171">
        <f t="shared" si="105"/>
        <v>1</v>
      </c>
      <c r="R206" s="163" t="s">
        <v>416</v>
      </c>
      <c r="S206" s="172">
        <f t="shared" si="106"/>
        <v>3</v>
      </c>
      <c r="T206" s="166">
        <f t="shared" si="107"/>
        <v>3</v>
      </c>
      <c r="U206" s="163" t="s">
        <v>184</v>
      </c>
      <c r="V206" s="163" t="s">
        <v>187</v>
      </c>
      <c r="W206" s="172">
        <f t="shared" si="110"/>
        <v>25</v>
      </c>
      <c r="X206" s="166">
        <f t="shared" si="108"/>
        <v>75</v>
      </c>
      <c r="Y206" s="163" t="str">
        <f t="shared" si="109"/>
        <v>Nivel III: Riesgo Moderado (Aceptable)</v>
      </c>
      <c r="Z206" s="163">
        <v>1</v>
      </c>
      <c r="AA206" s="163" t="s">
        <v>1151</v>
      </c>
      <c r="AB206" s="161" t="s">
        <v>424</v>
      </c>
      <c r="AC206" s="161" t="s">
        <v>424</v>
      </c>
      <c r="AD206" s="161" t="s">
        <v>424</v>
      </c>
      <c r="AE206" s="167" t="s">
        <v>1134</v>
      </c>
      <c r="AF206" s="161" t="s">
        <v>600</v>
      </c>
      <c r="AG206" s="166" t="s">
        <v>460</v>
      </c>
    </row>
    <row r="207" spans="1:33" ht="76.5" hidden="1" x14ac:dyDescent="0.2">
      <c r="A207" s="162" t="s">
        <v>880</v>
      </c>
      <c r="B207" s="162" t="s">
        <v>1232</v>
      </c>
      <c r="C207" s="162" t="s">
        <v>1103</v>
      </c>
      <c r="D207" s="162" t="s">
        <v>631</v>
      </c>
      <c r="E207" s="161" t="s">
        <v>999</v>
      </c>
      <c r="F207" s="162" t="s">
        <v>1120</v>
      </c>
      <c r="G207" s="162" t="s">
        <v>1159</v>
      </c>
      <c r="H207" s="162" t="s">
        <v>979</v>
      </c>
      <c r="I207" s="163" t="s">
        <v>421</v>
      </c>
      <c r="J207" s="163" t="s">
        <v>461</v>
      </c>
      <c r="K207" s="163" t="s">
        <v>460</v>
      </c>
      <c r="L207" s="163" t="s">
        <v>469</v>
      </c>
      <c r="M207" s="165" t="s">
        <v>423</v>
      </c>
      <c r="N207" s="161" t="s">
        <v>1142</v>
      </c>
      <c r="O207" s="162" t="s">
        <v>1141</v>
      </c>
      <c r="P207" s="163" t="s">
        <v>185</v>
      </c>
      <c r="Q207" s="171">
        <f>IF(P207="Muy Alto",10,IF(P207="Alto",6,IF(P207="Medio",2,IF(P207="Bajo",1,))))</f>
        <v>2</v>
      </c>
      <c r="R207" s="163" t="s">
        <v>429</v>
      </c>
      <c r="S207" s="172">
        <f>IF(R207="Continua",4,IF(R207="Frecuente",3,IF(R207="Ocasional",2,IF(R207="Esporádica",1,))))</f>
        <v>2</v>
      </c>
      <c r="T207" s="166">
        <f>Q207*S207</f>
        <v>4</v>
      </c>
      <c r="U207" s="163" t="s">
        <v>184</v>
      </c>
      <c r="V207" s="163" t="s">
        <v>187</v>
      </c>
      <c r="W207" s="172">
        <f>IF(V207="Mortal o catastrófico",100,IF(V207="Muy grave",60,IF(V207="Grave",25,IF(V207="Leve",10,))))</f>
        <v>25</v>
      </c>
      <c r="X207" s="166">
        <f>T207*W207</f>
        <v>100</v>
      </c>
      <c r="Y207" s="163" t="str">
        <f>IF(AND(X207&gt;=600,X207&lt;=4000),"Nivel I: Riesgo Inaceptable",IF(AND(X207&gt;=150,X207&lt;=500),"Nivel II: Riesgo Importante",IF(AND(X207&gt;=40,X207&lt;=120),"Nivel III: Riesgo Moderado (Aceptable)","Nivel IV: Riesgo Tolerable (Aceptable)")))</f>
        <v>Nivel III: Riesgo Moderado (Aceptable)</v>
      </c>
      <c r="Z207" s="163">
        <v>1</v>
      </c>
      <c r="AA207" s="163" t="s">
        <v>1151</v>
      </c>
      <c r="AB207" s="161" t="s">
        <v>424</v>
      </c>
      <c r="AC207" s="161" t="s">
        <v>424</v>
      </c>
      <c r="AD207" s="161" t="s">
        <v>424</v>
      </c>
      <c r="AE207" s="161" t="s">
        <v>1138</v>
      </c>
      <c r="AF207" s="161" t="s">
        <v>600</v>
      </c>
      <c r="AG207" s="166" t="s">
        <v>460</v>
      </c>
    </row>
    <row r="208" spans="1:33" ht="76.5" hidden="1" x14ac:dyDescent="0.2">
      <c r="A208" s="162" t="s">
        <v>880</v>
      </c>
      <c r="B208" s="162" t="s">
        <v>1232</v>
      </c>
      <c r="C208" s="162" t="s">
        <v>1103</v>
      </c>
      <c r="D208" s="162" t="s">
        <v>631</v>
      </c>
      <c r="E208" s="161" t="s">
        <v>999</v>
      </c>
      <c r="F208" s="162" t="s">
        <v>1121</v>
      </c>
      <c r="G208" s="162" t="s">
        <v>1139</v>
      </c>
      <c r="H208" s="162" t="s">
        <v>979</v>
      </c>
      <c r="I208" s="163" t="s">
        <v>421</v>
      </c>
      <c r="J208" s="163" t="s">
        <v>461</v>
      </c>
      <c r="K208" s="163" t="s">
        <v>460</v>
      </c>
      <c r="L208" s="163" t="s">
        <v>469</v>
      </c>
      <c r="M208" s="165" t="s">
        <v>423</v>
      </c>
      <c r="N208" s="161" t="s">
        <v>1140</v>
      </c>
      <c r="O208" s="162" t="s">
        <v>1092</v>
      </c>
      <c r="P208" s="163" t="s">
        <v>185</v>
      </c>
      <c r="Q208" s="171">
        <f>IF(P208="Muy Alto",10,IF(P208="Alto",6,IF(P208="Medio",2,IF(P208="Bajo",1,))))</f>
        <v>2</v>
      </c>
      <c r="R208" s="163" t="s">
        <v>416</v>
      </c>
      <c r="S208" s="172">
        <f>IF(R208="Continua",4,IF(R208="Frecuente",3,IF(R208="Ocasional",2,IF(R208="Esporádica",1,))))</f>
        <v>3</v>
      </c>
      <c r="T208" s="166">
        <f>Q208*S208</f>
        <v>6</v>
      </c>
      <c r="U208" s="163" t="s">
        <v>184</v>
      </c>
      <c r="V208" s="163" t="s">
        <v>187</v>
      </c>
      <c r="W208" s="172">
        <f>IF(V208="Mortal o catastrófico",100,IF(V208="Muy grave",60,IF(V208="Grave",25,IF(V208="Leve",10,))))</f>
        <v>25</v>
      </c>
      <c r="X208" s="166">
        <f>T208*W208</f>
        <v>150</v>
      </c>
      <c r="Y208" s="163" t="str">
        <f>IF(AND(X208&gt;=600,X208&lt;=4000),"Nivel I: Riesgo Inaceptable",IF(AND(X208&gt;=150,X208&lt;=500),"Nivel II: Riesgo Importante",IF(AND(X208&gt;=40,X208&lt;=120),"Nivel III: Riesgo Moderado (Aceptable)","Nivel IV: Riesgo Tolerable (Aceptable)")))</f>
        <v>Nivel II: Riesgo Importante</v>
      </c>
      <c r="Z208" s="163">
        <v>1</v>
      </c>
      <c r="AA208" s="163" t="s">
        <v>1151</v>
      </c>
      <c r="AB208" s="161" t="s">
        <v>424</v>
      </c>
      <c r="AC208" s="161" t="s">
        <v>424</v>
      </c>
      <c r="AD208" s="161" t="s">
        <v>424</v>
      </c>
      <c r="AE208" s="161" t="s">
        <v>1088</v>
      </c>
      <c r="AF208" s="161" t="s">
        <v>600</v>
      </c>
      <c r="AG208" s="166" t="s">
        <v>460</v>
      </c>
    </row>
    <row r="209" spans="1:33" ht="102" hidden="1" x14ac:dyDescent="0.2">
      <c r="A209" s="162" t="s">
        <v>880</v>
      </c>
      <c r="B209" s="162" t="s">
        <v>1232</v>
      </c>
      <c r="C209" s="162" t="s">
        <v>1103</v>
      </c>
      <c r="D209" s="162" t="s">
        <v>631</v>
      </c>
      <c r="E209" s="161" t="s">
        <v>995</v>
      </c>
      <c r="F209" s="162" t="s">
        <v>714</v>
      </c>
      <c r="G209" s="162" t="s">
        <v>1036</v>
      </c>
      <c r="H209" s="162" t="s">
        <v>1135</v>
      </c>
      <c r="I209" s="163" t="s">
        <v>421</v>
      </c>
      <c r="J209" s="163" t="s">
        <v>461</v>
      </c>
      <c r="K209" s="163" t="s">
        <v>460</v>
      </c>
      <c r="L209" s="163" t="s">
        <v>469</v>
      </c>
      <c r="M209" s="161" t="s">
        <v>423</v>
      </c>
      <c r="N209" s="161" t="s">
        <v>1136</v>
      </c>
      <c r="O209" s="164" t="s">
        <v>1038</v>
      </c>
      <c r="P209" s="163" t="s">
        <v>184</v>
      </c>
      <c r="Q209" s="171">
        <f t="shared" si="105"/>
        <v>1</v>
      </c>
      <c r="R209" s="163" t="s">
        <v>485</v>
      </c>
      <c r="S209" s="172">
        <f t="shared" si="106"/>
        <v>1</v>
      </c>
      <c r="T209" s="166">
        <f t="shared" si="107"/>
        <v>1</v>
      </c>
      <c r="U209" s="163" t="str">
        <f t="shared" ref="U209" si="112">IF(AND(T209&gt;=0,T209&lt;=4),"Bajo",IF(AND(T209&gt;=6,T209&lt;=8),"Medio",IF(AND(T209&gt;=10,T209&lt;=20),"Alto",IF(AND(T209&gt;=20,T209&lt;=40),"Muy Alto",))))</f>
        <v>Bajo</v>
      </c>
      <c r="V209" s="163" t="s">
        <v>187</v>
      </c>
      <c r="W209" s="172">
        <f t="shared" si="110"/>
        <v>25</v>
      </c>
      <c r="X209" s="166">
        <f t="shared" si="108"/>
        <v>25</v>
      </c>
      <c r="Y209" s="163" t="str">
        <f t="shared" si="109"/>
        <v>Nivel IV: Riesgo Tolerable (Aceptable)</v>
      </c>
      <c r="Z209" s="163">
        <v>1</v>
      </c>
      <c r="AA209" s="163" t="s">
        <v>1151</v>
      </c>
      <c r="AB209" s="161" t="s">
        <v>424</v>
      </c>
      <c r="AC209" s="161" t="s">
        <v>424</v>
      </c>
      <c r="AD209" s="161" t="s">
        <v>424</v>
      </c>
      <c r="AE209" s="161" t="s">
        <v>1039</v>
      </c>
      <c r="AF209" s="161" t="s">
        <v>1040</v>
      </c>
      <c r="AG209" s="166" t="s">
        <v>460</v>
      </c>
    </row>
    <row r="210" spans="1:33" ht="89.25" hidden="1" x14ac:dyDescent="0.2">
      <c r="A210" s="162" t="s">
        <v>880</v>
      </c>
      <c r="B210" s="162" t="s">
        <v>1232</v>
      </c>
      <c r="C210" s="162" t="s">
        <v>1103</v>
      </c>
      <c r="D210" s="162" t="s">
        <v>631</v>
      </c>
      <c r="E210" s="161" t="s">
        <v>1000</v>
      </c>
      <c r="F210" s="162" t="s">
        <v>1123</v>
      </c>
      <c r="G210" s="162" t="s">
        <v>1143</v>
      </c>
      <c r="H210" s="162" t="s">
        <v>1237</v>
      </c>
      <c r="I210" s="163" t="s">
        <v>421</v>
      </c>
      <c r="J210" s="163" t="s">
        <v>422</v>
      </c>
      <c r="K210" s="163" t="s">
        <v>460</v>
      </c>
      <c r="L210" s="163" t="s">
        <v>469</v>
      </c>
      <c r="M210" s="161" t="s">
        <v>423</v>
      </c>
      <c r="N210" s="161" t="s">
        <v>1145</v>
      </c>
      <c r="O210" s="162" t="s">
        <v>1144</v>
      </c>
      <c r="P210" s="163" t="s">
        <v>184</v>
      </c>
      <c r="Q210" s="171">
        <f t="shared" si="105"/>
        <v>1</v>
      </c>
      <c r="R210" s="163" t="s">
        <v>485</v>
      </c>
      <c r="S210" s="172">
        <f t="shared" si="106"/>
        <v>1</v>
      </c>
      <c r="T210" s="166">
        <f t="shared" si="107"/>
        <v>1</v>
      </c>
      <c r="U210" s="163" t="s">
        <v>184</v>
      </c>
      <c r="V210" s="163" t="s">
        <v>187</v>
      </c>
      <c r="W210" s="172">
        <f t="shared" si="110"/>
        <v>25</v>
      </c>
      <c r="X210" s="166">
        <f t="shared" si="108"/>
        <v>25</v>
      </c>
      <c r="Y210" s="163" t="str">
        <f t="shared" si="109"/>
        <v>Nivel IV: Riesgo Tolerable (Aceptable)</v>
      </c>
      <c r="Z210" s="163">
        <v>1</v>
      </c>
      <c r="AA210" s="163" t="s">
        <v>1151</v>
      </c>
      <c r="AB210" s="161" t="s">
        <v>424</v>
      </c>
      <c r="AC210" s="161" t="s">
        <v>424</v>
      </c>
      <c r="AD210" s="161" t="s">
        <v>424</v>
      </c>
      <c r="AE210" s="161" t="s">
        <v>1147</v>
      </c>
      <c r="AF210" s="161" t="s">
        <v>600</v>
      </c>
      <c r="AG210" s="166" t="s">
        <v>460</v>
      </c>
    </row>
    <row r="211" spans="1:33" ht="102" hidden="1" x14ac:dyDescent="0.2">
      <c r="A211" s="162" t="s">
        <v>880</v>
      </c>
      <c r="B211" s="162" t="s">
        <v>1232</v>
      </c>
      <c r="C211" s="162" t="s">
        <v>1103</v>
      </c>
      <c r="D211" s="162" t="s">
        <v>631</v>
      </c>
      <c r="E211" s="161" t="s">
        <v>996</v>
      </c>
      <c r="F211" s="162" t="s">
        <v>430</v>
      </c>
      <c r="G211" s="162" t="s">
        <v>486</v>
      </c>
      <c r="H211" s="162" t="s">
        <v>623</v>
      </c>
      <c r="I211" s="163" t="s">
        <v>421</v>
      </c>
      <c r="J211" s="163" t="s">
        <v>422</v>
      </c>
      <c r="K211" s="163" t="s">
        <v>460</v>
      </c>
      <c r="L211" s="163" t="s">
        <v>469</v>
      </c>
      <c r="M211" s="163" t="s">
        <v>1074</v>
      </c>
      <c r="N211" s="169" t="s">
        <v>1073</v>
      </c>
      <c r="O211" s="162" t="s">
        <v>1032</v>
      </c>
      <c r="P211" s="163" t="s">
        <v>184</v>
      </c>
      <c r="Q211" s="171">
        <f>IF(P211="Muy Alto",10,IF(P211="Alto",6,IF(P211="Medio",2,IF(P211="Bajo",1,))))</f>
        <v>1</v>
      </c>
      <c r="R211" s="163" t="s">
        <v>485</v>
      </c>
      <c r="S211" s="172">
        <f>IF(R211="Continua",4,IF(R211="Frecuente",3,IF(R211="Ocasional",2,IF(R211="Esporádica",1,))))</f>
        <v>1</v>
      </c>
      <c r="T211" s="166">
        <f>Q211*S211</f>
        <v>1</v>
      </c>
      <c r="U211" s="163" t="str">
        <f>IF(AND(T211&gt;=0,T211&lt;=4),"Bajo",IF(AND(T211&gt;=6,T211&lt;=8),"Medio",IF(AND(T211&gt;=10,T211&lt;=20),"Alto",IF(AND(T211&gt;=20,T211&lt;=40),"Muy Alto",))))</f>
        <v>Bajo</v>
      </c>
      <c r="V211" s="163" t="s">
        <v>428</v>
      </c>
      <c r="W211" s="172">
        <f>IF(V211="Mortal o catastrófico",100,IF(V211="Muy grave",60,IF(V211="Grave",25,IF(V211="Leve",10,))))</f>
        <v>10</v>
      </c>
      <c r="X211" s="166">
        <f>T211*W211</f>
        <v>10</v>
      </c>
      <c r="Y211" s="163" t="str">
        <f>IF(AND(X211&gt;=600,X211&lt;=4000),"Nivel I: Riesgo Inaceptable",IF(AND(X211&gt;=150,X211&lt;=500),"Nivel II: Riesgo Importante",IF(AND(X211&gt;=40,X211&lt;=120),"Nivel III: Riesgo Moderado (Aceptable)","Nivel IV: Riesgo Tolerable (Aceptable)")))</f>
        <v>Nivel IV: Riesgo Tolerable (Aceptable)</v>
      </c>
      <c r="Z211" s="163">
        <v>1</v>
      </c>
      <c r="AA211" s="163" t="s">
        <v>1151</v>
      </c>
      <c r="AB211" s="161" t="s">
        <v>424</v>
      </c>
      <c r="AC211" s="161" t="s">
        <v>424</v>
      </c>
      <c r="AD211" s="161" t="s">
        <v>424</v>
      </c>
      <c r="AE211" s="161" t="s">
        <v>1075</v>
      </c>
      <c r="AF211" s="161" t="s">
        <v>600</v>
      </c>
      <c r="AG211" s="166" t="s">
        <v>460</v>
      </c>
    </row>
    <row r="212" spans="1:33" ht="102" hidden="1" x14ac:dyDescent="0.2">
      <c r="A212" s="162" t="s">
        <v>880</v>
      </c>
      <c r="B212" s="162" t="s">
        <v>1232</v>
      </c>
      <c r="C212" s="162" t="s">
        <v>1103</v>
      </c>
      <c r="D212" s="162" t="s">
        <v>631</v>
      </c>
      <c r="E212" s="161" t="s">
        <v>996</v>
      </c>
      <c r="F212" s="162" t="s">
        <v>1146</v>
      </c>
      <c r="G212" s="162" t="s">
        <v>1162</v>
      </c>
      <c r="H212" s="162" t="s">
        <v>623</v>
      </c>
      <c r="I212" s="163" t="s">
        <v>421</v>
      </c>
      <c r="J212" s="163" t="s">
        <v>422</v>
      </c>
      <c r="K212" s="163" t="s">
        <v>460</v>
      </c>
      <c r="L212" s="163" t="s">
        <v>469</v>
      </c>
      <c r="M212" s="163" t="s">
        <v>1074</v>
      </c>
      <c r="N212" s="169" t="s">
        <v>1073</v>
      </c>
      <c r="O212" s="162" t="s">
        <v>1032</v>
      </c>
      <c r="P212" s="163" t="s">
        <v>184</v>
      </c>
      <c r="Q212" s="171">
        <f>IF(P212="Muy Alto",10,IF(P212="Alto",6,IF(P212="Medio",2,IF(P212="Bajo",1,))))</f>
        <v>1</v>
      </c>
      <c r="R212" s="163" t="s">
        <v>416</v>
      </c>
      <c r="S212" s="172">
        <f>IF(R212="Continua",4,IF(R212="Frecuente",3,IF(R212="Ocasional",2,IF(R212="Esporádica",1,))))</f>
        <v>3</v>
      </c>
      <c r="T212" s="166">
        <f>Q212*S212</f>
        <v>3</v>
      </c>
      <c r="U212" s="163" t="str">
        <f>IF(AND(T212&gt;=0,T212&lt;=4),"Bajo",IF(AND(T212&gt;=6,T212&lt;=8),"Medio",IF(AND(T212&gt;=10,T212&lt;=20),"Alto",IF(AND(T212&gt;=20,T212&lt;=40),"Muy Alto",))))</f>
        <v>Bajo</v>
      </c>
      <c r="V212" s="163" t="s">
        <v>428</v>
      </c>
      <c r="W212" s="172">
        <f>IF(V212="Mortal o catastrófico",100,IF(V212="Muy grave",60,IF(V212="Grave",25,IF(V212="Leve",10,))))</f>
        <v>10</v>
      </c>
      <c r="X212" s="166">
        <f>T212*W212</f>
        <v>30</v>
      </c>
      <c r="Y212" s="163" t="str">
        <f>IF(AND(X212&gt;=600,X212&lt;=4000),"Nivel I: Riesgo Inaceptable",IF(AND(X212&gt;=150,X212&lt;=500),"Nivel II: Riesgo Importante",IF(AND(X212&gt;=40,X212&lt;=120),"Nivel III: Riesgo Moderado (Aceptable)","Nivel IV: Riesgo Tolerable (Aceptable)")))</f>
        <v>Nivel IV: Riesgo Tolerable (Aceptable)</v>
      </c>
      <c r="Z212" s="163">
        <v>1</v>
      </c>
      <c r="AA212" s="163" t="s">
        <v>1151</v>
      </c>
      <c r="AB212" s="161" t="s">
        <v>424</v>
      </c>
      <c r="AC212" s="161" t="s">
        <v>424</v>
      </c>
      <c r="AD212" s="161" t="s">
        <v>424</v>
      </c>
      <c r="AE212" s="161" t="s">
        <v>1075</v>
      </c>
      <c r="AF212" s="161" t="s">
        <v>600</v>
      </c>
      <c r="AG212" s="166" t="s">
        <v>460</v>
      </c>
    </row>
    <row r="213" spans="1:33" ht="89.25" hidden="1" x14ac:dyDescent="0.2">
      <c r="A213" s="162" t="s">
        <v>880</v>
      </c>
      <c r="B213" s="162" t="s">
        <v>642</v>
      </c>
      <c r="C213" s="162" t="s">
        <v>1150</v>
      </c>
      <c r="D213" s="162" t="s">
        <v>1279</v>
      </c>
      <c r="E213" s="161" t="s">
        <v>998</v>
      </c>
      <c r="F213" s="162" t="s">
        <v>178</v>
      </c>
      <c r="G213" s="162" t="s">
        <v>1067</v>
      </c>
      <c r="H213" s="162" t="s">
        <v>559</v>
      </c>
      <c r="I213" s="163" t="s">
        <v>421</v>
      </c>
      <c r="J213" s="163" t="s">
        <v>422</v>
      </c>
      <c r="K213" s="163" t="s">
        <v>460</v>
      </c>
      <c r="L213" s="163" t="s">
        <v>469</v>
      </c>
      <c r="M213" s="161" t="s">
        <v>606</v>
      </c>
      <c r="N213" s="161" t="s">
        <v>606</v>
      </c>
      <c r="O213" s="162" t="s">
        <v>1046</v>
      </c>
      <c r="P213" s="163" t="s">
        <v>185</v>
      </c>
      <c r="Q213" s="171">
        <f t="shared" ref="Q213:Q219" si="113">IF(P213="Muy Alto",10,IF(P213="Alto",6,IF(P213="Medio",2,IF(P213="Bajo",1,))))</f>
        <v>2</v>
      </c>
      <c r="R213" s="163" t="s">
        <v>186</v>
      </c>
      <c r="S213" s="172">
        <f t="shared" ref="S213:S219" si="114">IF(R213="Continua",4,IF(R213="Frecuente",3,IF(R213="Ocasional",2,IF(R213="Esporádica",1,))))</f>
        <v>4</v>
      </c>
      <c r="T213" s="166">
        <f t="shared" ref="T213:T219" si="115">Q213*S213</f>
        <v>8</v>
      </c>
      <c r="U213" s="163" t="str">
        <f t="shared" ref="U213:U218" si="116">IF(AND(T213&gt;=0,T213&lt;=4),"Bajo",IF(AND(T213&gt;=6,T213&lt;=8),"Medio",IF(AND(T213&gt;=10,T213&lt;=20),"Alto",IF(AND(T213&gt;=20,T213&lt;=40),"Muy Alto",))))</f>
        <v>Medio</v>
      </c>
      <c r="V213" s="163" t="s">
        <v>187</v>
      </c>
      <c r="W213" s="172">
        <f t="shared" ref="W213:W219" si="117">IF(V213="Mortal o catastrófico",100,IF(V213="Muy grave",60,IF(V213="Grave",25,IF(V213="Leve",10,))))</f>
        <v>25</v>
      </c>
      <c r="X213" s="166">
        <f t="shared" ref="X213:X219" si="118">T213*W213</f>
        <v>200</v>
      </c>
      <c r="Y213" s="163" t="str">
        <f t="shared" ref="Y213:Y219" si="119">IF(AND(X213&gt;=600,X213&lt;=4000),"Nivel I: Riesgo Inaceptable",IF(AND(X213&gt;=150,X213&lt;=500),"Nivel II: Riesgo Importante",IF(AND(X213&gt;=40,X213&lt;=120),"Nivel III: Riesgo Moderado (Aceptable)","Nivel IV: Riesgo Tolerable (Aceptable)")))</f>
        <v>Nivel II: Riesgo Importante</v>
      </c>
      <c r="Z213" s="163">
        <v>1</v>
      </c>
      <c r="AA213" s="163" t="s">
        <v>1151</v>
      </c>
      <c r="AB213" s="161" t="s">
        <v>424</v>
      </c>
      <c r="AC213" s="161" t="s">
        <v>424</v>
      </c>
      <c r="AD213" s="161" t="s">
        <v>424</v>
      </c>
      <c r="AE213" s="161" t="s">
        <v>1130</v>
      </c>
      <c r="AF213" s="161" t="s">
        <v>600</v>
      </c>
      <c r="AG213" s="166" t="s">
        <v>460</v>
      </c>
    </row>
    <row r="214" spans="1:33" ht="140.25" hidden="1" x14ac:dyDescent="0.2">
      <c r="A214" s="162" t="s">
        <v>880</v>
      </c>
      <c r="B214" s="162" t="s">
        <v>642</v>
      </c>
      <c r="C214" s="162" t="s">
        <v>1150</v>
      </c>
      <c r="D214" s="162" t="s">
        <v>1279</v>
      </c>
      <c r="E214" s="161" t="s">
        <v>175</v>
      </c>
      <c r="F214" s="162" t="s">
        <v>1111</v>
      </c>
      <c r="G214" s="162" t="s">
        <v>1165</v>
      </c>
      <c r="H214" s="162" t="s">
        <v>602</v>
      </c>
      <c r="I214" s="173" t="s">
        <v>421</v>
      </c>
      <c r="J214" s="173" t="s">
        <v>422</v>
      </c>
      <c r="K214" s="174" t="s">
        <v>460</v>
      </c>
      <c r="L214" s="174" t="s">
        <v>469</v>
      </c>
      <c r="M214" s="175" t="s">
        <v>1167</v>
      </c>
      <c r="N214" s="175" t="s">
        <v>423</v>
      </c>
      <c r="O214" s="176" t="s">
        <v>1166</v>
      </c>
      <c r="P214" s="177" t="s">
        <v>185</v>
      </c>
      <c r="Q214" s="178">
        <f t="shared" si="113"/>
        <v>2</v>
      </c>
      <c r="R214" s="177" t="s">
        <v>416</v>
      </c>
      <c r="S214" s="179">
        <f t="shared" si="114"/>
        <v>3</v>
      </c>
      <c r="T214" s="180">
        <f t="shared" si="115"/>
        <v>6</v>
      </c>
      <c r="U214" s="181" t="str">
        <f t="shared" si="116"/>
        <v>Medio</v>
      </c>
      <c r="V214" s="181" t="s">
        <v>428</v>
      </c>
      <c r="W214" s="179">
        <f t="shared" si="117"/>
        <v>10</v>
      </c>
      <c r="X214" s="180">
        <f t="shared" si="118"/>
        <v>60</v>
      </c>
      <c r="Y214" s="181" t="str">
        <f t="shared" si="119"/>
        <v>Nivel III: Riesgo Moderado (Aceptable)</v>
      </c>
      <c r="Z214" s="163">
        <v>1</v>
      </c>
      <c r="AA214" s="163" t="s">
        <v>1151</v>
      </c>
      <c r="AB214" s="175" t="s">
        <v>424</v>
      </c>
      <c r="AC214" s="175" t="s">
        <v>424</v>
      </c>
      <c r="AD214" s="175" t="s">
        <v>424</v>
      </c>
      <c r="AE214" s="182" t="s">
        <v>1196</v>
      </c>
      <c r="AF214" s="183" t="s">
        <v>600</v>
      </c>
      <c r="AG214" s="184" t="s">
        <v>460</v>
      </c>
    </row>
    <row r="215" spans="1:33" ht="140.25" hidden="1" x14ac:dyDescent="0.2">
      <c r="A215" s="162" t="s">
        <v>880</v>
      </c>
      <c r="B215" s="162" t="s">
        <v>642</v>
      </c>
      <c r="C215" s="162" t="s">
        <v>1150</v>
      </c>
      <c r="D215" s="162" t="s">
        <v>1279</v>
      </c>
      <c r="E215" s="161" t="s">
        <v>175</v>
      </c>
      <c r="F215" s="162" t="s">
        <v>1197</v>
      </c>
      <c r="G215" s="162" t="s">
        <v>1165</v>
      </c>
      <c r="H215" s="170" t="s">
        <v>1198</v>
      </c>
      <c r="I215" s="173" t="s">
        <v>421</v>
      </c>
      <c r="J215" s="173" t="s">
        <v>422</v>
      </c>
      <c r="K215" s="174" t="s">
        <v>460</v>
      </c>
      <c r="L215" s="174" t="s">
        <v>469</v>
      </c>
      <c r="M215" s="175" t="s">
        <v>1167</v>
      </c>
      <c r="N215" s="175" t="s">
        <v>423</v>
      </c>
      <c r="O215" s="176" t="s">
        <v>1166</v>
      </c>
      <c r="P215" s="177" t="s">
        <v>185</v>
      </c>
      <c r="Q215" s="178">
        <f t="shared" si="113"/>
        <v>2</v>
      </c>
      <c r="R215" s="177" t="s">
        <v>416</v>
      </c>
      <c r="S215" s="179">
        <f t="shared" si="114"/>
        <v>3</v>
      </c>
      <c r="T215" s="180">
        <f t="shared" si="115"/>
        <v>6</v>
      </c>
      <c r="U215" s="181" t="str">
        <f t="shared" si="116"/>
        <v>Medio</v>
      </c>
      <c r="V215" s="181" t="s">
        <v>187</v>
      </c>
      <c r="W215" s="179">
        <f t="shared" si="117"/>
        <v>25</v>
      </c>
      <c r="X215" s="180">
        <f t="shared" si="118"/>
        <v>150</v>
      </c>
      <c r="Y215" s="181" t="str">
        <f t="shared" si="119"/>
        <v>Nivel II: Riesgo Importante</v>
      </c>
      <c r="Z215" s="163">
        <v>1</v>
      </c>
      <c r="AA215" s="163" t="s">
        <v>1151</v>
      </c>
      <c r="AB215" s="175" t="s">
        <v>424</v>
      </c>
      <c r="AC215" s="175" t="s">
        <v>424</v>
      </c>
      <c r="AD215" s="175" t="s">
        <v>424</v>
      </c>
      <c r="AE215" s="182" t="s">
        <v>1196</v>
      </c>
      <c r="AF215" s="183" t="s">
        <v>600</v>
      </c>
      <c r="AG215" s="184" t="s">
        <v>460</v>
      </c>
    </row>
    <row r="216" spans="1:33" ht="63.75" hidden="1" x14ac:dyDescent="0.2">
      <c r="A216" s="162" t="s">
        <v>880</v>
      </c>
      <c r="B216" s="162" t="s">
        <v>642</v>
      </c>
      <c r="C216" s="162" t="s">
        <v>1150</v>
      </c>
      <c r="D216" s="162" t="s">
        <v>1279</v>
      </c>
      <c r="E216" s="161" t="s">
        <v>999</v>
      </c>
      <c r="F216" s="162" t="s">
        <v>292</v>
      </c>
      <c r="G216" s="162" t="s">
        <v>1149</v>
      </c>
      <c r="H216" s="162" t="s">
        <v>472</v>
      </c>
      <c r="I216" s="163" t="s">
        <v>421</v>
      </c>
      <c r="J216" s="163" t="s">
        <v>461</v>
      </c>
      <c r="K216" s="163" t="s">
        <v>460</v>
      </c>
      <c r="L216" s="163" t="s">
        <v>469</v>
      </c>
      <c r="M216" s="161" t="s">
        <v>606</v>
      </c>
      <c r="N216" s="161" t="s">
        <v>1069</v>
      </c>
      <c r="O216" s="162" t="s">
        <v>1070</v>
      </c>
      <c r="P216" s="163" t="s">
        <v>184</v>
      </c>
      <c r="Q216" s="171">
        <f t="shared" si="113"/>
        <v>1</v>
      </c>
      <c r="R216" s="163" t="s">
        <v>429</v>
      </c>
      <c r="S216" s="172">
        <f t="shared" si="114"/>
        <v>2</v>
      </c>
      <c r="T216" s="166">
        <f t="shared" si="115"/>
        <v>2</v>
      </c>
      <c r="U216" s="163" t="str">
        <f t="shared" si="116"/>
        <v>Bajo</v>
      </c>
      <c r="V216" s="163" t="s">
        <v>428</v>
      </c>
      <c r="W216" s="172">
        <f t="shared" si="117"/>
        <v>10</v>
      </c>
      <c r="X216" s="166">
        <f t="shared" si="118"/>
        <v>20</v>
      </c>
      <c r="Y216" s="163" t="str">
        <f t="shared" si="119"/>
        <v>Nivel IV: Riesgo Tolerable (Aceptable)</v>
      </c>
      <c r="Z216" s="163">
        <v>1</v>
      </c>
      <c r="AA216" s="163" t="s">
        <v>1151</v>
      </c>
      <c r="AB216" s="161" t="s">
        <v>424</v>
      </c>
      <c r="AC216" s="161" t="s">
        <v>424</v>
      </c>
      <c r="AD216" s="161" t="s">
        <v>424</v>
      </c>
      <c r="AE216" s="161" t="s">
        <v>1071</v>
      </c>
      <c r="AF216" s="161" t="s">
        <v>600</v>
      </c>
      <c r="AG216" s="166" t="s">
        <v>460</v>
      </c>
    </row>
    <row r="217" spans="1:33" ht="76.5" hidden="1" x14ac:dyDescent="0.2">
      <c r="A217" s="162" t="s">
        <v>880</v>
      </c>
      <c r="B217" s="162" t="s">
        <v>642</v>
      </c>
      <c r="C217" s="162" t="s">
        <v>1150</v>
      </c>
      <c r="D217" s="162" t="s">
        <v>1279</v>
      </c>
      <c r="E217" s="161" t="s">
        <v>999</v>
      </c>
      <c r="F217" s="162" t="s">
        <v>288</v>
      </c>
      <c r="G217" s="162" t="s">
        <v>1131</v>
      </c>
      <c r="H217" s="162" t="s">
        <v>614</v>
      </c>
      <c r="I217" s="163" t="s">
        <v>421</v>
      </c>
      <c r="J217" s="163" t="s">
        <v>461</v>
      </c>
      <c r="K217" s="163" t="s">
        <v>460</v>
      </c>
      <c r="L217" s="163" t="s">
        <v>469</v>
      </c>
      <c r="M217" s="166" t="s">
        <v>423</v>
      </c>
      <c r="N217" s="162" t="s">
        <v>1132</v>
      </c>
      <c r="O217" s="162" t="s">
        <v>1026</v>
      </c>
      <c r="P217" s="163" t="s">
        <v>184</v>
      </c>
      <c r="Q217" s="171">
        <f t="shared" si="113"/>
        <v>1</v>
      </c>
      <c r="R217" s="163" t="s">
        <v>485</v>
      </c>
      <c r="S217" s="172">
        <f t="shared" si="114"/>
        <v>1</v>
      </c>
      <c r="T217" s="166">
        <f t="shared" si="115"/>
        <v>1</v>
      </c>
      <c r="U217" s="163" t="str">
        <f t="shared" si="116"/>
        <v>Bajo</v>
      </c>
      <c r="V217" s="163" t="s">
        <v>187</v>
      </c>
      <c r="W217" s="172">
        <f t="shared" si="117"/>
        <v>25</v>
      </c>
      <c r="X217" s="166">
        <f t="shared" si="118"/>
        <v>25</v>
      </c>
      <c r="Y217" s="163" t="str">
        <f t="shared" si="119"/>
        <v>Nivel IV: Riesgo Tolerable (Aceptable)</v>
      </c>
      <c r="Z217" s="163">
        <v>1</v>
      </c>
      <c r="AA217" s="163" t="s">
        <v>1151</v>
      </c>
      <c r="AB217" s="161" t="s">
        <v>424</v>
      </c>
      <c r="AC217" s="161" t="s">
        <v>424</v>
      </c>
      <c r="AD217" s="161" t="s">
        <v>424</v>
      </c>
      <c r="AE217" s="161" t="s">
        <v>1066</v>
      </c>
      <c r="AF217" s="161" t="s">
        <v>600</v>
      </c>
      <c r="AG217" s="166" t="s">
        <v>460</v>
      </c>
    </row>
    <row r="218" spans="1:33" ht="76.5" hidden="1" x14ac:dyDescent="0.2">
      <c r="A218" s="162" t="s">
        <v>880</v>
      </c>
      <c r="B218" s="162" t="s">
        <v>642</v>
      </c>
      <c r="C218" s="162" t="s">
        <v>1150</v>
      </c>
      <c r="D218" s="162" t="s">
        <v>1279</v>
      </c>
      <c r="E218" s="161" t="s">
        <v>999</v>
      </c>
      <c r="F218" s="162" t="s">
        <v>1117</v>
      </c>
      <c r="G218" s="162" t="s">
        <v>564</v>
      </c>
      <c r="H218" s="162" t="s">
        <v>1072</v>
      </c>
      <c r="I218" s="163" t="s">
        <v>421</v>
      </c>
      <c r="J218" s="163" t="s">
        <v>461</v>
      </c>
      <c r="K218" s="163" t="s">
        <v>460</v>
      </c>
      <c r="L218" s="163" t="s">
        <v>469</v>
      </c>
      <c r="M218" s="166" t="s">
        <v>423</v>
      </c>
      <c r="N218" s="166" t="s">
        <v>423</v>
      </c>
      <c r="O218" s="162" t="s">
        <v>1026</v>
      </c>
      <c r="P218" s="163" t="s">
        <v>184</v>
      </c>
      <c r="Q218" s="171">
        <f t="shared" si="113"/>
        <v>1</v>
      </c>
      <c r="R218" s="163" t="s">
        <v>485</v>
      </c>
      <c r="S218" s="172">
        <f t="shared" si="114"/>
        <v>1</v>
      </c>
      <c r="T218" s="166">
        <f t="shared" si="115"/>
        <v>1</v>
      </c>
      <c r="U218" s="163" t="str">
        <f t="shared" si="116"/>
        <v>Bajo</v>
      </c>
      <c r="V218" s="163" t="s">
        <v>428</v>
      </c>
      <c r="W218" s="172">
        <f t="shared" si="117"/>
        <v>10</v>
      </c>
      <c r="X218" s="166">
        <f t="shared" si="118"/>
        <v>10</v>
      </c>
      <c r="Y218" s="163" t="str">
        <f t="shared" si="119"/>
        <v>Nivel IV: Riesgo Tolerable (Aceptable)</v>
      </c>
      <c r="Z218" s="163">
        <v>1</v>
      </c>
      <c r="AA218" s="163" t="s">
        <v>1151</v>
      </c>
      <c r="AB218" s="161" t="s">
        <v>424</v>
      </c>
      <c r="AC218" s="161" t="s">
        <v>424</v>
      </c>
      <c r="AD218" s="161" t="s">
        <v>424</v>
      </c>
      <c r="AE218" s="161" t="s">
        <v>1066</v>
      </c>
      <c r="AF218" s="161" t="s">
        <v>600</v>
      </c>
      <c r="AG218" s="166" t="s">
        <v>460</v>
      </c>
    </row>
    <row r="219" spans="1:33" ht="76.5" hidden="1" x14ac:dyDescent="0.2">
      <c r="A219" s="162" t="s">
        <v>880</v>
      </c>
      <c r="B219" s="162" t="s">
        <v>642</v>
      </c>
      <c r="C219" s="162" t="s">
        <v>1150</v>
      </c>
      <c r="D219" s="162" t="s">
        <v>1279</v>
      </c>
      <c r="E219" s="161" t="s">
        <v>999</v>
      </c>
      <c r="F219" s="162" t="s">
        <v>1119</v>
      </c>
      <c r="G219" s="162" t="s">
        <v>1133</v>
      </c>
      <c r="H219" s="162" t="s">
        <v>966</v>
      </c>
      <c r="I219" s="163" t="s">
        <v>421</v>
      </c>
      <c r="J219" s="163" t="s">
        <v>422</v>
      </c>
      <c r="K219" s="163" t="s">
        <v>460</v>
      </c>
      <c r="L219" s="163" t="s">
        <v>469</v>
      </c>
      <c r="M219" s="161" t="s">
        <v>1163</v>
      </c>
      <c r="N219" s="161" t="s">
        <v>1079</v>
      </c>
      <c r="O219" s="164" t="s">
        <v>1026</v>
      </c>
      <c r="P219" s="163" t="s">
        <v>184</v>
      </c>
      <c r="Q219" s="171">
        <f t="shared" si="113"/>
        <v>1</v>
      </c>
      <c r="R219" s="163" t="s">
        <v>416</v>
      </c>
      <c r="S219" s="172">
        <f t="shared" si="114"/>
        <v>3</v>
      </c>
      <c r="T219" s="166">
        <f t="shared" si="115"/>
        <v>3</v>
      </c>
      <c r="U219" s="163" t="s">
        <v>184</v>
      </c>
      <c r="V219" s="163" t="s">
        <v>187</v>
      </c>
      <c r="W219" s="172">
        <f t="shared" si="117"/>
        <v>25</v>
      </c>
      <c r="X219" s="166">
        <f t="shared" si="118"/>
        <v>75</v>
      </c>
      <c r="Y219" s="163" t="str">
        <f t="shared" si="119"/>
        <v>Nivel III: Riesgo Moderado (Aceptable)</v>
      </c>
      <c r="Z219" s="163">
        <v>1</v>
      </c>
      <c r="AA219" s="163" t="s">
        <v>1151</v>
      </c>
      <c r="AB219" s="161" t="s">
        <v>424</v>
      </c>
      <c r="AC219" s="161" t="s">
        <v>424</v>
      </c>
      <c r="AD219" s="161" t="s">
        <v>424</v>
      </c>
      <c r="AE219" s="167" t="s">
        <v>1134</v>
      </c>
      <c r="AF219" s="161" t="s">
        <v>600</v>
      </c>
      <c r="AG219" s="166" t="s">
        <v>460</v>
      </c>
    </row>
    <row r="220" spans="1:33" ht="76.5" hidden="1" x14ac:dyDescent="0.2">
      <c r="A220" s="162" t="s">
        <v>880</v>
      </c>
      <c r="B220" s="162" t="s">
        <v>642</v>
      </c>
      <c r="C220" s="162" t="s">
        <v>1150</v>
      </c>
      <c r="D220" s="162" t="s">
        <v>1279</v>
      </c>
      <c r="E220" s="161" t="s">
        <v>999</v>
      </c>
      <c r="F220" s="162" t="s">
        <v>1120</v>
      </c>
      <c r="G220" s="162" t="s">
        <v>1159</v>
      </c>
      <c r="H220" s="162" t="s">
        <v>979</v>
      </c>
      <c r="I220" s="163" t="s">
        <v>421</v>
      </c>
      <c r="J220" s="163" t="s">
        <v>422</v>
      </c>
      <c r="K220" s="163" t="s">
        <v>460</v>
      </c>
      <c r="L220" s="163" t="s">
        <v>469</v>
      </c>
      <c r="M220" s="165" t="s">
        <v>423</v>
      </c>
      <c r="N220" s="161" t="s">
        <v>1142</v>
      </c>
      <c r="O220" s="162" t="s">
        <v>1141</v>
      </c>
      <c r="P220" s="163" t="s">
        <v>185</v>
      </c>
      <c r="Q220" s="171">
        <f>IF(P220="Muy Alto",10,IF(P220="Alto",6,IF(P220="Medio",2,IF(P220="Bajo",1,))))</f>
        <v>2</v>
      </c>
      <c r="R220" s="163" t="s">
        <v>416</v>
      </c>
      <c r="S220" s="172">
        <f>IF(R220="Continua",4,IF(R220="Frecuente",3,IF(R220="Ocasional",2,IF(R220="Esporádica",1,))))</f>
        <v>3</v>
      </c>
      <c r="T220" s="166">
        <f>Q220*S220</f>
        <v>6</v>
      </c>
      <c r="U220" s="163" t="s">
        <v>184</v>
      </c>
      <c r="V220" s="163" t="s">
        <v>187</v>
      </c>
      <c r="W220" s="172">
        <f>IF(V220="Mortal o catastrófico",100,IF(V220="Muy grave",60,IF(V220="Grave",25,IF(V220="Leve",10,))))</f>
        <v>25</v>
      </c>
      <c r="X220" s="166">
        <f>T220*W220</f>
        <v>150</v>
      </c>
      <c r="Y220" s="163" t="str">
        <f>IF(AND(X220&gt;=600,X220&lt;=4000),"Nivel I: Riesgo Inaceptable",IF(AND(X220&gt;=150,X220&lt;=500),"Nivel II: Riesgo Importante",IF(AND(X220&gt;=40,X220&lt;=120),"Nivel III: Riesgo Moderado (Aceptable)","Nivel IV: Riesgo Tolerable (Aceptable)")))</f>
        <v>Nivel II: Riesgo Importante</v>
      </c>
      <c r="Z220" s="163">
        <v>1</v>
      </c>
      <c r="AA220" s="163" t="s">
        <v>1151</v>
      </c>
      <c r="AB220" s="161" t="s">
        <v>424</v>
      </c>
      <c r="AC220" s="161" t="s">
        <v>424</v>
      </c>
      <c r="AD220" s="161" t="s">
        <v>424</v>
      </c>
      <c r="AE220" s="161" t="s">
        <v>1138</v>
      </c>
      <c r="AF220" s="161" t="s">
        <v>600</v>
      </c>
      <c r="AG220" s="166" t="s">
        <v>460</v>
      </c>
    </row>
    <row r="221" spans="1:33" ht="76.5" hidden="1" x14ac:dyDescent="0.2">
      <c r="A221" s="162" t="s">
        <v>880</v>
      </c>
      <c r="B221" s="162" t="s">
        <v>642</v>
      </c>
      <c r="C221" s="162" t="s">
        <v>1150</v>
      </c>
      <c r="D221" s="162" t="s">
        <v>1279</v>
      </c>
      <c r="E221" s="161" t="s">
        <v>999</v>
      </c>
      <c r="F221" s="162" t="s">
        <v>1121</v>
      </c>
      <c r="G221" s="162" t="s">
        <v>1139</v>
      </c>
      <c r="H221" s="162" t="s">
        <v>979</v>
      </c>
      <c r="I221" s="163" t="s">
        <v>421</v>
      </c>
      <c r="J221" s="163" t="s">
        <v>422</v>
      </c>
      <c r="K221" s="163" t="s">
        <v>460</v>
      </c>
      <c r="L221" s="163" t="s">
        <v>469</v>
      </c>
      <c r="M221" s="165" t="s">
        <v>423</v>
      </c>
      <c r="N221" s="161" t="s">
        <v>1140</v>
      </c>
      <c r="O221" s="162" t="s">
        <v>1092</v>
      </c>
      <c r="P221" s="163" t="s">
        <v>185</v>
      </c>
      <c r="Q221" s="171">
        <f>IF(P221="Muy Alto",10,IF(P221="Alto",6,IF(P221="Medio",2,IF(P221="Bajo",1,))))</f>
        <v>2</v>
      </c>
      <c r="R221" s="163" t="s">
        <v>416</v>
      </c>
      <c r="S221" s="172">
        <f>IF(R221="Continua",4,IF(R221="Frecuente",3,IF(R221="Ocasional",2,IF(R221="Esporádica",1,))))</f>
        <v>3</v>
      </c>
      <c r="T221" s="166">
        <f>Q221*S221</f>
        <v>6</v>
      </c>
      <c r="U221" s="163" t="s">
        <v>184</v>
      </c>
      <c r="V221" s="163" t="s">
        <v>187</v>
      </c>
      <c r="W221" s="172">
        <f>IF(V221="Mortal o catastrófico",100,IF(V221="Muy grave",60,IF(V221="Grave",25,IF(V221="Leve",10,))))</f>
        <v>25</v>
      </c>
      <c r="X221" s="166">
        <f>T221*W221</f>
        <v>150</v>
      </c>
      <c r="Y221" s="163" t="str">
        <f>IF(AND(X221&gt;=600,X221&lt;=4000),"Nivel I: Riesgo Inaceptable",IF(AND(X221&gt;=150,X221&lt;=500),"Nivel II: Riesgo Importante",IF(AND(X221&gt;=40,X221&lt;=120),"Nivel III: Riesgo Moderado (Aceptable)","Nivel IV: Riesgo Tolerable (Aceptable)")))</f>
        <v>Nivel II: Riesgo Importante</v>
      </c>
      <c r="Z221" s="163">
        <v>1</v>
      </c>
      <c r="AA221" s="163" t="s">
        <v>1151</v>
      </c>
      <c r="AB221" s="161" t="s">
        <v>424</v>
      </c>
      <c r="AC221" s="161" t="s">
        <v>424</v>
      </c>
      <c r="AD221" s="161" t="s">
        <v>424</v>
      </c>
      <c r="AE221" s="161" t="s">
        <v>1088</v>
      </c>
      <c r="AF221" s="161" t="s">
        <v>600</v>
      </c>
      <c r="AG221" s="166" t="s">
        <v>460</v>
      </c>
    </row>
    <row r="222" spans="1:33" ht="114.75" hidden="1" x14ac:dyDescent="0.2">
      <c r="A222" s="162" t="s">
        <v>880</v>
      </c>
      <c r="B222" s="162" t="s">
        <v>642</v>
      </c>
      <c r="C222" s="162" t="s">
        <v>1150</v>
      </c>
      <c r="D222" s="162" t="s">
        <v>1279</v>
      </c>
      <c r="E222" s="161" t="s">
        <v>995</v>
      </c>
      <c r="F222" s="162" t="s">
        <v>720</v>
      </c>
      <c r="G222" s="162" t="s">
        <v>1284</v>
      </c>
      <c r="H222" s="162" t="s">
        <v>1285</v>
      </c>
      <c r="I222" s="163" t="s">
        <v>529</v>
      </c>
      <c r="J222" s="163" t="s">
        <v>461</v>
      </c>
      <c r="K222" s="163" t="s">
        <v>460</v>
      </c>
      <c r="L222" s="163" t="s">
        <v>469</v>
      </c>
      <c r="M222" s="161" t="s">
        <v>423</v>
      </c>
      <c r="N222" s="161" t="s">
        <v>423</v>
      </c>
      <c r="O222" s="161" t="s">
        <v>423</v>
      </c>
      <c r="P222" s="163" t="s">
        <v>184</v>
      </c>
      <c r="Q222" s="171">
        <f t="shared" ref="Q222" si="120">IF(P222="Muy Alto",10,IF(P222="Alto",6,IF(P222="Medio",2,IF(P222="Bajo",1,))))</f>
        <v>1</v>
      </c>
      <c r="R222" s="163" t="s">
        <v>485</v>
      </c>
      <c r="S222" s="172">
        <f t="shared" ref="S222" si="121">IF(R222="Continua",4,IF(R222="Frecuente",3,IF(R222="Ocasional",2,IF(R222="Esporádica",1,))))</f>
        <v>1</v>
      </c>
      <c r="T222" s="166">
        <f t="shared" ref="T222" si="122">Q222*S222</f>
        <v>1</v>
      </c>
      <c r="U222" s="163" t="str">
        <f t="shared" ref="U222" si="123">IF(AND(T222&gt;=0,T222&lt;=4),"Bajo",IF(AND(T222&gt;=6,T222&lt;=8),"Medio",IF(AND(T222&gt;=10,T222&lt;=20),"Alto",IF(AND(T222&gt;=20,T222&lt;=40),"Muy Alto",))))</f>
        <v>Bajo</v>
      </c>
      <c r="V222" s="163" t="s">
        <v>187</v>
      </c>
      <c r="W222" s="172">
        <f t="shared" ref="W222" si="124">IF(V222="Mortal o catastrófico",100,IF(V222="Muy grave",60,IF(V222="Grave",25,IF(V222="Leve",10,))))</f>
        <v>25</v>
      </c>
      <c r="X222" s="166">
        <f t="shared" ref="X222" si="125">T222*W222</f>
        <v>25</v>
      </c>
      <c r="Y222" s="163" t="str">
        <f t="shared" ref="Y222" si="126">IF(AND(X222&gt;=600,X222&lt;=4000),"Nivel I: Riesgo Inaceptable",IF(AND(X222&gt;=150,X222&lt;=500),"Nivel II: Riesgo Importante",IF(AND(X222&gt;=40,X222&lt;=120),"Nivel III: Riesgo Moderado (Aceptable)","Nivel IV: Riesgo Tolerable (Aceptable)")))</f>
        <v>Nivel IV: Riesgo Tolerable (Aceptable)</v>
      </c>
      <c r="Z222" s="163">
        <v>1</v>
      </c>
      <c r="AA222" s="163" t="s">
        <v>1151</v>
      </c>
      <c r="AB222" s="161" t="s">
        <v>1286</v>
      </c>
      <c r="AC222" s="161" t="s">
        <v>424</v>
      </c>
      <c r="AD222" s="161" t="s">
        <v>424</v>
      </c>
      <c r="AE222" s="161" t="s">
        <v>1287</v>
      </c>
      <c r="AF222" s="161" t="s">
        <v>1288</v>
      </c>
      <c r="AG222" s="166" t="s">
        <v>460</v>
      </c>
    </row>
    <row r="223" spans="1:33" ht="102" hidden="1" x14ac:dyDescent="0.2">
      <c r="A223" s="162" t="s">
        <v>880</v>
      </c>
      <c r="B223" s="162" t="s">
        <v>642</v>
      </c>
      <c r="C223" s="162" t="s">
        <v>1150</v>
      </c>
      <c r="D223" s="162" t="s">
        <v>1279</v>
      </c>
      <c r="E223" s="161" t="s">
        <v>995</v>
      </c>
      <c r="F223" s="162" t="s">
        <v>714</v>
      </c>
      <c r="G223" s="162" t="s">
        <v>1036</v>
      </c>
      <c r="H223" s="162" t="s">
        <v>1135</v>
      </c>
      <c r="I223" s="163" t="s">
        <v>421</v>
      </c>
      <c r="J223" s="163" t="s">
        <v>461</v>
      </c>
      <c r="K223" s="163" t="s">
        <v>460</v>
      </c>
      <c r="L223" s="163" t="s">
        <v>469</v>
      </c>
      <c r="M223" s="161" t="s">
        <v>423</v>
      </c>
      <c r="N223" s="161" t="s">
        <v>1136</v>
      </c>
      <c r="O223" s="164" t="s">
        <v>1038</v>
      </c>
      <c r="P223" s="163" t="s">
        <v>184</v>
      </c>
      <c r="Q223" s="171">
        <f t="shared" ref="Q223:Q225" si="127">IF(P223="Muy Alto",10,IF(P223="Alto",6,IF(P223="Medio",2,IF(P223="Bajo",1,))))</f>
        <v>1</v>
      </c>
      <c r="R223" s="163" t="s">
        <v>485</v>
      </c>
      <c r="S223" s="172">
        <f t="shared" ref="S223:S225" si="128">IF(R223="Continua",4,IF(R223="Frecuente",3,IF(R223="Ocasional",2,IF(R223="Esporádica",1,))))</f>
        <v>1</v>
      </c>
      <c r="T223" s="166">
        <f t="shared" ref="T223:T225" si="129">Q223*S223</f>
        <v>1</v>
      </c>
      <c r="U223" s="163" t="str">
        <f t="shared" ref="U223" si="130">IF(AND(T223&gt;=0,T223&lt;=4),"Bajo",IF(AND(T223&gt;=6,T223&lt;=8),"Medio",IF(AND(T223&gt;=10,T223&lt;=20),"Alto",IF(AND(T223&gt;=20,T223&lt;=40),"Muy Alto",))))</f>
        <v>Bajo</v>
      </c>
      <c r="V223" s="163" t="s">
        <v>187</v>
      </c>
      <c r="W223" s="172">
        <f t="shared" ref="W223:W225" si="131">IF(V223="Mortal o catastrófico",100,IF(V223="Muy grave",60,IF(V223="Grave",25,IF(V223="Leve",10,))))</f>
        <v>25</v>
      </c>
      <c r="X223" s="166">
        <f t="shared" ref="X223:X225" si="132">T223*W223</f>
        <v>25</v>
      </c>
      <c r="Y223" s="163" t="str">
        <f t="shared" ref="Y223:Y225" si="133">IF(AND(X223&gt;=600,X223&lt;=4000),"Nivel I: Riesgo Inaceptable",IF(AND(X223&gt;=150,X223&lt;=500),"Nivel II: Riesgo Importante",IF(AND(X223&gt;=40,X223&lt;=120),"Nivel III: Riesgo Moderado (Aceptable)","Nivel IV: Riesgo Tolerable (Aceptable)")))</f>
        <v>Nivel IV: Riesgo Tolerable (Aceptable)</v>
      </c>
      <c r="Z223" s="163">
        <v>1</v>
      </c>
      <c r="AA223" s="163" t="s">
        <v>1151</v>
      </c>
      <c r="AB223" s="161" t="s">
        <v>424</v>
      </c>
      <c r="AC223" s="161" t="s">
        <v>424</v>
      </c>
      <c r="AD223" s="161" t="s">
        <v>424</v>
      </c>
      <c r="AE223" s="161" t="s">
        <v>1039</v>
      </c>
      <c r="AF223" s="161" t="s">
        <v>1040</v>
      </c>
      <c r="AG223" s="166" t="s">
        <v>460</v>
      </c>
    </row>
    <row r="224" spans="1:33" ht="89.25" hidden="1" x14ac:dyDescent="0.2">
      <c r="A224" s="162" t="s">
        <v>880</v>
      </c>
      <c r="B224" s="162" t="s">
        <v>642</v>
      </c>
      <c r="C224" s="162" t="s">
        <v>1150</v>
      </c>
      <c r="D224" s="162" t="s">
        <v>1279</v>
      </c>
      <c r="E224" s="161" t="s">
        <v>1000</v>
      </c>
      <c r="F224" s="162" t="s">
        <v>1123</v>
      </c>
      <c r="G224" s="162" t="s">
        <v>1143</v>
      </c>
      <c r="H224" s="162" t="s">
        <v>1237</v>
      </c>
      <c r="I224" s="163" t="s">
        <v>421</v>
      </c>
      <c r="J224" s="163" t="s">
        <v>422</v>
      </c>
      <c r="K224" s="163" t="s">
        <v>460</v>
      </c>
      <c r="L224" s="163" t="s">
        <v>469</v>
      </c>
      <c r="M224" s="161" t="s">
        <v>423</v>
      </c>
      <c r="N224" s="161" t="s">
        <v>1145</v>
      </c>
      <c r="O224" s="162" t="s">
        <v>1144</v>
      </c>
      <c r="P224" s="163" t="s">
        <v>184</v>
      </c>
      <c r="Q224" s="171">
        <f t="shared" si="127"/>
        <v>1</v>
      </c>
      <c r="R224" s="163" t="s">
        <v>485</v>
      </c>
      <c r="S224" s="172">
        <f t="shared" si="128"/>
        <v>1</v>
      </c>
      <c r="T224" s="166">
        <f t="shared" si="129"/>
        <v>1</v>
      </c>
      <c r="U224" s="163" t="s">
        <v>184</v>
      </c>
      <c r="V224" s="163" t="s">
        <v>187</v>
      </c>
      <c r="W224" s="172">
        <f t="shared" si="131"/>
        <v>25</v>
      </c>
      <c r="X224" s="166">
        <f t="shared" si="132"/>
        <v>25</v>
      </c>
      <c r="Y224" s="163" t="str">
        <f t="shared" si="133"/>
        <v>Nivel IV: Riesgo Tolerable (Aceptable)</v>
      </c>
      <c r="Z224" s="163">
        <v>1</v>
      </c>
      <c r="AA224" s="163" t="s">
        <v>1151</v>
      </c>
      <c r="AB224" s="161" t="s">
        <v>424</v>
      </c>
      <c r="AC224" s="161" t="s">
        <v>424</v>
      </c>
      <c r="AD224" s="161" t="s">
        <v>424</v>
      </c>
      <c r="AE224" s="161" t="s">
        <v>1147</v>
      </c>
      <c r="AF224" s="161" t="s">
        <v>600</v>
      </c>
      <c r="AG224" s="166" t="s">
        <v>460</v>
      </c>
    </row>
    <row r="225" spans="1:33" ht="51" hidden="1" x14ac:dyDescent="0.2">
      <c r="A225" s="162" t="s">
        <v>880</v>
      </c>
      <c r="B225" s="162" t="s">
        <v>642</v>
      </c>
      <c r="C225" s="162" t="s">
        <v>1150</v>
      </c>
      <c r="D225" s="162" t="s">
        <v>1279</v>
      </c>
      <c r="E225" s="161" t="s">
        <v>1000</v>
      </c>
      <c r="F225" s="162" t="s">
        <v>1127</v>
      </c>
      <c r="G225" s="162" t="s">
        <v>1152</v>
      </c>
      <c r="H225" s="162" t="s">
        <v>1237</v>
      </c>
      <c r="I225" s="163" t="s">
        <v>421</v>
      </c>
      <c r="J225" s="163" t="s">
        <v>422</v>
      </c>
      <c r="K225" s="163" t="s">
        <v>460</v>
      </c>
      <c r="L225" s="163" t="s">
        <v>469</v>
      </c>
      <c r="M225" s="161" t="s">
        <v>423</v>
      </c>
      <c r="N225" s="161" t="s">
        <v>423</v>
      </c>
      <c r="O225" s="162" t="s">
        <v>1144</v>
      </c>
      <c r="P225" s="163" t="s">
        <v>184</v>
      </c>
      <c r="Q225" s="171">
        <f t="shared" si="127"/>
        <v>1</v>
      </c>
      <c r="R225" s="163" t="s">
        <v>485</v>
      </c>
      <c r="S225" s="172">
        <f t="shared" si="128"/>
        <v>1</v>
      </c>
      <c r="T225" s="166">
        <f t="shared" si="129"/>
        <v>1</v>
      </c>
      <c r="U225" s="163" t="s">
        <v>184</v>
      </c>
      <c r="V225" s="163" t="s">
        <v>187</v>
      </c>
      <c r="W225" s="172">
        <f t="shared" si="131"/>
        <v>25</v>
      </c>
      <c r="X225" s="166">
        <f t="shared" si="132"/>
        <v>25</v>
      </c>
      <c r="Y225" s="163" t="str">
        <f t="shared" si="133"/>
        <v>Nivel IV: Riesgo Tolerable (Aceptable)</v>
      </c>
      <c r="Z225" s="163">
        <v>1</v>
      </c>
      <c r="AA225" s="163" t="s">
        <v>1151</v>
      </c>
      <c r="AB225" s="161" t="s">
        <v>424</v>
      </c>
      <c r="AC225" s="161" t="s">
        <v>424</v>
      </c>
      <c r="AD225" s="161" t="s">
        <v>424</v>
      </c>
      <c r="AE225" s="161" t="s">
        <v>1025</v>
      </c>
      <c r="AF225" s="161" t="s">
        <v>600</v>
      </c>
      <c r="AG225" s="166" t="s">
        <v>460</v>
      </c>
    </row>
    <row r="226" spans="1:33" ht="102" hidden="1" x14ac:dyDescent="0.2">
      <c r="A226" s="162" t="s">
        <v>880</v>
      </c>
      <c r="B226" s="162" t="s">
        <v>642</v>
      </c>
      <c r="C226" s="162" t="s">
        <v>1150</v>
      </c>
      <c r="D226" s="162" t="s">
        <v>1279</v>
      </c>
      <c r="E226" s="161" t="s">
        <v>996</v>
      </c>
      <c r="F226" s="162" t="s">
        <v>430</v>
      </c>
      <c r="G226" s="162" t="s">
        <v>486</v>
      </c>
      <c r="H226" s="162" t="s">
        <v>623</v>
      </c>
      <c r="I226" s="163" t="s">
        <v>421</v>
      </c>
      <c r="J226" s="163" t="s">
        <v>422</v>
      </c>
      <c r="K226" s="163" t="s">
        <v>460</v>
      </c>
      <c r="L226" s="163" t="s">
        <v>469</v>
      </c>
      <c r="M226" s="163" t="s">
        <v>1074</v>
      </c>
      <c r="N226" s="169" t="s">
        <v>1073</v>
      </c>
      <c r="O226" s="162" t="s">
        <v>1032</v>
      </c>
      <c r="P226" s="163" t="s">
        <v>184</v>
      </c>
      <c r="Q226" s="171">
        <f>IF(P226="Muy Alto",10,IF(P226="Alto",6,IF(P226="Medio",2,IF(P226="Bajo",1,))))</f>
        <v>1</v>
      </c>
      <c r="R226" s="163" t="s">
        <v>485</v>
      </c>
      <c r="S226" s="172">
        <f>IF(R226="Continua",4,IF(R226="Frecuente",3,IF(R226="Ocasional",2,IF(R226="Esporádica",1,))))</f>
        <v>1</v>
      </c>
      <c r="T226" s="166">
        <f>Q226*S226</f>
        <v>1</v>
      </c>
      <c r="U226" s="163" t="str">
        <f>IF(AND(T226&gt;=0,T226&lt;=4),"Bajo",IF(AND(T226&gt;=6,T226&lt;=8),"Medio",IF(AND(T226&gt;=10,T226&lt;=20),"Alto",IF(AND(T226&gt;=20,T226&lt;=40),"Muy Alto",))))</f>
        <v>Bajo</v>
      </c>
      <c r="V226" s="163" t="s">
        <v>428</v>
      </c>
      <c r="W226" s="172">
        <f>IF(V226="Mortal o catastrófico",100,IF(V226="Muy grave",60,IF(V226="Grave",25,IF(V226="Leve",10,))))</f>
        <v>10</v>
      </c>
      <c r="X226" s="166">
        <f>T226*W226</f>
        <v>10</v>
      </c>
      <c r="Y226" s="163" t="str">
        <f>IF(AND(X226&gt;=600,X226&lt;=4000),"Nivel I: Riesgo Inaceptable",IF(AND(X226&gt;=150,X226&lt;=500),"Nivel II: Riesgo Importante",IF(AND(X226&gt;=40,X226&lt;=120),"Nivel III: Riesgo Moderado (Aceptable)","Nivel IV: Riesgo Tolerable (Aceptable)")))</f>
        <v>Nivel IV: Riesgo Tolerable (Aceptable)</v>
      </c>
      <c r="Z226" s="163">
        <v>1</v>
      </c>
      <c r="AA226" s="163" t="s">
        <v>1151</v>
      </c>
      <c r="AB226" s="161" t="s">
        <v>424</v>
      </c>
      <c r="AC226" s="161" t="s">
        <v>424</v>
      </c>
      <c r="AD226" s="161" t="s">
        <v>424</v>
      </c>
      <c r="AE226" s="161" t="s">
        <v>1075</v>
      </c>
      <c r="AF226" s="161" t="s">
        <v>600</v>
      </c>
      <c r="AG226" s="166" t="s">
        <v>460</v>
      </c>
    </row>
    <row r="227" spans="1:33" ht="102" hidden="1" x14ac:dyDescent="0.2">
      <c r="A227" s="162" t="s">
        <v>880</v>
      </c>
      <c r="B227" s="162" t="s">
        <v>642</v>
      </c>
      <c r="C227" s="162" t="s">
        <v>1150</v>
      </c>
      <c r="D227" s="162" t="s">
        <v>1279</v>
      </c>
      <c r="E227" s="161" t="s">
        <v>996</v>
      </c>
      <c r="F227" s="162" t="s">
        <v>1146</v>
      </c>
      <c r="G227" s="162" t="s">
        <v>1162</v>
      </c>
      <c r="H227" s="162" t="s">
        <v>623</v>
      </c>
      <c r="I227" s="163" t="s">
        <v>421</v>
      </c>
      <c r="J227" s="163" t="s">
        <v>422</v>
      </c>
      <c r="K227" s="163" t="s">
        <v>460</v>
      </c>
      <c r="L227" s="163" t="s">
        <v>469</v>
      </c>
      <c r="M227" s="163" t="s">
        <v>1074</v>
      </c>
      <c r="N227" s="169" t="s">
        <v>1073</v>
      </c>
      <c r="O227" s="162" t="s">
        <v>1032</v>
      </c>
      <c r="P227" s="163" t="s">
        <v>184</v>
      </c>
      <c r="Q227" s="171">
        <f>IF(P227="Muy Alto",10,IF(P227="Alto",6,IF(P227="Medio",2,IF(P227="Bajo",1,))))</f>
        <v>1</v>
      </c>
      <c r="R227" s="163" t="s">
        <v>416</v>
      </c>
      <c r="S227" s="172">
        <f>IF(R227="Continua",4,IF(R227="Frecuente",3,IF(R227="Ocasional",2,IF(R227="Esporádica",1,))))</f>
        <v>3</v>
      </c>
      <c r="T227" s="166">
        <f>Q227*S227</f>
        <v>3</v>
      </c>
      <c r="U227" s="163" t="str">
        <f>IF(AND(T227&gt;=0,T227&lt;=4),"Bajo",IF(AND(T227&gt;=6,T227&lt;=8),"Medio",IF(AND(T227&gt;=10,T227&lt;=20),"Alto",IF(AND(T227&gt;=20,T227&lt;=40),"Muy Alto",))))</f>
        <v>Bajo</v>
      </c>
      <c r="V227" s="163" t="s">
        <v>428</v>
      </c>
      <c r="W227" s="172">
        <f>IF(V227="Mortal o catastrófico",100,IF(V227="Muy grave",60,IF(V227="Grave",25,IF(V227="Leve",10,))))</f>
        <v>10</v>
      </c>
      <c r="X227" s="166">
        <f>T227*W227</f>
        <v>30</v>
      </c>
      <c r="Y227" s="163" t="str">
        <f>IF(AND(X227&gt;=600,X227&lt;=4000),"Nivel I: Riesgo Inaceptable",IF(AND(X227&gt;=150,X227&lt;=500),"Nivel II: Riesgo Importante",IF(AND(X227&gt;=40,X227&lt;=120),"Nivel III: Riesgo Moderado (Aceptable)","Nivel IV: Riesgo Tolerable (Aceptable)")))</f>
        <v>Nivel IV: Riesgo Tolerable (Aceptable)</v>
      </c>
      <c r="Z227" s="163">
        <v>1</v>
      </c>
      <c r="AA227" s="163" t="s">
        <v>1151</v>
      </c>
      <c r="AB227" s="161" t="s">
        <v>424</v>
      </c>
      <c r="AC227" s="161" t="s">
        <v>424</v>
      </c>
      <c r="AD227" s="161" t="s">
        <v>424</v>
      </c>
      <c r="AE227" s="161" t="s">
        <v>1075</v>
      </c>
      <c r="AF227" s="161" t="s">
        <v>600</v>
      </c>
      <c r="AG227" s="166" t="s">
        <v>460</v>
      </c>
    </row>
    <row r="228" spans="1:33" ht="127.5" hidden="1" x14ac:dyDescent="0.2">
      <c r="A228" s="162" t="s">
        <v>880</v>
      </c>
      <c r="B228" s="162" t="s">
        <v>636</v>
      </c>
      <c r="C228" s="162" t="s">
        <v>1148</v>
      </c>
      <c r="D228" s="162" t="s">
        <v>635</v>
      </c>
      <c r="E228" s="161" t="s">
        <v>998</v>
      </c>
      <c r="F228" s="162" t="s">
        <v>1113</v>
      </c>
      <c r="G228" s="162" t="s">
        <v>924</v>
      </c>
      <c r="H228" s="162" t="s">
        <v>1170</v>
      </c>
      <c r="I228" s="163" t="s">
        <v>421</v>
      </c>
      <c r="J228" s="163" t="s">
        <v>422</v>
      </c>
      <c r="K228" s="163" t="s">
        <v>460</v>
      </c>
      <c r="L228" s="163" t="s">
        <v>469</v>
      </c>
      <c r="M228" s="162" t="s">
        <v>1171</v>
      </c>
      <c r="N228" s="163" t="s">
        <v>1128</v>
      </c>
      <c r="O228" s="162" t="s">
        <v>1050</v>
      </c>
      <c r="P228" s="163" t="s">
        <v>185</v>
      </c>
      <c r="Q228" s="171">
        <f t="shared" ref="Q228:Q235" si="134">IF(P228="Muy Alto",10,IF(P228="Alto",6,IF(P228="Medio",2,IF(P228="Bajo",1,))))</f>
        <v>2</v>
      </c>
      <c r="R228" s="163" t="s">
        <v>186</v>
      </c>
      <c r="S228" s="172">
        <f t="shared" ref="S228:S235" si="135">IF(R228="Continua",4,IF(R228="Frecuente",3,IF(R228="Ocasional",2,IF(R228="Esporádica",1,))))</f>
        <v>4</v>
      </c>
      <c r="T228" s="166">
        <f t="shared" ref="T228:T235" si="136">Q228*S228</f>
        <v>8</v>
      </c>
      <c r="U228" s="163" t="str">
        <f t="shared" ref="U228:U234" si="137">IF(AND(T228&gt;=0,T228&lt;=4),"Bajo",IF(AND(T228&gt;=6,T228&lt;=8),"Medio",IF(AND(T228&gt;=10,T228&lt;=20),"Alto",IF(AND(T228&gt;=20,T228&lt;=40),"Muy Alto",))))</f>
        <v>Medio</v>
      </c>
      <c r="V228" s="163" t="s">
        <v>187</v>
      </c>
      <c r="W228" s="172">
        <f t="shared" ref="W228:W235" si="138">IF(V228="Mortal o catastrófico",100,IF(V228="Muy grave",60,IF(V228="Grave",25,IF(V228="Leve",10,))))</f>
        <v>25</v>
      </c>
      <c r="X228" s="166">
        <f t="shared" ref="X228:X235" si="139">T228*W228</f>
        <v>200</v>
      </c>
      <c r="Y228" s="163" t="str">
        <f t="shared" ref="Y228:Y235" si="140">IF(AND(X228&gt;=600,X228&lt;=4000),"Nivel I: Riesgo Inaceptable",IF(AND(X228&gt;=150,X228&lt;=500),"Nivel II: Riesgo Importante",IF(AND(X228&gt;=40,X228&lt;=120),"Nivel III: Riesgo Moderado (Aceptable)","Nivel IV: Riesgo Tolerable (Aceptable)")))</f>
        <v>Nivel II: Riesgo Importante</v>
      </c>
      <c r="Z228" s="163">
        <v>1</v>
      </c>
      <c r="AA228" s="163" t="s">
        <v>1151</v>
      </c>
      <c r="AB228" s="161" t="s">
        <v>424</v>
      </c>
      <c r="AC228" s="161" t="s">
        <v>424</v>
      </c>
      <c r="AD228" s="161" t="s">
        <v>424</v>
      </c>
      <c r="AE228" s="161" t="s">
        <v>1129</v>
      </c>
      <c r="AF228" s="161" t="s">
        <v>600</v>
      </c>
      <c r="AG228" s="166" t="s">
        <v>460</v>
      </c>
    </row>
    <row r="229" spans="1:33" ht="89.25" hidden="1" x14ac:dyDescent="0.2">
      <c r="A229" s="162" t="s">
        <v>880</v>
      </c>
      <c r="B229" s="162" t="s">
        <v>636</v>
      </c>
      <c r="C229" s="162" t="s">
        <v>1148</v>
      </c>
      <c r="D229" s="162" t="s">
        <v>635</v>
      </c>
      <c r="E229" s="161" t="s">
        <v>998</v>
      </c>
      <c r="F229" s="162" t="s">
        <v>178</v>
      </c>
      <c r="G229" s="162" t="s">
        <v>1067</v>
      </c>
      <c r="H229" s="162" t="s">
        <v>559</v>
      </c>
      <c r="I229" s="163" t="s">
        <v>421</v>
      </c>
      <c r="J229" s="163" t="s">
        <v>422</v>
      </c>
      <c r="K229" s="163" t="s">
        <v>460</v>
      </c>
      <c r="L229" s="163" t="s">
        <v>469</v>
      </c>
      <c r="M229" s="161" t="s">
        <v>606</v>
      </c>
      <c r="N229" s="161" t="s">
        <v>606</v>
      </c>
      <c r="O229" s="162" t="s">
        <v>1046</v>
      </c>
      <c r="P229" s="163" t="s">
        <v>185</v>
      </c>
      <c r="Q229" s="171">
        <f t="shared" si="134"/>
        <v>2</v>
      </c>
      <c r="R229" s="163" t="s">
        <v>186</v>
      </c>
      <c r="S229" s="172">
        <f t="shared" si="135"/>
        <v>4</v>
      </c>
      <c r="T229" s="166">
        <f t="shared" si="136"/>
        <v>8</v>
      </c>
      <c r="U229" s="163" t="str">
        <f t="shared" si="137"/>
        <v>Medio</v>
      </c>
      <c r="V229" s="163" t="s">
        <v>187</v>
      </c>
      <c r="W229" s="172">
        <f t="shared" si="138"/>
        <v>25</v>
      </c>
      <c r="X229" s="166">
        <f t="shared" si="139"/>
        <v>200</v>
      </c>
      <c r="Y229" s="163" t="str">
        <f t="shared" si="140"/>
        <v>Nivel II: Riesgo Importante</v>
      </c>
      <c r="Z229" s="163">
        <v>1</v>
      </c>
      <c r="AA229" s="163" t="s">
        <v>1151</v>
      </c>
      <c r="AB229" s="161" t="s">
        <v>424</v>
      </c>
      <c r="AC229" s="161" t="s">
        <v>424</v>
      </c>
      <c r="AD229" s="161" t="s">
        <v>424</v>
      </c>
      <c r="AE229" s="161" t="s">
        <v>1130</v>
      </c>
      <c r="AF229" s="161" t="s">
        <v>600</v>
      </c>
      <c r="AG229" s="166" t="s">
        <v>460</v>
      </c>
    </row>
    <row r="230" spans="1:33" ht="140.25" hidden="1" x14ac:dyDescent="0.2">
      <c r="A230" s="162" t="s">
        <v>880</v>
      </c>
      <c r="B230" s="162" t="s">
        <v>636</v>
      </c>
      <c r="C230" s="162" t="s">
        <v>1148</v>
      </c>
      <c r="D230" s="162" t="s">
        <v>635</v>
      </c>
      <c r="E230" s="161" t="s">
        <v>175</v>
      </c>
      <c r="F230" s="162" t="s">
        <v>1111</v>
      </c>
      <c r="G230" s="162" t="s">
        <v>1165</v>
      </c>
      <c r="H230" s="162" t="s">
        <v>602</v>
      </c>
      <c r="I230" s="173" t="s">
        <v>421</v>
      </c>
      <c r="J230" s="173" t="s">
        <v>422</v>
      </c>
      <c r="K230" s="174" t="s">
        <v>460</v>
      </c>
      <c r="L230" s="174" t="s">
        <v>469</v>
      </c>
      <c r="M230" s="175" t="s">
        <v>1167</v>
      </c>
      <c r="N230" s="175" t="s">
        <v>423</v>
      </c>
      <c r="O230" s="176" t="s">
        <v>1166</v>
      </c>
      <c r="P230" s="177" t="s">
        <v>185</v>
      </c>
      <c r="Q230" s="178">
        <f t="shared" si="134"/>
        <v>2</v>
      </c>
      <c r="R230" s="177" t="s">
        <v>416</v>
      </c>
      <c r="S230" s="179">
        <f t="shared" si="135"/>
        <v>3</v>
      </c>
      <c r="T230" s="180">
        <f t="shared" si="136"/>
        <v>6</v>
      </c>
      <c r="U230" s="181" t="str">
        <f t="shared" si="137"/>
        <v>Medio</v>
      </c>
      <c r="V230" s="181" t="s">
        <v>428</v>
      </c>
      <c r="W230" s="179">
        <f t="shared" si="138"/>
        <v>10</v>
      </c>
      <c r="X230" s="180">
        <f t="shared" si="139"/>
        <v>60</v>
      </c>
      <c r="Y230" s="181" t="str">
        <f t="shared" si="140"/>
        <v>Nivel III: Riesgo Moderado (Aceptable)</v>
      </c>
      <c r="Z230" s="163">
        <v>1</v>
      </c>
      <c r="AA230" s="163" t="s">
        <v>1151</v>
      </c>
      <c r="AB230" s="175" t="s">
        <v>424</v>
      </c>
      <c r="AC230" s="175" t="s">
        <v>424</v>
      </c>
      <c r="AD230" s="175" t="s">
        <v>424</v>
      </c>
      <c r="AE230" s="182" t="s">
        <v>1035</v>
      </c>
      <c r="AF230" s="183" t="s">
        <v>600</v>
      </c>
      <c r="AG230" s="184" t="s">
        <v>460</v>
      </c>
    </row>
    <row r="231" spans="1:33" ht="140.25" hidden="1" x14ac:dyDescent="0.2">
      <c r="A231" s="162" t="s">
        <v>880</v>
      </c>
      <c r="B231" s="162" t="s">
        <v>636</v>
      </c>
      <c r="C231" s="162" t="s">
        <v>1148</v>
      </c>
      <c r="D231" s="162" t="s">
        <v>635</v>
      </c>
      <c r="E231" s="161" t="s">
        <v>175</v>
      </c>
      <c r="F231" s="162" t="s">
        <v>1197</v>
      </c>
      <c r="G231" s="162" t="s">
        <v>1165</v>
      </c>
      <c r="H231" s="170" t="s">
        <v>1198</v>
      </c>
      <c r="I231" s="173" t="s">
        <v>421</v>
      </c>
      <c r="J231" s="173" t="s">
        <v>422</v>
      </c>
      <c r="K231" s="174" t="s">
        <v>460</v>
      </c>
      <c r="L231" s="174" t="s">
        <v>469</v>
      </c>
      <c r="M231" s="175" t="s">
        <v>1167</v>
      </c>
      <c r="N231" s="175" t="s">
        <v>423</v>
      </c>
      <c r="O231" s="176" t="s">
        <v>1166</v>
      </c>
      <c r="P231" s="177" t="s">
        <v>185</v>
      </c>
      <c r="Q231" s="178">
        <f t="shared" si="134"/>
        <v>2</v>
      </c>
      <c r="R231" s="177" t="s">
        <v>416</v>
      </c>
      <c r="S231" s="179">
        <f t="shared" si="135"/>
        <v>3</v>
      </c>
      <c r="T231" s="180">
        <f t="shared" si="136"/>
        <v>6</v>
      </c>
      <c r="U231" s="181" t="str">
        <f t="shared" si="137"/>
        <v>Medio</v>
      </c>
      <c r="V231" s="181" t="s">
        <v>187</v>
      </c>
      <c r="W231" s="179">
        <f t="shared" si="138"/>
        <v>25</v>
      </c>
      <c r="X231" s="180">
        <f t="shared" si="139"/>
        <v>150</v>
      </c>
      <c r="Y231" s="181" t="str">
        <f t="shared" si="140"/>
        <v>Nivel II: Riesgo Importante</v>
      </c>
      <c r="Z231" s="163">
        <v>1</v>
      </c>
      <c r="AA231" s="163" t="s">
        <v>1151</v>
      </c>
      <c r="AB231" s="175" t="s">
        <v>424</v>
      </c>
      <c r="AC231" s="175" t="s">
        <v>424</v>
      </c>
      <c r="AD231" s="175" t="s">
        <v>424</v>
      </c>
      <c r="AE231" s="182" t="s">
        <v>1196</v>
      </c>
      <c r="AF231" s="183" t="s">
        <v>600</v>
      </c>
      <c r="AG231" s="184" t="s">
        <v>460</v>
      </c>
    </row>
    <row r="232" spans="1:33" ht="63.75" hidden="1" x14ac:dyDescent="0.2">
      <c r="A232" s="162" t="s">
        <v>880</v>
      </c>
      <c r="B232" s="162" t="s">
        <v>636</v>
      </c>
      <c r="C232" s="162" t="s">
        <v>1148</v>
      </c>
      <c r="D232" s="162" t="s">
        <v>635</v>
      </c>
      <c r="E232" s="161" t="s">
        <v>999</v>
      </c>
      <c r="F232" s="162" t="s">
        <v>292</v>
      </c>
      <c r="G232" s="162" t="s">
        <v>1149</v>
      </c>
      <c r="H232" s="162" t="s">
        <v>472</v>
      </c>
      <c r="I232" s="163" t="s">
        <v>421</v>
      </c>
      <c r="J232" s="163" t="s">
        <v>461</v>
      </c>
      <c r="K232" s="163" t="s">
        <v>460</v>
      </c>
      <c r="L232" s="163" t="s">
        <v>469</v>
      </c>
      <c r="M232" s="161" t="s">
        <v>606</v>
      </c>
      <c r="N232" s="161" t="s">
        <v>1069</v>
      </c>
      <c r="O232" s="162" t="s">
        <v>1070</v>
      </c>
      <c r="P232" s="163" t="s">
        <v>184</v>
      </c>
      <c r="Q232" s="171">
        <f t="shared" si="134"/>
        <v>1</v>
      </c>
      <c r="R232" s="163" t="s">
        <v>429</v>
      </c>
      <c r="S232" s="172">
        <f t="shared" si="135"/>
        <v>2</v>
      </c>
      <c r="T232" s="166">
        <f t="shared" si="136"/>
        <v>2</v>
      </c>
      <c r="U232" s="163" t="str">
        <f t="shared" si="137"/>
        <v>Bajo</v>
      </c>
      <c r="V232" s="163" t="s">
        <v>428</v>
      </c>
      <c r="W232" s="172">
        <f t="shared" si="138"/>
        <v>10</v>
      </c>
      <c r="X232" s="166">
        <f t="shared" si="139"/>
        <v>20</v>
      </c>
      <c r="Y232" s="163" t="str">
        <f t="shared" si="140"/>
        <v>Nivel IV: Riesgo Tolerable (Aceptable)</v>
      </c>
      <c r="Z232" s="163">
        <v>1</v>
      </c>
      <c r="AA232" s="163" t="s">
        <v>1151</v>
      </c>
      <c r="AB232" s="161" t="s">
        <v>424</v>
      </c>
      <c r="AC232" s="161" t="s">
        <v>424</v>
      </c>
      <c r="AD232" s="161" t="s">
        <v>424</v>
      </c>
      <c r="AE232" s="161" t="s">
        <v>1071</v>
      </c>
      <c r="AF232" s="161" t="s">
        <v>600</v>
      </c>
      <c r="AG232" s="166" t="s">
        <v>460</v>
      </c>
    </row>
    <row r="233" spans="1:33" ht="76.5" hidden="1" x14ac:dyDescent="0.2">
      <c r="A233" s="162" t="s">
        <v>880</v>
      </c>
      <c r="B233" s="162" t="s">
        <v>636</v>
      </c>
      <c r="C233" s="162" t="s">
        <v>1148</v>
      </c>
      <c r="D233" s="162" t="s">
        <v>635</v>
      </c>
      <c r="E233" s="161" t="s">
        <v>999</v>
      </c>
      <c r="F233" s="162" t="s">
        <v>288</v>
      </c>
      <c r="G233" s="162" t="s">
        <v>1131</v>
      </c>
      <c r="H233" s="162" t="s">
        <v>614</v>
      </c>
      <c r="I233" s="163" t="s">
        <v>421</v>
      </c>
      <c r="J233" s="163" t="s">
        <v>461</v>
      </c>
      <c r="K233" s="163" t="s">
        <v>460</v>
      </c>
      <c r="L233" s="163" t="s">
        <v>469</v>
      </c>
      <c r="M233" s="166" t="s">
        <v>423</v>
      </c>
      <c r="N233" s="162" t="s">
        <v>1132</v>
      </c>
      <c r="O233" s="162" t="s">
        <v>1026</v>
      </c>
      <c r="P233" s="163" t="s">
        <v>184</v>
      </c>
      <c r="Q233" s="171">
        <f t="shared" si="134"/>
        <v>1</v>
      </c>
      <c r="R233" s="163" t="s">
        <v>485</v>
      </c>
      <c r="S233" s="172">
        <f t="shared" si="135"/>
        <v>1</v>
      </c>
      <c r="T233" s="166">
        <f t="shared" si="136"/>
        <v>1</v>
      </c>
      <c r="U233" s="163" t="str">
        <f t="shared" si="137"/>
        <v>Bajo</v>
      </c>
      <c r="V233" s="163" t="s">
        <v>187</v>
      </c>
      <c r="W233" s="172">
        <f t="shared" si="138"/>
        <v>25</v>
      </c>
      <c r="X233" s="166">
        <f t="shared" si="139"/>
        <v>25</v>
      </c>
      <c r="Y233" s="163" t="str">
        <f t="shared" si="140"/>
        <v>Nivel IV: Riesgo Tolerable (Aceptable)</v>
      </c>
      <c r="Z233" s="163">
        <v>1</v>
      </c>
      <c r="AA233" s="163" t="s">
        <v>1151</v>
      </c>
      <c r="AB233" s="161" t="s">
        <v>424</v>
      </c>
      <c r="AC233" s="161" t="s">
        <v>424</v>
      </c>
      <c r="AD233" s="161" t="s">
        <v>424</v>
      </c>
      <c r="AE233" s="161" t="s">
        <v>1066</v>
      </c>
      <c r="AF233" s="161" t="s">
        <v>600</v>
      </c>
      <c r="AG233" s="166" t="s">
        <v>460</v>
      </c>
    </row>
    <row r="234" spans="1:33" ht="76.5" hidden="1" x14ac:dyDescent="0.2">
      <c r="A234" s="162" t="s">
        <v>880</v>
      </c>
      <c r="B234" s="162" t="s">
        <v>636</v>
      </c>
      <c r="C234" s="162" t="s">
        <v>1148</v>
      </c>
      <c r="D234" s="162" t="s">
        <v>635</v>
      </c>
      <c r="E234" s="161" t="s">
        <v>999</v>
      </c>
      <c r="F234" s="162" t="s">
        <v>1117</v>
      </c>
      <c r="G234" s="162" t="s">
        <v>564</v>
      </c>
      <c r="H234" s="162" t="s">
        <v>1072</v>
      </c>
      <c r="I234" s="163" t="s">
        <v>421</v>
      </c>
      <c r="J234" s="163" t="s">
        <v>461</v>
      </c>
      <c r="K234" s="163" t="s">
        <v>460</v>
      </c>
      <c r="L234" s="163" t="s">
        <v>469</v>
      </c>
      <c r="M234" s="166" t="s">
        <v>423</v>
      </c>
      <c r="N234" s="166" t="s">
        <v>423</v>
      </c>
      <c r="O234" s="162" t="s">
        <v>1026</v>
      </c>
      <c r="P234" s="163" t="s">
        <v>184</v>
      </c>
      <c r="Q234" s="171">
        <f t="shared" si="134"/>
        <v>1</v>
      </c>
      <c r="R234" s="163" t="s">
        <v>485</v>
      </c>
      <c r="S234" s="172">
        <f t="shared" si="135"/>
        <v>1</v>
      </c>
      <c r="T234" s="166">
        <f t="shared" si="136"/>
        <v>1</v>
      </c>
      <c r="U234" s="163" t="str">
        <f t="shared" si="137"/>
        <v>Bajo</v>
      </c>
      <c r="V234" s="163" t="s">
        <v>428</v>
      </c>
      <c r="W234" s="172">
        <f t="shared" si="138"/>
        <v>10</v>
      </c>
      <c r="X234" s="166">
        <f t="shared" si="139"/>
        <v>10</v>
      </c>
      <c r="Y234" s="163" t="str">
        <f t="shared" si="140"/>
        <v>Nivel IV: Riesgo Tolerable (Aceptable)</v>
      </c>
      <c r="Z234" s="163">
        <v>1</v>
      </c>
      <c r="AA234" s="163" t="s">
        <v>1151</v>
      </c>
      <c r="AB234" s="161" t="s">
        <v>424</v>
      </c>
      <c r="AC234" s="161" t="s">
        <v>424</v>
      </c>
      <c r="AD234" s="161" t="s">
        <v>424</v>
      </c>
      <c r="AE234" s="161" t="s">
        <v>1066</v>
      </c>
      <c r="AF234" s="161" t="s">
        <v>600</v>
      </c>
      <c r="AG234" s="166" t="s">
        <v>460</v>
      </c>
    </row>
    <row r="235" spans="1:33" ht="76.5" hidden="1" x14ac:dyDescent="0.2">
      <c r="A235" s="162" t="s">
        <v>880</v>
      </c>
      <c r="B235" s="162" t="s">
        <v>636</v>
      </c>
      <c r="C235" s="162" t="s">
        <v>1148</v>
      </c>
      <c r="D235" s="162" t="s">
        <v>635</v>
      </c>
      <c r="E235" s="161" t="s">
        <v>999</v>
      </c>
      <c r="F235" s="162" t="s">
        <v>1119</v>
      </c>
      <c r="G235" s="162" t="s">
        <v>1133</v>
      </c>
      <c r="H235" s="162" t="s">
        <v>966</v>
      </c>
      <c r="I235" s="163" t="s">
        <v>421</v>
      </c>
      <c r="J235" s="163" t="s">
        <v>422</v>
      </c>
      <c r="K235" s="163" t="s">
        <v>460</v>
      </c>
      <c r="L235" s="163" t="s">
        <v>469</v>
      </c>
      <c r="M235" s="161" t="s">
        <v>1163</v>
      </c>
      <c r="N235" s="161" t="s">
        <v>1164</v>
      </c>
      <c r="O235" s="164" t="s">
        <v>1026</v>
      </c>
      <c r="P235" s="163" t="s">
        <v>184</v>
      </c>
      <c r="Q235" s="171">
        <f t="shared" si="134"/>
        <v>1</v>
      </c>
      <c r="R235" s="163" t="s">
        <v>416</v>
      </c>
      <c r="S235" s="172">
        <f t="shared" si="135"/>
        <v>3</v>
      </c>
      <c r="T235" s="166">
        <f t="shared" si="136"/>
        <v>3</v>
      </c>
      <c r="U235" s="163" t="s">
        <v>184</v>
      </c>
      <c r="V235" s="163" t="s">
        <v>187</v>
      </c>
      <c r="W235" s="172">
        <f t="shared" si="138"/>
        <v>25</v>
      </c>
      <c r="X235" s="166">
        <f t="shared" si="139"/>
        <v>75</v>
      </c>
      <c r="Y235" s="163" t="str">
        <f t="shared" si="140"/>
        <v>Nivel III: Riesgo Moderado (Aceptable)</v>
      </c>
      <c r="Z235" s="163">
        <v>1</v>
      </c>
      <c r="AA235" s="163" t="s">
        <v>1151</v>
      </c>
      <c r="AB235" s="161" t="s">
        <v>424</v>
      </c>
      <c r="AC235" s="161" t="s">
        <v>424</v>
      </c>
      <c r="AD235" s="161" t="s">
        <v>424</v>
      </c>
      <c r="AE235" s="167" t="s">
        <v>1134</v>
      </c>
      <c r="AF235" s="161" t="s">
        <v>600</v>
      </c>
      <c r="AG235" s="166" t="s">
        <v>460</v>
      </c>
    </row>
    <row r="236" spans="1:33" ht="76.5" hidden="1" x14ac:dyDescent="0.2">
      <c r="A236" s="162" t="s">
        <v>880</v>
      </c>
      <c r="B236" s="162" t="s">
        <v>636</v>
      </c>
      <c r="C236" s="162" t="s">
        <v>1148</v>
      </c>
      <c r="D236" s="162" t="s">
        <v>635</v>
      </c>
      <c r="E236" s="161" t="s">
        <v>999</v>
      </c>
      <c r="F236" s="162" t="s">
        <v>1120</v>
      </c>
      <c r="G236" s="162" t="s">
        <v>1159</v>
      </c>
      <c r="H236" s="162" t="s">
        <v>979</v>
      </c>
      <c r="I236" s="163" t="s">
        <v>421</v>
      </c>
      <c r="J236" s="163" t="s">
        <v>422</v>
      </c>
      <c r="K236" s="163" t="s">
        <v>460</v>
      </c>
      <c r="L236" s="163" t="s">
        <v>469</v>
      </c>
      <c r="M236" s="165" t="s">
        <v>423</v>
      </c>
      <c r="N236" s="161" t="s">
        <v>1142</v>
      </c>
      <c r="O236" s="162" t="s">
        <v>1141</v>
      </c>
      <c r="P236" s="163" t="s">
        <v>184</v>
      </c>
      <c r="Q236" s="171">
        <f>IF(P236="Muy Alto",10,IF(P236="Alto",6,IF(P236="Medio",2,IF(P236="Bajo",1,))))</f>
        <v>1</v>
      </c>
      <c r="R236" s="163" t="s">
        <v>416</v>
      </c>
      <c r="S236" s="172">
        <f>IF(R236="Continua",4,IF(R236="Frecuente",3,IF(R236="Ocasional",2,IF(R236="Esporádica",1,))))</f>
        <v>3</v>
      </c>
      <c r="T236" s="166">
        <f>Q236*S236</f>
        <v>3</v>
      </c>
      <c r="U236" s="163" t="s">
        <v>184</v>
      </c>
      <c r="V236" s="163" t="s">
        <v>187</v>
      </c>
      <c r="W236" s="172">
        <f>IF(V236="Mortal o catastrófico",100,IF(V236="Muy grave",60,IF(V236="Grave",25,IF(V236="Leve",10,))))</f>
        <v>25</v>
      </c>
      <c r="X236" s="166">
        <f>T236*W236</f>
        <v>75</v>
      </c>
      <c r="Y236" s="163" t="str">
        <f>IF(AND(X236&gt;=600,X236&lt;=4000),"Nivel I: Riesgo Inaceptable",IF(AND(X236&gt;=150,X236&lt;=500),"Nivel II: Riesgo Importante",IF(AND(X236&gt;=40,X236&lt;=120),"Nivel III: Riesgo Moderado (Aceptable)","Nivel IV: Riesgo Tolerable (Aceptable)")))</f>
        <v>Nivel III: Riesgo Moderado (Aceptable)</v>
      </c>
      <c r="Z236" s="163">
        <v>1</v>
      </c>
      <c r="AA236" s="163" t="s">
        <v>1151</v>
      </c>
      <c r="AB236" s="161" t="s">
        <v>424</v>
      </c>
      <c r="AC236" s="161" t="s">
        <v>424</v>
      </c>
      <c r="AD236" s="161" t="s">
        <v>424</v>
      </c>
      <c r="AE236" s="161" t="s">
        <v>1138</v>
      </c>
      <c r="AF236" s="161" t="s">
        <v>600</v>
      </c>
      <c r="AG236" s="166" t="s">
        <v>460</v>
      </c>
    </row>
    <row r="237" spans="1:33" ht="76.5" hidden="1" x14ac:dyDescent="0.2">
      <c r="A237" s="162" t="s">
        <v>880</v>
      </c>
      <c r="B237" s="162" t="s">
        <v>636</v>
      </c>
      <c r="C237" s="162" t="s">
        <v>1148</v>
      </c>
      <c r="D237" s="162" t="s">
        <v>635</v>
      </c>
      <c r="E237" s="161" t="s">
        <v>999</v>
      </c>
      <c r="F237" s="162" t="s">
        <v>1121</v>
      </c>
      <c r="G237" s="162" t="s">
        <v>1139</v>
      </c>
      <c r="H237" s="162" t="s">
        <v>979</v>
      </c>
      <c r="I237" s="163" t="s">
        <v>421</v>
      </c>
      <c r="J237" s="163" t="s">
        <v>461</v>
      </c>
      <c r="K237" s="163" t="s">
        <v>460</v>
      </c>
      <c r="L237" s="163" t="s">
        <v>469</v>
      </c>
      <c r="M237" s="165" t="s">
        <v>423</v>
      </c>
      <c r="N237" s="161" t="s">
        <v>1140</v>
      </c>
      <c r="O237" s="162" t="s">
        <v>1092</v>
      </c>
      <c r="P237" s="163" t="s">
        <v>184</v>
      </c>
      <c r="Q237" s="171">
        <f>IF(P237="Muy Alto",10,IF(P237="Alto",6,IF(P237="Medio",2,IF(P237="Bajo",1,))))</f>
        <v>1</v>
      </c>
      <c r="R237" s="163" t="s">
        <v>485</v>
      </c>
      <c r="S237" s="172">
        <f>IF(R237="Continua",4,IF(R237="Frecuente",3,IF(R237="Ocasional",2,IF(R237="Esporádica",1,))))</f>
        <v>1</v>
      </c>
      <c r="T237" s="166">
        <f>Q237*S237</f>
        <v>1</v>
      </c>
      <c r="U237" s="163" t="s">
        <v>184</v>
      </c>
      <c r="V237" s="163" t="s">
        <v>187</v>
      </c>
      <c r="W237" s="172">
        <f>IF(V237="Mortal o catastrófico",100,IF(V237="Muy grave",60,IF(V237="Grave",25,IF(V237="Leve",10,))))</f>
        <v>25</v>
      </c>
      <c r="X237" s="166">
        <f>T237*W237</f>
        <v>25</v>
      </c>
      <c r="Y237" s="163" t="str">
        <f>IF(AND(X237&gt;=600,X237&lt;=4000),"Nivel I: Riesgo Inaceptable",IF(AND(X237&gt;=150,X237&lt;=500),"Nivel II: Riesgo Importante",IF(AND(X237&gt;=40,X237&lt;=120),"Nivel III: Riesgo Moderado (Aceptable)","Nivel IV: Riesgo Tolerable (Aceptable)")))</f>
        <v>Nivel IV: Riesgo Tolerable (Aceptable)</v>
      </c>
      <c r="Z237" s="163">
        <v>1</v>
      </c>
      <c r="AA237" s="163" t="s">
        <v>1151</v>
      </c>
      <c r="AB237" s="161" t="s">
        <v>424</v>
      </c>
      <c r="AC237" s="161" t="s">
        <v>424</v>
      </c>
      <c r="AD237" s="161" t="s">
        <v>424</v>
      </c>
      <c r="AE237" s="161" t="s">
        <v>1088</v>
      </c>
      <c r="AF237" s="161" t="s">
        <v>600</v>
      </c>
      <c r="AG237" s="166" t="s">
        <v>460</v>
      </c>
    </row>
    <row r="238" spans="1:33" ht="102" hidden="1" x14ac:dyDescent="0.2">
      <c r="A238" s="162" t="s">
        <v>880</v>
      </c>
      <c r="B238" s="162" t="s">
        <v>636</v>
      </c>
      <c r="C238" s="162" t="s">
        <v>1148</v>
      </c>
      <c r="D238" s="162" t="s">
        <v>635</v>
      </c>
      <c r="E238" s="161" t="s">
        <v>995</v>
      </c>
      <c r="F238" s="162" t="s">
        <v>714</v>
      </c>
      <c r="G238" s="162" t="s">
        <v>1036</v>
      </c>
      <c r="H238" s="162" t="s">
        <v>1135</v>
      </c>
      <c r="I238" s="163" t="s">
        <v>421</v>
      </c>
      <c r="J238" s="163" t="s">
        <v>461</v>
      </c>
      <c r="K238" s="163" t="s">
        <v>460</v>
      </c>
      <c r="L238" s="163" t="s">
        <v>469</v>
      </c>
      <c r="M238" s="161" t="s">
        <v>423</v>
      </c>
      <c r="N238" s="161" t="s">
        <v>1136</v>
      </c>
      <c r="O238" s="164" t="s">
        <v>1038</v>
      </c>
      <c r="P238" s="163" t="s">
        <v>184</v>
      </c>
      <c r="Q238" s="171">
        <f t="shared" ref="Q238:Q240" si="141">IF(P238="Muy Alto",10,IF(P238="Alto",6,IF(P238="Medio",2,IF(P238="Bajo",1,))))</f>
        <v>1</v>
      </c>
      <c r="R238" s="163" t="s">
        <v>485</v>
      </c>
      <c r="S238" s="172">
        <f t="shared" ref="S238:S240" si="142">IF(R238="Continua",4,IF(R238="Frecuente",3,IF(R238="Ocasional",2,IF(R238="Esporádica",1,))))</f>
        <v>1</v>
      </c>
      <c r="T238" s="166">
        <f t="shared" ref="T238:T240" si="143">Q238*S238</f>
        <v>1</v>
      </c>
      <c r="U238" s="163" t="str">
        <f t="shared" ref="U238" si="144">IF(AND(T238&gt;=0,T238&lt;=4),"Bajo",IF(AND(T238&gt;=6,T238&lt;=8),"Medio",IF(AND(T238&gt;=10,T238&lt;=20),"Alto",IF(AND(T238&gt;=20,T238&lt;=40),"Muy Alto",))))</f>
        <v>Bajo</v>
      </c>
      <c r="V238" s="163" t="s">
        <v>187</v>
      </c>
      <c r="W238" s="172">
        <f t="shared" ref="W238:W240" si="145">IF(V238="Mortal o catastrófico",100,IF(V238="Muy grave",60,IF(V238="Grave",25,IF(V238="Leve",10,))))</f>
        <v>25</v>
      </c>
      <c r="X238" s="166">
        <f t="shared" ref="X238:X240" si="146">T238*W238</f>
        <v>25</v>
      </c>
      <c r="Y238" s="163" t="str">
        <f t="shared" ref="Y238:Y240" si="147">IF(AND(X238&gt;=600,X238&lt;=4000),"Nivel I: Riesgo Inaceptable",IF(AND(X238&gt;=150,X238&lt;=500),"Nivel II: Riesgo Importante",IF(AND(X238&gt;=40,X238&lt;=120),"Nivel III: Riesgo Moderado (Aceptable)","Nivel IV: Riesgo Tolerable (Aceptable)")))</f>
        <v>Nivel IV: Riesgo Tolerable (Aceptable)</v>
      </c>
      <c r="Z238" s="163">
        <v>1</v>
      </c>
      <c r="AA238" s="163" t="s">
        <v>1151</v>
      </c>
      <c r="AB238" s="161" t="s">
        <v>424</v>
      </c>
      <c r="AC238" s="161" t="s">
        <v>424</v>
      </c>
      <c r="AD238" s="161" t="s">
        <v>424</v>
      </c>
      <c r="AE238" s="161" t="s">
        <v>1039</v>
      </c>
      <c r="AF238" s="161" t="s">
        <v>1040</v>
      </c>
      <c r="AG238" s="166" t="s">
        <v>460</v>
      </c>
    </row>
    <row r="239" spans="1:33" ht="89.25" hidden="1" x14ac:dyDescent="0.2">
      <c r="A239" s="162" t="s">
        <v>880</v>
      </c>
      <c r="B239" s="162" t="s">
        <v>636</v>
      </c>
      <c r="C239" s="162" t="s">
        <v>1148</v>
      </c>
      <c r="D239" s="162" t="s">
        <v>635</v>
      </c>
      <c r="E239" s="161" t="s">
        <v>1000</v>
      </c>
      <c r="F239" s="162" t="s">
        <v>1123</v>
      </c>
      <c r="G239" s="162" t="s">
        <v>1143</v>
      </c>
      <c r="H239" s="162" t="s">
        <v>1237</v>
      </c>
      <c r="I239" s="163" t="s">
        <v>421</v>
      </c>
      <c r="J239" s="163" t="s">
        <v>422</v>
      </c>
      <c r="K239" s="163" t="s">
        <v>460</v>
      </c>
      <c r="L239" s="163" t="s">
        <v>469</v>
      </c>
      <c r="M239" s="161" t="s">
        <v>423</v>
      </c>
      <c r="N239" s="161" t="s">
        <v>1145</v>
      </c>
      <c r="O239" s="162" t="s">
        <v>1144</v>
      </c>
      <c r="P239" s="163" t="s">
        <v>184</v>
      </c>
      <c r="Q239" s="171">
        <f t="shared" si="141"/>
        <v>1</v>
      </c>
      <c r="R239" s="163" t="s">
        <v>485</v>
      </c>
      <c r="S239" s="172">
        <f t="shared" si="142"/>
        <v>1</v>
      </c>
      <c r="T239" s="166">
        <f t="shared" si="143"/>
        <v>1</v>
      </c>
      <c r="U239" s="163" t="s">
        <v>184</v>
      </c>
      <c r="V239" s="163" t="s">
        <v>187</v>
      </c>
      <c r="W239" s="172">
        <f t="shared" si="145"/>
        <v>25</v>
      </c>
      <c r="X239" s="166">
        <f t="shared" si="146"/>
        <v>25</v>
      </c>
      <c r="Y239" s="163" t="str">
        <f t="shared" si="147"/>
        <v>Nivel IV: Riesgo Tolerable (Aceptable)</v>
      </c>
      <c r="Z239" s="163">
        <v>1</v>
      </c>
      <c r="AA239" s="163" t="s">
        <v>1151</v>
      </c>
      <c r="AB239" s="161" t="s">
        <v>424</v>
      </c>
      <c r="AC239" s="161" t="s">
        <v>424</v>
      </c>
      <c r="AD239" s="161" t="s">
        <v>424</v>
      </c>
      <c r="AE239" s="161" t="s">
        <v>1147</v>
      </c>
      <c r="AF239" s="161" t="s">
        <v>600</v>
      </c>
      <c r="AG239" s="166" t="s">
        <v>460</v>
      </c>
    </row>
    <row r="240" spans="1:33" ht="51" hidden="1" x14ac:dyDescent="0.2">
      <c r="A240" s="162" t="s">
        <v>880</v>
      </c>
      <c r="B240" s="162" t="s">
        <v>636</v>
      </c>
      <c r="C240" s="162" t="s">
        <v>1148</v>
      </c>
      <c r="D240" s="162" t="s">
        <v>635</v>
      </c>
      <c r="E240" s="161" t="s">
        <v>1000</v>
      </c>
      <c r="F240" s="162" t="s">
        <v>1127</v>
      </c>
      <c r="G240" s="162" t="s">
        <v>1152</v>
      </c>
      <c r="H240" s="162" t="s">
        <v>1237</v>
      </c>
      <c r="I240" s="163" t="s">
        <v>421</v>
      </c>
      <c r="J240" s="163" t="s">
        <v>422</v>
      </c>
      <c r="K240" s="163" t="s">
        <v>460</v>
      </c>
      <c r="L240" s="163" t="s">
        <v>469</v>
      </c>
      <c r="M240" s="161" t="s">
        <v>423</v>
      </c>
      <c r="N240" s="161" t="s">
        <v>423</v>
      </c>
      <c r="O240" s="162" t="s">
        <v>1144</v>
      </c>
      <c r="P240" s="163" t="s">
        <v>184</v>
      </c>
      <c r="Q240" s="171">
        <f t="shared" si="141"/>
        <v>1</v>
      </c>
      <c r="R240" s="163" t="s">
        <v>485</v>
      </c>
      <c r="S240" s="172">
        <f t="shared" si="142"/>
        <v>1</v>
      </c>
      <c r="T240" s="166">
        <f t="shared" si="143"/>
        <v>1</v>
      </c>
      <c r="U240" s="163" t="s">
        <v>184</v>
      </c>
      <c r="V240" s="163" t="s">
        <v>187</v>
      </c>
      <c r="W240" s="172">
        <f t="shared" si="145"/>
        <v>25</v>
      </c>
      <c r="X240" s="166">
        <f t="shared" si="146"/>
        <v>25</v>
      </c>
      <c r="Y240" s="163" t="str">
        <f t="shared" si="147"/>
        <v>Nivel IV: Riesgo Tolerable (Aceptable)</v>
      </c>
      <c r="Z240" s="163">
        <v>1</v>
      </c>
      <c r="AA240" s="163" t="s">
        <v>1151</v>
      </c>
      <c r="AB240" s="161" t="s">
        <v>424</v>
      </c>
      <c r="AC240" s="161" t="s">
        <v>424</v>
      </c>
      <c r="AD240" s="161" t="s">
        <v>424</v>
      </c>
      <c r="AE240" s="161" t="s">
        <v>1025</v>
      </c>
      <c r="AF240" s="161" t="s">
        <v>600</v>
      </c>
      <c r="AG240" s="166" t="s">
        <v>460</v>
      </c>
    </row>
    <row r="241" spans="1:33" ht="102" hidden="1" x14ac:dyDescent="0.2">
      <c r="A241" s="162" t="s">
        <v>880</v>
      </c>
      <c r="B241" s="162" t="s">
        <v>636</v>
      </c>
      <c r="C241" s="162" t="s">
        <v>1148</v>
      </c>
      <c r="D241" s="162" t="s">
        <v>635</v>
      </c>
      <c r="E241" s="161" t="s">
        <v>996</v>
      </c>
      <c r="F241" s="162" t="s">
        <v>430</v>
      </c>
      <c r="G241" s="162" t="s">
        <v>486</v>
      </c>
      <c r="H241" s="162" t="s">
        <v>623</v>
      </c>
      <c r="I241" s="163" t="s">
        <v>421</v>
      </c>
      <c r="J241" s="163" t="s">
        <v>422</v>
      </c>
      <c r="K241" s="163" t="s">
        <v>460</v>
      </c>
      <c r="L241" s="163" t="s">
        <v>469</v>
      </c>
      <c r="M241" s="163" t="s">
        <v>1074</v>
      </c>
      <c r="N241" s="169" t="s">
        <v>1073</v>
      </c>
      <c r="O241" s="162" t="s">
        <v>1032</v>
      </c>
      <c r="P241" s="163" t="s">
        <v>184</v>
      </c>
      <c r="Q241" s="171">
        <f>IF(P241="Muy Alto",10,IF(P241="Alto",6,IF(P241="Medio",2,IF(P241="Bajo",1,))))</f>
        <v>1</v>
      </c>
      <c r="R241" s="163" t="s">
        <v>485</v>
      </c>
      <c r="S241" s="172">
        <f>IF(R241="Continua",4,IF(R241="Frecuente",3,IF(R241="Ocasional",2,IF(R241="Esporádica",1,))))</f>
        <v>1</v>
      </c>
      <c r="T241" s="166">
        <f>Q241*S241</f>
        <v>1</v>
      </c>
      <c r="U241" s="163" t="str">
        <f>IF(AND(T241&gt;=0,T241&lt;=4),"Bajo",IF(AND(T241&gt;=6,T241&lt;=8),"Medio",IF(AND(T241&gt;=10,T241&lt;=20),"Alto",IF(AND(T241&gt;=20,T241&lt;=40),"Muy Alto",))))</f>
        <v>Bajo</v>
      </c>
      <c r="V241" s="163" t="s">
        <v>428</v>
      </c>
      <c r="W241" s="172">
        <f>IF(V241="Mortal o catastrófico",100,IF(V241="Muy grave",60,IF(V241="Grave",25,IF(V241="Leve",10,))))</f>
        <v>10</v>
      </c>
      <c r="X241" s="166">
        <f>T241*W241</f>
        <v>10</v>
      </c>
      <c r="Y241" s="163" t="str">
        <f>IF(AND(X241&gt;=600,X241&lt;=4000),"Nivel I: Riesgo Inaceptable",IF(AND(X241&gt;=150,X241&lt;=500),"Nivel II: Riesgo Importante",IF(AND(X241&gt;=40,X241&lt;=120),"Nivel III: Riesgo Moderado (Aceptable)","Nivel IV: Riesgo Tolerable (Aceptable)")))</f>
        <v>Nivel IV: Riesgo Tolerable (Aceptable)</v>
      </c>
      <c r="Z241" s="163">
        <v>1</v>
      </c>
      <c r="AA241" s="163" t="s">
        <v>1151</v>
      </c>
      <c r="AB241" s="161" t="s">
        <v>424</v>
      </c>
      <c r="AC241" s="161" t="s">
        <v>424</v>
      </c>
      <c r="AD241" s="161" t="s">
        <v>424</v>
      </c>
      <c r="AE241" s="161" t="s">
        <v>1075</v>
      </c>
      <c r="AF241" s="161" t="s">
        <v>600</v>
      </c>
      <c r="AG241" s="166" t="s">
        <v>460</v>
      </c>
    </row>
    <row r="242" spans="1:33" ht="102" hidden="1" x14ac:dyDescent="0.2">
      <c r="A242" s="162" t="s">
        <v>880</v>
      </c>
      <c r="B242" s="162" t="s">
        <v>636</v>
      </c>
      <c r="C242" s="162" t="s">
        <v>1148</v>
      </c>
      <c r="D242" s="162" t="s">
        <v>635</v>
      </c>
      <c r="E242" s="161" t="s">
        <v>996</v>
      </c>
      <c r="F242" s="162" t="s">
        <v>1146</v>
      </c>
      <c r="G242" s="162" t="s">
        <v>1162</v>
      </c>
      <c r="H242" s="162" t="s">
        <v>623</v>
      </c>
      <c r="I242" s="163" t="s">
        <v>421</v>
      </c>
      <c r="J242" s="163" t="s">
        <v>422</v>
      </c>
      <c r="K242" s="163" t="s">
        <v>460</v>
      </c>
      <c r="L242" s="163" t="s">
        <v>469</v>
      </c>
      <c r="M242" s="163" t="s">
        <v>1074</v>
      </c>
      <c r="N242" s="169" t="s">
        <v>1073</v>
      </c>
      <c r="O242" s="162" t="s">
        <v>1032</v>
      </c>
      <c r="P242" s="163" t="s">
        <v>184</v>
      </c>
      <c r="Q242" s="171">
        <f>IF(P242="Muy Alto",10,IF(P242="Alto",6,IF(P242="Medio",2,IF(P242="Bajo",1,))))</f>
        <v>1</v>
      </c>
      <c r="R242" s="163" t="s">
        <v>416</v>
      </c>
      <c r="S242" s="172">
        <f>IF(R242="Continua",4,IF(R242="Frecuente",3,IF(R242="Ocasional",2,IF(R242="Esporádica",1,))))</f>
        <v>3</v>
      </c>
      <c r="T242" s="166">
        <f>Q242*S242</f>
        <v>3</v>
      </c>
      <c r="U242" s="163" t="str">
        <f>IF(AND(T242&gt;=0,T242&lt;=4),"Bajo",IF(AND(T242&gt;=6,T242&lt;=8),"Medio",IF(AND(T242&gt;=10,T242&lt;=20),"Alto",IF(AND(T242&gt;=20,T242&lt;=40),"Muy Alto",))))</f>
        <v>Bajo</v>
      </c>
      <c r="V242" s="163" t="s">
        <v>428</v>
      </c>
      <c r="W242" s="172">
        <f>IF(V242="Mortal o catastrófico",100,IF(V242="Muy grave",60,IF(V242="Grave",25,IF(V242="Leve",10,))))</f>
        <v>10</v>
      </c>
      <c r="X242" s="166">
        <f>T242*W242</f>
        <v>30</v>
      </c>
      <c r="Y242" s="163" t="str">
        <f>IF(AND(X242&gt;=600,X242&lt;=4000),"Nivel I: Riesgo Inaceptable",IF(AND(X242&gt;=150,X242&lt;=500),"Nivel II: Riesgo Importante",IF(AND(X242&gt;=40,X242&lt;=120),"Nivel III: Riesgo Moderado (Aceptable)","Nivel IV: Riesgo Tolerable (Aceptable)")))</f>
        <v>Nivel IV: Riesgo Tolerable (Aceptable)</v>
      </c>
      <c r="Z242" s="163">
        <v>1</v>
      </c>
      <c r="AA242" s="163" t="s">
        <v>1151</v>
      </c>
      <c r="AB242" s="161" t="s">
        <v>424</v>
      </c>
      <c r="AC242" s="161" t="s">
        <v>424</v>
      </c>
      <c r="AD242" s="161" t="s">
        <v>424</v>
      </c>
      <c r="AE242" s="161" t="s">
        <v>1075</v>
      </c>
      <c r="AF242" s="161" t="s">
        <v>600</v>
      </c>
      <c r="AG242" s="166" t="s">
        <v>460</v>
      </c>
    </row>
    <row r="243" spans="1:33" ht="127.5" hidden="1" x14ac:dyDescent="0.2">
      <c r="A243" s="162" t="s">
        <v>880</v>
      </c>
      <c r="B243" s="162" t="s">
        <v>1233</v>
      </c>
      <c r="C243" s="162" t="s">
        <v>1154</v>
      </c>
      <c r="D243" s="162" t="s">
        <v>1153</v>
      </c>
      <c r="E243" s="161" t="s">
        <v>998</v>
      </c>
      <c r="F243" s="162" t="s">
        <v>1113</v>
      </c>
      <c r="G243" s="162" t="s">
        <v>924</v>
      </c>
      <c r="H243" s="162" t="s">
        <v>1170</v>
      </c>
      <c r="I243" s="163" t="s">
        <v>421</v>
      </c>
      <c r="J243" s="163" t="s">
        <v>422</v>
      </c>
      <c r="K243" s="163" t="s">
        <v>460</v>
      </c>
      <c r="L243" s="163" t="s">
        <v>469</v>
      </c>
      <c r="M243" s="162" t="s">
        <v>1171</v>
      </c>
      <c r="N243" s="163" t="s">
        <v>1128</v>
      </c>
      <c r="O243" s="162" t="s">
        <v>1050</v>
      </c>
      <c r="P243" s="163" t="s">
        <v>185</v>
      </c>
      <c r="Q243" s="171">
        <f t="shared" ref="Q243:Q250" si="148">IF(P243="Muy Alto",10,IF(P243="Alto",6,IF(P243="Medio",2,IF(P243="Bajo",1,))))</f>
        <v>2</v>
      </c>
      <c r="R243" s="163" t="s">
        <v>186</v>
      </c>
      <c r="S243" s="172">
        <f t="shared" ref="S243:S250" si="149">IF(R243="Continua",4,IF(R243="Frecuente",3,IF(R243="Ocasional",2,IF(R243="Esporádica",1,))))</f>
        <v>4</v>
      </c>
      <c r="T243" s="166">
        <f t="shared" ref="T243:T250" si="150">Q243*S243</f>
        <v>8</v>
      </c>
      <c r="U243" s="163" t="str">
        <f t="shared" ref="U243:U249" si="151">IF(AND(T243&gt;=0,T243&lt;=4),"Bajo",IF(AND(T243&gt;=6,T243&lt;=8),"Medio",IF(AND(T243&gt;=10,T243&lt;=20),"Alto",IF(AND(T243&gt;=20,T243&lt;=40),"Muy Alto",))))</f>
        <v>Medio</v>
      </c>
      <c r="V243" s="163" t="s">
        <v>187</v>
      </c>
      <c r="W243" s="172">
        <f t="shared" ref="W243:W250" si="152">IF(V243="Mortal o catastrófico",100,IF(V243="Muy grave",60,IF(V243="Grave",25,IF(V243="Leve",10,))))</f>
        <v>25</v>
      </c>
      <c r="X243" s="166">
        <f t="shared" ref="X243:X250" si="153">T243*W243</f>
        <v>200</v>
      </c>
      <c r="Y243" s="163" t="str">
        <f t="shared" ref="Y243:Y250" si="154">IF(AND(X243&gt;=600,X243&lt;=4000),"Nivel I: Riesgo Inaceptable",IF(AND(X243&gt;=150,X243&lt;=500),"Nivel II: Riesgo Importante",IF(AND(X243&gt;=40,X243&lt;=120),"Nivel III: Riesgo Moderado (Aceptable)","Nivel IV: Riesgo Tolerable (Aceptable)")))</f>
        <v>Nivel II: Riesgo Importante</v>
      </c>
      <c r="Z243" s="163">
        <v>1</v>
      </c>
      <c r="AA243" s="163" t="s">
        <v>1151</v>
      </c>
      <c r="AB243" s="161" t="s">
        <v>424</v>
      </c>
      <c r="AC243" s="161" t="s">
        <v>424</v>
      </c>
      <c r="AD243" s="161" t="s">
        <v>424</v>
      </c>
      <c r="AE243" s="161" t="s">
        <v>1129</v>
      </c>
      <c r="AF243" s="161" t="s">
        <v>600</v>
      </c>
      <c r="AG243" s="166" t="s">
        <v>460</v>
      </c>
    </row>
    <row r="244" spans="1:33" ht="89.25" hidden="1" x14ac:dyDescent="0.2">
      <c r="A244" s="162" t="s">
        <v>880</v>
      </c>
      <c r="B244" s="162" t="s">
        <v>1233</v>
      </c>
      <c r="C244" s="162" t="s">
        <v>1154</v>
      </c>
      <c r="D244" s="162" t="s">
        <v>1153</v>
      </c>
      <c r="E244" s="161" t="s">
        <v>998</v>
      </c>
      <c r="F244" s="162" t="s">
        <v>178</v>
      </c>
      <c r="G244" s="162" t="s">
        <v>1067</v>
      </c>
      <c r="H244" s="162" t="s">
        <v>559</v>
      </c>
      <c r="I244" s="163" t="s">
        <v>421</v>
      </c>
      <c r="J244" s="163" t="s">
        <v>422</v>
      </c>
      <c r="K244" s="163" t="s">
        <v>460</v>
      </c>
      <c r="L244" s="163" t="s">
        <v>469</v>
      </c>
      <c r="M244" s="161" t="s">
        <v>606</v>
      </c>
      <c r="N244" s="161" t="s">
        <v>606</v>
      </c>
      <c r="O244" s="162" t="s">
        <v>1046</v>
      </c>
      <c r="P244" s="163" t="s">
        <v>185</v>
      </c>
      <c r="Q244" s="171">
        <f t="shared" si="148"/>
        <v>2</v>
      </c>
      <c r="R244" s="163" t="s">
        <v>186</v>
      </c>
      <c r="S244" s="172">
        <f t="shared" si="149"/>
        <v>4</v>
      </c>
      <c r="T244" s="166">
        <f t="shared" si="150"/>
        <v>8</v>
      </c>
      <c r="U244" s="163" t="str">
        <f t="shared" si="151"/>
        <v>Medio</v>
      </c>
      <c r="V244" s="163" t="s">
        <v>187</v>
      </c>
      <c r="W244" s="172">
        <f t="shared" si="152"/>
        <v>25</v>
      </c>
      <c r="X244" s="166">
        <f t="shared" si="153"/>
        <v>200</v>
      </c>
      <c r="Y244" s="163" t="str">
        <f t="shared" si="154"/>
        <v>Nivel II: Riesgo Importante</v>
      </c>
      <c r="Z244" s="163">
        <v>1</v>
      </c>
      <c r="AA244" s="163" t="s">
        <v>1151</v>
      </c>
      <c r="AB244" s="161" t="s">
        <v>424</v>
      </c>
      <c r="AC244" s="161" t="s">
        <v>424</v>
      </c>
      <c r="AD244" s="161" t="s">
        <v>424</v>
      </c>
      <c r="AE244" s="161" t="s">
        <v>1130</v>
      </c>
      <c r="AF244" s="161" t="s">
        <v>600</v>
      </c>
      <c r="AG244" s="166" t="s">
        <v>460</v>
      </c>
    </row>
    <row r="245" spans="1:33" ht="140.25" hidden="1" x14ac:dyDescent="0.2">
      <c r="A245" s="162" t="s">
        <v>880</v>
      </c>
      <c r="B245" s="162" t="s">
        <v>1233</v>
      </c>
      <c r="C245" s="162" t="s">
        <v>1154</v>
      </c>
      <c r="D245" s="162" t="s">
        <v>1153</v>
      </c>
      <c r="E245" s="161" t="s">
        <v>175</v>
      </c>
      <c r="F245" s="162" t="s">
        <v>1111</v>
      </c>
      <c r="G245" s="162" t="s">
        <v>1165</v>
      </c>
      <c r="H245" s="162" t="s">
        <v>602</v>
      </c>
      <c r="I245" s="173" t="s">
        <v>421</v>
      </c>
      <c r="J245" s="173" t="s">
        <v>422</v>
      </c>
      <c r="K245" s="174" t="s">
        <v>460</v>
      </c>
      <c r="L245" s="174" t="s">
        <v>469</v>
      </c>
      <c r="M245" s="175" t="s">
        <v>1167</v>
      </c>
      <c r="N245" s="175" t="s">
        <v>423</v>
      </c>
      <c r="O245" s="176" t="s">
        <v>1166</v>
      </c>
      <c r="P245" s="177" t="s">
        <v>185</v>
      </c>
      <c r="Q245" s="178">
        <f t="shared" si="148"/>
        <v>2</v>
      </c>
      <c r="R245" s="177" t="s">
        <v>416</v>
      </c>
      <c r="S245" s="179">
        <f t="shared" si="149"/>
        <v>3</v>
      </c>
      <c r="T245" s="180">
        <f t="shared" si="150"/>
        <v>6</v>
      </c>
      <c r="U245" s="181" t="str">
        <f t="shared" si="151"/>
        <v>Medio</v>
      </c>
      <c r="V245" s="181" t="s">
        <v>428</v>
      </c>
      <c r="W245" s="179">
        <f t="shared" si="152"/>
        <v>10</v>
      </c>
      <c r="X245" s="180">
        <f t="shared" si="153"/>
        <v>60</v>
      </c>
      <c r="Y245" s="181" t="str">
        <f t="shared" si="154"/>
        <v>Nivel III: Riesgo Moderado (Aceptable)</v>
      </c>
      <c r="Z245" s="163">
        <v>1</v>
      </c>
      <c r="AA245" s="163" t="s">
        <v>1151</v>
      </c>
      <c r="AB245" s="175" t="s">
        <v>424</v>
      </c>
      <c r="AC245" s="175" t="s">
        <v>424</v>
      </c>
      <c r="AD245" s="175" t="s">
        <v>424</v>
      </c>
      <c r="AE245" s="182" t="s">
        <v>1035</v>
      </c>
      <c r="AF245" s="183" t="s">
        <v>600</v>
      </c>
      <c r="AG245" s="184" t="s">
        <v>460</v>
      </c>
    </row>
    <row r="246" spans="1:33" ht="140.25" hidden="1" x14ac:dyDescent="0.2">
      <c r="A246" s="162" t="s">
        <v>880</v>
      </c>
      <c r="B246" s="162" t="s">
        <v>1233</v>
      </c>
      <c r="C246" s="162" t="s">
        <v>1154</v>
      </c>
      <c r="D246" s="162" t="s">
        <v>1153</v>
      </c>
      <c r="E246" s="161" t="s">
        <v>175</v>
      </c>
      <c r="F246" s="162" t="s">
        <v>1197</v>
      </c>
      <c r="G246" s="162" t="s">
        <v>1165</v>
      </c>
      <c r="H246" s="170" t="s">
        <v>1198</v>
      </c>
      <c r="I246" s="173" t="s">
        <v>421</v>
      </c>
      <c r="J246" s="173" t="s">
        <v>422</v>
      </c>
      <c r="K246" s="174" t="s">
        <v>460</v>
      </c>
      <c r="L246" s="174" t="s">
        <v>469</v>
      </c>
      <c r="M246" s="175" t="s">
        <v>1167</v>
      </c>
      <c r="N246" s="175" t="s">
        <v>423</v>
      </c>
      <c r="O246" s="176" t="s">
        <v>1166</v>
      </c>
      <c r="P246" s="177" t="s">
        <v>185</v>
      </c>
      <c r="Q246" s="178">
        <f t="shared" si="148"/>
        <v>2</v>
      </c>
      <c r="R246" s="177" t="s">
        <v>416</v>
      </c>
      <c r="S246" s="179">
        <f t="shared" si="149"/>
        <v>3</v>
      </c>
      <c r="T246" s="180">
        <f t="shared" si="150"/>
        <v>6</v>
      </c>
      <c r="U246" s="181" t="str">
        <f t="shared" si="151"/>
        <v>Medio</v>
      </c>
      <c r="V246" s="181" t="s">
        <v>187</v>
      </c>
      <c r="W246" s="179">
        <f t="shared" si="152"/>
        <v>25</v>
      </c>
      <c r="X246" s="180">
        <f t="shared" si="153"/>
        <v>150</v>
      </c>
      <c r="Y246" s="181" t="str">
        <f t="shared" si="154"/>
        <v>Nivel II: Riesgo Importante</v>
      </c>
      <c r="Z246" s="163">
        <v>1</v>
      </c>
      <c r="AA246" s="163" t="s">
        <v>1151</v>
      </c>
      <c r="AB246" s="175" t="s">
        <v>424</v>
      </c>
      <c r="AC246" s="175" t="s">
        <v>424</v>
      </c>
      <c r="AD246" s="175" t="s">
        <v>424</v>
      </c>
      <c r="AE246" s="182" t="s">
        <v>1196</v>
      </c>
      <c r="AF246" s="183" t="s">
        <v>600</v>
      </c>
      <c r="AG246" s="184" t="s">
        <v>460</v>
      </c>
    </row>
    <row r="247" spans="1:33" ht="63.75" hidden="1" x14ac:dyDescent="0.2">
      <c r="A247" s="162" t="s">
        <v>880</v>
      </c>
      <c r="B247" s="162" t="s">
        <v>1233</v>
      </c>
      <c r="C247" s="162" t="s">
        <v>1154</v>
      </c>
      <c r="D247" s="162" t="s">
        <v>1153</v>
      </c>
      <c r="E247" s="161" t="s">
        <v>999</v>
      </c>
      <c r="F247" s="162" t="s">
        <v>292</v>
      </c>
      <c r="G247" s="162" t="s">
        <v>1149</v>
      </c>
      <c r="H247" s="162" t="s">
        <v>472</v>
      </c>
      <c r="I247" s="163" t="s">
        <v>421</v>
      </c>
      <c r="J247" s="163" t="s">
        <v>461</v>
      </c>
      <c r="K247" s="163" t="s">
        <v>460</v>
      </c>
      <c r="L247" s="163" t="s">
        <v>469</v>
      </c>
      <c r="M247" s="161" t="s">
        <v>606</v>
      </c>
      <c r="N247" s="161" t="s">
        <v>1069</v>
      </c>
      <c r="O247" s="162" t="s">
        <v>1070</v>
      </c>
      <c r="P247" s="163" t="s">
        <v>184</v>
      </c>
      <c r="Q247" s="171">
        <f t="shared" si="148"/>
        <v>1</v>
      </c>
      <c r="R247" s="163" t="s">
        <v>429</v>
      </c>
      <c r="S247" s="172">
        <f t="shared" si="149"/>
        <v>2</v>
      </c>
      <c r="T247" s="166">
        <f t="shared" si="150"/>
        <v>2</v>
      </c>
      <c r="U247" s="163" t="str">
        <f t="shared" si="151"/>
        <v>Bajo</v>
      </c>
      <c r="V247" s="163" t="s">
        <v>428</v>
      </c>
      <c r="W247" s="172">
        <f t="shared" si="152"/>
        <v>10</v>
      </c>
      <c r="X247" s="166">
        <f t="shared" si="153"/>
        <v>20</v>
      </c>
      <c r="Y247" s="163" t="str">
        <f t="shared" si="154"/>
        <v>Nivel IV: Riesgo Tolerable (Aceptable)</v>
      </c>
      <c r="Z247" s="163">
        <v>1</v>
      </c>
      <c r="AA247" s="163" t="s">
        <v>1151</v>
      </c>
      <c r="AB247" s="161" t="s">
        <v>424</v>
      </c>
      <c r="AC247" s="161" t="s">
        <v>424</v>
      </c>
      <c r="AD247" s="161" t="s">
        <v>424</v>
      </c>
      <c r="AE247" s="161" t="s">
        <v>1071</v>
      </c>
      <c r="AF247" s="161" t="s">
        <v>600</v>
      </c>
      <c r="AG247" s="166" t="s">
        <v>460</v>
      </c>
    </row>
    <row r="248" spans="1:33" ht="76.5" hidden="1" x14ac:dyDescent="0.2">
      <c r="A248" s="162" t="s">
        <v>880</v>
      </c>
      <c r="B248" s="162" t="s">
        <v>1233</v>
      </c>
      <c r="C248" s="162" t="s">
        <v>1154</v>
      </c>
      <c r="D248" s="162" t="s">
        <v>1153</v>
      </c>
      <c r="E248" s="161" t="s">
        <v>999</v>
      </c>
      <c r="F248" s="162" t="s">
        <v>288</v>
      </c>
      <c r="G248" s="162" t="s">
        <v>1131</v>
      </c>
      <c r="H248" s="162" t="s">
        <v>614</v>
      </c>
      <c r="I248" s="163" t="s">
        <v>421</v>
      </c>
      <c r="J248" s="163" t="s">
        <v>461</v>
      </c>
      <c r="K248" s="163" t="s">
        <v>460</v>
      </c>
      <c r="L248" s="163" t="s">
        <v>469</v>
      </c>
      <c r="M248" s="166" t="s">
        <v>423</v>
      </c>
      <c r="N248" s="162" t="s">
        <v>1132</v>
      </c>
      <c r="O248" s="162" t="s">
        <v>1026</v>
      </c>
      <c r="P248" s="163" t="s">
        <v>184</v>
      </c>
      <c r="Q248" s="171">
        <f t="shared" si="148"/>
        <v>1</v>
      </c>
      <c r="R248" s="163" t="s">
        <v>485</v>
      </c>
      <c r="S248" s="172">
        <f t="shared" si="149"/>
        <v>1</v>
      </c>
      <c r="T248" s="166">
        <f t="shared" si="150"/>
        <v>1</v>
      </c>
      <c r="U248" s="163" t="str">
        <f t="shared" si="151"/>
        <v>Bajo</v>
      </c>
      <c r="V248" s="163" t="s">
        <v>187</v>
      </c>
      <c r="W248" s="172">
        <f t="shared" si="152"/>
        <v>25</v>
      </c>
      <c r="X248" s="166">
        <f t="shared" si="153"/>
        <v>25</v>
      </c>
      <c r="Y248" s="163" t="str">
        <f t="shared" si="154"/>
        <v>Nivel IV: Riesgo Tolerable (Aceptable)</v>
      </c>
      <c r="Z248" s="163">
        <v>1</v>
      </c>
      <c r="AA248" s="163" t="s">
        <v>1151</v>
      </c>
      <c r="AB248" s="161" t="s">
        <v>424</v>
      </c>
      <c r="AC248" s="161" t="s">
        <v>424</v>
      </c>
      <c r="AD248" s="161" t="s">
        <v>424</v>
      </c>
      <c r="AE248" s="161" t="s">
        <v>1066</v>
      </c>
      <c r="AF248" s="161" t="s">
        <v>600</v>
      </c>
      <c r="AG248" s="166" t="s">
        <v>460</v>
      </c>
    </row>
    <row r="249" spans="1:33" ht="76.5" hidden="1" x14ac:dyDescent="0.2">
      <c r="A249" s="162" t="s">
        <v>880</v>
      </c>
      <c r="B249" s="162" t="s">
        <v>1233</v>
      </c>
      <c r="C249" s="162" t="s">
        <v>1154</v>
      </c>
      <c r="D249" s="162" t="s">
        <v>1153</v>
      </c>
      <c r="E249" s="161" t="s">
        <v>999</v>
      </c>
      <c r="F249" s="162" t="s">
        <v>1117</v>
      </c>
      <c r="G249" s="162" t="s">
        <v>564</v>
      </c>
      <c r="H249" s="162" t="s">
        <v>1072</v>
      </c>
      <c r="I249" s="163" t="s">
        <v>421</v>
      </c>
      <c r="J249" s="163" t="s">
        <v>461</v>
      </c>
      <c r="K249" s="163" t="s">
        <v>460</v>
      </c>
      <c r="L249" s="163" t="s">
        <v>469</v>
      </c>
      <c r="M249" s="166" t="s">
        <v>423</v>
      </c>
      <c r="N249" s="166" t="s">
        <v>423</v>
      </c>
      <c r="O249" s="162" t="s">
        <v>1026</v>
      </c>
      <c r="P249" s="163" t="s">
        <v>184</v>
      </c>
      <c r="Q249" s="171">
        <f t="shared" si="148"/>
        <v>1</v>
      </c>
      <c r="R249" s="163" t="s">
        <v>485</v>
      </c>
      <c r="S249" s="172">
        <f t="shared" si="149"/>
        <v>1</v>
      </c>
      <c r="T249" s="166">
        <f t="shared" si="150"/>
        <v>1</v>
      </c>
      <c r="U249" s="163" t="str">
        <f t="shared" si="151"/>
        <v>Bajo</v>
      </c>
      <c r="V249" s="163" t="s">
        <v>428</v>
      </c>
      <c r="W249" s="172">
        <f t="shared" si="152"/>
        <v>10</v>
      </c>
      <c r="X249" s="166">
        <f t="shared" si="153"/>
        <v>10</v>
      </c>
      <c r="Y249" s="163" t="str">
        <f t="shared" si="154"/>
        <v>Nivel IV: Riesgo Tolerable (Aceptable)</v>
      </c>
      <c r="Z249" s="163">
        <v>1</v>
      </c>
      <c r="AA249" s="163" t="s">
        <v>1151</v>
      </c>
      <c r="AB249" s="161" t="s">
        <v>424</v>
      </c>
      <c r="AC249" s="161" t="s">
        <v>424</v>
      </c>
      <c r="AD249" s="161" t="s">
        <v>424</v>
      </c>
      <c r="AE249" s="161" t="s">
        <v>1066</v>
      </c>
      <c r="AF249" s="161" t="s">
        <v>600</v>
      </c>
      <c r="AG249" s="166" t="s">
        <v>460</v>
      </c>
    </row>
    <row r="250" spans="1:33" ht="76.5" hidden="1" x14ac:dyDescent="0.2">
      <c r="A250" s="162" t="s">
        <v>880</v>
      </c>
      <c r="B250" s="162" t="s">
        <v>1233</v>
      </c>
      <c r="C250" s="162" t="s">
        <v>1154</v>
      </c>
      <c r="D250" s="162" t="s">
        <v>1153</v>
      </c>
      <c r="E250" s="161" t="s">
        <v>999</v>
      </c>
      <c r="F250" s="162" t="s">
        <v>1119</v>
      </c>
      <c r="G250" s="162" t="s">
        <v>1133</v>
      </c>
      <c r="H250" s="162" t="s">
        <v>966</v>
      </c>
      <c r="I250" s="163" t="s">
        <v>421</v>
      </c>
      <c r="J250" s="163" t="s">
        <v>422</v>
      </c>
      <c r="K250" s="163" t="s">
        <v>460</v>
      </c>
      <c r="L250" s="163" t="s">
        <v>469</v>
      </c>
      <c r="M250" s="161" t="s">
        <v>1163</v>
      </c>
      <c r="N250" s="161" t="s">
        <v>1164</v>
      </c>
      <c r="O250" s="164" t="s">
        <v>1026</v>
      </c>
      <c r="P250" s="163" t="s">
        <v>184</v>
      </c>
      <c r="Q250" s="171">
        <f t="shared" si="148"/>
        <v>1</v>
      </c>
      <c r="R250" s="163" t="s">
        <v>416</v>
      </c>
      <c r="S250" s="172">
        <f t="shared" si="149"/>
        <v>3</v>
      </c>
      <c r="T250" s="166">
        <f t="shared" si="150"/>
        <v>3</v>
      </c>
      <c r="U250" s="163" t="s">
        <v>184</v>
      </c>
      <c r="V250" s="163" t="s">
        <v>187</v>
      </c>
      <c r="W250" s="172">
        <f t="shared" si="152"/>
        <v>25</v>
      </c>
      <c r="X250" s="166">
        <f t="shared" si="153"/>
        <v>75</v>
      </c>
      <c r="Y250" s="163" t="str">
        <f t="shared" si="154"/>
        <v>Nivel III: Riesgo Moderado (Aceptable)</v>
      </c>
      <c r="Z250" s="163">
        <v>1</v>
      </c>
      <c r="AA250" s="163" t="s">
        <v>1151</v>
      </c>
      <c r="AB250" s="161" t="s">
        <v>424</v>
      </c>
      <c r="AC250" s="161" t="s">
        <v>424</v>
      </c>
      <c r="AD250" s="161" t="s">
        <v>424</v>
      </c>
      <c r="AE250" s="167" t="s">
        <v>1134</v>
      </c>
      <c r="AF250" s="161" t="s">
        <v>600</v>
      </c>
      <c r="AG250" s="166" t="s">
        <v>460</v>
      </c>
    </row>
    <row r="251" spans="1:33" ht="76.5" hidden="1" x14ac:dyDescent="0.2">
      <c r="A251" s="162" t="s">
        <v>880</v>
      </c>
      <c r="B251" s="162" t="s">
        <v>1233</v>
      </c>
      <c r="C251" s="162" t="s">
        <v>1154</v>
      </c>
      <c r="D251" s="162" t="s">
        <v>1153</v>
      </c>
      <c r="E251" s="161" t="s">
        <v>999</v>
      </c>
      <c r="F251" s="162" t="s">
        <v>1120</v>
      </c>
      <c r="G251" s="162" t="s">
        <v>1159</v>
      </c>
      <c r="H251" s="162" t="s">
        <v>979</v>
      </c>
      <c r="I251" s="163" t="s">
        <v>421</v>
      </c>
      <c r="J251" s="163" t="s">
        <v>461</v>
      </c>
      <c r="K251" s="163" t="s">
        <v>460</v>
      </c>
      <c r="L251" s="163" t="s">
        <v>469</v>
      </c>
      <c r="M251" s="165" t="s">
        <v>423</v>
      </c>
      <c r="N251" s="161" t="s">
        <v>1142</v>
      </c>
      <c r="O251" s="162" t="s">
        <v>1141</v>
      </c>
      <c r="P251" s="163" t="s">
        <v>184</v>
      </c>
      <c r="Q251" s="171">
        <f>IF(P251="Muy Alto",10,IF(P251="Alto",6,IF(P251="Medio",2,IF(P251="Bajo",1,))))</f>
        <v>1</v>
      </c>
      <c r="R251" s="163" t="s">
        <v>485</v>
      </c>
      <c r="S251" s="172">
        <f>IF(R251="Continua",4,IF(R251="Frecuente",3,IF(R251="Ocasional",2,IF(R251="Esporádica",1,))))</f>
        <v>1</v>
      </c>
      <c r="T251" s="166">
        <f>Q251*S251</f>
        <v>1</v>
      </c>
      <c r="U251" s="163" t="s">
        <v>184</v>
      </c>
      <c r="V251" s="163" t="s">
        <v>187</v>
      </c>
      <c r="W251" s="172">
        <f>IF(V251="Mortal o catastrófico",100,IF(V251="Muy grave",60,IF(V251="Grave",25,IF(V251="Leve",10,))))</f>
        <v>25</v>
      </c>
      <c r="X251" s="166">
        <f>T251*W251</f>
        <v>25</v>
      </c>
      <c r="Y251" s="163" t="str">
        <f>IF(AND(X251&gt;=600,X251&lt;=4000),"Nivel I: Riesgo Inaceptable",IF(AND(X251&gt;=150,X251&lt;=500),"Nivel II: Riesgo Importante",IF(AND(X251&gt;=40,X251&lt;=120),"Nivel III: Riesgo Moderado (Aceptable)","Nivel IV: Riesgo Tolerable (Aceptable)")))</f>
        <v>Nivel IV: Riesgo Tolerable (Aceptable)</v>
      </c>
      <c r="Z251" s="163">
        <v>1</v>
      </c>
      <c r="AA251" s="163" t="s">
        <v>1151</v>
      </c>
      <c r="AB251" s="161" t="s">
        <v>424</v>
      </c>
      <c r="AC251" s="161" t="s">
        <v>424</v>
      </c>
      <c r="AD251" s="161" t="s">
        <v>424</v>
      </c>
      <c r="AE251" s="161" t="s">
        <v>1138</v>
      </c>
      <c r="AF251" s="161" t="s">
        <v>600</v>
      </c>
      <c r="AG251" s="166" t="s">
        <v>460</v>
      </c>
    </row>
    <row r="252" spans="1:33" ht="76.5" hidden="1" x14ac:dyDescent="0.2">
      <c r="A252" s="162" t="s">
        <v>880</v>
      </c>
      <c r="B252" s="162" t="s">
        <v>1233</v>
      </c>
      <c r="C252" s="162" t="s">
        <v>1154</v>
      </c>
      <c r="D252" s="162" t="s">
        <v>1153</v>
      </c>
      <c r="E252" s="161" t="s">
        <v>999</v>
      </c>
      <c r="F252" s="162" t="s">
        <v>1121</v>
      </c>
      <c r="G252" s="162" t="s">
        <v>1139</v>
      </c>
      <c r="H252" s="162" t="s">
        <v>979</v>
      </c>
      <c r="I252" s="163" t="s">
        <v>421</v>
      </c>
      <c r="J252" s="163" t="s">
        <v>461</v>
      </c>
      <c r="K252" s="163" t="s">
        <v>460</v>
      </c>
      <c r="L252" s="163" t="s">
        <v>469</v>
      </c>
      <c r="M252" s="165" t="s">
        <v>423</v>
      </c>
      <c r="N252" s="161" t="s">
        <v>1140</v>
      </c>
      <c r="O252" s="162" t="s">
        <v>1092</v>
      </c>
      <c r="P252" s="163" t="s">
        <v>184</v>
      </c>
      <c r="Q252" s="171">
        <f>IF(P252="Muy Alto",10,IF(P252="Alto",6,IF(P252="Medio",2,IF(P252="Bajo",1,))))</f>
        <v>1</v>
      </c>
      <c r="R252" s="163" t="s">
        <v>485</v>
      </c>
      <c r="S252" s="172">
        <f>IF(R252="Continua",4,IF(R252="Frecuente",3,IF(R252="Ocasional",2,IF(R252="Esporádica",1,))))</f>
        <v>1</v>
      </c>
      <c r="T252" s="166">
        <f>Q252*S252</f>
        <v>1</v>
      </c>
      <c r="U252" s="163" t="s">
        <v>184</v>
      </c>
      <c r="V252" s="163" t="s">
        <v>187</v>
      </c>
      <c r="W252" s="172">
        <f>IF(V252="Mortal o catastrófico",100,IF(V252="Muy grave",60,IF(V252="Grave",25,IF(V252="Leve",10,))))</f>
        <v>25</v>
      </c>
      <c r="X252" s="166">
        <f>T252*W252</f>
        <v>25</v>
      </c>
      <c r="Y252" s="163" t="str">
        <f>IF(AND(X252&gt;=600,X252&lt;=4000),"Nivel I: Riesgo Inaceptable",IF(AND(X252&gt;=150,X252&lt;=500),"Nivel II: Riesgo Importante",IF(AND(X252&gt;=40,X252&lt;=120),"Nivel III: Riesgo Moderado (Aceptable)","Nivel IV: Riesgo Tolerable (Aceptable)")))</f>
        <v>Nivel IV: Riesgo Tolerable (Aceptable)</v>
      </c>
      <c r="Z252" s="163">
        <v>1</v>
      </c>
      <c r="AA252" s="163" t="s">
        <v>1151</v>
      </c>
      <c r="AB252" s="161" t="s">
        <v>424</v>
      </c>
      <c r="AC252" s="161" t="s">
        <v>424</v>
      </c>
      <c r="AD252" s="161" t="s">
        <v>424</v>
      </c>
      <c r="AE252" s="161" t="s">
        <v>1088</v>
      </c>
      <c r="AF252" s="161" t="s">
        <v>600</v>
      </c>
      <c r="AG252" s="166" t="s">
        <v>460</v>
      </c>
    </row>
    <row r="253" spans="1:33" ht="102" hidden="1" x14ac:dyDescent="0.2">
      <c r="A253" s="162" t="s">
        <v>880</v>
      </c>
      <c r="B253" s="162" t="s">
        <v>1233</v>
      </c>
      <c r="C253" s="162" t="s">
        <v>1154</v>
      </c>
      <c r="D253" s="162" t="s">
        <v>1153</v>
      </c>
      <c r="E253" s="161" t="s">
        <v>995</v>
      </c>
      <c r="F253" s="162" t="s">
        <v>714</v>
      </c>
      <c r="G253" s="162" t="s">
        <v>1036</v>
      </c>
      <c r="H253" s="162" t="s">
        <v>1135</v>
      </c>
      <c r="I253" s="163" t="s">
        <v>421</v>
      </c>
      <c r="J253" s="163" t="s">
        <v>461</v>
      </c>
      <c r="K253" s="163" t="s">
        <v>460</v>
      </c>
      <c r="L253" s="163" t="s">
        <v>469</v>
      </c>
      <c r="M253" s="161" t="s">
        <v>423</v>
      </c>
      <c r="N253" s="161" t="s">
        <v>1136</v>
      </c>
      <c r="O253" s="164" t="s">
        <v>1038</v>
      </c>
      <c r="P253" s="163" t="s">
        <v>184</v>
      </c>
      <c r="Q253" s="171">
        <f t="shared" ref="Q253:Q255" si="155">IF(P253="Muy Alto",10,IF(P253="Alto",6,IF(P253="Medio",2,IF(P253="Bajo",1,))))</f>
        <v>1</v>
      </c>
      <c r="R253" s="163" t="s">
        <v>485</v>
      </c>
      <c r="S253" s="172">
        <f t="shared" ref="S253:S255" si="156">IF(R253="Continua",4,IF(R253="Frecuente",3,IF(R253="Ocasional",2,IF(R253="Esporádica",1,))))</f>
        <v>1</v>
      </c>
      <c r="T253" s="166">
        <f t="shared" ref="T253:T255" si="157">Q253*S253</f>
        <v>1</v>
      </c>
      <c r="U253" s="163" t="str">
        <f t="shared" ref="U253" si="158">IF(AND(T253&gt;=0,T253&lt;=4),"Bajo",IF(AND(T253&gt;=6,T253&lt;=8),"Medio",IF(AND(T253&gt;=10,T253&lt;=20),"Alto",IF(AND(T253&gt;=20,T253&lt;=40),"Muy Alto",))))</f>
        <v>Bajo</v>
      </c>
      <c r="V253" s="163" t="s">
        <v>187</v>
      </c>
      <c r="W253" s="172">
        <f t="shared" ref="W253:W255" si="159">IF(V253="Mortal o catastrófico",100,IF(V253="Muy grave",60,IF(V253="Grave",25,IF(V253="Leve",10,))))</f>
        <v>25</v>
      </c>
      <c r="X253" s="166">
        <f t="shared" ref="X253:X255" si="160">T253*W253</f>
        <v>25</v>
      </c>
      <c r="Y253" s="163" t="str">
        <f t="shared" ref="Y253:Y255" si="161">IF(AND(X253&gt;=600,X253&lt;=4000),"Nivel I: Riesgo Inaceptable",IF(AND(X253&gt;=150,X253&lt;=500),"Nivel II: Riesgo Importante",IF(AND(X253&gt;=40,X253&lt;=120),"Nivel III: Riesgo Moderado (Aceptable)","Nivel IV: Riesgo Tolerable (Aceptable)")))</f>
        <v>Nivel IV: Riesgo Tolerable (Aceptable)</v>
      </c>
      <c r="Z253" s="163">
        <v>1</v>
      </c>
      <c r="AA253" s="163" t="s">
        <v>1151</v>
      </c>
      <c r="AB253" s="161" t="s">
        <v>424</v>
      </c>
      <c r="AC253" s="161" t="s">
        <v>424</v>
      </c>
      <c r="AD253" s="161" t="s">
        <v>424</v>
      </c>
      <c r="AE253" s="161" t="s">
        <v>1039</v>
      </c>
      <c r="AF253" s="161" t="s">
        <v>1040</v>
      </c>
      <c r="AG253" s="166" t="s">
        <v>460</v>
      </c>
    </row>
    <row r="254" spans="1:33" ht="89.25" hidden="1" x14ac:dyDescent="0.2">
      <c r="A254" s="162" t="s">
        <v>880</v>
      </c>
      <c r="B254" s="162" t="s">
        <v>1233</v>
      </c>
      <c r="C254" s="162" t="s">
        <v>1154</v>
      </c>
      <c r="D254" s="162" t="s">
        <v>1153</v>
      </c>
      <c r="E254" s="161" t="s">
        <v>1000</v>
      </c>
      <c r="F254" s="162" t="s">
        <v>1123</v>
      </c>
      <c r="G254" s="162" t="s">
        <v>1143</v>
      </c>
      <c r="H254" s="162" t="s">
        <v>1021</v>
      </c>
      <c r="I254" s="163" t="s">
        <v>421</v>
      </c>
      <c r="J254" s="163" t="s">
        <v>422</v>
      </c>
      <c r="K254" s="163" t="s">
        <v>460</v>
      </c>
      <c r="L254" s="163" t="s">
        <v>469</v>
      </c>
      <c r="M254" s="161" t="s">
        <v>423</v>
      </c>
      <c r="N254" s="161" t="s">
        <v>1145</v>
      </c>
      <c r="O254" s="162" t="s">
        <v>1144</v>
      </c>
      <c r="P254" s="163" t="s">
        <v>184</v>
      </c>
      <c r="Q254" s="171">
        <f t="shared" si="155"/>
        <v>1</v>
      </c>
      <c r="R254" s="163" t="s">
        <v>485</v>
      </c>
      <c r="S254" s="172">
        <f t="shared" si="156"/>
        <v>1</v>
      </c>
      <c r="T254" s="166">
        <f t="shared" si="157"/>
        <v>1</v>
      </c>
      <c r="U254" s="163" t="s">
        <v>184</v>
      </c>
      <c r="V254" s="163" t="s">
        <v>187</v>
      </c>
      <c r="W254" s="172">
        <f t="shared" si="159"/>
        <v>25</v>
      </c>
      <c r="X254" s="166">
        <f t="shared" si="160"/>
        <v>25</v>
      </c>
      <c r="Y254" s="163" t="str">
        <f t="shared" si="161"/>
        <v>Nivel IV: Riesgo Tolerable (Aceptable)</v>
      </c>
      <c r="Z254" s="163">
        <v>1</v>
      </c>
      <c r="AA254" s="163" t="s">
        <v>1151</v>
      </c>
      <c r="AB254" s="161" t="s">
        <v>424</v>
      </c>
      <c r="AC254" s="161" t="s">
        <v>424</v>
      </c>
      <c r="AD254" s="161" t="s">
        <v>424</v>
      </c>
      <c r="AE254" s="161" t="s">
        <v>1147</v>
      </c>
      <c r="AF254" s="161" t="s">
        <v>600</v>
      </c>
      <c r="AG254" s="166" t="s">
        <v>460</v>
      </c>
    </row>
    <row r="255" spans="1:33" ht="51" hidden="1" x14ac:dyDescent="0.2">
      <c r="A255" s="162" t="s">
        <v>880</v>
      </c>
      <c r="B255" s="162" t="s">
        <v>1233</v>
      </c>
      <c r="C255" s="162" t="s">
        <v>1154</v>
      </c>
      <c r="D255" s="162" t="s">
        <v>1153</v>
      </c>
      <c r="E255" s="161" t="s">
        <v>1000</v>
      </c>
      <c r="F255" s="162" t="s">
        <v>1127</v>
      </c>
      <c r="G255" s="162" t="s">
        <v>1152</v>
      </c>
      <c r="H255" s="162" t="s">
        <v>1021</v>
      </c>
      <c r="I255" s="163" t="s">
        <v>421</v>
      </c>
      <c r="J255" s="163" t="s">
        <v>422</v>
      </c>
      <c r="K255" s="163" t="s">
        <v>460</v>
      </c>
      <c r="L255" s="163" t="s">
        <v>469</v>
      </c>
      <c r="M255" s="161" t="s">
        <v>423</v>
      </c>
      <c r="N255" s="161" t="s">
        <v>423</v>
      </c>
      <c r="O255" s="162" t="s">
        <v>1144</v>
      </c>
      <c r="P255" s="163" t="s">
        <v>184</v>
      </c>
      <c r="Q255" s="171">
        <f t="shared" si="155"/>
        <v>1</v>
      </c>
      <c r="R255" s="163" t="s">
        <v>485</v>
      </c>
      <c r="S255" s="172">
        <f t="shared" si="156"/>
        <v>1</v>
      </c>
      <c r="T255" s="166">
        <f t="shared" si="157"/>
        <v>1</v>
      </c>
      <c r="U255" s="163" t="s">
        <v>184</v>
      </c>
      <c r="V255" s="163" t="s">
        <v>187</v>
      </c>
      <c r="W255" s="172">
        <f t="shared" si="159"/>
        <v>25</v>
      </c>
      <c r="X255" s="166">
        <f t="shared" si="160"/>
        <v>25</v>
      </c>
      <c r="Y255" s="163" t="str">
        <f t="shared" si="161"/>
        <v>Nivel IV: Riesgo Tolerable (Aceptable)</v>
      </c>
      <c r="Z255" s="163">
        <v>1</v>
      </c>
      <c r="AA255" s="163" t="s">
        <v>1151</v>
      </c>
      <c r="AB255" s="161" t="s">
        <v>424</v>
      </c>
      <c r="AC255" s="161" t="s">
        <v>424</v>
      </c>
      <c r="AD255" s="161" t="s">
        <v>424</v>
      </c>
      <c r="AE255" s="161" t="s">
        <v>1025</v>
      </c>
      <c r="AF255" s="161" t="s">
        <v>600</v>
      </c>
      <c r="AG255" s="166" t="s">
        <v>460</v>
      </c>
    </row>
    <row r="256" spans="1:33" ht="102" hidden="1" x14ac:dyDescent="0.2">
      <c r="A256" s="162" t="s">
        <v>880</v>
      </c>
      <c r="B256" s="162" t="s">
        <v>1233</v>
      </c>
      <c r="C256" s="162" t="s">
        <v>1154</v>
      </c>
      <c r="D256" s="162" t="s">
        <v>1153</v>
      </c>
      <c r="E256" s="161" t="s">
        <v>996</v>
      </c>
      <c r="F256" s="162" t="s">
        <v>430</v>
      </c>
      <c r="G256" s="162" t="s">
        <v>486</v>
      </c>
      <c r="H256" s="162" t="s">
        <v>623</v>
      </c>
      <c r="I256" s="163" t="s">
        <v>421</v>
      </c>
      <c r="J256" s="163" t="s">
        <v>422</v>
      </c>
      <c r="K256" s="163" t="s">
        <v>460</v>
      </c>
      <c r="L256" s="163" t="s">
        <v>469</v>
      </c>
      <c r="M256" s="163" t="s">
        <v>1074</v>
      </c>
      <c r="N256" s="169" t="s">
        <v>1073</v>
      </c>
      <c r="O256" s="162" t="s">
        <v>1032</v>
      </c>
      <c r="P256" s="163" t="s">
        <v>184</v>
      </c>
      <c r="Q256" s="171">
        <f>IF(P256="Muy Alto",10,IF(P256="Alto",6,IF(P256="Medio",2,IF(P256="Bajo",1,))))</f>
        <v>1</v>
      </c>
      <c r="R256" s="163" t="s">
        <v>485</v>
      </c>
      <c r="S256" s="172">
        <f>IF(R256="Continua",4,IF(R256="Frecuente",3,IF(R256="Ocasional",2,IF(R256="Esporádica",1,))))</f>
        <v>1</v>
      </c>
      <c r="T256" s="166">
        <f>Q256*S256</f>
        <v>1</v>
      </c>
      <c r="U256" s="163" t="str">
        <f>IF(AND(T256&gt;=0,T256&lt;=4),"Bajo",IF(AND(T256&gt;=6,T256&lt;=8),"Medio",IF(AND(T256&gt;=10,T256&lt;=20),"Alto",IF(AND(T256&gt;=20,T256&lt;=40),"Muy Alto",))))</f>
        <v>Bajo</v>
      </c>
      <c r="V256" s="163" t="s">
        <v>428</v>
      </c>
      <c r="W256" s="172">
        <f>IF(V256="Mortal o catastrófico",100,IF(V256="Muy grave",60,IF(V256="Grave",25,IF(V256="Leve",10,))))</f>
        <v>10</v>
      </c>
      <c r="X256" s="166">
        <f>T256*W256</f>
        <v>10</v>
      </c>
      <c r="Y256" s="163" t="str">
        <f>IF(AND(X256&gt;=600,X256&lt;=4000),"Nivel I: Riesgo Inaceptable",IF(AND(X256&gt;=150,X256&lt;=500),"Nivel II: Riesgo Importante",IF(AND(X256&gt;=40,X256&lt;=120),"Nivel III: Riesgo Moderado (Aceptable)","Nivel IV: Riesgo Tolerable (Aceptable)")))</f>
        <v>Nivel IV: Riesgo Tolerable (Aceptable)</v>
      </c>
      <c r="Z256" s="163">
        <v>1</v>
      </c>
      <c r="AA256" s="163" t="s">
        <v>1151</v>
      </c>
      <c r="AB256" s="161" t="s">
        <v>424</v>
      </c>
      <c r="AC256" s="161" t="s">
        <v>424</v>
      </c>
      <c r="AD256" s="161" t="s">
        <v>424</v>
      </c>
      <c r="AE256" s="161" t="s">
        <v>1075</v>
      </c>
      <c r="AF256" s="161" t="s">
        <v>600</v>
      </c>
      <c r="AG256" s="166" t="s">
        <v>460</v>
      </c>
    </row>
    <row r="257" spans="1:33" ht="102" hidden="1" x14ac:dyDescent="0.2">
      <c r="A257" s="162" t="s">
        <v>880</v>
      </c>
      <c r="B257" s="162" t="s">
        <v>1233</v>
      </c>
      <c r="C257" s="162" t="s">
        <v>1154</v>
      </c>
      <c r="D257" s="162" t="s">
        <v>1153</v>
      </c>
      <c r="E257" s="161" t="s">
        <v>996</v>
      </c>
      <c r="F257" s="162" t="s">
        <v>1146</v>
      </c>
      <c r="G257" s="162" t="s">
        <v>1162</v>
      </c>
      <c r="H257" s="162" t="s">
        <v>623</v>
      </c>
      <c r="I257" s="163" t="s">
        <v>421</v>
      </c>
      <c r="J257" s="163" t="s">
        <v>422</v>
      </c>
      <c r="K257" s="163" t="s">
        <v>460</v>
      </c>
      <c r="L257" s="163" t="s">
        <v>469</v>
      </c>
      <c r="M257" s="163" t="s">
        <v>1074</v>
      </c>
      <c r="N257" s="169" t="s">
        <v>1073</v>
      </c>
      <c r="O257" s="162" t="s">
        <v>1032</v>
      </c>
      <c r="P257" s="163" t="s">
        <v>184</v>
      </c>
      <c r="Q257" s="171">
        <f>IF(P257="Muy Alto",10,IF(P257="Alto",6,IF(P257="Medio",2,IF(P257="Bajo",1,))))</f>
        <v>1</v>
      </c>
      <c r="R257" s="163" t="s">
        <v>416</v>
      </c>
      <c r="S257" s="172">
        <f>IF(R257="Continua",4,IF(R257="Frecuente",3,IF(R257="Ocasional",2,IF(R257="Esporádica",1,))))</f>
        <v>3</v>
      </c>
      <c r="T257" s="166">
        <f>Q257*S257</f>
        <v>3</v>
      </c>
      <c r="U257" s="163" t="str">
        <f>IF(AND(T257&gt;=0,T257&lt;=4),"Bajo",IF(AND(T257&gt;=6,T257&lt;=8),"Medio",IF(AND(T257&gt;=10,T257&lt;=20),"Alto",IF(AND(T257&gt;=20,T257&lt;=40),"Muy Alto",))))</f>
        <v>Bajo</v>
      </c>
      <c r="V257" s="163" t="s">
        <v>428</v>
      </c>
      <c r="W257" s="172">
        <f>IF(V257="Mortal o catastrófico",100,IF(V257="Muy grave",60,IF(V257="Grave",25,IF(V257="Leve",10,))))</f>
        <v>10</v>
      </c>
      <c r="X257" s="166">
        <f>T257*W257</f>
        <v>30</v>
      </c>
      <c r="Y257" s="163" t="str">
        <f>IF(AND(X257&gt;=600,X257&lt;=4000),"Nivel I: Riesgo Inaceptable",IF(AND(X257&gt;=150,X257&lt;=500),"Nivel II: Riesgo Importante",IF(AND(X257&gt;=40,X257&lt;=120),"Nivel III: Riesgo Moderado (Aceptable)","Nivel IV: Riesgo Tolerable (Aceptable)")))</f>
        <v>Nivel IV: Riesgo Tolerable (Aceptable)</v>
      </c>
      <c r="Z257" s="163">
        <v>1</v>
      </c>
      <c r="AA257" s="163" t="s">
        <v>1151</v>
      </c>
      <c r="AB257" s="161" t="s">
        <v>424</v>
      </c>
      <c r="AC257" s="161" t="s">
        <v>424</v>
      </c>
      <c r="AD257" s="161" t="s">
        <v>424</v>
      </c>
      <c r="AE257" s="161" t="s">
        <v>1075</v>
      </c>
      <c r="AF257" s="161" t="s">
        <v>600</v>
      </c>
      <c r="AG257" s="166" t="s">
        <v>460</v>
      </c>
    </row>
    <row r="258" spans="1:33" ht="89.25" hidden="1" x14ac:dyDescent="0.2">
      <c r="A258" s="162" t="s">
        <v>880</v>
      </c>
      <c r="B258" s="162" t="s">
        <v>672</v>
      </c>
      <c r="C258" s="162" t="s">
        <v>1156</v>
      </c>
      <c r="D258" s="162" t="s">
        <v>1155</v>
      </c>
      <c r="E258" s="161" t="s">
        <v>998</v>
      </c>
      <c r="F258" s="162" t="s">
        <v>178</v>
      </c>
      <c r="G258" s="162" t="s">
        <v>1067</v>
      </c>
      <c r="H258" s="162" t="s">
        <v>559</v>
      </c>
      <c r="I258" s="163" t="s">
        <v>421</v>
      </c>
      <c r="J258" s="163" t="s">
        <v>422</v>
      </c>
      <c r="K258" s="163" t="s">
        <v>460</v>
      </c>
      <c r="L258" s="163" t="s">
        <v>469</v>
      </c>
      <c r="M258" s="161" t="s">
        <v>606</v>
      </c>
      <c r="N258" s="161" t="s">
        <v>606</v>
      </c>
      <c r="O258" s="162" t="s">
        <v>1046</v>
      </c>
      <c r="P258" s="163" t="s">
        <v>185</v>
      </c>
      <c r="Q258" s="171">
        <f t="shared" ref="Q258:Q264" si="162">IF(P258="Muy Alto",10,IF(P258="Alto",6,IF(P258="Medio",2,IF(P258="Bajo",1,))))</f>
        <v>2</v>
      </c>
      <c r="R258" s="163" t="s">
        <v>186</v>
      </c>
      <c r="S258" s="172">
        <f t="shared" ref="S258:S264" si="163">IF(R258="Continua",4,IF(R258="Frecuente",3,IF(R258="Ocasional",2,IF(R258="Esporádica",1,))))</f>
        <v>4</v>
      </c>
      <c r="T258" s="166">
        <f t="shared" ref="T258:T264" si="164">Q258*S258</f>
        <v>8</v>
      </c>
      <c r="U258" s="163" t="str">
        <f t="shared" ref="U258:U263" si="165">IF(AND(T258&gt;=0,T258&lt;=4),"Bajo",IF(AND(T258&gt;=6,T258&lt;=8),"Medio",IF(AND(T258&gt;=10,T258&lt;=20),"Alto",IF(AND(T258&gt;=20,T258&lt;=40),"Muy Alto",))))</f>
        <v>Medio</v>
      </c>
      <c r="V258" s="163" t="s">
        <v>187</v>
      </c>
      <c r="W258" s="172">
        <f t="shared" ref="W258:W264" si="166">IF(V258="Mortal o catastrófico",100,IF(V258="Muy grave",60,IF(V258="Grave",25,IF(V258="Leve",10,))))</f>
        <v>25</v>
      </c>
      <c r="X258" s="166">
        <f t="shared" ref="X258:X264" si="167">T258*W258</f>
        <v>200</v>
      </c>
      <c r="Y258" s="163" t="str">
        <f t="shared" ref="Y258:Y264" si="168">IF(AND(X258&gt;=600,X258&lt;=4000),"Nivel I: Riesgo Inaceptable",IF(AND(X258&gt;=150,X258&lt;=500),"Nivel II: Riesgo Importante",IF(AND(X258&gt;=40,X258&lt;=120),"Nivel III: Riesgo Moderado (Aceptable)","Nivel IV: Riesgo Tolerable (Aceptable)")))</f>
        <v>Nivel II: Riesgo Importante</v>
      </c>
      <c r="Z258" s="163">
        <v>1</v>
      </c>
      <c r="AA258" s="163" t="s">
        <v>1151</v>
      </c>
      <c r="AB258" s="161" t="s">
        <v>424</v>
      </c>
      <c r="AC258" s="161" t="s">
        <v>424</v>
      </c>
      <c r="AD258" s="161" t="s">
        <v>424</v>
      </c>
      <c r="AE258" s="161" t="s">
        <v>1130</v>
      </c>
      <c r="AF258" s="161" t="s">
        <v>600</v>
      </c>
      <c r="AG258" s="166" t="s">
        <v>460</v>
      </c>
    </row>
    <row r="259" spans="1:33" ht="140.25" hidden="1" x14ac:dyDescent="0.2">
      <c r="A259" s="162" t="s">
        <v>880</v>
      </c>
      <c r="B259" s="162" t="s">
        <v>672</v>
      </c>
      <c r="C259" s="162" t="s">
        <v>1156</v>
      </c>
      <c r="D259" s="162" t="s">
        <v>1155</v>
      </c>
      <c r="E259" s="161" t="s">
        <v>175</v>
      </c>
      <c r="F259" s="162" t="s">
        <v>1111</v>
      </c>
      <c r="G259" s="162" t="s">
        <v>1165</v>
      </c>
      <c r="H259" s="162" t="s">
        <v>602</v>
      </c>
      <c r="I259" s="173" t="s">
        <v>421</v>
      </c>
      <c r="J259" s="173" t="s">
        <v>422</v>
      </c>
      <c r="K259" s="174" t="s">
        <v>460</v>
      </c>
      <c r="L259" s="174" t="s">
        <v>469</v>
      </c>
      <c r="M259" s="175" t="s">
        <v>1167</v>
      </c>
      <c r="N259" s="175" t="s">
        <v>423</v>
      </c>
      <c r="O259" s="176" t="s">
        <v>1166</v>
      </c>
      <c r="P259" s="177" t="s">
        <v>185</v>
      </c>
      <c r="Q259" s="178">
        <f t="shared" si="162"/>
        <v>2</v>
      </c>
      <c r="R259" s="177" t="s">
        <v>416</v>
      </c>
      <c r="S259" s="179">
        <f t="shared" si="163"/>
        <v>3</v>
      </c>
      <c r="T259" s="180">
        <f t="shared" si="164"/>
        <v>6</v>
      </c>
      <c r="U259" s="181" t="str">
        <f t="shared" si="165"/>
        <v>Medio</v>
      </c>
      <c r="V259" s="181" t="s">
        <v>428</v>
      </c>
      <c r="W259" s="179">
        <f t="shared" si="166"/>
        <v>10</v>
      </c>
      <c r="X259" s="180">
        <f t="shared" si="167"/>
        <v>60</v>
      </c>
      <c r="Y259" s="181" t="str">
        <f t="shared" si="168"/>
        <v>Nivel III: Riesgo Moderado (Aceptable)</v>
      </c>
      <c r="Z259" s="163">
        <v>1</v>
      </c>
      <c r="AA259" s="163" t="s">
        <v>1151</v>
      </c>
      <c r="AB259" s="175" t="s">
        <v>424</v>
      </c>
      <c r="AC259" s="175" t="s">
        <v>424</v>
      </c>
      <c r="AD259" s="175" t="s">
        <v>424</v>
      </c>
      <c r="AE259" s="182" t="s">
        <v>1035</v>
      </c>
      <c r="AF259" s="183" t="s">
        <v>600</v>
      </c>
      <c r="AG259" s="184" t="s">
        <v>460</v>
      </c>
    </row>
    <row r="260" spans="1:33" ht="140.25" hidden="1" x14ac:dyDescent="0.2">
      <c r="A260" s="162" t="s">
        <v>880</v>
      </c>
      <c r="B260" s="162" t="s">
        <v>672</v>
      </c>
      <c r="C260" s="162" t="s">
        <v>1156</v>
      </c>
      <c r="D260" s="162" t="s">
        <v>1155</v>
      </c>
      <c r="E260" s="161" t="s">
        <v>175</v>
      </c>
      <c r="F260" s="162" t="s">
        <v>1197</v>
      </c>
      <c r="G260" s="162" t="s">
        <v>1165</v>
      </c>
      <c r="H260" s="170" t="s">
        <v>1198</v>
      </c>
      <c r="I260" s="173" t="s">
        <v>421</v>
      </c>
      <c r="J260" s="173" t="s">
        <v>422</v>
      </c>
      <c r="K260" s="174" t="s">
        <v>460</v>
      </c>
      <c r="L260" s="174" t="s">
        <v>469</v>
      </c>
      <c r="M260" s="175" t="s">
        <v>1167</v>
      </c>
      <c r="N260" s="175" t="s">
        <v>423</v>
      </c>
      <c r="O260" s="176" t="s">
        <v>1166</v>
      </c>
      <c r="P260" s="177" t="s">
        <v>185</v>
      </c>
      <c r="Q260" s="178">
        <f t="shared" si="162"/>
        <v>2</v>
      </c>
      <c r="R260" s="177" t="s">
        <v>416</v>
      </c>
      <c r="S260" s="179">
        <f t="shared" si="163"/>
        <v>3</v>
      </c>
      <c r="T260" s="180">
        <f t="shared" si="164"/>
        <v>6</v>
      </c>
      <c r="U260" s="181" t="str">
        <f t="shared" si="165"/>
        <v>Medio</v>
      </c>
      <c r="V260" s="181" t="s">
        <v>187</v>
      </c>
      <c r="W260" s="179">
        <f t="shared" si="166"/>
        <v>25</v>
      </c>
      <c r="X260" s="180">
        <f t="shared" si="167"/>
        <v>150</v>
      </c>
      <c r="Y260" s="181" t="str">
        <f t="shared" si="168"/>
        <v>Nivel II: Riesgo Importante</v>
      </c>
      <c r="Z260" s="163">
        <v>1</v>
      </c>
      <c r="AA260" s="163" t="s">
        <v>1151</v>
      </c>
      <c r="AB260" s="175" t="s">
        <v>424</v>
      </c>
      <c r="AC260" s="175" t="s">
        <v>424</v>
      </c>
      <c r="AD260" s="175" t="s">
        <v>424</v>
      </c>
      <c r="AE260" s="182" t="s">
        <v>1196</v>
      </c>
      <c r="AF260" s="183" t="s">
        <v>600</v>
      </c>
      <c r="AG260" s="184" t="s">
        <v>460</v>
      </c>
    </row>
    <row r="261" spans="1:33" ht="63.75" hidden="1" x14ac:dyDescent="0.2">
      <c r="A261" s="162" t="s">
        <v>880</v>
      </c>
      <c r="B261" s="162" t="s">
        <v>672</v>
      </c>
      <c r="C261" s="162" t="s">
        <v>1156</v>
      </c>
      <c r="D261" s="162" t="s">
        <v>1155</v>
      </c>
      <c r="E261" s="161" t="s">
        <v>999</v>
      </c>
      <c r="F261" s="162" t="s">
        <v>292</v>
      </c>
      <c r="G261" s="162" t="s">
        <v>1149</v>
      </c>
      <c r="H261" s="162" t="s">
        <v>472</v>
      </c>
      <c r="I261" s="163" t="s">
        <v>421</v>
      </c>
      <c r="J261" s="163" t="s">
        <v>461</v>
      </c>
      <c r="K261" s="163" t="s">
        <v>460</v>
      </c>
      <c r="L261" s="163" t="s">
        <v>469</v>
      </c>
      <c r="M261" s="161" t="s">
        <v>606</v>
      </c>
      <c r="N261" s="161" t="s">
        <v>1069</v>
      </c>
      <c r="O261" s="162" t="s">
        <v>1070</v>
      </c>
      <c r="P261" s="163" t="s">
        <v>184</v>
      </c>
      <c r="Q261" s="171">
        <f t="shared" si="162"/>
        <v>1</v>
      </c>
      <c r="R261" s="163" t="s">
        <v>429</v>
      </c>
      <c r="S261" s="172">
        <f t="shared" si="163"/>
        <v>2</v>
      </c>
      <c r="T261" s="166">
        <f t="shared" si="164"/>
        <v>2</v>
      </c>
      <c r="U261" s="163" t="str">
        <f t="shared" si="165"/>
        <v>Bajo</v>
      </c>
      <c r="V261" s="163" t="s">
        <v>428</v>
      </c>
      <c r="W261" s="172">
        <f t="shared" si="166"/>
        <v>10</v>
      </c>
      <c r="X261" s="166">
        <f t="shared" si="167"/>
        <v>20</v>
      </c>
      <c r="Y261" s="163" t="str">
        <f t="shared" si="168"/>
        <v>Nivel IV: Riesgo Tolerable (Aceptable)</v>
      </c>
      <c r="Z261" s="163">
        <v>1</v>
      </c>
      <c r="AA261" s="163" t="s">
        <v>1151</v>
      </c>
      <c r="AB261" s="161" t="s">
        <v>424</v>
      </c>
      <c r="AC261" s="161" t="s">
        <v>424</v>
      </c>
      <c r="AD261" s="161" t="s">
        <v>424</v>
      </c>
      <c r="AE261" s="161" t="s">
        <v>1071</v>
      </c>
      <c r="AF261" s="161" t="s">
        <v>600</v>
      </c>
      <c r="AG261" s="166" t="s">
        <v>460</v>
      </c>
    </row>
    <row r="262" spans="1:33" ht="76.5" hidden="1" x14ac:dyDescent="0.2">
      <c r="A262" s="162" t="s">
        <v>880</v>
      </c>
      <c r="B262" s="162" t="s">
        <v>672</v>
      </c>
      <c r="C262" s="162" t="s">
        <v>1156</v>
      </c>
      <c r="D262" s="162" t="s">
        <v>1155</v>
      </c>
      <c r="E262" s="161" t="s">
        <v>999</v>
      </c>
      <c r="F262" s="162" t="s">
        <v>288</v>
      </c>
      <c r="G262" s="162" t="s">
        <v>1131</v>
      </c>
      <c r="H262" s="162" t="s">
        <v>614</v>
      </c>
      <c r="I262" s="163" t="s">
        <v>421</v>
      </c>
      <c r="J262" s="163" t="s">
        <v>461</v>
      </c>
      <c r="K262" s="163" t="s">
        <v>460</v>
      </c>
      <c r="L262" s="163" t="s">
        <v>469</v>
      </c>
      <c r="M262" s="166" t="s">
        <v>423</v>
      </c>
      <c r="N262" s="162" t="s">
        <v>1132</v>
      </c>
      <c r="O262" s="162" t="s">
        <v>1026</v>
      </c>
      <c r="P262" s="163" t="s">
        <v>184</v>
      </c>
      <c r="Q262" s="171">
        <f t="shared" si="162"/>
        <v>1</v>
      </c>
      <c r="R262" s="163" t="s">
        <v>485</v>
      </c>
      <c r="S262" s="172">
        <f t="shared" si="163"/>
        <v>1</v>
      </c>
      <c r="T262" s="166">
        <f t="shared" si="164"/>
        <v>1</v>
      </c>
      <c r="U262" s="163" t="str">
        <f t="shared" si="165"/>
        <v>Bajo</v>
      </c>
      <c r="V262" s="163" t="s">
        <v>187</v>
      </c>
      <c r="W262" s="172">
        <f t="shared" si="166"/>
        <v>25</v>
      </c>
      <c r="X262" s="166">
        <f t="shared" si="167"/>
        <v>25</v>
      </c>
      <c r="Y262" s="163" t="str">
        <f t="shared" si="168"/>
        <v>Nivel IV: Riesgo Tolerable (Aceptable)</v>
      </c>
      <c r="Z262" s="163">
        <v>1</v>
      </c>
      <c r="AA262" s="163" t="s">
        <v>1151</v>
      </c>
      <c r="AB262" s="161" t="s">
        <v>424</v>
      </c>
      <c r="AC262" s="161" t="s">
        <v>424</v>
      </c>
      <c r="AD262" s="161" t="s">
        <v>424</v>
      </c>
      <c r="AE262" s="161" t="s">
        <v>1066</v>
      </c>
      <c r="AF262" s="161" t="s">
        <v>600</v>
      </c>
      <c r="AG262" s="166" t="s">
        <v>460</v>
      </c>
    </row>
    <row r="263" spans="1:33" ht="76.5" hidden="1" x14ac:dyDescent="0.2">
      <c r="A263" s="162" t="s">
        <v>880</v>
      </c>
      <c r="B263" s="162" t="s">
        <v>672</v>
      </c>
      <c r="C263" s="162" t="s">
        <v>1156</v>
      </c>
      <c r="D263" s="162" t="s">
        <v>1155</v>
      </c>
      <c r="E263" s="161" t="s">
        <v>999</v>
      </c>
      <c r="F263" s="162" t="s">
        <v>1117</v>
      </c>
      <c r="G263" s="162" t="s">
        <v>564</v>
      </c>
      <c r="H263" s="162" t="s">
        <v>1072</v>
      </c>
      <c r="I263" s="163" t="s">
        <v>421</v>
      </c>
      <c r="J263" s="163" t="s">
        <v>461</v>
      </c>
      <c r="K263" s="163" t="s">
        <v>460</v>
      </c>
      <c r="L263" s="163" t="s">
        <v>469</v>
      </c>
      <c r="M263" s="166" t="s">
        <v>423</v>
      </c>
      <c r="N263" s="166" t="s">
        <v>423</v>
      </c>
      <c r="O263" s="162" t="s">
        <v>1026</v>
      </c>
      <c r="P263" s="163" t="s">
        <v>184</v>
      </c>
      <c r="Q263" s="171">
        <f t="shared" si="162"/>
        <v>1</v>
      </c>
      <c r="R263" s="163" t="s">
        <v>485</v>
      </c>
      <c r="S263" s="172">
        <f t="shared" si="163"/>
        <v>1</v>
      </c>
      <c r="T263" s="166">
        <f t="shared" si="164"/>
        <v>1</v>
      </c>
      <c r="U263" s="163" t="str">
        <f t="shared" si="165"/>
        <v>Bajo</v>
      </c>
      <c r="V263" s="163" t="s">
        <v>428</v>
      </c>
      <c r="W263" s="172">
        <f t="shared" si="166"/>
        <v>10</v>
      </c>
      <c r="X263" s="166">
        <f t="shared" si="167"/>
        <v>10</v>
      </c>
      <c r="Y263" s="163" t="str">
        <f t="shared" si="168"/>
        <v>Nivel IV: Riesgo Tolerable (Aceptable)</v>
      </c>
      <c r="Z263" s="163">
        <v>1</v>
      </c>
      <c r="AA263" s="163" t="s">
        <v>1151</v>
      </c>
      <c r="AB263" s="161" t="s">
        <v>424</v>
      </c>
      <c r="AC263" s="161" t="s">
        <v>424</v>
      </c>
      <c r="AD263" s="161" t="s">
        <v>424</v>
      </c>
      <c r="AE263" s="161" t="s">
        <v>1066</v>
      </c>
      <c r="AF263" s="161" t="s">
        <v>600</v>
      </c>
      <c r="AG263" s="166" t="s">
        <v>460</v>
      </c>
    </row>
    <row r="264" spans="1:33" ht="76.5" hidden="1" x14ac:dyDescent="0.2">
      <c r="A264" s="162" t="s">
        <v>880</v>
      </c>
      <c r="B264" s="162" t="s">
        <v>672</v>
      </c>
      <c r="C264" s="162" t="s">
        <v>1156</v>
      </c>
      <c r="D264" s="162" t="s">
        <v>1155</v>
      </c>
      <c r="E264" s="161" t="s">
        <v>999</v>
      </c>
      <c r="F264" s="162" t="s">
        <v>1119</v>
      </c>
      <c r="G264" s="162" t="s">
        <v>1133</v>
      </c>
      <c r="H264" s="162" t="s">
        <v>966</v>
      </c>
      <c r="I264" s="163" t="s">
        <v>421</v>
      </c>
      <c r="J264" s="163" t="s">
        <v>422</v>
      </c>
      <c r="K264" s="163" t="s">
        <v>460</v>
      </c>
      <c r="L264" s="163" t="s">
        <v>469</v>
      </c>
      <c r="M264" s="161" t="s">
        <v>1163</v>
      </c>
      <c r="N264" s="161" t="s">
        <v>1164</v>
      </c>
      <c r="O264" s="164" t="s">
        <v>1026</v>
      </c>
      <c r="P264" s="163" t="s">
        <v>184</v>
      </c>
      <c r="Q264" s="171">
        <f t="shared" si="162"/>
        <v>1</v>
      </c>
      <c r="R264" s="163" t="s">
        <v>416</v>
      </c>
      <c r="S264" s="172">
        <f t="shared" si="163"/>
        <v>3</v>
      </c>
      <c r="T264" s="166">
        <f t="shared" si="164"/>
        <v>3</v>
      </c>
      <c r="U264" s="163" t="s">
        <v>184</v>
      </c>
      <c r="V264" s="163" t="s">
        <v>187</v>
      </c>
      <c r="W264" s="172">
        <f t="shared" si="166"/>
        <v>25</v>
      </c>
      <c r="X264" s="166">
        <f t="shared" si="167"/>
        <v>75</v>
      </c>
      <c r="Y264" s="163" t="str">
        <f t="shared" si="168"/>
        <v>Nivel III: Riesgo Moderado (Aceptable)</v>
      </c>
      <c r="Z264" s="163">
        <v>1</v>
      </c>
      <c r="AA264" s="163" t="s">
        <v>1151</v>
      </c>
      <c r="AB264" s="161" t="s">
        <v>424</v>
      </c>
      <c r="AC264" s="161" t="s">
        <v>424</v>
      </c>
      <c r="AD264" s="161" t="s">
        <v>424</v>
      </c>
      <c r="AE264" s="167" t="s">
        <v>1134</v>
      </c>
      <c r="AF264" s="161" t="s">
        <v>600</v>
      </c>
      <c r="AG264" s="166" t="s">
        <v>460</v>
      </c>
    </row>
    <row r="265" spans="1:33" ht="76.5" hidden="1" x14ac:dyDescent="0.2">
      <c r="A265" s="162" t="s">
        <v>880</v>
      </c>
      <c r="B265" s="162" t="s">
        <v>672</v>
      </c>
      <c r="C265" s="162" t="s">
        <v>1156</v>
      </c>
      <c r="D265" s="162" t="s">
        <v>1155</v>
      </c>
      <c r="E265" s="161" t="s">
        <v>999</v>
      </c>
      <c r="F265" s="162" t="s">
        <v>1121</v>
      </c>
      <c r="G265" s="162" t="s">
        <v>1139</v>
      </c>
      <c r="H265" s="162" t="s">
        <v>979</v>
      </c>
      <c r="I265" s="163" t="s">
        <v>421</v>
      </c>
      <c r="J265" s="163" t="s">
        <v>461</v>
      </c>
      <c r="K265" s="163" t="s">
        <v>460</v>
      </c>
      <c r="L265" s="163" t="s">
        <v>469</v>
      </c>
      <c r="M265" s="165" t="s">
        <v>423</v>
      </c>
      <c r="N265" s="161" t="s">
        <v>1140</v>
      </c>
      <c r="O265" s="162" t="s">
        <v>1092</v>
      </c>
      <c r="P265" s="163" t="s">
        <v>184</v>
      </c>
      <c r="Q265" s="171">
        <f>IF(P265="Muy Alto",10,IF(P265="Alto",6,IF(P265="Medio",2,IF(P265="Bajo",1,))))</f>
        <v>1</v>
      </c>
      <c r="R265" s="163" t="s">
        <v>485</v>
      </c>
      <c r="S265" s="172">
        <f>IF(R265="Continua",4,IF(R265="Frecuente",3,IF(R265="Ocasional",2,IF(R265="Esporádica",1,))))</f>
        <v>1</v>
      </c>
      <c r="T265" s="166">
        <f>Q265*S265</f>
        <v>1</v>
      </c>
      <c r="U265" s="163" t="s">
        <v>184</v>
      </c>
      <c r="V265" s="163" t="s">
        <v>187</v>
      </c>
      <c r="W265" s="172">
        <f>IF(V265="Mortal o catastrófico",100,IF(V265="Muy grave",60,IF(V265="Grave",25,IF(V265="Leve",10,))))</f>
        <v>25</v>
      </c>
      <c r="X265" s="166">
        <f>T265*W265</f>
        <v>25</v>
      </c>
      <c r="Y265" s="163" t="str">
        <f>IF(AND(X265&gt;=600,X265&lt;=4000),"Nivel I: Riesgo Inaceptable",IF(AND(X265&gt;=150,X265&lt;=500),"Nivel II: Riesgo Importante",IF(AND(X265&gt;=40,X265&lt;=120),"Nivel III: Riesgo Moderado (Aceptable)","Nivel IV: Riesgo Tolerable (Aceptable)")))</f>
        <v>Nivel IV: Riesgo Tolerable (Aceptable)</v>
      </c>
      <c r="Z265" s="163">
        <v>1</v>
      </c>
      <c r="AA265" s="163" t="s">
        <v>1151</v>
      </c>
      <c r="AB265" s="161" t="s">
        <v>424</v>
      </c>
      <c r="AC265" s="161" t="s">
        <v>424</v>
      </c>
      <c r="AD265" s="161" t="s">
        <v>424</v>
      </c>
      <c r="AE265" s="161" t="s">
        <v>1088</v>
      </c>
      <c r="AF265" s="161" t="s">
        <v>600</v>
      </c>
      <c r="AG265" s="166" t="s">
        <v>460</v>
      </c>
    </row>
    <row r="266" spans="1:33" ht="102" hidden="1" x14ac:dyDescent="0.2">
      <c r="A266" s="162" t="s">
        <v>880</v>
      </c>
      <c r="B266" s="162" t="s">
        <v>672</v>
      </c>
      <c r="C266" s="162" t="s">
        <v>1156</v>
      </c>
      <c r="D266" s="162" t="s">
        <v>1155</v>
      </c>
      <c r="E266" s="161" t="s">
        <v>995</v>
      </c>
      <c r="F266" s="162" t="s">
        <v>714</v>
      </c>
      <c r="G266" s="162" t="s">
        <v>1036</v>
      </c>
      <c r="H266" s="162" t="s">
        <v>1135</v>
      </c>
      <c r="I266" s="163" t="s">
        <v>421</v>
      </c>
      <c r="J266" s="163" t="s">
        <v>461</v>
      </c>
      <c r="K266" s="163" t="s">
        <v>460</v>
      </c>
      <c r="L266" s="163" t="s">
        <v>469</v>
      </c>
      <c r="M266" s="161" t="s">
        <v>423</v>
      </c>
      <c r="N266" s="161" t="s">
        <v>1136</v>
      </c>
      <c r="O266" s="164" t="s">
        <v>1038</v>
      </c>
      <c r="P266" s="163" t="s">
        <v>184</v>
      </c>
      <c r="Q266" s="171">
        <f t="shared" ref="Q266:Q267" si="169">IF(P266="Muy Alto",10,IF(P266="Alto",6,IF(P266="Medio",2,IF(P266="Bajo",1,))))</f>
        <v>1</v>
      </c>
      <c r="R266" s="163" t="s">
        <v>485</v>
      </c>
      <c r="S266" s="172">
        <f t="shared" ref="S266:S267" si="170">IF(R266="Continua",4,IF(R266="Frecuente",3,IF(R266="Ocasional",2,IF(R266="Esporádica",1,))))</f>
        <v>1</v>
      </c>
      <c r="T266" s="166">
        <f t="shared" ref="T266:T267" si="171">Q266*S266</f>
        <v>1</v>
      </c>
      <c r="U266" s="163" t="str">
        <f t="shared" ref="U266" si="172">IF(AND(T266&gt;=0,T266&lt;=4),"Bajo",IF(AND(T266&gt;=6,T266&lt;=8),"Medio",IF(AND(T266&gt;=10,T266&lt;=20),"Alto",IF(AND(T266&gt;=20,T266&lt;=40),"Muy Alto",))))</f>
        <v>Bajo</v>
      </c>
      <c r="V266" s="163" t="s">
        <v>187</v>
      </c>
      <c r="W266" s="172">
        <f t="shared" ref="W266:W267" si="173">IF(V266="Mortal o catastrófico",100,IF(V266="Muy grave",60,IF(V266="Grave",25,IF(V266="Leve",10,))))</f>
        <v>25</v>
      </c>
      <c r="X266" s="166">
        <f t="shared" ref="X266:X267" si="174">T266*W266</f>
        <v>25</v>
      </c>
      <c r="Y266" s="163" t="str">
        <f t="shared" ref="Y266:Y267" si="175">IF(AND(X266&gt;=600,X266&lt;=4000),"Nivel I: Riesgo Inaceptable",IF(AND(X266&gt;=150,X266&lt;=500),"Nivel II: Riesgo Importante",IF(AND(X266&gt;=40,X266&lt;=120),"Nivel III: Riesgo Moderado (Aceptable)","Nivel IV: Riesgo Tolerable (Aceptable)")))</f>
        <v>Nivel IV: Riesgo Tolerable (Aceptable)</v>
      </c>
      <c r="Z266" s="163">
        <v>1</v>
      </c>
      <c r="AA266" s="163" t="s">
        <v>1151</v>
      </c>
      <c r="AB266" s="161" t="s">
        <v>424</v>
      </c>
      <c r="AC266" s="161" t="s">
        <v>424</v>
      </c>
      <c r="AD266" s="161" t="s">
        <v>424</v>
      </c>
      <c r="AE266" s="161" t="s">
        <v>1039</v>
      </c>
      <c r="AF266" s="161" t="s">
        <v>1040</v>
      </c>
      <c r="AG266" s="166" t="s">
        <v>460</v>
      </c>
    </row>
    <row r="267" spans="1:33" ht="89.25" hidden="1" x14ac:dyDescent="0.2">
      <c r="A267" s="162" t="s">
        <v>880</v>
      </c>
      <c r="B267" s="162" t="s">
        <v>672</v>
      </c>
      <c r="C267" s="162" t="s">
        <v>1156</v>
      </c>
      <c r="D267" s="162" t="s">
        <v>1155</v>
      </c>
      <c r="E267" s="161" t="s">
        <v>1000</v>
      </c>
      <c r="F267" s="162" t="s">
        <v>1123</v>
      </c>
      <c r="G267" s="162" t="s">
        <v>1143</v>
      </c>
      <c r="H267" s="162" t="s">
        <v>1021</v>
      </c>
      <c r="I267" s="163" t="s">
        <v>421</v>
      </c>
      <c r="J267" s="163" t="s">
        <v>422</v>
      </c>
      <c r="K267" s="163" t="s">
        <v>460</v>
      </c>
      <c r="L267" s="163" t="s">
        <v>469</v>
      </c>
      <c r="M267" s="161" t="s">
        <v>423</v>
      </c>
      <c r="N267" s="161" t="s">
        <v>1145</v>
      </c>
      <c r="O267" s="162" t="s">
        <v>1144</v>
      </c>
      <c r="P267" s="163" t="s">
        <v>184</v>
      </c>
      <c r="Q267" s="171">
        <f t="shared" si="169"/>
        <v>1</v>
      </c>
      <c r="R267" s="163" t="s">
        <v>485</v>
      </c>
      <c r="S267" s="172">
        <f t="shared" si="170"/>
        <v>1</v>
      </c>
      <c r="T267" s="166">
        <f t="shared" si="171"/>
        <v>1</v>
      </c>
      <c r="U267" s="163" t="s">
        <v>184</v>
      </c>
      <c r="V267" s="163" t="s">
        <v>187</v>
      </c>
      <c r="W267" s="172">
        <f t="shared" si="173"/>
        <v>25</v>
      </c>
      <c r="X267" s="166">
        <f t="shared" si="174"/>
        <v>25</v>
      </c>
      <c r="Y267" s="163" t="str">
        <f t="shared" si="175"/>
        <v>Nivel IV: Riesgo Tolerable (Aceptable)</v>
      </c>
      <c r="Z267" s="163">
        <v>1</v>
      </c>
      <c r="AA267" s="163" t="s">
        <v>1151</v>
      </c>
      <c r="AB267" s="161" t="s">
        <v>424</v>
      </c>
      <c r="AC267" s="161" t="s">
        <v>424</v>
      </c>
      <c r="AD267" s="161" t="s">
        <v>424</v>
      </c>
      <c r="AE267" s="161" t="s">
        <v>1147</v>
      </c>
      <c r="AF267" s="161" t="s">
        <v>600</v>
      </c>
      <c r="AG267" s="166" t="s">
        <v>460</v>
      </c>
    </row>
    <row r="268" spans="1:33" ht="102" hidden="1" x14ac:dyDescent="0.2">
      <c r="A268" s="162" t="s">
        <v>880</v>
      </c>
      <c r="B268" s="162" t="s">
        <v>672</v>
      </c>
      <c r="C268" s="162" t="s">
        <v>1156</v>
      </c>
      <c r="D268" s="162" t="s">
        <v>1155</v>
      </c>
      <c r="E268" s="161" t="s">
        <v>996</v>
      </c>
      <c r="F268" s="162" t="s">
        <v>430</v>
      </c>
      <c r="G268" s="162" t="s">
        <v>486</v>
      </c>
      <c r="H268" s="162" t="s">
        <v>623</v>
      </c>
      <c r="I268" s="163" t="s">
        <v>421</v>
      </c>
      <c r="J268" s="163" t="s">
        <v>422</v>
      </c>
      <c r="K268" s="163" t="s">
        <v>460</v>
      </c>
      <c r="L268" s="163" t="s">
        <v>469</v>
      </c>
      <c r="M268" s="163" t="s">
        <v>1074</v>
      </c>
      <c r="N268" s="169" t="s">
        <v>1073</v>
      </c>
      <c r="O268" s="162" t="s">
        <v>1032</v>
      </c>
      <c r="P268" s="163" t="s">
        <v>184</v>
      </c>
      <c r="Q268" s="171">
        <f>IF(P268="Muy Alto",10,IF(P268="Alto",6,IF(P268="Medio",2,IF(P268="Bajo",1,))))</f>
        <v>1</v>
      </c>
      <c r="R268" s="163" t="s">
        <v>485</v>
      </c>
      <c r="S268" s="172">
        <f>IF(R268="Continua",4,IF(R268="Frecuente",3,IF(R268="Ocasional",2,IF(R268="Esporádica",1,))))</f>
        <v>1</v>
      </c>
      <c r="T268" s="166">
        <f>Q268*S268</f>
        <v>1</v>
      </c>
      <c r="U268" s="163" t="str">
        <f>IF(AND(T268&gt;=0,T268&lt;=4),"Bajo",IF(AND(T268&gt;=6,T268&lt;=8),"Medio",IF(AND(T268&gt;=10,T268&lt;=20),"Alto",IF(AND(T268&gt;=20,T268&lt;=40),"Muy Alto",))))</f>
        <v>Bajo</v>
      </c>
      <c r="V268" s="163" t="s">
        <v>428</v>
      </c>
      <c r="W268" s="172">
        <f>IF(V268="Mortal o catastrófico",100,IF(V268="Muy grave",60,IF(V268="Grave",25,IF(V268="Leve",10,))))</f>
        <v>10</v>
      </c>
      <c r="X268" s="166">
        <f>T268*W268</f>
        <v>10</v>
      </c>
      <c r="Y268" s="163" t="str">
        <f>IF(AND(X268&gt;=600,X268&lt;=4000),"Nivel I: Riesgo Inaceptable",IF(AND(X268&gt;=150,X268&lt;=500),"Nivel II: Riesgo Importante",IF(AND(X268&gt;=40,X268&lt;=120),"Nivel III: Riesgo Moderado (Aceptable)","Nivel IV: Riesgo Tolerable (Aceptable)")))</f>
        <v>Nivel IV: Riesgo Tolerable (Aceptable)</v>
      </c>
      <c r="Z268" s="163">
        <v>1</v>
      </c>
      <c r="AA268" s="163" t="s">
        <v>1151</v>
      </c>
      <c r="AB268" s="161" t="s">
        <v>424</v>
      </c>
      <c r="AC268" s="161" t="s">
        <v>424</v>
      </c>
      <c r="AD268" s="161" t="s">
        <v>424</v>
      </c>
      <c r="AE268" s="161" t="s">
        <v>1075</v>
      </c>
      <c r="AF268" s="161" t="s">
        <v>600</v>
      </c>
      <c r="AG268" s="166" t="s">
        <v>460</v>
      </c>
    </row>
    <row r="269" spans="1:33" ht="102" hidden="1" x14ac:dyDescent="0.2">
      <c r="A269" s="162" t="s">
        <v>880</v>
      </c>
      <c r="B269" s="162" t="s">
        <v>672</v>
      </c>
      <c r="C269" s="162" t="s">
        <v>1156</v>
      </c>
      <c r="D269" s="162" t="s">
        <v>1155</v>
      </c>
      <c r="E269" s="161" t="s">
        <v>996</v>
      </c>
      <c r="F269" s="162" t="s">
        <v>1146</v>
      </c>
      <c r="G269" s="162" t="s">
        <v>1162</v>
      </c>
      <c r="H269" s="162" t="s">
        <v>623</v>
      </c>
      <c r="I269" s="163" t="s">
        <v>421</v>
      </c>
      <c r="J269" s="163" t="s">
        <v>422</v>
      </c>
      <c r="K269" s="163" t="s">
        <v>460</v>
      </c>
      <c r="L269" s="163" t="s">
        <v>469</v>
      </c>
      <c r="M269" s="163" t="s">
        <v>1074</v>
      </c>
      <c r="N269" s="169" t="s">
        <v>1073</v>
      </c>
      <c r="O269" s="162" t="s">
        <v>1032</v>
      </c>
      <c r="P269" s="163" t="s">
        <v>184</v>
      </c>
      <c r="Q269" s="171">
        <f>IF(P269="Muy Alto",10,IF(P269="Alto",6,IF(P269="Medio",2,IF(P269="Bajo",1,))))</f>
        <v>1</v>
      </c>
      <c r="R269" s="163" t="s">
        <v>416</v>
      </c>
      <c r="S269" s="172">
        <f>IF(R269="Continua",4,IF(R269="Frecuente",3,IF(R269="Ocasional",2,IF(R269="Esporádica",1,))))</f>
        <v>3</v>
      </c>
      <c r="T269" s="166">
        <f>Q269*S269</f>
        <v>3</v>
      </c>
      <c r="U269" s="163" t="str">
        <f>IF(AND(T269&gt;=0,T269&lt;=4),"Bajo",IF(AND(T269&gt;=6,T269&lt;=8),"Medio",IF(AND(T269&gt;=10,T269&lt;=20),"Alto",IF(AND(T269&gt;=20,T269&lt;=40),"Muy Alto",))))</f>
        <v>Bajo</v>
      </c>
      <c r="V269" s="163" t="s">
        <v>428</v>
      </c>
      <c r="W269" s="172">
        <f>IF(V269="Mortal o catastrófico",100,IF(V269="Muy grave",60,IF(V269="Grave",25,IF(V269="Leve",10,))))</f>
        <v>10</v>
      </c>
      <c r="X269" s="166">
        <f>T269*W269</f>
        <v>30</v>
      </c>
      <c r="Y269" s="163" t="str">
        <f>IF(AND(X269&gt;=600,X269&lt;=4000),"Nivel I: Riesgo Inaceptable",IF(AND(X269&gt;=150,X269&lt;=500),"Nivel II: Riesgo Importante",IF(AND(X269&gt;=40,X269&lt;=120),"Nivel III: Riesgo Moderado (Aceptable)","Nivel IV: Riesgo Tolerable (Aceptable)")))</f>
        <v>Nivel IV: Riesgo Tolerable (Aceptable)</v>
      </c>
      <c r="Z269" s="163">
        <v>1</v>
      </c>
      <c r="AA269" s="163" t="s">
        <v>1151</v>
      </c>
      <c r="AB269" s="161" t="s">
        <v>424</v>
      </c>
      <c r="AC269" s="161" t="s">
        <v>424</v>
      </c>
      <c r="AD269" s="161" t="s">
        <v>424</v>
      </c>
      <c r="AE269" s="161" t="s">
        <v>1075</v>
      </c>
      <c r="AF269" s="161" t="s">
        <v>600</v>
      </c>
      <c r="AG269" s="166" t="s">
        <v>460</v>
      </c>
    </row>
    <row r="270" spans="1:33" ht="89.25" hidden="1" x14ac:dyDescent="0.2">
      <c r="A270" s="162" t="s">
        <v>880</v>
      </c>
      <c r="B270" s="162" t="s">
        <v>1230</v>
      </c>
      <c r="C270" s="162" t="s">
        <v>1158</v>
      </c>
      <c r="D270" s="162" t="s">
        <v>1157</v>
      </c>
      <c r="E270" s="161" t="s">
        <v>998</v>
      </c>
      <c r="F270" s="162" t="s">
        <v>178</v>
      </c>
      <c r="G270" s="162" t="s">
        <v>1067</v>
      </c>
      <c r="H270" s="162" t="s">
        <v>559</v>
      </c>
      <c r="I270" s="163" t="s">
        <v>421</v>
      </c>
      <c r="J270" s="163" t="s">
        <v>422</v>
      </c>
      <c r="K270" s="163" t="s">
        <v>460</v>
      </c>
      <c r="L270" s="163" t="s">
        <v>469</v>
      </c>
      <c r="M270" s="161" t="s">
        <v>606</v>
      </c>
      <c r="N270" s="161" t="s">
        <v>606</v>
      </c>
      <c r="O270" s="162" t="s">
        <v>1046</v>
      </c>
      <c r="P270" s="163" t="s">
        <v>185</v>
      </c>
      <c r="Q270" s="171">
        <f t="shared" ref="Q270:Q276" si="176">IF(P270="Muy Alto",10,IF(P270="Alto",6,IF(P270="Medio",2,IF(P270="Bajo",1,))))</f>
        <v>2</v>
      </c>
      <c r="R270" s="163" t="s">
        <v>186</v>
      </c>
      <c r="S270" s="172">
        <f t="shared" ref="S270:S276" si="177">IF(R270="Continua",4,IF(R270="Frecuente",3,IF(R270="Ocasional",2,IF(R270="Esporádica",1,))))</f>
        <v>4</v>
      </c>
      <c r="T270" s="166">
        <f t="shared" ref="T270:T276" si="178">Q270*S270</f>
        <v>8</v>
      </c>
      <c r="U270" s="163" t="str">
        <f t="shared" ref="U270:U275" si="179">IF(AND(T270&gt;=0,T270&lt;=4),"Bajo",IF(AND(T270&gt;=6,T270&lt;=8),"Medio",IF(AND(T270&gt;=10,T270&lt;=20),"Alto",IF(AND(T270&gt;=20,T270&lt;=40),"Muy Alto",))))</f>
        <v>Medio</v>
      </c>
      <c r="V270" s="163" t="s">
        <v>187</v>
      </c>
      <c r="W270" s="172">
        <f t="shared" ref="W270:W276" si="180">IF(V270="Mortal o catastrófico",100,IF(V270="Muy grave",60,IF(V270="Grave",25,IF(V270="Leve",10,))))</f>
        <v>25</v>
      </c>
      <c r="X270" s="166">
        <f t="shared" ref="X270:X276" si="181">T270*W270</f>
        <v>200</v>
      </c>
      <c r="Y270" s="163" t="str">
        <f t="shared" ref="Y270:Y276" si="182">IF(AND(X270&gt;=600,X270&lt;=4000),"Nivel I: Riesgo Inaceptable",IF(AND(X270&gt;=150,X270&lt;=500),"Nivel II: Riesgo Importante",IF(AND(X270&gt;=40,X270&lt;=120),"Nivel III: Riesgo Moderado (Aceptable)","Nivel IV: Riesgo Tolerable (Aceptable)")))</f>
        <v>Nivel II: Riesgo Importante</v>
      </c>
      <c r="Z270" s="163">
        <v>1</v>
      </c>
      <c r="AA270" s="163" t="s">
        <v>1151</v>
      </c>
      <c r="AB270" s="161" t="s">
        <v>424</v>
      </c>
      <c r="AC270" s="161" t="s">
        <v>424</v>
      </c>
      <c r="AD270" s="161" t="s">
        <v>424</v>
      </c>
      <c r="AE270" s="161" t="s">
        <v>1130</v>
      </c>
      <c r="AF270" s="161" t="s">
        <v>600</v>
      </c>
      <c r="AG270" s="166" t="s">
        <v>460</v>
      </c>
    </row>
    <row r="271" spans="1:33" ht="140.25" hidden="1" x14ac:dyDescent="0.2">
      <c r="A271" s="162" t="s">
        <v>880</v>
      </c>
      <c r="B271" s="162" t="s">
        <v>1230</v>
      </c>
      <c r="C271" s="162" t="s">
        <v>1158</v>
      </c>
      <c r="D271" s="162" t="s">
        <v>1157</v>
      </c>
      <c r="E271" s="161" t="s">
        <v>175</v>
      </c>
      <c r="F271" s="162" t="s">
        <v>1111</v>
      </c>
      <c r="G271" s="162" t="s">
        <v>1165</v>
      </c>
      <c r="H271" s="162" t="s">
        <v>602</v>
      </c>
      <c r="I271" s="173" t="s">
        <v>421</v>
      </c>
      <c r="J271" s="173" t="s">
        <v>422</v>
      </c>
      <c r="K271" s="174" t="s">
        <v>460</v>
      </c>
      <c r="L271" s="174" t="s">
        <v>469</v>
      </c>
      <c r="M271" s="175" t="s">
        <v>1167</v>
      </c>
      <c r="N271" s="175" t="s">
        <v>423</v>
      </c>
      <c r="O271" s="176" t="s">
        <v>1166</v>
      </c>
      <c r="P271" s="177" t="s">
        <v>185</v>
      </c>
      <c r="Q271" s="178">
        <f t="shared" si="176"/>
        <v>2</v>
      </c>
      <c r="R271" s="177" t="s">
        <v>416</v>
      </c>
      <c r="S271" s="179">
        <f t="shared" si="177"/>
        <v>3</v>
      </c>
      <c r="T271" s="180">
        <f t="shared" si="178"/>
        <v>6</v>
      </c>
      <c r="U271" s="181" t="str">
        <f t="shared" si="179"/>
        <v>Medio</v>
      </c>
      <c r="V271" s="181" t="s">
        <v>428</v>
      </c>
      <c r="W271" s="179">
        <f t="shared" si="180"/>
        <v>10</v>
      </c>
      <c r="X271" s="180">
        <f t="shared" si="181"/>
        <v>60</v>
      </c>
      <c r="Y271" s="181" t="str">
        <f t="shared" si="182"/>
        <v>Nivel III: Riesgo Moderado (Aceptable)</v>
      </c>
      <c r="Z271" s="163">
        <v>1</v>
      </c>
      <c r="AA271" s="163" t="s">
        <v>1151</v>
      </c>
      <c r="AB271" s="175" t="s">
        <v>424</v>
      </c>
      <c r="AC271" s="175" t="s">
        <v>424</v>
      </c>
      <c r="AD271" s="175" t="s">
        <v>424</v>
      </c>
      <c r="AE271" s="182" t="s">
        <v>1035</v>
      </c>
      <c r="AF271" s="183" t="s">
        <v>600</v>
      </c>
      <c r="AG271" s="184" t="s">
        <v>460</v>
      </c>
    </row>
    <row r="272" spans="1:33" ht="140.25" hidden="1" x14ac:dyDescent="0.2">
      <c r="A272" s="162" t="s">
        <v>880</v>
      </c>
      <c r="B272" s="162" t="s">
        <v>1230</v>
      </c>
      <c r="C272" s="162" t="s">
        <v>1158</v>
      </c>
      <c r="D272" s="162" t="s">
        <v>1157</v>
      </c>
      <c r="E272" s="161" t="s">
        <v>175</v>
      </c>
      <c r="F272" s="162" t="s">
        <v>1197</v>
      </c>
      <c r="G272" s="162" t="s">
        <v>1165</v>
      </c>
      <c r="H272" s="170" t="s">
        <v>1198</v>
      </c>
      <c r="I272" s="173" t="s">
        <v>421</v>
      </c>
      <c r="J272" s="173" t="s">
        <v>422</v>
      </c>
      <c r="K272" s="174" t="s">
        <v>460</v>
      </c>
      <c r="L272" s="174" t="s">
        <v>469</v>
      </c>
      <c r="M272" s="175" t="s">
        <v>1167</v>
      </c>
      <c r="N272" s="175" t="s">
        <v>423</v>
      </c>
      <c r="O272" s="176" t="s">
        <v>1166</v>
      </c>
      <c r="P272" s="177" t="s">
        <v>185</v>
      </c>
      <c r="Q272" s="178">
        <f t="shared" si="176"/>
        <v>2</v>
      </c>
      <c r="R272" s="177" t="s">
        <v>416</v>
      </c>
      <c r="S272" s="179">
        <f t="shared" si="177"/>
        <v>3</v>
      </c>
      <c r="T272" s="180">
        <f t="shared" si="178"/>
        <v>6</v>
      </c>
      <c r="U272" s="181" t="str">
        <f t="shared" si="179"/>
        <v>Medio</v>
      </c>
      <c r="V272" s="181" t="s">
        <v>187</v>
      </c>
      <c r="W272" s="179">
        <f t="shared" si="180"/>
        <v>25</v>
      </c>
      <c r="X272" s="180">
        <f t="shared" si="181"/>
        <v>150</v>
      </c>
      <c r="Y272" s="181" t="str">
        <f t="shared" si="182"/>
        <v>Nivel II: Riesgo Importante</v>
      </c>
      <c r="Z272" s="163">
        <v>1</v>
      </c>
      <c r="AA272" s="163" t="s">
        <v>1151</v>
      </c>
      <c r="AB272" s="175" t="s">
        <v>424</v>
      </c>
      <c r="AC272" s="175" t="s">
        <v>424</v>
      </c>
      <c r="AD272" s="175" t="s">
        <v>424</v>
      </c>
      <c r="AE272" s="182" t="s">
        <v>1196</v>
      </c>
      <c r="AF272" s="183" t="s">
        <v>600</v>
      </c>
      <c r="AG272" s="184" t="s">
        <v>460</v>
      </c>
    </row>
    <row r="273" spans="1:33" ht="63.75" hidden="1" x14ac:dyDescent="0.2">
      <c r="A273" s="162" t="s">
        <v>880</v>
      </c>
      <c r="B273" s="162" t="s">
        <v>1230</v>
      </c>
      <c r="C273" s="162" t="s">
        <v>1158</v>
      </c>
      <c r="D273" s="162" t="s">
        <v>1157</v>
      </c>
      <c r="E273" s="161" t="s">
        <v>999</v>
      </c>
      <c r="F273" s="162" t="s">
        <v>292</v>
      </c>
      <c r="G273" s="162" t="s">
        <v>1149</v>
      </c>
      <c r="H273" s="162" t="s">
        <v>472</v>
      </c>
      <c r="I273" s="163" t="s">
        <v>421</v>
      </c>
      <c r="J273" s="163" t="s">
        <v>461</v>
      </c>
      <c r="K273" s="163" t="s">
        <v>460</v>
      </c>
      <c r="L273" s="163" t="s">
        <v>469</v>
      </c>
      <c r="M273" s="161" t="s">
        <v>606</v>
      </c>
      <c r="N273" s="161" t="s">
        <v>1069</v>
      </c>
      <c r="O273" s="162" t="s">
        <v>1070</v>
      </c>
      <c r="P273" s="163" t="s">
        <v>184</v>
      </c>
      <c r="Q273" s="171">
        <f t="shared" si="176"/>
        <v>1</v>
      </c>
      <c r="R273" s="163" t="s">
        <v>429</v>
      </c>
      <c r="S273" s="172">
        <f t="shared" si="177"/>
        <v>2</v>
      </c>
      <c r="T273" s="166">
        <f t="shared" si="178"/>
        <v>2</v>
      </c>
      <c r="U273" s="163" t="str">
        <f t="shared" si="179"/>
        <v>Bajo</v>
      </c>
      <c r="V273" s="163" t="s">
        <v>428</v>
      </c>
      <c r="W273" s="172">
        <f t="shared" si="180"/>
        <v>10</v>
      </c>
      <c r="X273" s="166">
        <f t="shared" si="181"/>
        <v>20</v>
      </c>
      <c r="Y273" s="163" t="str">
        <f t="shared" si="182"/>
        <v>Nivel IV: Riesgo Tolerable (Aceptable)</v>
      </c>
      <c r="Z273" s="163">
        <v>1</v>
      </c>
      <c r="AA273" s="163" t="s">
        <v>1151</v>
      </c>
      <c r="AB273" s="161" t="s">
        <v>424</v>
      </c>
      <c r="AC273" s="161" t="s">
        <v>424</v>
      </c>
      <c r="AD273" s="161" t="s">
        <v>424</v>
      </c>
      <c r="AE273" s="161" t="s">
        <v>1071</v>
      </c>
      <c r="AF273" s="161" t="s">
        <v>600</v>
      </c>
      <c r="AG273" s="166" t="s">
        <v>460</v>
      </c>
    </row>
    <row r="274" spans="1:33" ht="76.5" hidden="1" x14ac:dyDescent="0.2">
      <c r="A274" s="162" t="s">
        <v>880</v>
      </c>
      <c r="B274" s="162" t="s">
        <v>1230</v>
      </c>
      <c r="C274" s="162" t="s">
        <v>1158</v>
      </c>
      <c r="D274" s="162" t="s">
        <v>1157</v>
      </c>
      <c r="E274" s="161" t="s">
        <v>999</v>
      </c>
      <c r="F274" s="162" t="s">
        <v>288</v>
      </c>
      <c r="G274" s="162" t="s">
        <v>1131</v>
      </c>
      <c r="H274" s="162" t="s">
        <v>614</v>
      </c>
      <c r="I274" s="163" t="s">
        <v>421</v>
      </c>
      <c r="J274" s="163" t="s">
        <v>461</v>
      </c>
      <c r="K274" s="163" t="s">
        <v>460</v>
      </c>
      <c r="L274" s="163" t="s">
        <v>469</v>
      </c>
      <c r="M274" s="166" t="s">
        <v>423</v>
      </c>
      <c r="N274" s="162" t="s">
        <v>1132</v>
      </c>
      <c r="O274" s="162" t="s">
        <v>1026</v>
      </c>
      <c r="P274" s="163" t="s">
        <v>184</v>
      </c>
      <c r="Q274" s="171">
        <f t="shared" si="176"/>
        <v>1</v>
      </c>
      <c r="R274" s="163" t="s">
        <v>485</v>
      </c>
      <c r="S274" s="172">
        <f t="shared" si="177"/>
        <v>1</v>
      </c>
      <c r="T274" s="166">
        <f t="shared" si="178"/>
        <v>1</v>
      </c>
      <c r="U274" s="163" t="str">
        <f t="shared" si="179"/>
        <v>Bajo</v>
      </c>
      <c r="V274" s="163" t="s">
        <v>187</v>
      </c>
      <c r="W274" s="172">
        <f t="shared" si="180"/>
        <v>25</v>
      </c>
      <c r="X274" s="166">
        <f t="shared" si="181"/>
        <v>25</v>
      </c>
      <c r="Y274" s="163" t="str">
        <f t="shared" si="182"/>
        <v>Nivel IV: Riesgo Tolerable (Aceptable)</v>
      </c>
      <c r="Z274" s="163">
        <v>1</v>
      </c>
      <c r="AA274" s="163" t="s">
        <v>1151</v>
      </c>
      <c r="AB274" s="161" t="s">
        <v>424</v>
      </c>
      <c r="AC274" s="161" t="s">
        <v>424</v>
      </c>
      <c r="AD274" s="161" t="s">
        <v>424</v>
      </c>
      <c r="AE274" s="161" t="s">
        <v>1066</v>
      </c>
      <c r="AF274" s="161" t="s">
        <v>600</v>
      </c>
      <c r="AG274" s="166" t="s">
        <v>460</v>
      </c>
    </row>
    <row r="275" spans="1:33" ht="76.5" hidden="1" x14ac:dyDescent="0.2">
      <c r="A275" s="162" t="s">
        <v>880</v>
      </c>
      <c r="B275" s="162" t="s">
        <v>1230</v>
      </c>
      <c r="C275" s="162" t="s">
        <v>1158</v>
      </c>
      <c r="D275" s="162" t="s">
        <v>1157</v>
      </c>
      <c r="E275" s="161" t="s">
        <v>999</v>
      </c>
      <c r="F275" s="162" t="s">
        <v>1117</v>
      </c>
      <c r="G275" s="162" t="s">
        <v>564</v>
      </c>
      <c r="H275" s="162" t="s">
        <v>1072</v>
      </c>
      <c r="I275" s="163" t="s">
        <v>421</v>
      </c>
      <c r="J275" s="163" t="s">
        <v>461</v>
      </c>
      <c r="K275" s="163" t="s">
        <v>460</v>
      </c>
      <c r="L275" s="163" t="s">
        <v>469</v>
      </c>
      <c r="M275" s="166" t="s">
        <v>423</v>
      </c>
      <c r="N275" s="166" t="s">
        <v>423</v>
      </c>
      <c r="O275" s="162" t="s">
        <v>1026</v>
      </c>
      <c r="P275" s="163" t="s">
        <v>184</v>
      </c>
      <c r="Q275" s="171">
        <f t="shared" si="176"/>
        <v>1</v>
      </c>
      <c r="R275" s="163" t="s">
        <v>485</v>
      </c>
      <c r="S275" s="172">
        <f t="shared" si="177"/>
        <v>1</v>
      </c>
      <c r="T275" s="166">
        <f t="shared" si="178"/>
        <v>1</v>
      </c>
      <c r="U275" s="163" t="str">
        <f t="shared" si="179"/>
        <v>Bajo</v>
      </c>
      <c r="V275" s="163" t="s">
        <v>428</v>
      </c>
      <c r="W275" s="172">
        <f t="shared" si="180"/>
        <v>10</v>
      </c>
      <c r="X275" s="166">
        <f t="shared" si="181"/>
        <v>10</v>
      </c>
      <c r="Y275" s="163" t="str">
        <f t="shared" si="182"/>
        <v>Nivel IV: Riesgo Tolerable (Aceptable)</v>
      </c>
      <c r="Z275" s="163">
        <v>1</v>
      </c>
      <c r="AA275" s="163" t="s">
        <v>1151</v>
      </c>
      <c r="AB275" s="161" t="s">
        <v>424</v>
      </c>
      <c r="AC275" s="161" t="s">
        <v>424</v>
      </c>
      <c r="AD275" s="161" t="s">
        <v>424</v>
      </c>
      <c r="AE275" s="161" t="s">
        <v>1066</v>
      </c>
      <c r="AF275" s="161" t="s">
        <v>600</v>
      </c>
      <c r="AG275" s="166" t="s">
        <v>460</v>
      </c>
    </row>
    <row r="276" spans="1:33" ht="76.5" hidden="1" x14ac:dyDescent="0.2">
      <c r="A276" s="162" t="s">
        <v>880</v>
      </c>
      <c r="B276" s="162" t="s">
        <v>1230</v>
      </c>
      <c r="C276" s="162" t="s">
        <v>1158</v>
      </c>
      <c r="D276" s="162" t="s">
        <v>1157</v>
      </c>
      <c r="E276" s="161" t="s">
        <v>999</v>
      </c>
      <c r="F276" s="162" t="s">
        <v>1119</v>
      </c>
      <c r="G276" s="162" t="s">
        <v>1133</v>
      </c>
      <c r="H276" s="162" t="s">
        <v>966</v>
      </c>
      <c r="I276" s="163" t="s">
        <v>421</v>
      </c>
      <c r="J276" s="163" t="s">
        <v>422</v>
      </c>
      <c r="K276" s="163" t="s">
        <v>460</v>
      </c>
      <c r="L276" s="163" t="s">
        <v>469</v>
      </c>
      <c r="M276" s="161" t="s">
        <v>1163</v>
      </c>
      <c r="N276" s="161" t="s">
        <v>1164</v>
      </c>
      <c r="O276" s="164" t="s">
        <v>1026</v>
      </c>
      <c r="P276" s="163" t="s">
        <v>184</v>
      </c>
      <c r="Q276" s="171">
        <f t="shared" si="176"/>
        <v>1</v>
      </c>
      <c r="R276" s="163" t="s">
        <v>416</v>
      </c>
      <c r="S276" s="172">
        <f t="shared" si="177"/>
        <v>3</v>
      </c>
      <c r="T276" s="166">
        <f t="shared" si="178"/>
        <v>3</v>
      </c>
      <c r="U276" s="163" t="s">
        <v>184</v>
      </c>
      <c r="V276" s="163" t="s">
        <v>187</v>
      </c>
      <c r="W276" s="172">
        <f t="shared" si="180"/>
        <v>25</v>
      </c>
      <c r="X276" s="166">
        <f t="shared" si="181"/>
        <v>75</v>
      </c>
      <c r="Y276" s="163" t="str">
        <f t="shared" si="182"/>
        <v>Nivel III: Riesgo Moderado (Aceptable)</v>
      </c>
      <c r="Z276" s="163">
        <v>1</v>
      </c>
      <c r="AA276" s="163" t="s">
        <v>1151</v>
      </c>
      <c r="AB276" s="161" t="s">
        <v>424</v>
      </c>
      <c r="AC276" s="161" t="s">
        <v>424</v>
      </c>
      <c r="AD276" s="161" t="s">
        <v>424</v>
      </c>
      <c r="AE276" s="167" t="s">
        <v>1134</v>
      </c>
      <c r="AF276" s="161" t="s">
        <v>600</v>
      </c>
      <c r="AG276" s="166" t="s">
        <v>460</v>
      </c>
    </row>
    <row r="277" spans="1:33" ht="76.5" hidden="1" x14ac:dyDescent="0.2">
      <c r="A277" s="162" t="s">
        <v>880</v>
      </c>
      <c r="B277" s="162" t="s">
        <v>1230</v>
      </c>
      <c r="C277" s="162" t="s">
        <v>1158</v>
      </c>
      <c r="D277" s="162" t="s">
        <v>1157</v>
      </c>
      <c r="E277" s="161" t="s">
        <v>999</v>
      </c>
      <c r="F277" s="162" t="s">
        <v>1120</v>
      </c>
      <c r="G277" s="162" t="s">
        <v>1159</v>
      </c>
      <c r="H277" s="162" t="s">
        <v>979</v>
      </c>
      <c r="I277" s="163" t="s">
        <v>421</v>
      </c>
      <c r="J277" s="163" t="s">
        <v>422</v>
      </c>
      <c r="K277" s="163" t="s">
        <v>460</v>
      </c>
      <c r="L277" s="163" t="s">
        <v>469</v>
      </c>
      <c r="M277" s="165" t="s">
        <v>423</v>
      </c>
      <c r="N277" s="161" t="s">
        <v>1142</v>
      </c>
      <c r="O277" s="162" t="s">
        <v>1141</v>
      </c>
      <c r="P277" s="163" t="s">
        <v>184</v>
      </c>
      <c r="Q277" s="171">
        <f>IF(P277="Muy Alto",10,IF(P277="Alto",6,IF(P277="Medio",2,IF(P277="Bajo",1,))))</f>
        <v>1</v>
      </c>
      <c r="R277" s="163" t="s">
        <v>416</v>
      </c>
      <c r="S277" s="172">
        <f>IF(R277="Continua",4,IF(R277="Frecuente",3,IF(R277="Ocasional",2,IF(R277="Esporádica",1,))))</f>
        <v>3</v>
      </c>
      <c r="T277" s="166">
        <f>Q277*S277</f>
        <v>3</v>
      </c>
      <c r="U277" s="163" t="s">
        <v>184</v>
      </c>
      <c r="V277" s="163" t="s">
        <v>187</v>
      </c>
      <c r="W277" s="172">
        <f>IF(V277="Mortal o catastrófico",100,IF(V277="Muy grave",60,IF(V277="Grave",25,IF(V277="Leve",10,))))</f>
        <v>25</v>
      </c>
      <c r="X277" s="166">
        <f>T277*W277</f>
        <v>75</v>
      </c>
      <c r="Y277" s="163" t="str">
        <f>IF(AND(X277&gt;=600,X277&lt;=4000),"Nivel I: Riesgo Inaceptable",IF(AND(X277&gt;=150,X277&lt;=500),"Nivel II: Riesgo Importante",IF(AND(X277&gt;=40,X277&lt;=120),"Nivel III: Riesgo Moderado (Aceptable)","Nivel IV: Riesgo Tolerable (Aceptable)")))</f>
        <v>Nivel III: Riesgo Moderado (Aceptable)</v>
      </c>
      <c r="Z277" s="163">
        <v>1</v>
      </c>
      <c r="AA277" s="163" t="s">
        <v>1151</v>
      </c>
      <c r="AB277" s="161" t="s">
        <v>424</v>
      </c>
      <c r="AC277" s="161" t="s">
        <v>424</v>
      </c>
      <c r="AD277" s="161" t="s">
        <v>424</v>
      </c>
      <c r="AE277" s="161" t="s">
        <v>1138</v>
      </c>
      <c r="AF277" s="161" t="s">
        <v>600</v>
      </c>
      <c r="AG277" s="166" t="s">
        <v>460</v>
      </c>
    </row>
    <row r="278" spans="1:33" ht="76.5" hidden="1" x14ac:dyDescent="0.2">
      <c r="A278" s="162" t="s">
        <v>880</v>
      </c>
      <c r="B278" s="162" t="s">
        <v>1230</v>
      </c>
      <c r="C278" s="162" t="s">
        <v>1158</v>
      </c>
      <c r="D278" s="162" t="s">
        <v>1157</v>
      </c>
      <c r="E278" s="161" t="s">
        <v>999</v>
      </c>
      <c r="F278" s="162" t="s">
        <v>1121</v>
      </c>
      <c r="G278" s="162" t="s">
        <v>1139</v>
      </c>
      <c r="H278" s="162" t="s">
        <v>979</v>
      </c>
      <c r="I278" s="163" t="s">
        <v>421</v>
      </c>
      <c r="J278" s="163" t="s">
        <v>461</v>
      </c>
      <c r="K278" s="163" t="s">
        <v>460</v>
      </c>
      <c r="L278" s="163" t="s">
        <v>469</v>
      </c>
      <c r="M278" s="165" t="s">
        <v>423</v>
      </c>
      <c r="N278" s="161" t="s">
        <v>1140</v>
      </c>
      <c r="O278" s="162" t="s">
        <v>1092</v>
      </c>
      <c r="P278" s="163" t="s">
        <v>184</v>
      </c>
      <c r="Q278" s="171">
        <f>IF(P278="Muy Alto",10,IF(P278="Alto",6,IF(P278="Medio",2,IF(P278="Bajo",1,))))</f>
        <v>1</v>
      </c>
      <c r="R278" s="163" t="s">
        <v>485</v>
      </c>
      <c r="S278" s="172">
        <f>IF(R278="Continua",4,IF(R278="Frecuente",3,IF(R278="Ocasional",2,IF(R278="Esporádica",1,))))</f>
        <v>1</v>
      </c>
      <c r="T278" s="166">
        <f>Q278*S278</f>
        <v>1</v>
      </c>
      <c r="U278" s="163" t="s">
        <v>184</v>
      </c>
      <c r="V278" s="163" t="s">
        <v>187</v>
      </c>
      <c r="W278" s="172">
        <f>IF(V278="Mortal o catastrófico",100,IF(V278="Muy grave",60,IF(V278="Grave",25,IF(V278="Leve",10,))))</f>
        <v>25</v>
      </c>
      <c r="X278" s="166">
        <f>T278*W278</f>
        <v>25</v>
      </c>
      <c r="Y278" s="163" t="str">
        <f>IF(AND(X278&gt;=600,X278&lt;=4000),"Nivel I: Riesgo Inaceptable",IF(AND(X278&gt;=150,X278&lt;=500),"Nivel II: Riesgo Importante",IF(AND(X278&gt;=40,X278&lt;=120),"Nivel III: Riesgo Moderado (Aceptable)","Nivel IV: Riesgo Tolerable (Aceptable)")))</f>
        <v>Nivel IV: Riesgo Tolerable (Aceptable)</v>
      </c>
      <c r="Z278" s="163">
        <v>1</v>
      </c>
      <c r="AA278" s="163" t="s">
        <v>1151</v>
      </c>
      <c r="AB278" s="161" t="s">
        <v>424</v>
      </c>
      <c r="AC278" s="161" t="s">
        <v>424</v>
      </c>
      <c r="AD278" s="161" t="s">
        <v>424</v>
      </c>
      <c r="AE278" s="161" t="s">
        <v>1088</v>
      </c>
      <c r="AF278" s="161" t="s">
        <v>600</v>
      </c>
      <c r="AG278" s="166" t="s">
        <v>460</v>
      </c>
    </row>
    <row r="279" spans="1:33" ht="102" hidden="1" x14ac:dyDescent="0.2">
      <c r="A279" s="162" t="s">
        <v>880</v>
      </c>
      <c r="B279" s="162" t="s">
        <v>1230</v>
      </c>
      <c r="C279" s="162" t="s">
        <v>1158</v>
      </c>
      <c r="D279" s="162" t="s">
        <v>1157</v>
      </c>
      <c r="E279" s="161" t="s">
        <v>995</v>
      </c>
      <c r="F279" s="162" t="s">
        <v>714</v>
      </c>
      <c r="G279" s="162" t="s">
        <v>1036</v>
      </c>
      <c r="H279" s="162" t="s">
        <v>1135</v>
      </c>
      <c r="I279" s="163" t="s">
        <v>421</v>
      </c>
      <c r="J279" s="163" t="s">
        <v>461</v>
      </c>
      <c r="K279" s="163" t="s">
        <v>460</v>
      </c>
      <c r="L279" s="163" t="s">
        <v>469</v>
      </c>
      <c r="M279" s="161" t="s">
        <v>423</v>
      </c>
      <c r="N279" s="161" t="s">
        <v>1136</v>
      </c>
      <c r="O279" s="164" t="s">
        <v>1038</v>
      </c>
      <c r="P279" s="163" t="s">
        <v>184</v>
      </c>
      <c r="Q279" s="171">
        <f t="shared" ref="Q279:Q281" si="183">IF(P279="Muy Alto",10,IF(P279="Alto",6,IF(P279="Medio",2,IF(P279="Bajo",1,))))</f>
        <v>1</v>
      </c>
      <c r="R279" s="163" t="s">
        <v>485</v>
      </c>
      <c r="S279" s="172">
        <f t="shared" ref="S279:S281" si="184">IF(R279="Continua",4,IF(R279="Frecuente",3,IF(R279="Ocasional",2,IF(R279="Esporádica",1,))))</f>
        <v>1</v>
      </c>
      <c r="T279" s="166">
        <f t="shared" ref="T279:T281" si="185">Q279*S279</f>
        <v>1</v>
      </c>
      <c r="U279" s="163" t="str">
        <f t="shared" ref="U279" si="186">IF(AND(T279&gt;=0,T279&lt;=4),"Bajo",IF(AND(T279&gt;=6,T279&lt;=8),"Medio",IF(AND(T279&gt;=10,T279&lt;=20),"Alto",IF(AND(T279&gt;=20,T279&lt;=40),"Muy Alto",))))</f>
        <v>Bajo</v>
      </c>
      <c r="V279" s="163" t="s">
        <v>187</v>
      </c>
      <c r="W279" s="172">
        <f t="shared" ref="W279:W281" si="187">IF(V279="Mortal o catastrófico",100,IF(V279="Muy grave",60,IF(V279="Grave",25,IF(V279="Leve",10,))))</f>
        <v>25</v>
      </c>
      <c r="X279" s="166">
        <f t="shared" ref="X279:X281" si="188">T279*W279</f>
        <v>25</v>
      </c>
      <c r="Y279" s="163" t="str">
        <f t="shared" ref="Y279:Y281" si="189">IF(AND(X279&gt;=600,X279&lt;=4000),"Nivel I: Riesgo Inaceptable",IF(AND(X279&gt;=150,X279&lt;=500),"Nivel II: Riesgo Importante",IF(AND(X279&gt;=40,X279&lt;=120),"Nivel III: Riesgo Moderado (Aceptable)","Nivel IV: Riesgo Tolerable (Aceptable)")))</f>
        <v>Nivel IV: Riesgo Tolerable (Aceptable)</v>
      </c>
      <c r="Z279" s="163">
        <v>1</v>
      </c>
      <c r="AA279" s="163" t="s">
        <v>1151</v>
      </c>
      <c r="AB279" s="161" t="s">
        <v>424</v>
      </c>
      <c r="AC279" s="161" t="s">
        <v>424</v>
      </c>
      <c r="AD279" s="161" t="s">
        <v>424</v>
      </c>
      <c r="AE279" s="161" t="s">
        <v>1039</v>
      </c>
      <c r="AF279" s="161" t="s">
        <v>1040</v>
      </c>
      <c r="AG279" s="166" t="s">
        <v>460</v>
      </c>
    </row>
    <row r="280" spans="1:33" ht="89.25" hidden="1" x14ac:dyDescent="0.2">
      <c r="A280" s="162" t="s">
        <v>880</v>
      </c>
      <c r="B280" s="162" t="s">
        <v>1230</v>
      </c>
      <c r="C280" s="162" t="s">
        <v>1158</v>
      </c>
      <c r="D280" s="162" t="s">
        <v>1157</v>
      </c>
      <c r="E280" s="161" t="s">
        <v>1000</v>
      </c>
      <c r="F280" s="162" t="s">
        <v>1123</v>
      </c>
      <c r="G280" s="162" t="s">
        <v>1143</v>
      </c>
      <c r="H280" s="162" t="s">
        <v>1021</v>
      </c>
      <c r="I280" s="163" t="s">
        <v>421</v>
      </c>
      <c r="J280" s="163" t="s">
        <v>422</v>
      </c>
      <c r="K280" s="163" t="s">
        <v>460</v>
      </c>
      <c r="L280" s="163" t="s">
        <v>469</v>
      </c>
      <c r="M280" s="161" t="s">
        <v>423</v>
      </c>
      <c r="N280" s="161" t="s">
        <v>1145</v>
      </c>
      <c r="O280" s="162" t="s">
        <v>1144</v>
      </c>
      <c r="P280" s="163" t="s">
        <v>184</v>
      </c>
      <c r="Q280" s="171">
        <f t="shared" si="183"/>
        <v>1</v>
      </c>
      <c r="R280" s="163" t="s">
        <v>485</v>
      </c>
      <c r="S280" s="172">
        <f t="shared" si="184"/>
        <v>1</v>
      </c>
      <c r="T280" s="166">
        <f t="shared" si="185"/>
        <v>1</v>
      </c>
      <c r="U280" s="163" t="s">
        <v>184</v>
      </c>
      <c r="V280" s="163" t="s">
        <v>187</v>
      </c>
      <c r="W280" s="172">
        <f t="shared" si="187"/>
        <v>25</v>
      </c>
      <c r="X280" s="166">
        <f t="shared" si="188"/>
        <v>25</v>
      </c>
      <c r="Y280" s="163" t="str">
        <f t="shared" si="189"/>
        <v>Nivel IV: Riesgo Tolerable (Aceptable)</v>
      </c>
      <c r="Z280" s="163">
        <v>1</v>
      </c>
      <c r="AA280" s="163" t="s">
        <v>1151</v>
      </c>
      <c r="AB280" s="161" t="s">
        <v>424</v>
      </c>
      <c r="AC280" s="161" t="s">
        <v>424</v>
      </c>
      <c r="AD280" s="161" t="s">
        <v>424</v>
      </c>
      <c r="AE280" s="161" t="s">
        <v>1147</v>
      </c>
      <c r="AF280" s="161" t="s">
        <v>600</v>
      </c>
      <c r="AG280" s="166" t="s">
        <v>460</v>
      </c>
    </row>
    <row r="281" spans="1:33" ht="63.75" hidden="1" x14ac:dyDescent="0.2">
      <c r="A281" s="162" t="s">
        <v>880</v>
      </c>
      <c r="B281" s="162" t="s">
        <v>1230</v>
      </c>
      <c r="C281" s="162" t="s">
        <v>1158</v>
      </c>
      <c r="D281" s="162" t="s">
        <v>1157</v>
      </c>
      <c r="E281" s="161" t="s">
        <v>1000</v>
      </c>
      <c r="F281" s="162" t="s">
        <v>1127</v>
      </c>
      <c r="G281" s="162" t="s">
        <v>1152</v>
      </c>
      <c r="H281" s="162" t="s">
        <v>1021</v>
      </c>
      <c r="I281" s="163" t="s">
        <v>421</v>
      </c>
      <c r="J281" s="163" t="s">
        <v>422</v>
      </c>
      <c r="K281" s="163" t="s">
        <v>460</v>
      </c>
      <c r="L281" s="163" t="s">
        <v>469</v>
      </c>
      <c r="M281" s="161" t="s">
        <v>423</v>
      </c>
      <c r="N281" s="161" t="s">
        <v>423</v>
      </c>
      <c r="O281" s="162" t="s">
        <v>1144</v>
      </c>
      <c r="P281" s="163" t="s">
        <v>184</v>
      </c>
      <c r="Q281" s="171">
        <f t="shared" si="183"/>
        <v>1</v>
      </c>
      <c r="R281" s="163" t="s">
        <v>485</v>
      </c>
      <c r="S281" s="172">
        <f t="shared" si="184"/>
        <v>1</v>
      </c>
      <c r="T281" s="166">
        <f t="shared" si="185"/>
        <v>1</v>
      </c>
      <c r="U281" s="163" t="s">
        <v>184</v>
      </c>
      <c r="V281" s="163" t="s">
        <v>187</v>
      </c>
      <c r="W281" s="172">
        <f t="shared" si="187"/>
        <v>25</v>
      </c>
      <c r="X281" s="166">
        <f t="shared" si="188"/>
        <v>25</v>
      </c>
      <c r="Y281" s="163" t="str">
        <f t="shared" si="189"/>
        <v>Nivel IV: Riesgo Tolerable (Aceptable)</v>
      </c>
      <c r="Z281" s="163">
        <v>1</v>
      </c>
      <c r="AA281" s="163" t="s">
        <v>1151</v>
      </c>
      <c r="AB281" s="161" t="s">
        <v>424</v>
      </c>
      <c r="AC281" s="161" t="s">
        <v>424</v>
      </c>
      <c r="AD281" s="161" t="s">
        <v>424</v>
      </c>
      <c r="AE281" s="161" t="s">
        <v>1025</v>
      </c>
      <c r="AF281" s="161" t="s">
        <v>600</v>
      </c>
      <c r="AG281" s="166" t="s">
        <v>460</v>
      </c>
    </row>
    <row r="282" spans="1:33" ht="102" hidden="1" x14ac:dyDescent="0.2">
      <c r="A282" s="162" t="s">
        <v>880</v>
      </c>
      <c r="B282" s="162" t="s">
        <v>1230</v>
      </c>
      <c r="C282" s="162" t="s">
        <v>1158</v>
      </c>
      <c r="D282" s="162" t="s">
        <v>1157</v>
      </c>
      <c r="E282" s="161" t="s">
        <v>996</v>
      </c>
      <c r="F282" s="162" t="s">
        <v>430</v>
      </c>
      <c r="G282" s="162" t="s">
        <v>486</v>
      </c>
      <c r="H282" s="162" t="s">
        <v>623</v>
      </c>
      <c r="I282" s="163" t="s">
        <v>421</v>
      </c>
      <c r="J282" s="163" t="s">
        <v>422</v>
      </c>
      <c r="K282" s="163" t="s">
        <v>460</v>
      </c>
      <c r="L282" s="163" t="s">
        <v>469</v>
      </c>
      <c r="M282" s="163" t="s">
        <v>1074</v>
      </c>
      <c r="N282" s="169" t="s">
        <v>1073</v>
      </c>
      <c r="O282" s="162" t="s">
        <v>1032</v>
      </c>
      <c r="P282" s="163" t="s">
        <v>184</v>
      </c>
      <c r="Q282" s="171">
        <f>IF(P282="Muy Alto",10,IF(P282="Alto",6,IF(P282="Medio",2,IF(P282="Bajo",1,))))</f>
        <v>1</v>
      </c>
      <c r="R282" s="163" t="s">
        <v>485</v>
      </c>
      <c r="S282" s="172">
        <f>IF(R282="Continua",4,IF(R282="Frecuente",3,IF(R282="Ocasional",2,IF(R282="Esporádica",1,))))</f>
        <v>1</v>
      </c>
      <c r="T282" s="166">
        <f>Q282*S282</f>
        <v>1</v>
      </c>
      <c r="U282" s="163" t="str">
        <f>IF(AND(T282&gt;=0,T282&lt;=4),"Bajo",IF(AND(T282&gt;=6,T282&lt;=8),"Medio",IF(AND(T282&gt;=10,T282&lt;=20),"Alto",IF(AND(T282&gt;=20,T282&lt;=40),"Muy Alto",))))</f>
        <v>Bajo</v>
      </c>
      <c r="V282" s="163" t="s">
        <v>428</v>
      </c>
      <c r="W282" s="172">
        <f>IF(V282="Mortal o catastrófico",100,IF(V282="Muy grave",60,IF(V282="Grave",25,IF(V282="Leve",10,))))</f>
        <v>10</v>
      </c>
      <c r="X282" s="166">
        <f>T282*W282</f>
        <v>10</v>
      </c>
      <c r="Y282" s="163" t="str">
        <f>IF(AND(X282&gt;=600,X282&lt;=4000),"Nivel I: Riesgo Inaceptable",IF(AND(X282&gt;=150,X282&lt;=500),"Nivel II: Riesgo Importante",IF(AND(X282&gt;=40,X282&lt;=120),"Nivel III: Riesgo Moderado (Aceptable)","Nivel IV: Riesgo Tolerable (Aceptable)")))</f>
        <v>Nivel IV: Riesgo Tolerable (Aceptable)</v>
      </c>
      <c r="Z282" s="163">
        <v>1</v>
      </c>
      <c r="AA282" s="163" t="s">
        <v>1151</v>
      </c>
      <c r="AB282" s="161" t="s">
        <v>424</v>
      </c>
      <c r="AC282" s="161" t="s">
        <v>424</v>
      </c>
      <c r="AD282" s="161" t="s">
        <v>424</v>
      </c>
      <c r="AE282" s="161" t="s">
        <v>1075</v>
      </c>
      <c r="AF282" s="161" t="s">
        <v>600</v>
      </c>
      <c r="AG282" s="166" t="s">
        <v>460</v>
      </c>
    </row>
    <row r="283" spans="1:33" ht="102" hidden="1" x14ac:dyDescent="0.2">
      <c r="A283" s="162" t="s">
        <v>880</v>
      </c>
      <c r="B283" s="162" t="s">
        <v>1230</v>
      </c>
      <c r="C283" s="162" t="s">
        <v>1158</v>
      </c>
      <c r="D283" s="162" t="s">
        <v>1157</v>
      </c>
      <c r="E283" s="161" t="s">
        <v>996</v>
      </c>
      <c r="F283" s="162" t="s">
        <v>1146</v>
      </c>
      <c r="G283" s="162" t="s">
        <v>1162</v>
      </c>
      <c r="H283" s="162" t="s">
        <v>623</v>
      </c>
      <c r="I283" s="163" t="s">
        <v>421</v>
      </c>
      <c r="J283" s="163" t="s">
        <v>422</v>
      </c>
      <c r="K283" s="163" t="s">
        <v>460</v>
      </c>
      <c r="L283" s="163" t="s">
        <v>469</v>
      </c>
      <c r="M283" s="163" t="s">
        <v>1074</v>
      </c>
      <c r="N283" s="169" t="s">
        <v>1073</v>
      </c>
      <c r="O283" s="162" t="s">
        <v>1032</v>
      </c>
      <c r="P283" s="163" t="s">
        <v>184</v>
      </c>
      <c r="Q283" s="171">
        <f>IF(P283="Muy Alto",10,IF(P283="Alto",6,IF(P283="Medio",2,IF(P283="Bajo",1,))))</f>
        <v>1</v>
      </c>
      <c r="R283" s="163" t="s">
        <v>416</v>
      </c>
      <c r="S283" s="172">
        <f>IF(R283="Continua",4,IF(R283="Frecuente",3,IF(R283="Ocasional",2,IF(R283="Esporádica",1,))))</f>
        <v>3</v>
      </c>
      <c r="T283" s="166">
        <f>Q283*S283</f>
        <v>3</v>
      </c>
      <c r="U283" s="163" t="str">
        <f>IF(AND(T283&gt;=0,T283&lt;=4),"Bajo",IF(AND(T283&gt;=6,T283&lt;=8),"Medio",IF(AND(T283&gt;=10,T283&lt;=20),"Alto",IF(AND(T283&gt;=20,T283&lt;=40),"Muy Alto",))))</f>
        <v>Bajo</v>
      </c>
      <c r="V283" s="163" t="s">
        <v>428</v>
      </c>
      <c r="W283" s="172">
        <f>IF(V283="Mortal o catastrófico",100,IF(V283="Muy grave",60,IF(V283="Grave",25,IF(V283="Leve",10,))))</f>
        <v>10</v>
      </c>
      <c r="X283" s="166">
        <f>T283*W283</f>
        <v>30</v>
      </c>
      <c r="Y283" s="163" t="str">
        <f>IF(AND(X283&gt;=600,X283&lt;=4000),"Nivel I: Riesgo Inaceptable",IF(AND(X283&gt;=150,X283&lt;=500),"Nivel II: Riesgo Importante",IF(AND(X283&gt;=40,X283&lt;=120),"Nivel III: Riesgo Moderado (Aceptable)","Nivel IV: Riesgo Tolerable (Aceptable)")))</f>
        <v>Nivel IV: Riesgo Tolerable (Aceptable)</v>
      </c>
      <c r="Z283" s="163">
        <v>1</v>
      </c>
      <c r="AA283" s="163" t="s">
        <v>1151</v>
      </c>
      <c r="AB283" s="161" t="s">
        <v>424</v>
      </c>
      <c r="AC283" s="161" t="s">
        <v>424</v>
      </c>
      <c r="AD283" s="161" t="s">
        <v>424</v>
      </c>
      <c r="AE283" s="161" t="s">
        <v>1075</v>
      </c>
      <c r="AF283" s="161" t="s">
        <v>600</v>
      </c>
      <c r="AG283" s="166" t="s">
        <v>460</v>
      </c>
    </row>
    <row r="284" spans="1:33" ht="89.25" hidden="1" x14ac:dyDescent="0.2">
      <c r="A284" s="162" t="s">
        <v>880</v>
      </c>
      <c r="B284" s="162" t="s">
        <v>642</v>
      </c>
      <c r="C284" s="162" t="s">
        <v>1161</v>
      </c>
      <c r="D284" s="162" t="s">
        <v>1160</v>
      </c>
      <c r="E284" s="161" t="s">
        <v>998</v>
      </c>
      <c r="F284" s="162" t="s">
        <v>178</v>
      </c>
      <c r="G284" s="162" t="s">
        <v>1067</v>
      </c>
      <c r="H284" s="162" t="s">
        <v>559</v>
      </c>
      <c r="I284" s="163" t="s">
        <v>421</v>
      </c>
      <c r="J284" s="163" t="s">
        <v>422</v>
      </c>
      <c r="K284" s="163" t="s">
        <v>460</v>
      </c>
      <c r="L284" s="163" t="s">
        <v>469</v>
      </c>
      <c r="M284" s="161" t="s">
        <v>606</v>
      </c>
      <c r="N284" s="161" t="s">
        <v>606</v>
      </c>
      <c r="O284" s="162" t="s">
        <v>1046</v>
      </c>
      <c r="P284" s="163" t="s">
        <v>185</v>
      </c>
      <c r="Q284" s="171">
        <f t="shared" ref="Q284:Q290" si="190">IF(P284="Muy Alto",10,IF(P284="Alto",6,IF(P284="Medio",2,IF(P284="Bajo",1,))))</f>
        <v>2</v>
      </c>
      <c r="R284" s="163" t="s">
        <v>186</v>
      </c>
      <c r="S284" s="172">
        <f t="shared" ref="S284:S290" si="191">IF(R284="Continua",4,IF(R284="Frecuente",3,IF(R284="Ocasional",2,IF(R284="Esporádica",1,))))</f>
        <v>4</v>
      </c>
      <c r="T284" s="166">
        <f t="shared" ref="T284:T290" si="192">Q284*S284</f>
        <v>8</v>
      </c>
      <c r="U284" s="163" t="str">
        <f t="shared" ref="U284:U289" si="193">IF(AND(T284&gt;=0,T284&lt;=4),"Bajo",IF(AND(T284&gt;=6,T284&lt;=8),"Medio",IF(AND(T284&gt;=10,T284&lt;=20),"Alto",IF(AND(T284&gt;=20,T284&lt;=40),"Muy Alto",))))</f>
        <v>Medio</v>
      </c>
      <c r="V284" s="163" t="s">
        <v>187</v>
      </c>
      <c r="W284" s="172">
        <f t="shared" ref="W284:W290" si="194">IF(V284="Mortal o catastrófico",100,IF(V284="Muy grave",60,IF(V284="Grave",25,IF(V284="Leve",10,))))</f>
        <v>25</v>
      </c>
      <c r="X284" s="166">
        <f t="shared" ref="X284:X290" si="195">T284*W284</f>
        <v>200</v>
      </c>
      <c r="Y284" s="163" t="str">
        <f t="shared" ref="Y284:Y290" si="196">IF(AND(X284&gt;=600,X284&lt;=4000),"Nivel I: Riesgo Inaceptable",IF(AND(X284&gt;=150,X284&lt;=500),"Nivel II: Riesgo Importante",IF(AND(X284&gt;=40,X284&lt;=120),"Nivel III: Riesgo Moderado (Aceptable)","Nivel IV: Riesgo Tolerable (Aceptable)")))</f>
        <v>Nivel II: Riesgo Importante</v>
      </c>
      <c r="Z284" s="163">
        <v>1</v>
      </c>
      <c r="AA284" s="163" t="s">
        <v>1151</v>
      </c>
      <c r="AB284" s="161" t="s">
        <v>424</v>
      </c>
      <c r="AC284" s="161" t="s">
        <v>424</v>
      </c>
      <c r="AD284" s="161" t="s">
        <v>424</v>
      </c>
      <c r="AE284" s="161" t="s">
        <v>1130</v>
      </c>
      <c r="AF284" s="161" t="s">
        <v>600</v>
      </c>
      <c r="AG284" s="166" t="s">
        <v>460</v>
      </c>
    </row>
    <row r="285" spans="1:33" ht="140.25" hidden="1" x14ac:dyDescent="0.2">
      <c r="A285" s="162" t="s">
        <v>880</v>
      </c>
      <c r="B285" s="162" t="s">
        <v>642</v>
      </c>
      <c r="C285" s="162" t="s">
        <v>1161</v>
      </c>
      <c r="D285" s="162" t="s">
        <v>1160</v>
      </c>
      <c r="E285" s="161" t="s">
        <v>175</v>
      </c>
      <c r="F285" s="162" t="s">
        <v>1111</v>
      </c>
      <c r="G285" s="162" t="s">
        <v>1165</v>
      </c>
      <c r="H285" s="162" t="s">
        <v>602</v>
      </c>
      <c r="I285" s="173" t="s">
        <v>421</v>
      </c>
      <c r="J285" s="173" t="s">
        <v>422</v>
      </c>
      <c r="K285" s="174" t="s">
        <v>460</v>
      </c>
      <c r="L285" s="174" t="s">
        <v>469</v>
      </c>
      <c r="M285" s="175" t="s">
        <v>1167</v>
      </c>
      <c r="N285" s="175" t="s">
        <v>423</v>
      </c>
      <c r="O285" s="176" t="s">
        <v>1166</v>
      </c>
      <c r="P285" s="177" t="s">
        <v>185</v>
      </c>
      <c r="Q285" s="178">
        <f t="shared" si="190"/>
        <v>2</v>
      </c>
      <c r="R285" s="177" t="s">
        <v>416</v>
      </c>
      <c r="S285" s="179">
        <f t="shared" si="191"/>
        <v>3</v>
      </c>
      <c r="T285" s="180">
        <f t="shared" si="192"/>
        <v>6</v>
      </c>
      <c r="U285" s="181" t="str">
        <f t="shared" si="193"/>
        <v>Medio</v>
      </c>
      <c r="V285" s="181" t="s">
        <v>428</v>
      </c>
      <c r="W285" s="179">
        <f t="shared" si="194"/>
        <v>10</v>
      </c>
      <c r="X285" s="180">
        <f t="shared" si="195"/>
        <v>60</v>
      </c>
      <c r="Y285" s="181" t="str">
        <f t="shared" si="196"/>
        <v>Nivel III: Riesgo Moderado (Aceptable)</v>
      </c>
      <c r="Z285" s="163">
        <v>1</v>
      </c>
      <c r="AA285" s="163" t="s">
        <v>1151</v>
      </c>
      <c r="AB285" s="175" t="s">
        <v>424</v>
      </c>
      <c r="AC285" s="175" t="s">
        <v>424</v>
      </c>
      <c r="AD285" s="175" t="s">
        <v>424</v>
      </c>
      <c r="AE285" s="182" t="s">
        <v>1035</v>
      </c>
      <c r="AF285" s="183" t="s">
        <v>600</v>
      </c>
      <c r="AG285" s="184" t="s">
        <v>460</v>
      </c>
    </row>
    <row r="286" spans="1:33" ht="140.25" hidden="1" x14ac:dyDescent="0.2">
      <c r="A286" s="162" t="s">
        <v>880</v>
      </c>
      <c r="B286" s="162" t="s">
        <v>642</v>
      </c>
      <c r="C286" s="162" t="s">
        <v>1161</v>
      </c>
      <c r="D286" s="162" t="s">
        <v>1160</v>
      </c>
      <c r="E286" s="161" t="s">
        <v>175</v>
      </c>
      <c r="F286" s="162" t="s">
        <v>1197</v>
      </c>
      <c r="G286" s="162" t="s">
        <v>1199</v>
      </c>
      <c r="H286" s="170" t="s">
        <v>1198</v>
      </c>
      <c r="I286" s="173" t="s">
        <v>421</v>
      </c>
      <c r="J286" s="173" t="s">
        <v>422</v>
      </c>
      <c r="K286" s="174" t="s">
        <v>460</v>
      </c>
      <c r="L286" s="174" t="s">
        <v>469</v>
      </c>
      <c r="M286" s="175" t="s">
        <v>1167</v>
      </c>
      <c r="N286" s="175" t="s">
        <v>423</v>
      </c>
      <c r="O286" s="176" t="s">
        <v>1166</v>
      </c>
      <c r="P286" s="177" t="s">
        <v>185</v>
      </c>
      <c r="Q286" s="178">
        <f t="shared" si="190"/>
        <v>2</v>
      </c>
      <c r="R286" s="177" t="s">
        <v>416</v>
      </c>
      <c r="S286" s="179">
        <f t="shared" si="191"/>
        <v>3</v>
      </c>
      <c r="T286" s="180">
        <f t="shared" si="192"/>
        <v>6</v>
      </c>
      <c r="U286" s="181" t="str">
        <f t="shared" si="193"/>
        <v>Medio</v>
      </c>
      <c r="V286" s="181" t="s">
        <v>187</v>
      </c>
      <c r="W286" s="179">
        <f t="shared" si="194"/>
        <v>25</v>
      </c>
      <c r="X286" s="180">
        <f t="shared" si="195"/>
        <v>150</v>
      </c>
      <c r="Y286" s="181" t="str">
        <f t="shared" si="196"/>
        <v>Nivel II: Riesgo Importante</v>
      </c>
      <c r="Z286" s="163">
        <v>1</v>
      </c>
      <c r="AA286" s="163" t="s">
        <v>1151</v>
      </c>
      <c r="AB286" s="175" t="s">
        <v>424</v>
      </c>
      <c r="AC286" s="175" t="s">
        <v>424</v>
      </c>
      <c r="AD286" s="175" t="s">
        <v>424</v>
      </c>
      <c r="AE286" s="182" t="s">
        <v>1196</v>
      </c>
      <c r="AF286" s="183" t="s">
        <v>600</v>
      </c>
      <c r="AG286" s="184" t="s">
        <v>460</v>
      </c>
    </row>
    <row r="287" spans="1:33" ht="63.75" hidden="1" x14ac:dyDescent="0.2">
      <c r="A287" s="162" t="s">
        <v>880</v>
      </c>
      <c r="B287" s="162" t="s">
        <v>642</v>
      </c>
      <c r="C287" s="162" t="s">
        <v>1161</v>
      </c>
      <c r="D287" s="162" t="s">
        <v>1160</v>
      </c>
      <c r="E287" s="161" t="s">
        <v>999</v>
      </c>
      <c r="F287" s="162" t="s">
        <v>292</v>
      </c>
      <c r="G287" s="162" t="s">
        <v>1149</v>
      </c>
      <c r="H287" s="162" t="s">
        <v>472</v>
      </c>
      <c r="I287" s="163" t="s">
        <v>421</v>
      </c>
      <c r="J287" s="163" t="s">
        <v>461</v>
      </c>
      <c r="K287" s="163" t="s">
        <v>460</v>
      </c>
      <c r="L287" s="163" t="s">
        <v>469</v>
      </c>
      <c r="M287" s="161" t="s">
        <v>606</v>
      </c>
      <c r="N287" s="161" t="s">
        <v>1069</v>
      </c>
      <c r="O287" s="162" t="s">
        <v>1070</v>
      </c>
      <c r="P287" s="163" t="s">
        <v>184</v>
      </c>
      <c r="Q287" s="171">
        <f t="shared" si="190"/>
        <v>1</v>
      </c>
      <c r="R287" s="163" t="s">
        <v>429</v>
      </c>
      <c r="S287" s="172">
        <f t="shared" si="191"/>
        <v>2</v>
      </c>
      <c r="T287" s="166">
        <f t="shared" si="192"/>
        <v>2</v>
      </c>
      <c r="U287" s="163" t="str">
        <f t="shared" si="193"/>
        <v>Bajo</v>
      </c>
      <c r="V287" s="163" t="s">
        <v>428</v>
      </c>
      <c r="W287" s="172">
        <f t="shared" si="194"/>
        <v>10</v>
      </c>
      <c r="X287" s="166">
        <f t="shared" si="195"/>
        <v>20</v>
      </c>
      <c r="Y287" s="163" t="str">
        <f t="shared" si="196"/>
        <v>Nivel IV: Riesgo Tolerable (Aceptable)</v>
      </c>
      <c r="Z287" s="163">
        <v>1</v>
      </c>
      <c r="AA287" s="163" t="s">
        <v>1151</v>
      </c>
      <c r="AB287" s="161" t="s">
        <v>424</v>
      </c>
      <c r="AC287" s="161" t="s">
        <v>424</v>
      </c>
      <c r="AD287" s="161" t="s">
        <v>424</v>
      </c>
      <c r="AE287" s="161" t="s">
        <v>1071</v>
      </c>
      <c r="AF287" s="161" t="s">
        <v>600</v>
      </c>
      <c r="AG287" s="166" t="s">
        <v>460</v>
      </c>
    </row>
    <row r="288" spans="1:33" ht="76.5" hidden="1" x14ac:dyDescent="0.2">
      <c r="A288" s="162" t="s">
        <v>880</v>
      </c>
      <c r="B288" s="162" t="s">
        <v>642</v>
      </c>
      <c r="C288" s="162" t="s">
        <v>1161</v>
      </c>
      <c r="D288" s="162" t="s">
        <v>1160</v>
      </c>
      <c r="E288" s="161" t="s">
        <v>999</v>
      </c>
      <c r="F288" s="162" t="s">
        <v>288</v>
      </c>
      <c r="G288" s="162" t="s">
        <v>1131</v>
      </c>
      <c r="H288" s="162" t="s">
        <v>614</v>
      </c>
      <c r="I288" s="163" t="s">
        <v>421</v>
      </c>
      <c r="J288" s="163" t="s">
        <v>461</v>
      </c>
      <c r="K288" s="163" t="s">
        <v>460</v>
      </c>
      <c r="L288" s="163" t="s">
        <v>469</v>
      </c>
      <c r="M288" s="166" t="s">
        <v>423</v>
      </c>
      <c r="N288" s="162" t="s">
        <v>1132</v>
      </c>
      <c r="O288" s="162" t="s">
        <v>1026</v>
      </c>
      <c r="P288" s="163" t="s">
        <v>184</v>
      </c>
      <c r="Q288" s="171">
        <f t="shared" si="190"/>
        <v>1</v>
      </c>
      <c r="R288" s="163" t="s">
        <v>485</v>
      </c>
      <c r="S288" s="172">
        <f t="shared" si="191"/>
        <v>1</v>
      </c>
      <c r="T288" s="166">
        <f t="shared" si="192"/>
        <v>1</v>
      </c>
      <c r="U288" s="163" t="str">
        <f t="shared" si="193"/>
        <v>Bajo</v>
      </c>
      <c r="V288" s="163" t="s">
        <v>187</v>
      </c>
      <c r="W288" s="172">
        <f t="shared" si="194"/>
        <v>25</v>
      </c>
      <c r="X288" s="166">
        <f t="shared" si="195"/>
        <v>25</v>
      </c>
      <c r="Y288" s="163" t="str">
        <f t="shared" si="196"/>
        <v>Nivel IV: Riesgo Tolerable (Aceptable)</v>
      </c>
      <c r="Z288" s="163">
        <v>1</v>
      </c>
      <c r="AA288" s="163" t="s">
        <v>1151</v>
      </c>
      <c r="AB288" s="161" t="s">
        <v>424</v>
      </c>
      <c r="AC288" s="161" t="s">
        <v>424</v>
      </c>
      <c r="AD288" s="161" t="s">
        <v>424</v>
      </c>
      <c r="AE288" s="161" t="s">
        <v>1066</v>
      </c>
      <c r="AF288" s="161" t="s">
        <v>600</v>
      </c>
      <c r="AG288" s="166" t="s">
        <v>460</v>
      </c>
    </row>
    <row r="289" spans="1:33" ht="76.5" hidden="1" x14ac:dyDescent="0.2">
      <c r="A289" s="162" t="s">
        <v>880</v>
      </c>
      <c r="B289" s="162" t="s">
        <v>642</v>
      </c>
      <c r="C289" s="162" t="s">
        <v>1161</v>
      </c>
      <c r="D289" s="162" t="s">
        <v>1160</v>
      </c>
      <c r="E289" s="161" t="s">
        <v>999</v>
      </c>
      <c r="F289" s="162" t="s">
        <v>1117</v>
      </c>
      <c r="G289" s="162" t="s">
        <v>564</v>
      </c>
      <c r="H289" s="162" t="s">
        <v>1072</v>
      </c>
      <c r="I289" s="163" t="s">
        <v>421</v>
      </c>
      <c r="J289" s="163" t="s">
        <v>461</v>
      </c>
      <c r="K289" s="163" t="s">
        <v>460</v>
      </c>
      <c r="L289" s="163" t="s">
        <v>469</v>
      </c>
      <c r="M289" s="166" t="s">
        <v>423</v>
      </c>
      <c r="N289" s="166" t="s">
        <v>423</v>
      </c>
      <c r="O289" s="162" t="s">
        <v>1026</v>
      </c>
      <c r="P289" s="163" t="s">
        <v>184</v>
      </c>
      <c r="Q289" s="171">
        <f t="shared" si="190"/>
        <v>1</v>
      </c>
      <c r="R289" s="163" t="s">
        <v>485</v>
      </c>
      <c r="S289" s="172">
        <f t="shared" si="191"/>
        <v>1</v>
      </c>
      <c r="T289" s="166">
        <f t="shared" si="192"/>
        <v>1</v>
      </c>
      <c r="U289" s="163" t="str">
        <f t="shared" si="193"/>
        <v>Bajo</v>
      </c>
      <c r="V289" s="163" t="s">
        <v>428</v>
      </c>
      <c r="W289" s="172">
        <f t="shared" si="194"/>
        <v>10</v>
      </c>
      <c r="X289" s="166">
        <f t="shared" si="195"/>
        <v>10</v>
      </c>
      <c r="Y289" s="163" t="str">
        <f t="shared" si="196"/>
        <v>Nivel IV: Riesgo Tolerable (Aceptable)</v>
      </c>
      <c r="Z289" s="163">
        <v>1</v>
      </c>
      <c r="AA289" s="163" t="s">
        <v>1151</v>
      </c>
      <c r="AB289" s="161" t="s">
        <v>424</v>
      </c>
      <c r="AC289" s="161" t="s">
        <v>424</v>
      </c>
      <c r="AD289" s="161" t="s">
        <v>424</v>
      </c>
      <c r="AE289" s="161" t="s">
        <v>1066</v>
      </c>
      <c r="AF289" s="161" t="s">
        <v>600</v>
      </c>
      <c r="AG289" s="166" t="s">
        <v>460</v>
      </c>
    </row>
    <row r="290" spans="1:33" ht="76.5" hidden="1" x14ac:dyDescent="0.2">
      <c r="A290" s="162" t="s">
        <v>880</v>
      </c>
      <c r="B290" s="162" t="s">
        <v>642</v>
      </c>
      <c r="C290" s="162" t="s">
        <v>1161</v>
      </c>
      <c r="D290" s="162" t="s">
        <v>1160</v>
      </c>
      <c r="E290" s="161" t="s">
        <v>999</v>
      </c>
      <c r="F290" s="162" t="s">
        <v>1119</v>
      </c>
      <c r="G290" s="162" t="s">
        <v>1133</v>
      </c>
      <c r="H290" s="162" t="s">
        <v>966</v>
      </c>
      <c r="I290" s="163" t="s">
        <v>421</v>
      </c>
      <c r="J290" s="163" t="s">
        <v>422</v>
      </c>
      <c r="K290" s="163" t="s">
        <v>460</v>
      </c>
      <c r="L290" s="163" t="s">
        <v>469</v>
      </c>
      <c r="M290" s="161" t="s">
        <v>1163</v>
      </c>
      <c r="N290" s="161" t="s">
        <v>1164</v>
      </c>
      <c r="O290" s="164" t="s">
        <v>1026</v>
      </c>
      <c r="P290" s="163" t="s">
        <v>184</v>
      </c>
      <c r="Q290" s="171">
        <f t="shared" si="190"/>
        <v>1</v>
      </c>
      <c r="R290" s="163" t="s">
        <v>416</v>
      </c>
      <c r="S290" s="172">
        <f t="shared" si="191"/>
        <v>3</v>
      </c>
      <c r="T290" s="166">
        <f t="shared" si="192"/>
        <v>3</v>
      </c>
      <c r="U290" s="163" t="s">
        <v>184</v>
      </c>
      <c r="V290" s="163" t="s">
        <v>187</v>
      </c>
      <c r="W290" s="172">
        <f t="shared" si="194"/>
        <v>25</v>
      </c>
      <c r="X290" s="166">
        <f t="shared" si="195"/>
        <v>75</v>
      </c>
      <c r="Y290" s="163" t="str">
        <f t="shared" si="196"/>
        <v>Nivel III: Riesgo Moderado (Aceptable)</v>
      </c>
      <c r="Z290" s="163">
        <v>1</v>
      </c>
      <c r="AA290" s="163" t="s">
        <v>1151</v>
      </c>
      <c r="AB290" s="161" t="s">
        <v>424</v>
      </c>
      <c r="AC290" s="161" t="s">
        <v>424</v>
      </c>
      <c r="AD290" s="161" t="s">
        <v>424</v>
      </c>
      <c r="AE290" s="167" t="s">
        <v>1134</v>
      </c>
      <c r="AF290" s="161" t="s">
        <v>600</v>
      </c>
      <c r="AG290" s="166" t="s">
        <v>460</v>
      </c>
    </row>
    <row r="291" spans="1:33" ht="76.5" hidden="1" x14ac:dyDescent="0.2">
      <c r="A291" s="162" t="s">
        <v>880</v>
      </c>
      <c r="B291" s="162" t="s">
        <v>642</v>
      </c>
      <c r="C291" s="162" t="s">
        <v>1161</v>
      </c>
      <c r="D291" s="162" t="s">
        <v>1160</v>
      </c>
      <c r="E291" s="161" t="s">
        <v>999</v>
      </c>
      <c r="F291" s="162" t="s">
        <v>1120</v>
      </c>
      <c r="G291" s="162" t="s">
        <v>1159</v>
      </c>
      <c r="H291" s="162" t="s">
        <v>979</v>
      </c>
      <c r="I291" s="163" t="s">
        <v>421</v>
      </c>
      <c r="J291" s="163" t="s">
        <v>422</v>
      </c>
      <c r="K291" s="163" t="s">
        <v>460</v>
      </c>
      <c r="L291" s="163" t="s">
        <v>469</v>
      </c>
      <c r="M291" s="165" t="s">
        <v>423</v>
      </c>
      <c r="N291" s="161" t="s">
        <v>1142</v>
      </c>
      <c r="O291" s="162" t="s">
        <v>1141</v>
      </c>
      <c r="P291" s="163" t="s">
        <v>184</v>
      </c>
      <c r="Q291" s="171">
        <f>IF(P291="Muy Alto",10,IF(P291="Alto",6,IF(P291="Medio",2,IF(P291="Bajo",1,))))</f>
        <v>1</v>
      </c>
      <c r="R291" s="163" t="s">
        <v>429</v>
      </c>
      <c r="S291" s="172">
        <f>IF(R291="Continua",4,IF(R291="Frecuente",3,IF(R291="Ocasional",2,IF(R291="Esporádica",1,))))</f>
        <v>2</v>
      </c>
      <c r="T291" s="166">
        <f>Q291*S291</f>
        <v>2</v>
      </c>
      <c r="U291" s="163" t="s">
        <v>184</v>
      </c>
      <c r="V291" s="163" t="s">
        <v>187</v>
      </c>
      <c r="W291" s="172">
        <f>IF(V291="Mortal o catastrófico",100,IF(V291="Muy grave",60,IF(V291="Grave",25,IF(V291="Leve",10,))))</f>
        <v>25</v>
      </c>
      <c r="X291" s="166">
        <f>T291*W291</f>
        <v>50</v>
      </c>
      <c r="Y291" s="163" t="str">
        <f>IF(AND(X291&gt;=600,X291&lt;=4000),"Nivel I: Riesgo Inaceptable",IF(AND(X291&gt;=150,X291&lt;=500),"Nivel II: Riesgo Importante",IF(AND(X291&gt;=40,X291&lt;=120),"Nivel III: Riesgo Moderado (Aceptable)","Nivel IV: Riesgo Tolerable (Aceptable)")))</f>
        <v>Nivel III: Riesgo Moderado (Aceptable)</v>
      </c>
      <c r="Z291" s="163">
        <v>1</v>
      </c>
      <c r="AA291" s="163" t="s">
        <v>1151</v>
      </c>
      <c r="AB291" s="161" t="s">
        <v>424</v>
      </c>
      <c r="AC291" s="161" t="s">
        <v>424</v>
      </c>
      <c r="AD291" s="161" t="s">
        <v>424</v>
      </c>
      <c r="AE291" s="161" t="s">
        <v>1138</v>
      </c>
      <c r="AF291" s="161" t="s">
        <v>600</v>
      </c>
      <c r="AG291" s="166" t="s">
        <v>460</v>
      </c>
    </row>
    <row r="292" spans="1:33" ht="76.5" hidden="1" x14ac:dyDescent="0.2">
      <c r="A292" s="162" t="s">
        <v>880</v>
      </c>
      <c r="B292" s="162" t="s">
        <v>642</v>
      </c>
      <c r="C292" s="162" t="s">
        <v>1161</v>
      </c>
      <c r="D292" s="162" t="s">
        <v>1160</v>
      </c>
      <c r="E292" s="161" t="s">
        <v>999</v>
      </c>
      <c r="F292" s="162" t="s">
        <v>1121</v>
      </c>
      <c r="G292" s="162" t="s">
        <v>1139</v>
      </c>
      <c r="H292" s="162" t="s">
        <v>979</v>
      </c>
      <c r="I292" s="163" t="s">
        <v>421</v>
      </c>
      <c r="J292" s="163" t="s">
        <v>461</v>
      </c>
      <c r="K292" s="163" t="s">
        <v>460</v>
      </c>
      <c r="L292" s="163" t="s">
        <v>469</v>
      </c>
      <c r="M292" s="165" t="s">
        <v>423</v>
      </c>
      <c r="N292" s="161" t="s">
        <v>1140</v>
      </c>
      <c r="O292" s="162" t="s">
        <v>1092</v>
      </c>
      <c r="P292" s="163" t="s">
        <v>184</v>
      </c>
      <c r="Q292" s="171">
        <f>IF(P292="Muy Alto",10,IF(P292="Alto",6,IF(P292="Medio",2,IF(P292="Bajo",1,))))</f>
        <v>1</v>
      </c>
      <c r="R292" s="163" t="s">
        <v>485</v>
      </c>
      <c r="S292" s="172">
        <f>IF(R292="Continua",4,IF(R292="Frecuente",3,IF(R292="Ocasional",2,IF(R292="Esporádica",1,))))</f>
        <v>1</v>
      </c>
      <c r="T292" s="166">
        <f>Q292*S292</f>
        <v>1</v>
      </c>
      <c r="U292" s="163" t="s">
        <v>184</v>
      </c>
      <c r="V292" s="163" t="s">
        <v>187</v>
      </c>
      <c r="W292" s="172">
        <f>IF(V292="Mortal o catastrófico",100,IF(V292="Muy grave",60,IF(V292="Grave",25,IF(V292="Leve",10,))))</f>
        <v>25</v>
      </c>
      <c r="X292" s="166">
        <f>T292*W292</f>
        <v>25</v>
      </c>
      <c r="Y292" s="163" t="str">
        <f>IF(AND(X292&gt;=600,X292&lt;=4000),"Nivel I: Riesgo Inaceptable",IF(AND(X292&gt;=150,X292&lt;=500),"Nivel II: Riesgo Importante",IF(AND(X292&gt;=40,X292&lt;=120),"Nivel III: Riesgo Moderado (Aceptable)","Nivel IV: Riesgo Tolerable (Aceptable)")))</f>
        <v>Nivel IV: Riesgo Tolerable (Aceptable)</v>
      </c>
      <c r="Z292" s="163">
        <v>1</v>
      </c>
      <c r="AA292" s="163" t="s">
        <v>1151</v>
      </c>
      <c r="AB292" s="161" t="s">
        <v>424</v>
      </c>
      <c r="AC292" s="161" t="s">
        <v>424</v>
      </c>
      <c r="AD292" s="161" t="s">
        <v>424</v>
      </c>
      <c r="AE292" s="161" t="s">
        <v>1088</v>
      </c>
      <c r="AF292" s="161" t="s">
        <v>600</v>
      </c>
      <c r="AG292" s="166" t="s">
        <v>460</v>
      </c>
    </row>
    <row r="293" spans="1:33" ht="102" hidden="1" x14ac:dyDescent="0.2">
      <c r="A293" s="162" t="s">
        <v>880</v>
      </c>
      <c r="B293" s="162" t="s">
        <v>642</v>
      </c>
      <c r="C293" s="162" t="s">
        <v>1161</v>
      </c>
      <c r="D293" s="162" t="s">
        <v>1160</v>
      </c>
      <c r="E293" s="161" t="s">
        <v>995</v>
      </c>
      <c r="F293" s="162" t="s">
        <v>714</v>
      </c>
      <c r="G293" s="162" t="s">
        <v>1036</v>
      </c>
      <c r="H293" s="162" t="s">
        <v>1135</v>
      </c>
      <c r="I293" s="163" t="s">
        <v>421</v>
      </c>
      <c r="J293" s="163" t="s">
        <v>461</v>
      </c>
      <c r="K293" s="163" t="s">
        <v>460</v>
      </c>
      <c r="L293" s="163" t="s">
        <v>469</v>
      </c>
      <c r="M293" s="161" t="s">
        <v>423</v>
      </c>
      <c r="N293" s="161" t="s">
        <v>1136</v>
      </c>
      <c r="O293" s="164" t="s">
        <v>1038</v>
      </c>
      <c r="P293" s="163" t="s">
        <v>184</v>
      </c>
      <c r="Q293" s="171">
        <f t="shared" ref="Q293:Q295" si="197">IF(P293="Muy Alto",10,IF(P293="Alto",6,IF(P293="Medio",2,IF(P293="Bajo",1,))))</f>
        <v>1</v>
      </c>
      <c r="R293" s="163" t="s">
        <v>485</v>
      </c>
      <c r="S293" s="172">
        <f t="shared" ref="S293:S295" si="198">IF(R293="Continua",4,IF(R293="Frecuente",3,IF(R293="Ocasional",2,IF(R293="Esporádica",1,))))</f>
        <v>1</v>
      </c>
      <c r="T293" s="166">
        <f t="shared" ref="T293:T295" si="199">Q293*S293</f>
        <v>1</v>
      </c>
      <c r="U293" s="163" t="str">
        <f t="shared" ref="U293" si="200">IF(AND(T293&gt;=0,T293&lt;=4),"Bajo",IF(AND(T293&gt;=6,T293&lt;=8),"Medio",IF(AND(T293&gt;=10,T293&lt;=20),"Alto",IF(AND(T293&gt;=20,T293&lt;=40),"Muy Alto",))))</f>
        <v>Bajo</v>
      </c>
      <c r="V293" s="163" t="s">
        <v>187</v>
      </c>
      <c r="W293" s="172">
        <f t="shared" ref="W293:W295" si="201">IF(V293="Mortal o catastrófico",100,IF(V293="Muy grave",60,IF(V293="Grave",25,IF(V293="Leve",10,))))</f>
        <v>25</v>
      </c>
      <c r="X293" s="166">
        <f t="shared" ref="X293:X295" si="202">T293*W293</f>
        <v>25</v>
      </c>
      <c r="Y293" s="163" t="str">
        <f t="shared" ref="Y293:Y295" si="203">IF(AND(X293&gt;=600,X293&lt;=4000),"Nivel I: Riesgo Inaceptable",IF(AND(X293&gt;=150,X293&lt;=500),"Nivel II: Riesgo Importante",IF(AND(X293&gt;=40,X293&lt;=120),"Nivel III: Riesgo Moderado (Aceptable)","Nivel IV: Riesgo Tolerable (Aceptable)")))</f>
        <v>Nivel IV: Riesgo Tolerable (Aceptable)</v>
      </c>
      <c r="Z293" s="163">
        <v>1</v>
      </c>
      <c r="AA293" s="163" t="s">
        <v>1151</v>
      </c>
      <c r="AB293" s="161" t="s">
        <v>424</v>
      </c>
      <c r="AC293" s="161" t="s">
        <v>424</v>
      </c>
      <c r="AD293" s="161" t="s">
        <v>424</v>
      </c>
      <c r="AE293" s="161" t="s">
        <v>1039</v>
      </c>
      <c r="AF293" s="161" t="s">
        <v>1040</v>
      </c>
      <c r="AG293" s="166" t="s">
        <v>460</v>
      </c>
    </row>
    <row r="294" spans="1:33" ht="89.25" hidden="1" x14ac:dyDescent="0.2">
      <c r="A294" s="162" t="s">
        <v>880</v>
      </c>
      <c r="B294" s="162" t="s">
        <v>642</v>
      </c>
      <c r="C294" s="162" t="s">
        <v>1161</v>
      </c>
      <c r="D294" s="162" t="s">
        <v>1160</v>
      </c>
      <c r="E294" s="161" t="s">
        <v>1000</v>
      </c>
      <c r="F294" s="162" t="s">
        <v>1123</v>
      </c>
      <c r="G294" s="162" t="s">
        <v>1143</v>
      </c>
      <c r="H294" s="162" t="s">
        <v>1021</v>
      </c>
      <c r="I294" s="163" t="s">
        <v>421</v>
      </c>
      <c r="J294" s="163" t="s">
        <v>422</v>
      </c>
      <c r="K294" s="163" t="s">
        <v>460</v>
      </c>
      <c r="L294" s="163" t="s">
        <v>469</v>
      </c>
      <c r="M294" s="161" t="s">
        <v>423</v>
      </c>
      <c r="N294" s="161" t="s">
        <v>1145</v>
      </c>
      <c r="O294" s="162" t="s">
        <v>1144</v>
      </c>
      <c r="P294" s="163" t="s">
        <v>184</v>
      </c>
      <c r="Q294" s="171">
        <f t="shared" si="197"/>
        <v>1</v>
      </c>
      <c r="R294" s="163" t="s">
        <v>485</v>
      </c>
      <c r="S294" s="172">
        <f t="shared" si="198"/>
        <v>1</v>
      </c>
      <c r="T294" s="166">
        <f t="shared" si="199"/>
        <v>1</v>
      </c>
      <c r="U294" s="163" t="s">
        <v>184</v>
      </c>
      <c r="V294" s="163" t="s">
        <v>187</v>
      </c>
      <c r="W294" s="172">
        <f t="shared" si="201"/>
        <v>25</v>
      </c>
      <c r="X294" s="166">
        <f t="shared" si="202"/>
        <v>25</v>
      </c>
      <c r="Y294" s="163" t="str">
        <f t="shared" si="203"/>
        <v>Nivel IV: Riesgo Tolerable (Aceptable)</v>
      </c>
      <c r="Z294" s="163">
        <v>1</v>
      </c>
      <c r="AA294" s="163" t="s">
        <v>1151</v>
      </c>
      <c r="AB294" s="161" t="s">
        <v>424</v>
      </c>
      <c r="AC294" s="161" t="s">
        <v>424</v>
      </c>
      <c r="AD294" s="161" t="s">
        <v>424</v>
      </c>
      <c r="AE294" s="161" t="s">
        <v>1147</v>
      </c>
      <c r="AF294" s="161" t="s">
        <v>600</v>
      </c>
      <c r="AG294" s="166" t="s">
        <v>460</v>
      </c>
    </row>
    <row r="295" spans="1:33" ht="63.75" hidden="1" x14ac:dyDescent="0.2">
      <c r="A295" s="162" t="s">
        <v>880</v>
      </c>
      <c r="B295" s="162" t="s">
        <v>642</v>
      </c>
      <c r="C295" s="162" t="s">
        <v>1161</v>
      </c>
      <c r="D295" s="162" t="s">
        <v>1160</v>
      </c>
      <c r="E295" s="161" t="s">
        <v>1000</v>
      </c>
      <c r="F295" s="162" t="s">
        <v>1127</v>
      </c>
      <c r="G295" s="162" t="s">
        <v>1152</v>
      </c>
      <c r="H295" s="162" t="s">
        <v>1021</v>
      </c>
      <c r="I295" s="163" t="s">
        <v>421</v>
      </c>
      <c r="J295" s="163" t="s">
        <v>422</v>
      </c>
      <c r="K295" s="163" t="s">
        <v>460</v>
      </c>
      <c r="L295" s="163" t="s">
        <v>469</v>
      </c>
      <c r="M295" s="161" t="s">
        <v>423</v>
      </c>
      <c r="N295" s="161" t="s">
        <v>423</v>
      </c>
      <c r="O295" s="162" t="s">
        <v>1144</v>
      </c>
      <c r="P295" s="163" t="s">
        <v>184</v>
      </c>
      <c r="Q295" s="171">
        <f t="shared" si="197"/>
        <v>1</v>
      </c>
      <c r="R295" s="163" t="s">
        <v>485</v>
      </c>
      <c r="S295" s="172">
        <f t="shared" si="198"/>
        <v>1</v>
      </c>
      <c r="T295" s="166">
        <f t="shared" si="199"/>
        <v>1</v>
      </c>
      <c r="U295" s="163" t="s">
        <v>184</v>
      </c>
      <c r="V295" s="163" t="s">
        <v>187</v>
      </c>
      <c r="W295" s="172">
        <f t="shared" si="201"/>
        <v>25</v>
      </c>
      <c r="X295" s="166">
        <f t="shared" si="202"/>
        <v>25</v>
      </c>
      <c r="Y295" s="163" t="str">
        <f t="shared" si="203"/>
        <v>Nivel IV: Riesgo Tolerable (Aceptable)</v>
      </c>
      <c r="Z295" s="163">
        <v>1</v>
      </c>
      <c r="AA295" s="163" t="s">
        <v>1151</v>
      </c>
      <c r="AB295" s="161" t="s">
        <v>424</v>
      </c>
      <c r="AC295" s="161" t="s">
        <v>424</v>
      </c>
      <c r="AD295" s="161" t="s">
        <v>424</v>
      </c>
      <c r="AE295" s="161" t="s">
        <v>1025</v>
      </c>
      <c r="AF295" s="161" t="s">
        <v>600</v>
      </c>
      <c r="AG295" s="166" t="s">
        <v>460</v>
      </c>
    </row>
    <row r="296" spans="1:33" ht="102" hidden="1" x14ac:dyDescent="0.2">
      <c r="A296" s="162" t="s">
        <v>880</v>
      </c>
      <c r="B296" s="162" t="s">
        <v>642</v>
      </c>
      <c r="C296" s="162" t="s">
        <v>1161</v>
      </c>
      <c r="D296" s="162" t="s">
        <v>1160</v>
      </c>
      <c r="E296" s="161" t="s">
        <v>996</v>
      </c>
      <c r="F296" s="162" t="s">
        <v>430</v>
      </c>
      <c r="G296" s="162" t="s">
        <v>486</v>
      </c>
      <c r="H296" s="162" t="s">
        <v>623</v>
      </c>
      <c r="I296" s="163" t="s">
        <v>421</v>
      </c>
      <c r="J296" s="163" t="s">
        <v>422</v>
      </c>
      <c r="K296" s="163" t="s">
        <v>460</v>
      </c>
      <c r="L296" s="163" t="s">
        <v>469</v>
      </c>
      <c r="M296" s="163" t="s">
        <v>1074</v>
      </c>
      <c r="N296" s="169" t="s">
        <v>1073</v>
      </c>
      <c r="O296" s="162" t="s">
        <v>1032</v>
      </c>
      <c r="P296" s="163" t="s">
        <v>184</v>
      </c>
      <c r="Q296" s="171">
        <f>IF(P296="Muy Alto",10,IF(P296="Alto",6,IF(P296="Medio",2,IF(P296="Bajo",1,))))</f>
        <v>1</v>
      </c>
      <c r="R296" s="163" t="s">
        <v>485</v>
      </c>
      <c r="S296" s="172">
        <f>IF(R296="Continua",4,IF(R296="Frecuente",3,IF(R296="Ocasional",2,IF(R296="Esporádica",1,))))</f>
        <v>1</v>
      </c>
      <c r="T296" s="166">
        <f>Q296*S296</f>
        <v>1</v>
      </c>
      <c r="U296" s="163" t="str">
        <f>IF(AND(T296&gt;=0,T296&lt;=4),"Bajo",IF(AND(T296&gt;=6,T296&lt;=8),"Medio",IF(AND(T296&gt;=10,T296&lt;=20),"Alto",IF(AND(T296&gt;=20,T296&lt;=40),"Muy Alto",))))</f>
        <v>Bajo</v>
      </c>
      <c r="V296" s="163" t="s">
        <v>428</v>
      </c>
      <c r="W296" s="172">
        <f>IF(V296="Mortal o catastrófico",100,IF(V296="Muy grave",60,IF(V296="Grave",25,IF(V296="Leve",10,))))</f>
        <v>10</v>
      </c>
      <c r="X296" s="166">
        <f>T296*W296</f>
        <v>10</v>
      </c>
      <c r="Y296" s="163" t="str">
        <f>IF(AND(X296&gt;=600,X296&lt;=4000),"Nivel I: Riesgo Inaceptable",IF(AND(X296&gt;=150,X296&lt;=500),"Nivel II: Riesgo Importante",IF(AND(X296&gt;=40,X296&lt;=120),"Nivel III: Riesgo Moderado (Aceptable)","Nivel IV: Riesgo Tolerable (Aceptable)")))</f>
        <v>Nivel IV: Riesgo Tolerable (Aceptable)</v>
      </c>
      <c r="Z296" s="163">
        <v>1</v>
      </c>
      <c r="AA296" s="163" t="s">
        <v>1151</v>
      </c>
      <c r="AB296" s="161" t="s">
        <v>424</v>
      </c>
      <c r="AC296" s="161" t="s">
        <v>424</v>
      </c>
      <c r="AD296" s="161" t="s">
        <v>424</v>
      </c>
      <c r="AE296" s="161" t="s">
        <v>1075</v>
      </c>
      <c r="AF296" s="161" t="s">
        <v>600</v>
      </c>
      <c r="AG296" s="166" t="s">
        <v>460</v>
      </c>
    </row>
    <row r="297" spans="1:33" ht="102" hidden="1" x14ac:dyDescent="0.2">
      <c r="A297" s="162" t="s">
        <v>880</v>
      </c>
      <c r="B297" s="162" t="s">
        <v>642</v>
      </c>
      <c r="C297" s="162" t="s">
        <v>1161</v>
      </c>
      <c r="D297" s="162" t="s">
        <v>1160</v>
      </c>
      <c r="E297" s="161" t="s">
        <v>996</v>
      </c>
      <c r="F297" s="162" t="s">
        <v>1146</v>
      </c>
      <c r="G297" s="162" t="s">
        <v>1162</v>
      </c>
      <c r="H297" s="162" t="s">
        <v>623</v>
      </c>
      <c r="I297" s="163" t="s">
        <v>421</v>
      </c>
      <c r="J297" s="163" t="s">
        <v>422</v>
      </c>
      <c r="K297" s="163" t="s">
        <v>460</v>
      </c>
      <c r="L297" s="163" t="s">
        <v>469</v>
      </c>
      <c r="M297" s="163" t="s">
        <v>1074</v>
      </c>
      <c r="N297" s="169" t="s">
        <v>1073</v>
      </c>
      <c r="O297" s="162" t="s">
        <v>1032</v>
      </c>
      <c r="P297" s="163" t="s">
        <v>184</v>
      </c>
      <c r="Q297" s="171">
        <f>IF(P297="Muy Alto",10,IF(P297="Alto",6,IF(P297="Medio",2,IF(P297="Bajo",1,))))</f>
        <v>1</v>
      </c>
      <c r="R297" s="163" t="s">
        <v>416</v>
      </c>
      <c r="S297" s="172">
        <f>IF(R297="Continua",4,IF(R297="Frecuente",3,IF(R297="Ocasional",2,IF(R297="Esporádica",1,))))</f>
        <v>3</v>
      </c>
      <c r="T297" s="166">
        <f>Q297*S297</f>
        <v>3</v>
      </c>
      <c r="U297" s="163" t="str">
        <f>IF(AND(T297&gt;=0,T297&lt;=4),"Bajo",IF(AND(T297&gt;=6,T297&lt;=8),"Medio",IF(AND(T297&gt;=10,T297&lt;=20),"Alto",IF(AND(T297&gt;=20,T297&lt;=40),"Muy Alto",))))</f>
        <v>Bajo</v>
      </c>
      <c r="V297" s="163" t="s">
        <v>428</v>
      </c>
      <c r="W297" s="172">
        <f>IF(V297="Mortal o catastrófico",100,IF(V297="Muy grave",60,IF(V297="Grave",25,IF(V297="Leve",10,))))</f>
        <v>10</v>
      </c>
      <c r="X297" s="166">
        <f>T297*W297</f>
        <v>30</v>
      </c>
      <c r="Y297" s="163" t="str">
        <f>IF(AND(X297&gt;=600,X297&lt;=4000),"Nivel I: Riesgo Inaceptable",IF(AND(X297&gt;=150,X297&lt;=500),"Nivel II: Riesgo Importante",IF(AND(X297&gt;=40,X297&lt;=120),"Nivel III: Riesgo Moderado (Aceptable)","Nivel IV: Riesgo Tolerable (Aceptable)")))</f>
        <v>Nivel IV: Riesgo Tolerable (Aceptable)</v>
      </c>
      <c r="Z297" s="163">
        <v>1</v>
      </c>
      <c r="AA297" s="163" t="s">
        <v>1151</v>
      </c>
      <c r="AB297" s="161" t="s">
        <v>424</v>
      </c>
      <c r="AC297" s="161" t="s">
        <v>424</v>
      </c>
      <c r="AD297" s="161" t="s">
        <v>424</v>
      </c>
      <c r="AE297" s="161" t="s">
        <v>1075</v>
      </c>
      <c r="AF297" s="161" t="s">
        <v>600</v>
      </c>
      <c r="AG297" s="166" t="s">
        <v>460</v>
      </c>
    </row>
    <row r="298" spans="1:33" ht="89.25" hidden="1" x14ac:dyDescent="0.2">
      <c r="A298" s="162" t="s">
        <v>880</v>
      </c>
      <c r="B298" s="162" t="s">
        <v>1230</v>
      </c>
      <c r="C298" s="162" t="s">
        <v>1169</v>
      </c>
      <c r="D298" s="162" t="s">
        <v>1168</v>
      </c>
      <c r="E298" s="161" t="s">
        <v>998</v>
      </c>
      <c r="F298" s="162" t="s">
        <v>178</v>
      </c>
      <c r="G298" s="162" t="s">
        <v>1067</v>
      </c>
      <c r="H298" s="162" t="s">
        <v>559</v>
      </c>
      <c r="I298" s="163" t="s">
        <v>421</v>
      </c>
      <c r="J298" s="163" t="s">
        <v>422</v>
      </c>
      <c r="K298" s="163" t="s">
        <v>460</v>
      </c>
      <c r="L298" s="163" t="s">
        <v>469</v>
      </c>
      <c r="M298" s="161" t="s">
        <v>606</v>
      </c>
      <c r="N298" s="161" t="s">
        <v>606</v>
      </c>
      <c r="O298" s="162" t="s">
        <v>1046</v>
      </c>
      <c r="P298" s="163" t="s">
        <v>185</v>
      </c>
      <c r="Q298" s="171">
        <f t="shared" ref="Q298:Q304" si="204">IF(P298="Muy Alto",10,IF(P298="Alto",6,IF(P298="Medio",2,IF(P298="Bajo",1,))))</f>
        <v>2</v>
      </c>
      <c r="R298" s="163" t="s">
        <v>186</v>
      </c>
      <c r="S298" s="172">
        <f t="shared" ref="S298:S304" si="205">IF(R298="Continua",4,IF(R298="Frecuente",3,IF(R298="Ocasional",2,IF(R298="Esporádica",1,))))</f>
        <v>4</v>
      </c>
      <c r="T298" s="166">
        <f t="shared" ref="T298:T304" si="206">Q298*S298</f>
        <v>8</v>
      </c>
      <c r="U298" s="163" t="str">
        <f t="shared" ref="U298:U303" si="207">IF(AND(T298&gt;=0,T298&lt;=4),"Bajo",IF(AND(T298&gt;=6,T298&lt;=8),"Medio",IF(AND(T298&gt;=10,T298&lt;=20),"Alto",IF(AND(T298&gt;=20,T298&lt;=40),"Muy Alto",))))</f>
        <v>Medio</v>
      </c>
      <c r="V298" s="163" t="s">
        <v>187</v>
      </c>
      <c r="W298" s="172">
        <f t="shared" ref="W298:W304" si="208">IF(V298="Mortal o catastrófico",100,IF(V298="Muy grave",60,IF(V298="Grave",25,IF(V298="Leve",10,))))</f>
        <v>25</v>
      </c>
      <c r="X298" s="166">
        <f t="shared" ref="X298:X304" si="209">T298*W298</f>
        <v>200</v>
      </c>
      <c r="Y298" s="163" t="str">
        <f t="shared" ref="Y298:Y304" si="210">IF(AND(X298&gt;=600,X298&lt;=4000),"Nivel I: Riesgo Inaceptable",IF(AND(X298&gt;=150,X298&lt;=500),"Nivel II: Riesgo Importante",IF(AND(X298&gt;=40,X298&lt;=120),"Nivel III: Riesgo Moderado (Aceptable)","Nivel IV: Riesgo Tolerable (Aceptable)")))</f>
        <v>Nivel II: Riesgo Importante</v>
      </c>
      <c r="Z298" s="163">
        <v>1</v>
      </c>
      <c r="AA298" s="163" t="s">
        <v>1151</v>
      </c>
      <c r="AB298" s="161" t="s">
        <v>424</v>
      </c>
      <c r="AC298" s="161" t="s">
        <v>424</v>
      </c>
      <c r="AD298" s="161" t="s">
        <v>424</v>
      </c>
      <c r="AE298" s="161" t="s">
        <v>1130</v>
      </c>
      <c r="AF298" s="161" t="s">
        <v>600</v>
      </c>
      <c r="AG298" s="166" t="s">
        <v>460</v>
      </c>
    </row>
    <row r="299" spans="1:33" ht="140.25" hidden="1" x14ac:dyDescent="0.2">
      <c r="A299" s="162" t="s">
        <v>880</v>
      </c>
      <c r="B299" s="162" t="s">
        <v>1230</v>
      </c>
      <c r="C299" s="162" t="s">
        <v>1169</v>
      </c>
      <c r="D299" s="162" t="s">
        <v>1168</v>
      </c>
      <c r="E299" s="161" t="s">
        <v>175</v>
      </c>
      <c r="F299" s="162" t="s">
        <v>1111</v>
      </c>
      <c r="G299" s="162" t="s">
        <v>1165</v>
      </c>
      <c r="H299" s="162" t="s">
        <v>602</v>
      </c>
      <c r="I299" s="173" t="s">
        <v>421</v>
      </c>
      <c r="J299" s="173" t="s">
        <v>422</v>
      </c>
      <c r="K299" s="174" t="s">
        <v>460</v>
      </c>
      <c r="L299" s="174" t="s">
        <v>469</v>
      </c>
      <c r="M299" s="175" t="s">
        <v>1167</v>
      </c>
      <c r="N299" s="175" t="s">
        <v>423</v>
      </c>
      <c r="O299" s="176" t="s">
        <v>1166</v>
      </c>
      <c r="P299" s="177" t="s">
        <v>185</v>
      </c>
      <c r="Q299" s="178">
        <f t="shared" si="204"/>
        <v>2</v>
      </c>
      <c r="R299" s="177" t="s">
        <v>416</v>
      </c>
      <c r="S299" s="179">
        <f t="shared" si="205"/>
        <v>3</v>
      </c>
      <c r="T299" s="180">
        <f t="shared" si="206"/>
        <v>6</v>
      </c>
      <c r="U299" s="181" t="str">
        <f t="shared" si="207"/>
        <v>Medio</v>
      </c>
      <c r="V299" s="181" t="s">
        <v>428</v>
      </c>
      <c r="W299" s="179">
        <f t="shared" si="208"/>
        <v>10</v>
      </c>
      <c r="X299" s="180">
        <f t="shared" si="209"/>
        <v>60</v>
      </c>
      <c r="Y299" s="181" t="str">
        <f t="shared" si="210"/>
        <v>Nivel III: Riesgo Moderado (Aceptable)</v>
      </c>
      <c r="Z299" s="163">
        <v>1</v>
      </c>
      <c r="AA299" s="163" t="s">
        <v>1151</v>
      </c>
      <c r="AB299" s="175" t="s">
        <v>424</v>
      </c>
      <c r="AC299" s="175" t="s">
        <v>424</v>
      </c>
      <c r="AD299" s="175" t="s">
        <v>424</v>
      </c>
      <c r="AE299" s="182" t="s">
        <v>1035</v>
      </c>
      <c r="AF299" s="183" t="s">
        <v>600</v>
      </c>
      <c r="AG299" s="184" t="s">
        <v>460</v>
      </c>
    </row>
    <row r="300" spans="1:33" ht="140.25" hidden="1" x14ac:dyDescent="0.2">
      <c r="A300" s="162" t="s">
        <v>880</v>
      </c>
      <c r="B300" s="162" t="s">
        <v>1230</v>
      </c>
      <c r="C300" s="162" t="s">
        <v>1169</v>
      </c>
      <c r="D300" s="162" t="s">
        <v>1168</v>
      </c>
      <c r="E300" s="161" t="s">
        <v>175</v>
      </c>
      <c r="F300" s="162" t="s">
        <v>1197</v>
      </c>
      <c r="G300" s="162" t="s">
        <v>1199</v>
      </c>
      <c r="H300" s="170" t="s">
        <v>1198</v>
      </c>
      <c r="I300" s="173" t="s">
        <v>421</v>
      </c>
      <c r="J300" s="173" t="s">
        <v>422</v>
      </c>
      <c r="K300" s="174" t="s">
        <v>460</v>
      </c>
      <c r="L300" s="174" t="s">
        <v>469</v>
      </c>
      <c r="M300" s="175" t="s">
        <v>1167</v>
      </c>
      <c r="N300" s="175" t="s">
        <v>423</v>
      </c>
      <c r="O300" s="176" t="s">
        <v>1166</v>
      </c>
      <c r="P300" s="177" t="s">
        <v>185</v>
      </c>
      <c r="Q300" s="178">
        <f t="shared" si="204"/>
        <v>2</v>
      </c>
      <c r="R300" s="177" t="s">
        <v>416</v>
      </c>
      <c r="S300" s="179">
        <f t="shared" si="205"/>
        <v>3</v>
      </c>
      <c r="T300" s="180">
        <f t="shared" si="206"/>
        <v>6</v>
      </c>
      <c r="U300" s="181" t="str">
        <f t="shared" si="207"/>
        <v>Medio</v>
      </c>
      <c r="V300" s="181" t="s">
        <v>187</v>
      </c>
      <c r="W300" s="179">
        <f t="shared" si="208"/>
        <v>25</v>
      </c>
      <c r="X300" s="180">
        <f t="shared" si="209"/>
        <v>150</v>
      </c>
      <c r="Y300" s="181" t="str">
        <f t="shared" si="210"/>
        <v>Nivel II: Riesgo Importante</v>
      </c>
      <c r="Z300" s="163">
        <v>1</v>
      </c>
      <c r="AA300" s="163" t="s">
        <v>1151</v>
      </c>
      <c r="AB300" s="175" t="s">
        <v>424</v>
      </c>
      <c r="AC300" s="175" t="s">
        <v>424</v>
      </c>
      <c r="AD300" s="175" t="s">
        <v>424</v>
      </c>
      <c r="AE300" s="182" t="s">
        <v>1196</v>
      </c>
      <c r="AF300" s="183" t="s">
        <v>600</v>
      </c>
      <c r="AG300" s="184" t="s">
        <v>460</v>
      </c>
    </row>
    <row r="301" spans="1:33" ht="63.75" hidden="1" x14ac:dyDescent="0.2">
      <c r="A301" s="162" t="s">
        <v>880</v>
      </c>
      <c r="B301" s="162" t="s">
        <v>1230</v>
      </c>
      <c r="C301" s="162" t="s">
        <v>1169</v>
      </c>
      <c r="D301" s="162" t="s">
        <v>1168</v>
      </c>
      <c r="E301" s="161" t="s">
        <v>999</v>
      </c>
      <c r="F301" s="162" t="s">
        <v>292</v>
      </c>
      <c r="G301" s="162" t="s">
        <v>1149</v>
      </c>
      <c r="H301" s="162" t="s">
        <v>472</v>
      </c>
      <c r="I301" s="163" t="s">
        <v>421</v>
      </c>
      <c r="J301" s="163" t="s">
        <v>461</v>
      </c>
      <c r="K301" s="163" t="s">
        <v>460</v>
      </c>
      <c r="L301" s="163" t="s">
        <v>469</v>
      </c>
      <c r="M301" s="161" t="s">
        <v>606</v>
      </c>
      <c r="N301" s="161" t="s">
        <v>1069</v>
      </c>
      <c r="O301" s="162" t="s">
        <v>1070</v>
      </c>
      <c r="P301" s="163" t="s">
        <v>184</v>
      </c>
      <c r="Q301" s="171">
        <f t="shared" si="204"/>
        <v>1</v>
      </c>
      <c r="R301" s="163" t="s">
        <v>429</v>
      </c>
      <c r="S301" s="172">
        <f t="shared" si="205"/>
        <v>2</v>
      </c>
      <c r="T301" s="166">
        <f t="shared" si="206"/>
        <v>2</v>
      </c>
      <c r="U301" s="163" t="str">
        <f t="shared" si="207"/>
        <v>Bajo</v>
      </c>
      <c r="V301" s="163" t="s">
        <v>428</v>
      </c>
      <c r="W301" s="172">
        <f t="shared" si="208"/>
        <v>10</v>
      </c>
      <c r="X301" s="166">
        <f t="shared" si="209"/>
        <v>20</v>
      </c>
      <c r="Y301" s="163" t="str">
        <f t="shared" si="210"/>
        <v>Nivel IV: Riesgo Tolerable (Aceptable)</v>
      </c>
      <c r="Z301" s="163">
        <v>1</v>
      </c>
      <c r="AA301" s="163" t="s">
        <v>1151</v>
      </c>
      <c r="AB301" s="161" t="s">
        <v>424</v>
      </c>
      <c r="AC301" s="161" t="s">
        <v>424</v>
      </c>
      <c r="AD301" s="161" t="s">
        <v>424</v>
      </c>
      <c r="AE301" s="161" t="s">
        <v>1071</v>
      </c>
      <c r="AF301" s="161" t="s">
        <v>600</v>
      </c>
      <c r="AG301" s="166" t="s">
        <v>460</v>
      </c>
    </row>
    <row r="302" spans="1:33" ht="76.5" hidden="1" x14ac:dyDescent="0.2">
      <c r="A302" s="162" t="s">
        <v>880</v>
      </c>
      <c r="B302" s="162" t="s">
        <v>1230</v>
      </c>
      <c r="C302" s="162" t="s">
        <v>1169</v>
      </c>
      <c r="D302" s="162" t="s">
        <v>1168</v>
      </c>
      <c r="E302" s="161" t="s">
        <v>999</v>
      </c>
      <c r="F302" s="162" t="s">
        <v>288</v>
      </c>
      <c r="G302" s="162" t="s">
        <v>1131</v>
      </c>
      <c r="H302" s="162" t="s">
        <v>614</v>
      </c>
      <c r="I302" s="163" t="s">
        <v>421</v>
      </c>
      <c r="J302" s="163" t="s">
        <v>461</v>
      </c>
      <c r="K302" s="163" t="s">
        <v>460</v>
      </c>
      <c r="L302" s="163" t="s">
        <v>469</v>
      </c>
      <c r="M302" s="166" t="s">
        <v>423</v>
      </c>
      <c r="N302" s="162" t="s">
        <v>1132</v>
      </c>
      <c r="O302" s="162" t="s">
        <v>1026</v>
      </c>
      <c r="P302" s="163" t="s">
        <v>184</v>
      </c>
      <c r="Q302" s="171">
        <f t="shared" si="204"/>
        <v>1</v>
      </c>
      <c r="R302" s="163" t="s">
        <v>485</v>
      </c>
      <c r="S302" s="172">
        <f t="shared" si="205"/>
        <v>1</v>
      </c>
      <c r="T302" s="166">
        <f t="shared" si="206"/>
        <v>1</v>
      </c>
      <c r="U302" s="163" t="str">
        <f t="shared" si="207"/>
        <v>Bajo</v>
      </c>
      <c r="V302" s="163" t="s">
        <v>187</v>
      </c>
      <c r="W302" s="172">
        <f t="shared" si="208"/>
        <v>25</v>
      </c>
      <c r="X302" s="166">
        <f t="shared" si="209"/>
        <v>25</v>
      </c>
      <c r="Y302" s="163" t="str">
        <f t="shared" si="210"/>
        <v>Nivel IV: Riesgo Tolerable (Aceptable)</v>
      </c>
      <c r="Z302" s="163">
        <v>1</v>
      </c>
      <c r="AA302" s="163" t="s">
        <v>1151</v>
      </c>
      <c r="AB302" s="161" t="s">
        <v>424</v>
      </c>
      <c r="AC302" s="161" t="s">
        <v>424</v>
      </c>
      <c r="AD302" s="161" t="s">
        <v>424</v>
      </c>
      <c r="AE302" s="161" t="s">
        <v>1066</v>
      </c>
      <c r="AF302" s="161" t="s">
        <v>600</v>
      </c>
      <c r="AG302" s="166" t="s">
        <v>460</v>
      </c>
    </row>
    <row r="303" spans="1:33" ht="76.5" hidden="1" x14ac:dyDescent="0.2">
      <c r="A303" s="162" t="s">
        <v>880</v>
      </c>
      <c r="B303" s="162" t="s">
        <v>1230</v>
      </c>
      <c r="C303" s="162" t="s">
        <v>1169</v>
      </c>
      <c r="D303" s="162" t="s">
        <v>1168</v>
      </c>
      <c r="E303" s="161" t="s">
        <v>999</v>
      </c>
      <c r="F303" s="162" t="s">
        <v>1117</v>
      </c>
      <c r="G303" s="162" t="s">
        <v>564</v>
      </c>
      <c r="H303" s="162" t="s">
        <v>1072</v>
      </c>
      <c r="I303" s="163" t="s">
        <v>421</v>
      </c>
      <c r="J303" s="163" t="s">
        <v>461</v>
      </c>
      <c r="K303" s="163" t="s">
        <v>460</v>
      </c>
      <c r="L303" s="163" t="s">
        <v>469</v>
      </c>
      <c r="M303" s="166" t="s">
        <v>423</v>
      </c>
      <c r="N303" s="166" t="s">
        <v>423</v>
      </c>
      <c r="O303" s="162" t="s">
        <v>1026</v>
      </c>
      <c r="P303" s="163" t="s">
        <v>184</v>
      </c>
      <c r="Q303" s="171">
        <f t="shared" si="204"/>
        <v>1</v>
      </c>
      <c r="R303" s="163" t="s">
        <v>485</v>
      </c>
      <c r="S303" s="172">
        <f t="shared" si="205"/>
        <v>1</v>
      </c>
      <c r="T303" s="166">
        <f t="shared" si="206"/>
        <v>1</v>
      </c>
      <c r="U303" s="163" t="str">
        <f t="shared" si="207"/>
        <v>Bajo</v>
      </c>
      <c r="V303" s="163" t="s">
        <v>428</v>
      </c>
      <c r="W303" s="172">
        <f t="shared" si="208"/>
        <v>10</v>
      </c>
      <c r="X303" s="166">
        <f t="shared" si="209"/>
        <v>10</v>
      </c>
      <c r="Y303" s="163" t="str">
        <f t="shared" si="210"/>
        <v>Nivel IV: Riesgo Tolerable (Aceptable)</v>
      </c>
      <c r="Z303" s="163">
        <v>1</v>
      </c>
      <c r="AA303" s="163" t="s">
        <v>1151</v>
      </c>
      <c r="AB303" s="161" t="s">
        <v>424</v>
      </c>
      <c r="AC303" s="161" t="s">
        <v>424</v>
      </c>
      <c r="AD303" s="161" t="s">
        <v>424</v>
      </c>
      <c r="AE303" s="161" t="s">
        <v>1066</v>
      </c>
      <c r="AF303" s="161" t="s">
        <v>600</v>
      </c>
      <c r="AG303" s="166" t="s">
        <v>460</v>
      </c>
    </row>
    <row r="304" spans="1:33" ht="76.5" hidden="1" x14ac:dyDescent="0.2">
      <c r="A304" s="162" t="s">
        <v>880</v>
      </c>
      <c r="B304" s="162" t="s">
        <v>1230</v>
      </c>
      <c r="C304" s="162" t="s">
        <v>1169</v>
      </c>
      <c r="D304" s="162" t="s">
        <v>1168</v>
      </c>
      <c r="E304" s="161" t="s">
        <v>999</v>
      </c>
      <c r="F304" s="162" t="s">
        <v>1119</v>
      </c>
      <c r="G304" s="162" t="s">
        <v>1133</v>
      </c>
      <c r="H304" s="162" t="s">
        <v>966</v>
      </c>
      <c r="I304" s="163" t="s">
        <v>421</v>
      </c>
      <c r="J304" s="163" t="s">
        <v>422</v>
      </c>
      <c r="K304" s="163" t="s">
        <v>460</v>
      </c>
      <c r="L304" s="163" t="s">
        <v>469</v>
      </c>
      <c r="M304" s="161" t="s">
        <v>1163</v>
      </c>
      <c r="N304" s="161" t="s">
        <v>1164</v>
      </c>
      <c r="O304" s="164" t="s">
        <v>1026</v>
      </c>
      <c r="P304" s="163" t="s">
        <v>184</v>
      </c>
      <c r="Q304" s="171">
        <f t="shared" si="204"/>
        <v>1</v>
      </c>
      <c r="R304" s="163" t="s">
        <v>416</v>
      </c>
      <c r="S304" s="172">
        <f t="shared" si="205"/>
        <v>3</v>
      </c>
      <c r="T304" s="166">
        <f t="shared" si="206"/>
        <v>3</v>
      </c>
      <c r="U304" s="163" t="s">
        <v>184</v>
      </c>
      <c r="V304" s="163" t="s">
        <v>187</v>
      </c>
      <c r="W304" s="172">
        <f t="shared" si="208"/>
        <v>25</v>
      </c>
      <c r="X304" s="166">
        <f t="shared" si="209"/>
        <v>75</v>
      </c>
      <c r="Y304" s="163" t="str">
        <f t="shared" si="210"/>
        <v>Nivel III: Riesgo Moderado (Aceptable)</v>
      </c>
      <c r="Z304" s="163">
        <v>1</v>
      </c>
      <c r="AA304" s="163" t="s">
        <v>1151</v>
      </c>
      <c r="AB304" s="161" t="s">
        <v>424</v>
      </c>
      <c r="AC304" s="161" t="s">
        <v>424</v>
      </c>
      <c r="AD304" s="161" t="s">
        <v>424</v>
      </c>
      <c r="AE304" s="167" t="s">
        <v>1134</v>
      </c>
      <c r="AF304" s="161" t="s">
        <v>600</v>
      </c>
      <c r="AG304" s="166" t="s">
        <v>460</v>
      </c>
    </row>
    <row r="305" spans="1:33" ht="76.5" hidden="1" x14ac:dyDescent="0.2">
      <c r="A305" s="162" t="s">
        <v>880</v>
      </c>
      <c r="B305" s="162" t="s">
        <v>1230</v>
      </c>
      <c r="C305" s="162" t="s">
        <v>1169</v>
      </c>
      <c r="D305" s="162" t="s">
        <v>1168</v>
      </c>
      <c r="E305" s="161" t="s">
        <v>999</v>
      </c>
      <c r="F305" s="162" t="s">
        <v>1120</v>
      </c>
      <c r="G305" s="162" t="s">
        <v>1159</v>
      </c>
      <c r="H305" s="162" t="s">
        <v>979</v>
      </c>
      <c r="I305" s="163" t="s">
        <v>421</v>
      </c>
      <c r="J305" s="163" t="s">
        <v>422</v>
      </c>
      <c r="K305" s="163" t="s">
        <v>460</v>
      </c>
      <c r="L305" s="163" t="s">
        <v>469</v>
      </c>
      <c r="M305" s="165" t="s">
        <v>423</v>
      </c>
      <c r="N305" s="161" t="s">
        <v>1142</v>
      </c>
      <c r="O305" s="162" t="s">
        <v>1141</v>
      </c>
      <c r="P305" s="163" t="s">
        <v>184</v>
      </c>
      <c r="Q305" s="171">
        <f>IF(P305="Muy Alto",10,IF(P305="Alto",6,IF(P305="Medio",2,IF(P305="Bajo",1,))))</f>
        <v>1</v>
      </c>
      <c r="R305" s="163" t="s">
        <v>416</v>
      </c>
      <c r="S305" s="172">
        <f>IF(R305="Continua",4,IF(R305="Frecuente",3,IF(R305="Ocasional",2,IF(R305="Esporádica",1,))))</f>
        <v>3</v>
      </c>
      <c r="T305" s="166">
        <f>Q305*S305</f>
        <v>3</v>
      </c>
      <c r="U305" s="163" t="s">
        <v>184</v>
      </c>
      <c r="V305" s="163" t="s">
        <v>187</v>
      </c>
      <c r="W305" s="172">
        <f>IF(V305="Mortal o catastrófico",100,IF(V305="Muy grave",60,IF(V305="Grave",25,IF(V305="Leve",10,))))</f>
        <v>25</v>
      </c>
      <c r="X305" s="166">
        <f>T305*W305</f>
        <v>75</v>
      </c>
      <c r="Y305" s="163" t="str">
        <f>IF(AND(X305&gt;=600,X305&lt;=4000),"Nivel I: Riesgo Inaceptable",IF(AND(X305&gt;=150,X305&lt;=500),"Nivel II: Riesgo Importante",IF(AND(X305&gt;=40,X305&lt;=120),"Nivel III: Riesgo Moderado (Aceptable)","Nivel IV: Riesgo Tolerable (Aceptable)")))</f>
        <v>Nivel III: Riesgo Moderado (Aceptable)</v>
      </c>
      <c r="Z305" s="163">
        <v>1</v>
      </c>
      <c r="AA305" s="163" t="s">
        <v>1151</v>
      </c>
      <c r="AB305" s="161" t="s">
        <v>424</v>
      </c>
      <c r="AC305" s="161" t="s">
        <v>424</v>
      </c>
      <c r="AD305" s="161" t="s">
        <v>424</v>
      </c>
      <c r="AE305" s="161" t="s">
        <v>1138</v>
      </c>
      <c r="AF305" s="161" t="s">
        <v>600</v>
      </c>
      <c r="AG305" s="166" t="s">
        <v>460</v>
      </c>
    </row>
    <row r="306" spans="1:33" ht="76.5" hidden="1" x14ac:dyDescent="0.2">
      <c r="A306" s="162" t="s">
        <v>880</v>
      </c>
      <c r="B306" s="162" t="s">
        <v>1230</v>
      </c>
      <c r="C306" s="162" t="s">
        <v>1169</v>
      </c>
      <c r="D306" s="162" t="s">
        <v>1168</v>
      </c>
      <c r="E306" s="161" t="s">
        <v>999</v>
      </c>
      <c r="F306" s="162" t="s">
        <v>1121</v>
      </c>
      <c r="G306" s="162" t="s">
        <v>1139</v>
      </c>
      <c r="H306" s="162" t="s">
        <v>979</v>
      </c>
      <c r="I306" s="163" t="s">
        <v>421</v>
      </c>
      <c r="J306" s="163" t="s">
        <v>461</v>
      </c>
      <c r="K306" s="163" t="s">
        <v>460</v>
      </c>
      <c r="L306" s="163" t="s">
        <v>469</v>
      </c>
      <c r="M306" s="165" t="s">
        <v>423</v>
      </c>
      <c r="N306" s="161" t="s">
        <v>1140</v>
      </c>
      <c r="O306" s="162" t="s">
        <v>1092</v>
      </c>
      <c r="P306" s="163" t="s">
        <v>184</v>
      </c>
      <c r="Q306" s="171">
        <f>IF(P306="Muy Alto",10,IF(P306="Alto",6,IF(P306="Medio",2,IF(P306="Bajo",1,))))</f>
        <v>1</v>
      </c>
      <c r="R306" s="163" t="s">
        <v>485</v>
      </c>
      <c r="S306" s="172">
        <f>IF(R306="Continua",4,IF(R306="Frecuente",3,IF(R306="Ocasional",2,IF(R306="Esporádica",1,))))</f>
        <v>1</v>
      </c>
      <c r="T306" s="166">
        <f>Q306*S306</f>
        <v>1</v>
      </c>
      <c r="U306" s="163" t="s">
        <v>184</v>
      </c>
      <c r="V306" s="163" t="s">
        <v>187</v>
      </c>
      <c r="W306" s="172">
        <f>IF(V306="Mortal o catastrófico",100,IF(V306="Muy grave",60,IF(V306="Grave",25,IF(V306="Leve",10,))))</f>
        <v>25</v>
      </c>
      <c r="X306" s="166">
        <f>T306*W306</f>
        <v>25</v>
      </c>
      <c r="Y306" s="163" t="str">
        <f>IF(AND(X306&gt;=600,X306&lt;=4000),"Nivel I: Riesgo Inaceptable",IF(AND(X306&gt;=150,X306&lt;=500),"Nivel II: Riesgo Importante",IF(AND(X306&gt;=40,X306&lt;=120),"Nivel III: Riesgo Moderado (Aceptable)","Nivel IV: Riesgo Tolerable (Aceptable)")))</f>
        <v>Nivel IV: Riesgo Tolerable (Aceptable)</v>
      </c>
      <c r="Z306" s="163">
        <v>1</v>
      </c>
      <c r="AA306" s="163" t="s">
        <v>1151</v>
      </c>
      <c r="AB306" s="161" t="s">
        <v>424</v>
      </c>
      <c r="AC306" s="161" t="s">
        <v>424</v>
      </c>
      <c r="AD306" s="161" t="s">
        <v>424</v>
      </c>
      <c r="AE306" s="161" t="s">
        <v>1088</v>
      </c>
      <c r="AF306" s="161" t="s">
        <v>600</v>
      </c>
      <c r="AG306" s="166" t="s">
        <v>460</v>
      </c>
    </row>
    <row r="307" spans="1:33" ht="102" hidden="1" x14ac:dyDescent="0.2">
      <c r="A307" s="162" t="s">
        <v>880</v>
      </c>
      <c r="B307" s="162" t="s">
        <v>1230</v>
      </c>
      <c r="C307" s="162" t="s">
        <v>1169</v>
      </c>
      <c r="D307" s="162" t="s">
        <v>1168</v>
      </c>
      <c r="E307" s="161" t="s">
        <v>995</v>
      </c>
      <c r="F307" s="162" t="s">
        <v>714</v>
      </c>
      <c r="G307" s="162" t="s">
        <v>1036</v>
      </c>
      <c r="H307" s="162" t="s">
        <v>1135</v>
      </c>
      <c r="I307" s="163" t="s">
        <v>421</v>
      </c>
      <c r="J307" s="163" t="s">
        <v>461</v>
      </c>
      <c r="K307" s="163" t="s">
        <v>460</v>
      </c>
      <c r="L307" s="163" t="s">
        <v>469</v>
      </c>
      <c r="M307" s="161" t="s">
        <v>423</v>
      </c>
      <c r="N307" s="161" t="s">
        <v>1136</v>
      </c>
      <c r="O307" s="164" t="s">
        <v>1038</v>
      </c>
      <c r="P307" s="163" t="s">
        <v>184</v>
      </c>
      <c r="Q307" s="171">
        <f t="shared" ref="Q307:Q309" si="211">IF(P307="Muy Alto",10,IF(P307="Alto",6,IF(P307="Medio",2,IF(P307="Bajo",1,))))</f>
        <v>1</v>
      </c>
      <c r="R307" s="163" t="s">
        <v>485</v>
      </c>
      <c r="S307" s="172">
        <f t="shared" ref="S307:S309" si="212">IF(R307="Continua",4,IF(R307="Frecuente",3,IF(R307="Ocasional",2,IF(R307="Esporádica",1,))))</f>
        <v>1</v>
      </c>
      <c r="T307" s="166">
        <f t="shared" ref="T307:T309" si="213">Q307*S307</f>
        <v>1</v>
      </c>
      <c r="U307" s="163" t="str">
        <f t="shared" ref="U307" si="214">IF(AND(T307&gt;=0,T307&lt;=4),"Bajo",IF(AND(T307&gt;=6,T307&lt;=8),"Medio",IF(AND(T307&gt;=10,T307&lt;=20),"Alto",IF(AND(T307&gt;=20,T307&lt;=40),"Muy Alto",))))</f>
        <v>Bajo</v>
      </c>
      <c r="V307" s="163" t="s">
        <v>187</v>
      </c>
      <c r="W307" s="172">
        <f t="shared" ref="W307:W309" si="215">IF(V307="Mortal o catastrófico",100,IF(V307="Muy grave",60,IF(V307="Grave",25,IF(V307="Leve",10,))))</f>
        <v>25</v>
      </c>
      <c r="X307" s="166">
        <f t="shared" ref="X307:X309" si="216">T307*W307</f>
        <v>25</v>
      </c>
      <c r="Y307" s="163" t="str">
        <f t="shared" ref="Y307:Y309" si="217">IF(AND(X307&gt;=600,X307&lt;=4000),"Nivel I: Riesgo Inaceptable",IF(AND(X307&gt;=150,X307&lt;=500),"Nivel II: Riesgo Importante",IF(AND(X307&gt;=40,X307&lt;=120),"Nivel III: Riesgo Moderado (Aceptable)","Nivel IV: Riesgo Tolerable (Aceptable)")))</f>
        <v>Nivel IV: Riesgo Tolerable (Aceptable)</v>
      </c>
      <c r="Z307" s="163">
        <v>1</v>
      </c>
      <c r="AA307" s="163" t="s">
        <v>1151</v>
      </c>
      <c r="AB307" s="161" t="s">
        <v>424</v>
      </c>
      <c r="AC307" s="161" t="s">
        <v>424</v>
      </c>
      <c r="AD307" s="161" t="s">
        <v>424</v>
      </c>
      <c r="AE307" s="161" t="s">
        <v>1039</v>
      </c>
      <c r="AF307" s="161" t="s">
        <v>1040</v>
      </c>
      <c r="AG307" s="166" t="s">
        <v>460</v>
      </c>
    </row>
    <row r="308" spans="1:33" ht="89.25" hidden="1" x14ac:dyDescent="0.2">
      <c r="A308" s="162" t="s">
        <v>880</v>
      </c>
      <c r="B308" s="162" t="s">
        <v>1230</v>
      </c>
      <c r="C308" s="162" t="s">
        <v>1169</v>
      </c>
      <c r="D308" s="162" t="s">
        <v>1168</v>
      </c>
      <c r="E308" s="161" t="s">
        <v>1000</v>
      </c>
      <c r="F308" s="162" t="s">
        <v>1123</v>
      </c>
      <c r="G308" s="162" t="s">
        <v>1143</v>
      </c>
      <c r="H308" s="162" t="s">
        <v>1021</v>
      </c>
      <c r="I308" s="163" t="s">
        <v>421</v>
      </c>
      <c r="J308" s="163" t="s">
        <v>422</v>
      </c>
      <c r="K308" s="163" t="s">
        <v>460</v>
      </c>
      <c r="L308" s="163" t="s">
        <v>469</v>
      </c>
      <c r="M308" s="161" t="s">
        <v>423</v>
      </c>
      <c r="N308" s="161" t="s">
        <v>1145</v>
      </c>
      <c r="O308" s="162" t="s">
        <v>1144</v>
      </c>
      <c r="P308" s="163" t="s">
        <v>184</v>
      </c>
      <c r="Q308" s="171">
        <f t="shared" si="211"/>
        <v>1</v>
      </c>
      <c r="R308" s="163" t="s">
        <v>485</v>
      </c>
      <c r="S308" s="172">
        <f t="shared" si="212"/>
        <v>1</v>
      </c>
      <c r="T308" s="166">
        <f t="shared" si="213"/>
        <v>1</v>
      </c>
      <c r="U308" s="163" t="s">
        <v>184</v>
      </c>
      <c r="V308" s="163" t="s">
        <v>187</v>
      </c>
      <c r="W308" s="172">
        <f t="shared" si="215"/>
        <v>25</v>
      </c>
      <c r="X308" s="166">
        <f t="shared" si="216"/>
        <v>25</v>
      </c>
      <c r="Y308" s="163" t="str">
        <f t="shared" si="217"/>
        <v>Nivel IV: Riesgo Tolerable (Aceptable)</v>
      </c>
      <c r="Z308" s="163">
        <v>1</v>
      </c>
      <c r="AA308" s="163" t="s">
        <v>1151</v>
      </c>
      <c r="AB308" s="161" t="s">
        <v>424</v>
      </c>
      <c r="AC308" s="161" t="s">
        <v>424</v>
      </c>
      <c r="AD308" s="161" t="s">
        <v>424</v>
      </c>
      <c r="AE308" s="161" t="s">
        <v>1147</v>
      </c>
      <c r="AF308" s="161" t="s">
        <v>600</v>
      </c>
      <c r="AG308" s="166" t="s">
        <v>460</v>
      </c>
    </row>
    <row r="309" spans="1:33" ht="51" hidden="1" x14ac:dyDescent="0.2">
      <c r="A309" s="162" t="s">
        <v>880</v>
      </c>
      <c r="B309" s="162" t="s">
        <v>1230</v>
      </c>
      <c r="C309" s="162" t="s">
        <v>1169</v>
      </c>
      <c r="D309" s="162" t="s">
        <v>1168</v>
      </c>
      <c r="E309" s="161" t="s">
        <v>1000</v>
      </c>
      <c r="F309" s="162" t="s">
        <v>1127</v>
      </c>
      <c r="G309" s="162" t="s">
        <v>1152</v>
      </c>
      <c r="H309" s="162" t="s">
        <v>1021</v>
      </c>
      <c r="I309" s="163" t="s">
        <v>421</v>
      </c>
      <c r="J309" s="163" t="s">
        <v>422</v>
      </c>
      <c r="K309" s="163" t="s">
        <v>460</v>
      </c>
      <c r="L309" s="163" t="s">
        <v>469</v>
      </c>
      <c r="M309" s="161" t="s">
        <v>423</v>
      </c>
      <c r="N309" s="161" t="s">
        <v>423</v>
      </c>
      <c r="O309" s="162" t="s">
        <v>1144</v>
      </c>
      <c r="P309" s="163" t="s">
        <v>184</v>
      </c>
      <c r="Q309" s="171">
        <f t="shared" si="211"/>
        <v>1</v>
      </c>
      <c r="R309" s="163" t="s">
        <v>485</v>
      </c>
      <c r="S309" s="172">
        <f t="shared" si="212"/>
        <v>1</v>
      </c>
      <c r="T309" s="166">
        <f t="shared" si="213"/>
        <v>1</v>
      </c>
      <c r="U309" s="163" t="s">
        <v>184</v>
      </c>
      <c r="V309" s="163" t="s">
        <v>187</v>
      </c>
      <c r="W309" s="172">
        <f t="shared" si="215"/>
        <v>25</v>
      </c>
      <c r="X309" s="166">
        <f t="shared" si="216"/>
        <v>25</v>
      </c>
      <c r="Y309" s="163" t="str">
        <f t="shared" si="217"/>
        <v>Nivel IV: Riesgo Tolerable (Aceptable)</v>
      </c>
      <c r="Z309" s="163">
        <v>1</v>
      </c>
      <c r="AA309" s="163" t="s">
        <v>1151</v>
      </c>
      <c r="AB309" s="161" t="s">
        <v>424</v>
      </c>
      <c r="AC309" s="161" t="s">
        <v>424</v>
      </c>
      <c r="AD309" s="161" t="s">
        <v>424</v>
      </c>
      <c r="AE309" s="161" t="s">
        <v>1025</v>
      </c>
      <c r="AF309" s="161" t="s">
        <v>600</v>
      </c>
      <c r="AG309" s="166" t="s">
        <v>460</v>
      </c>
    </row>
    <row r="310" spans="1:33" ht="102" hidden="1" x14ac:dyDescent="0.2">
      <c r="A310" s="162" t="s">
        <v>880</v>
      </c>
      <c r="B310" s="162" t="s">
        <v>1230</v>
      </c>
      <c r="C310" s="162" t="s">
        <v>1169</v>
      </c>
      <c r="D310" s="162" t="s">
        <v>1168</v>
      </c>
      <c r="E310" s="161" t="s">
        <v>996</v>
      </c>
      <c r="F310" s="162" t="s">
        <v>430</v>
      </c>
      <c r="G310" s="162" t="s">
        <v>486</v>
      </c>
      <c r="H310" s="162" t="s">
        <v>623</v>
      </c>
      <c r="I310" s="163" t="s">
        <v>421</v>
      </c>
      <c r="J310" s="163" t="s">
        <v>422</v>
      </c>
      <c r="K310" s="163" t="s">
        <v>460</v>
      </c>
      <c r="L310" s="163" t="s">
        <v>469</v>
      </c>
      <c r="M310" s="163" t="s">
        <v>1074</v>
      </c>
      <c r="N310" s="169" t="s">
        <v>1073</v>
      </c>
      <c r="O310" s="162" t="s">
        <v>1032</v>
      </c>
      <c r="P310" s="163" t="s">
        <v>184</v>
      </c>
      <c r="Q310" s="171">
        <f>IF(P310="Muy Alto",10,IF(P310="Alto",6,IF(P310="Medio",2,IF(P310="Bajo",1,))))</f>
        <v>1</v>
      </c>
      <c r="R310" s="163" t="s">
        <v>485</v>
      </c>
      <c r="S310" s="172">
        <f>IF(R310="Continua",4,IF(R310="Frecuente",3,IF(R310="Ocasional",2,IF(R310="Esporádica",1,))))</f>
        <v>1</v>
      </c>
      <c r="T310" s="166">
        <f>Q310*S310</f>
        <v>1</v>
      </c>
      <c r="U310" s="163" t="str">
        <f>IF(AND(T310&gt;=0,T310&lt;=4),"Bajo",IF(AND(T310&gt;=6,T310&lt;=8),"Medio",IF(AND(T310&gt;=10,T310&lt;=20),"Alto",IF(AND(T310&gt;=20,T310&lt;=40),"Muy Alto",))))</f>
        <v>Bajo</v>
      </c>
      <c r="V310" s="163" t="s">
        <v>428</v>
      </c>
      <c r="W310" s="172">
        <f>IF(V310="Mortal o catastrófico",100,IF(V310="Muy grave",60,IF(V310="Grave",25,IF(V310="Leve",10,))))</f>
        <v>10</v>
      </c>
      <c r="X310" s="166">
        <f>T310*W310</f>
        <v>10</v>
      </c>
      <c r="Y310" s="163" t="str">
        <f>IF(AND(X310&gt;=600,X310&lt;=4000),"Nivel I: Riesgo Inaceptable",IF(AND(X310&gt;=150,X310&lt;=500),"Nivel II: Riesgo Importante",IF(AND(X310&gt;=40,X310&lt;=120),"Nivel III: Riesgo Moderado (Aceptable)","Nivel IV: Riesgo Tolerable (Aceptable)")))</f>
        <v>Nivel IV: Riesgo Tolerable (Aceptable)</v>
      </c>
      <c r="Z310" s="163">
        <v>1</v>
      </c>
      <c r="AA310" s="163" t="s">
        <v>1151</v>
      </c>
      <c r="AB310" s="161" t="s">
        <v>424</v>
      </c>
      <c r="AC310" s="161" t="s">
        <v>424</v>
      </c>
      <c r="AD310" s="161" t="s">
        <v>424</v>
      </c>
      <c r="AE310" s="161" t="s">
        <v>1075</v>
      </c>
      <c r="AF310" s="161" t="s">
        <v>600</v>
      </c>
      <c r="AG310" s="166" t="s">
        <v>460</v>
      </c>
    </row>
    <row r="311" spans="1:33" ht="102" hidden="1" x14ac:dyDescent="0.2">
      <c r="A311" s="162" t="s">
        <v>880</v>
      </c>
      <c r="B311" s="162" t="s">
        <v>1230</v>
      </c>
      <c r="C311" s="162" t="s">
        <v>1169</v>
      </c>
      <c r="D311" s="162" t="s">
        <v>1168</v>
      </c>
      <c r="E311" s="161" t="s">
        <v>996</v>
      </c>
      <c r="F311" s="162" t="s">
        <v>1146</v>
      </c>
      <c r="G311" s="162" t="s">
        <v>1162</v>
      </c>
      <c r="H311" s="162" t="s">
        <v>623</v>
      </c>
      <c r="I311" s="163" t="s">
        <v>421</v>
      </c>
      <c r="J311" s="163" t="s">
        <v>422</v>
      </c>
      <c r="K311" s="163" t="s">
        <v>460</v>
      </c>
      <c r="L311" s="163" t="s">
        <v>469</v>
      </c>
      <c r="M311" s="163" t="s">
        <v>1074</v>
      </c>
      <c r="N311" s="169" t="s">
        <v>1073</v>
      </c>
      <c r="O311" s="162" t="s">
        <v>1032</v>
      </c>
      <c r="P311" s="163" t="s">
        <v>184</v>
      </c>
      <c r="Q311" s="171">
        <f>IF(P311="Muy Alto",10,IF(P311="Alto",6,IF(P311="Medio",2,IF(P311="Bajo",1,))))</f>
        <v>1</v>
      </c>
      <c r="R311" s="163" t="s">
        <v>416</v>
      </c>
      <c r="S311" s="172">
        <f>IF(R311="Continua",4,IF(R311="Frecuente",3,IF(R311="Ocasional",2,IF(R311="Esporádica",1,))))</f>
        <v>3</v>
      </c>
      <c r="T311" s="166">
        <f>Q311*S311</f>
        <v>3</v>
      </c>
      <c r="U311" s="163" t="str">
        <f>IF(AND(T311&gt;=0,T311&lt;=4),"Bajo",IF(AND(T311&gt;=6,T311&lt;=8),"Medio",IF(AND(T311&gt;=10,T311&lt;=20),"Alto",IF(AND(T311&gt;=20,T311&lt;=40),"Muy Alto",))))</f>
        <v>Bajo</v>
      </c>
      <c r="V311" s="163" t="s">
        <v>428</v>
      </c>
      <c r="W311" s="172">
        <f>IF(V311="Mortal o catastrófico",100,IF(V311="Muy grave",60,IF(V311="Grave",25,IF(V311="Leve",10,))))</f>
        <v>10</v>
      </c>
      <c r="X311" s="166">
        <f>T311*W311</f>
        <v>30</v>
      </c>
      <c r="Y311" s="163" t="str">
        <f>IF(AND(X311&gt;=600,X311&lt;=4000),"Nivel I: Riesgo Inaceptable",IF(AND(X311&gt;=150,X311&lt;=500),"Nivel II: Riesgo Importante",IF(AND(X311&gt;=40,X311&lt;=120),"Nivel III: Riesgo Moderado (Aceptable)","Nivel IV: Riesgo Tolerable (Aceptable)")))</f>
        <v>Nivel IV: Riesgo Tolerable (Aceptable)</v>
      </c>
      <c r="Z311" s="163">
        <v>1</v>
      </c>
      <c r="AA311" s="163" t="s">
        <v>1151</v>
      </c>
      <c r="AB311" s="161" t="s">
        <v>424</v>
      </c>
      <c r="AC311" s="161" t="s">
        <v>424</v>
      </c>
      <c r="AD311" s="161" t="s">
        <v>424</v>
      </c>
      <c r="AE311" s="161" t="s">
        <v>1075</v>
      </c>
      <c r="AF311" s="161" t="s">
        <v>600</v>
      </c>
      <c r="AG311" s="166" t="s">
        <v>460</v>
      </c>
    </row>
    <row r="312" spans="1:33" ht="127.5" hidden="1" x14ac:dyDescent="0.2">
      <c r="A312" s="162" t="s">
        <v>880</v>
      </c>
      <c r="B312" s="162" t="s">
        <v>1095</v>
      </c>
      <c r="C312" s="162" t="s">
        <v>1193</v>
      </c>
      <c r="D312" s="162" t="s">
        <v>1194</v>
      </c>
      <c r="E312" s="161" t="s">
        <v>998</v>
      </c>
      <c r="F312" s="162" t="s">
        <v>178</v>
      </c>
      <c r="G312" s="162" t="s">
        <v>1067</v>
      </c>
      <c r="H312" s="162" t="s">
        <v>559</v>
      </c>
      <c r="I312" s="163" t="s">
        <v>421</v>
      </c>
      <c r="J312" s="163" t="s">
        <v>422</v>
      </c>
      <c r="K312" s="163" t="s">
        <v>460</v>
      </c>
      <c r="L312" s="163" t="s">
        <v>469</v>
      </c>
      <c r="M312" s="161" t="s">
        <v>606</v>
      </c>
      <c r="N312" s="161" t="s">
        <v>606</v>
      </c>
      <c r="O312" s="162" t="s">
        <v>1046</v>
      </c>
      <c r="P312" s="163" t="s">
        <v>185</v>
      </c>
      <c r="Q312" s="171">
        <f t="shared" ref="Q312:Q318" si="218">IF(P312="Muy Alto",10,IF(P312="Alto",6,IF(P312="Medio",2,IF(P312="Bajo",1,))))</f>
        <v>2</v>
      </c>
      <c r="R312" s="163" t="s">
        <v>186</v>
      </c>
      <c r="S312" s="172">
        <f t="shared" ref="S312:S318" si="219">IF(R312="Continua",4,IF(R312="Frecuente",3,IF(R312="Ocasional",2,IF(R312="Esporádica",1,))))</f>
        <v>4</v>
      </c>
      <c r="T312" s="166">
        <f t="shared" ref="T312:T318" si="220">Q312*S312</f>
        <v>8</v>
      </c>
      <c r="U312" s="163" t="str">
        <f t="shared" ref="U312:U317" si="221">IF(AND(T312&gt;=0,T312&lt;=4),"Bajo",IF(AND(T312&gt;=6,T312&lt;=8),"Medio",IF(AND(T312&gt;=10,T312&lt;=20),"Alto",IF(AND(T312&gt;=20,T312&lt;=40),"Muy Alto",))))</f>
        <v>Medio</v>
      </c>
      <c r="V312" s="163" t="s">
        <v>187</v>
      </c>
      <c r="W312" s="172">
        <f t="shared" ref="W312:W318" si="222">IF(V312="Mortal o catastrófico",100,IF(V312="Muy grave",60,IF(V312="Grave",25,IF(V312="Leve",10,))))</f>
        <v>25</v>
      </c>
      <c r="X312" s="166">
        <f t="shared" ref="X312:X318" si="223">T312*W312</f>
        <v>200</v>
      </c>
      <c r="Y312" s="163" t="str">
        <f t="shared" ref="Y312:Y318" si="224">IF(AND(X312&gt;=600,X312&lt;=4000),"Nivel I: Riesgo Inaceptable",IF(AND(X312&gt;=150,X312&lt;=500),"Nivel II: Riesgo Importante",IF(AND(X312&gt;=40,X312&lt;=120),"Nivel III: Riesgo Moderado (Aceptable)","Nivel IV: Riesgo Tolerable (Aceptable)")))</f>
        <v>Nivel II: Riesgo Importante</v>
      </c>
      <c r="Z312" s="163">
        <v>2</v>
      </c>
      <c r="AA312" s="163" t="s">
        <v>1151</v>
      </c>
      <c r="AB312" s="161" t="s">
        <v>424</v>
      </c>
      <c r="AC312" s="161" t="s">
        <v>424</v>
      </c>
      <c r="AD312" s="161" t="s">
        <v>424</v>
      </c>
      <c r="AE312" s="161" t="s">
        <v>1130</v>
      </c>
      <c r="AF312" s="161" t="s">
        <v>600</v>
      </c>
      <c r="AG312" s="166" t="s">
        <v>460</v>
      </c>
    </row>
    <row r="313" spans="1:33" ht="140.25" hidden="1" x14ac:dyDescent="0.2">
      <c r="A313" s="162" t="s">
        <v>880</v>
      </c>
      <c r="B313" s="162" t="s">
        <v>1095</v>
      </c>
      <c r="C313" s="162" t="s">
        <v>1193</v>
      </c>
      <c r="D313" s="162" t="s">
        <v>1194</v>
      </c>
      <c r="E313" s="161" t="s">
        <v>175</v>
      </c>
      <c r="F313" s="162" t="s">
        <v>1111</v>
      </c>
      <c r="G313" s="162" t="s">
        <v>1165</v>
      </c>
      <c r="H313" s="162" t="s">
        <v>602</v>
      </c>
      <c r="I313" s="173" t="s">
        <v>421</v>
      </c>
      <c r="J313" s="173" t="s">
        <v>422</v>
      </c>
      <c r="K313" s="174" t="s">
        <v>460</v>
      </c>
      <c r="L313" s="174" t="s">
        <v>469</v>
      </c>
      <c r="M313" s="175" t="s">
        <v>1167</v>
      </c>
      <c r="N313" s="175" t="s">
        <v>423</v>
      </c>
      <c r="O313" s="176" t="s">
        <v>1166</v>
      </c>
      <c r="P313" s="177" t="s">
        <v>184</v>
      </c>
      <c r="Q313" s="178">
        <f t="shared" si="218"/>
        <v>1</v>
      </c>
      <c r="R313" s="177" t="s">
        <v>429</v>
      </c>
      <c r="S313" s="179">
        <f t="shared" si="219"/>
        <v>2</v>
      </c>
      <c r="T313" s="180">
        <f t="shared" si="220"/>
        <v>2</v>
      </c>
      <c r="U313" s="181" t="str">
        <f t="shared" si="221"/>
        <v>Bajo</v>
      </c>
      <c r="V313" s="181" t="s">
        <v>428</v>
      </c>
      <c r="W313" s="179">
        <f t="shared" si="222"/>
        <v>10</v>
      </c>
      <c r="X313" s="180">
        <f t="shared" si="223"/>
        <v>20</v>
      </c>
      <c r="Y313" s="181" t="str">
        <f t="shared" si="224"/>
        <v>Nivel IV: Riesgo Tolerable (Aceptable)</v>
      </c>
      <c r="Z313" s="163">
        <v>2</v>
      </c>
      <c r="AA313" s="163" t="s">
        <v>1151</v>
      </c>
      <c r="AB313" s="175" t="s">
        <v>424</v>
      </c>
      <c r="AC313" s="175" t="s">
        <v>424</v>
      </c>
      <c r="AD313" s="175" t="s">
        <v>424</v>
      </c>
      <c r="AE313" s="182" t="s">
        <v>1035</v>
      </c>
      <c r="AF313" s="183" t="s">
        <v>600</v>
      </c>
      <c r="AG313" s="184" t="s">
        <v>460</v>
      </c>
    </row>
    <row r="314" spans="1:33" ht="140.25" hidden="1" x14ac:dyDescent="0.2">
      <c r="A314" s="162" t="s">
        <v>880</v>
      </c>
      <c r="B314" s="162" t="s">
        <v>1095</v>
      </c>
      <c r="C314" s="162" t="s">
        <v>1193</v>
      </c>
      <c r="D314" s="162" t="s">
        <v>1194</v>
      </c>
      <c r="E314" s="161" t="s">
        <v>175</v>
      </c>
      <c r="F314" s="162" t="s">
        <v>1197</v>
      </c>
      <c r="G314" s="162" t="s">
        <v>1199</v>
      </c>
      <c r="H314" s="170" t="s">
        <v>1198</v>
      </c>
      <c r="I314" s="173" t="s">
        <v>421</v>
      </c>
      <c r="J314" s="173" t="s">
        <v>422</v>
      </c>
      <c r="K314" s="174" t="s">
        <v>460</v>
      </c>
      <c r="L314" s="174" t="s">
        <v>469</v>
      </c>
      <c r="M314" s="175" t="s">
        <v>1167</v>
      </c>
      <c r="N314" s="175" t="s">
        <v>423</v>
      </c>
      <c r="O314" s="176" t="s">
        <v>1166</v>
      </c>
      <c r="P314" s="177" t="s">
        <v>184</v>
      </c>
      <c r="Q314" s="178">
        <f t="shared" si="218"/>
        <v>1</v>
      </c>
      <c r="R314" s="177" t="s">
        <v>416</v>
      </c>
      <c r="S314" s="179">
        <f t="shared" si="219"/>
        <v>3</v>
      </c>
      <c r="T314" s="180">
        <f t="shared" si="220"/>
        <v>3</v>
      </c>
      <c r="U314" s="181" t="str">
        <f t="shared" si="221"/>
        <v>Bajo</v>
      </c>
      <c r="V314" s="181" t="s">
        <v>428</v>
      </c>
      <c r="W314" s="179">
        <f t="shared" si="222"/>
        <v>10</v>
      </c>
      <c r="X314" s="180">
        <f t="shared" si="223"/>
        <v>30</v>
      </c>
      <c r="Y314" s="181" t="str">
        <f t="shared" si="224"/>
        <v>Nivel IV: Riesgo Tolerable (Aceptable)</v>
      </c>
      <c r="Z314" s="163">
        <v>1</v>
      </c>
      <c r="AA314" s="163" t="s">
        <v>1151</v>
      </c>
      <c r="AB314" s="175" t="s">
        <v>424</v>
      </c>
      <c r="AC314" s="175" t="s">
        <v>424</v>
      </c>
      <c r="AD314" s="175" t="s">
        <v>424</v>
      </c>
      <c r="AE314" s="182" t="s">
        <v>1196</v>
      </c>
      <c r="AF314" s="183" t="s">
        <v>600</v>
      </c>
      <c r="AG314" s="184" t="s">
        <v>460</v>
      </c>
    </row>
    <row r="315" spans="1:33" ht="127.5" x14ac:dyDescent="0.2">
      <c r="A315" s="162" t="s">
        <v>880</v>
      </c>
      <c r="B315" s="162" t="s">
        <v>1095</v>
      </c>
      <c r="C315" s="162" t="s">
        <v>1193</v>
      </c>
      <c r="D315" s="162" t="s">
        <v>1194</v>
      </c>
      <c r="E315" s="161" t="s">
        <v>999</v>
      </c>
      <c r="F315" s="162" t="s">
        <v>292</v>
      </c>
      <c r="G315" s="162" t="s">
        <v>1149</v>
      </c>
      <c r="H315" s="162" t="s">
        <v>472</v>
      </c>
      <c r="I315" s="163" t="s">
        <v>421</v>
      </c>
      <c r="J315" s="163" t="s">
        <v>461</v>
      </c>
      <c r="K315" s="163" t="s">
        <v>460</v>
      </c>
      <c r="L315" s="163" t="s">
        <v>469</v>
      </c>
      <c r="M315" s="161" t="s">
        <v>606</v>
      </c>
      <c r="N315" s="161" t="s">
        <v>1069</v>
      </c>
      <c r="O315" s="162" t="s">
        <v>1070</v>
      </c>
      <c r="P315" s="163" t="s">
        <v>184</v>
      </c>
      <c r="Q315" s="171">
        <f t="shared" si="218"/>
        <v>1</v>
      </c>
      <c r="R315" s="163" t="s">
        <v>429</v>
      </c>
      <c r="S315" s="172">
        <f t="shared" si="219"/>
        <v>2</v>
      </c>
      <c r="T315" s="166">
        <f t="shared" si="220"/>
        <v>2</v>
      </c>
      <c r="U315" s="163" t="str">
        <f t="shared" si="221"/>
        <v>Bajo</v>
      </c>
      <c r="V315" s="163" t="s">
        <v>428</v>
      </c>
      <c r="W315" s="172">
        <f t="shared" si="222"/>
        <v>10</v>
      </c>
      <c r="X315" s="166">
        <f t="shared" si="223"/>
        <v>20</v>
      </c>
      <c r="Y315" s="163" t="str">
        <f t="shared" si="224"/>
        <v>Nivel IV: Riesgo Tolerable (Aceptable)</v>
      </c>
      <c r="Z315" s="163">
        <v>2</v>
      </c>
      <c r="AA315" s="163" t="s">
        <v>1151</v>
      </c>
      <c r="AB315" s="161" t="s">
        <v>424</v>
      </c>
      <c r="AC315" s="161" t="s">
        <v>424</v>
      </c>
      <c r="AD315" s="161" t="s">
        <v>424</v>
      </c>
      <c r="AE315" s="161" t="s">
        <v>1071</v>
      </c>
      <c r="AF315" s="161" t="s">
        <v>600</v>
      </c>
      <c r="AG315" s="166" t="s">
        <v>460</v>
      </c>
    </row>
    <row r="316" spans="1:33" ht="127.5" x14ac:dyDescent="0.2">
      <c r="A316" s="162" t="s">
        <v>880</v>
      </c>
      <c r="B316" s="162" t="s">
        <v>1095</v>
      </c>
      <c r="C316" s="162" t="s">
        <v>1193</v>
      </c>
      <c r="D316" s="162" t="s">
        <v>1194</v>
      </c>
      <c r="E316" s="161" t="s">
        <v>999</v>
      </c>
      <c r="F316" s="162" t="s">
        <v>288</v>
      </c>
      <c r="G316" s="162" t="s">
        <v>1131</v>
      </c>
      <c r="H316" s="162" t="s">
        <v>614</v>
      </c>
      <c r="I316" s="163" t="s">
        <v>421</v>
      </c>
      <c r="J316" s="163" t="s">
        <v>461</v>
      </c>
      <c r="K316" s="163" t="s">
        <v>460</v>
      </c>
      <c r="L316" s="163" t="s">
        <v>469</v>
      </c>
      <c r="M316" s="166" t="s">
        <v>423</v>
      </c>
      <c r="N316" s="162" t="s">
        <v>1132</v>
      </c>
      <c r="O316" s="162" t="s">
        <v>1026</v>
      </c>
      <c r="P316" s="163" t="s">
        <v>184</v>
      </c>
      <c r="Q316" s="171">
        <f t="shared" si="218"/>
        <v>1</v>
      </c>
      <c r="R316" s="163" t="s">
        <v>485</v>
      </c>
      <c r="S316" s="172">
        <f t="shared" si="219"/>
        <v>1</v>
      </c>
      <c r="T316" s="166">
        <f t="shared" si="220"/>
        <v>1</v>
      </c>
      <c r="U316" s="163" t="str">
        <f t="shared" si="221"/>
        <v>Bajo</v>
      </c>
      <c r="V316" s="163" t="s">
        <v>187</v>
      </c>
      <c r="W316" s="172">
        <f t="shared" si="222"/>
        <v>25</v>
      </c>
      <c r="X316" s="166">
        <f t="shared" si="223"/>
        <v>25</v>
      </c>
      <c r="Y316" s="163" t="str">
        <f t="shared" si="224"/>
        <v>Nivel IV: Riesgo Tolerable (Aceptable)</v>
      </c>
      <c r="Z316" s="163">
        <v>2</v>
      </c>
      <c r="AA316" s="163" t="s">
        <v>1151</v>
      </c>
      <c r="AB316" s="161" t="s">
        <v>424</v>
      </c>
      <c r="AC316" s="161" t="s">
        <v>424</v>
      </c>
      <c r="AD316" s="161" t="s">
        <v>424</v>
      </c>
      <c r="AE316" s="161" t="s">
        <v>1066</v>
      </c>
      <c r="AF316" s="161" t="s">
        <v>600</v>
      </c>
      <c r="AG316" s="166" t="s">
        <v>460</v>
      </c>
    </row>
    <row r="317" spans="1:33" ht="127.5" x14ac:dyDescent="0.2">
      <c r="A317" s="162" t="s">
        <v>880</v>
      </c>
      <c r="B317" s="162" t="s">
        <v>1095</v>
      </c>
      <c r="C317" s="162" t="s">
        <v>1193</v>
      </c>
      <c r="D317" s="162" t="s">
        <v>1194</v>
      </c>
      <c r="E317" s="161" t="s">
        <v>999</v>
      </c>
      <c r="F317" s="162" t="s">
        <v>1117</v>
      </c>
      <c r="G317" s="162" t="s">
        <v>564</v>
      </c>
      <c r="H317" s="162" t="s">
        <v>1072</v>
      </c>
      <c r="I317" s="163" t="s">
        <v>421</v>
      </c>
      <c r="J317" s="163" t="s">
        <v>461</v>
      </c>
      <c r="K317" s="163" t="s">
        <v>460</v>
      </c>
      <c r="L317" s="163" t="s">
        <v>469</v>
      </c>
      <c r="M317" s="166" t="s">
        <v>423</v>
      </c>
      <c r="N317" s="166" t="s">
        <v>423</v>
      </c>
      <c r="O317" s="162" t="s">
        <v>1026</v>
      </c>
      <c r="P317" s="163" t="s">
        <v>184</v>
      </c>
      <c r="Q317" s="171">
        <f t="shared" si="218"/>
        <v>1</v>
      </c>
      <c r="R317" s="163" t="s">
        <v>485</v>
      </c>
      <c r="S317" s="172">
        <f t="shared" si="219"/>
        <v>1</v>
      </c>
      <c r="T317" s="166">
        <f t="shared" si="220"/>
        <v>1</v>
      </c>
      <c r="U317" s="163" t="str">
        <f t="shared" si="221"/>
        <v>Bajo</v>
      </c>
      <c r="V317" s="163" t="s">
        <v>428</v>
      </c>
      <c r="W317" s="172">
        <f t="shared" si="222"/>
        <v>10</v>
      </c>
      <c r="X317" s="166">
        <f t="shared" si="223"/>
        <v>10</v>
      </c>
      <c r="Y317" s="163" t="str">
        <f t="shared" si="224"/>
        <v>Nivel IV: Riesgo Tolerable (Aceptable)</v>
      </c>
      <c r="Z317" s="163">
        <v>2</v>
      </c>
      <c r="AA317" s="163" t="s">
        <v>1151</v>
      </c>
      <c r="AB317" s="161" t="s">
        <v>424</v>
      </c>
      <c r="AC317" s="161" t="s">
        <v>424</v>
      </c>
      <c r="AD317" s="161" t="s">
        <v>424</v>
      </c>
      <c r="AE317" s="161" t="s">
        <v>1066</v>
      </c>
      <c r="AF317" s="161" t="s">
        <v>600</v>
      </c>
      <c r="AG317" s="166" t="s">
        <v>460</v>
      </c>
    </row>
    <row r="318" spans="1:33" ht="127.5" x14ac:dyDescent="0.2">
      <c r="A318" s="162" t="s">
        <v>880</v>
      </c>
      <c r="B318" s="162" t="s">
        <v>1095</v>
      </c>
      <c r="C318" s="162" t="s">
        <v>1193</v>
      </c>
      <c r="D318" s="162" t="s">
        <v>1194</v>
      </c>
      <c r="E318" s="161" t="s">
        <v>999</v>
      </c>
      <c r="F318" s="162" t="s">
        <v>1119</v>
      </c>
      <c r="G318" s="162" t="s">
        <v>1133</v>
      </c>
      <c r="H318" s="162" t="s">
        <v>966</v>
      </c>
      <c r="I318" s="163" t="s">
        <v>421</v>
      </c>
      <c r="J318" s="163" t="s">
        <v>422</v>
      </c>
      <c r="K318" s="163" t="s">
        <v>460</v>
      </c>
      <c r="L318" s="163" t="s">
        <v>469</v>
      </c>
      <c r="M318" s="161" t="s">
        <v>1163</v>
      </c>
      <c r="N318" s="161" t="s">
        <v>1164</v>
      </c>
      <c r="O318" s="164" t="s">
        <v>1026</v>
      </c>
      <c r="P318" s="163" t="s">
        <v>184</v>
      </c>
      <c r="Q318" s="171">
        <f t="shared" si="218"/>
        <v>1</v>
      </c>
      <c r="R318" s="163" t="s">
        <v>416</v>
      </c>
      <c r="S318" s="172">
        <f t="shared" si="219"/>
        <v>3</v>
      </c>
      <c r="T318" s="166">
        <f t="shared" si="220"/>
        <v>3</v>
      </c>
      <c r="U318" s="163" t="s">
        <v>184</v>
      </c>
      <c r="V318" s="163" t="s">
        <v>187</v>
      </c>
      <c r="W318" s="172">
        <f t="shared" si="222"/>
        <v>25</v>
      </c>
      <c r="X318" s="166">
        <f t="shared" si="223"/>
        <v>75</v>
      </c>
      <c r="Y318" s="163" t="str">
        <f t="shared" si="224"/>
        <v>Nivel III: Riesgo Moderado (Aceptable)</v>
      </c>
      <c r="Z318" s="163">
        <v>2</v>
      </c>
      <c r="AA318" s="163" t="s">
        <v>1151</v>
      </c>
      <c r="AB318" s="161" t="s">
        <v>424</v>
      </c>
      <c r="AC318" s="161" t="s">
        <v>424</v>
      </c>
      <c r="AD318" s="161" t="s">
        <v>424</v>
      </c>
      <c r="AE318" s="167" t="s">
        <v>1134</v>
      </c>
      <c r="AF318" s="161" t="s">
        <v>600</v>
      </c>
      <c r="AG318" s="166" t="s">
        <v>460</v>
      </c>
    </row>
    <row r="319" spans="1:33" ht="127.5" x14ac:dyDescent="0.2">
      <c r="A319" s="162" t="s">
        <v>880</v>
      </c>
      <c r="B319" s="162" t="s">
        <v>1095</v>
      </c>
      <c r="C319" s="162" t="s">
        <v>1193</v>
      </c>
      <c r="D319" s="162" t="s">
        <v>1194</v>
      </c>
      <c r="E319" s="161" t="s">
        <v>999</v>
      </c>
      <c r="F319" s="162" t="s">
        <v>1121</v>
      </c>
      <c r="G319" s="162" t="s">
        <v>1139</v>
      </c>
      <c r="H319" s="162" t="s">
        <v>979</v>
      </c>
      <c r="I319" s="163" t="s">
        <v>421</v>
      </c>
      <c r="J319" s="163" t="s">
        <v>461</v>
      </c>
      <c r="K319" s="163" t="s">
        <v>460</v>
      </c>
      <c r="L319" s="163" t="s">
        <v>469</v>
      </c>
      <c r="M319" s="165" t="s">
        <v>423</v>
      </c>
      <c r="N319" s="161" t="s">
        <v>1140</v>
      </c>
      <c r="O319" s="162" t="s">
        <v>1092</v>
      </c>
      <c r="P319" s="163" t="s">
        <v>184</v>
      </c>
      <c r="Q319" s="171">
        <f>IF(P319="Muy Alto",10,IF(P319="Alto",6,IF(P319="Medio",2,IF(P319="Bajo",1,))))</f>
        <v>1</v>
      </c>
      <c r="R319" s="163" t="s">
        <v>485</v>
      </c>
      <c r="S319" s="172">
        <f>IF(R319="Continua",4,IF(R319="Frecuente",3,IF(R319="Ocasional",2,IF(R319="Esporádica",1,))))</f>
        <v>1</v>
      </c>
      <c r="T319" s="166">
        <f>Q319*S319</f>
        <v>1</v>
      </c>
      <c r="U319" s="163" t="s">
        <v>184</v>
      </c>
      <c r="V319" s="163" t="s">
        <v>187</v>
      </c>
      <c r="W319" s="172">
        <f>IF(V319="Mortal o catastrófico",100,IF(V319="Muy grave",60,IF(V319="Grave",25,IF(V319="Leve",10,))))</f>
        <v>25</v>
      </c>
      <c r="X319" s="166">
        <f>T319*W319</f>
        <v>25</v>
      </c>
      <c r="Y319" s="163" t="str">
        <f>IF(AND(X319&gt;=600,X319&lt;=4000),"Nivel I: Riesgo Inaceptable",IF(AND(X319&gt;=150,X319&lt;=500),"Nivel II: Riesgo Importante",IF(AND(X319&gt;=40,X319&lt;=120),"Nivel III: Riesgo Moderado (Aceptable)","Nivel IV: Riesgo Tolerable (Aceptable)")))</f>
        <v>Nivel IV: Riesgo Tolerable (Aceptable)</v>
      </c>
      <c r="Z319" s="163">
        <v>2</v>
      </c>
      <c r="AA319" s="163" t="s">
        <v>1151</v>
      </c>
      <c r="AB319" s="161" t="s">
        <v>424</v>
      </c>
      <c r="AC319" s="161" t="s">
        <v>424</v>
      </c>
      <c r="AD319" s="161" t="s">
        <v>424</v>
      </c>
      <c r="AE319" s="161" t="s">
        <v>1088</v>
      </c>
      <c r="AF319" s="161" t="s">
        <v>600</v>
      </c>
      <c r="AG319" s="166" t="s">
        <v>460</v>
      </c>
    </row>
    <row r="320" spans="1:33" ht="127.5" hidden="1" x14ac:dyDescent="0.2">
      <c r="A320" s="162" t="s">
        <v>880</v>
      </c>
      <c r="B320" s="162" t="s">
        <v>1095</v>
      </c>
      <c r="C320" s="162" t="s">
        <v>1193</v>
      </c>
      <c r="D320" s="162" t="s">
        <v>1194</v>
      </c>
      <c r="E320" s="161" t="s">
        <v>995</v>
      </c>
      <c r="F320" s="162" t="s">
        <v>714</v>
      </c>
      <c r="G320" s="162" t="s">
        <v>1036</v>
      </c>
      <c r="H320" s="162" t="s">
        <v>1135</v>
      </c>
      <c r="I320" s="163" t="s">
        <v>421</v>
      </c>
      <c r="J320" s="163" t="s">
        <v>461</v>
      </c>
      <c r="K320" s="163" t="s">
        <v>460</v>
      </c>
      <c r="L320" s="163" t="s">
        <v>469</v>
      </c>
      <c r="M320" s="161" t="s">
        <v>423</v>
      </c>
      <c r="N320" s="161" t="s">
        <v>1136</v>
      </c>
      <c r="O320" s="164" t="s">
        <v>1038</v>
      </c>
      <c r="P320" s="163" t="s">
        <v>184</v>
      </c>
      <c r="Q320" s="171">
        <f t="shared" ref="Q320:Q321" si="225">IF(P320="Muy Alto",10,IF(P320="Alto",6,IF(P320="Medio",2,IF(P320="Bajo",1,))))</f>
        <v>1</v>
      </c>
      <c r="R320" s="163" t="s">
        <v>485</v>
      </c>
      <c r="S320" s="172">
        <f t="shared" ref="S320:S321" si="226">IF(R320="Continua",4,IF(R320="Frecuente",3,IF(R320="Ocasional",2,IF(R320="Esporádica",1,))))</f>
        <v>1</v>
      </c>
      <c r="T320" s="166">
        <f t="shared" ref="T320:T321" si="227">Q320*S320</f>
        <v>1</v>
      </c>
      <c r="U320" s="163" t="str">
        <f t="shared" ref="U320" si="228">IF(AND(T320&gt;=0,T320&lt;=4),"Bajo",IF(AND(T320&gt;=6,T320&lt;=8),"Medio",IF(AND(T320&gt;=10,T320&lt;=20),"Alto",IF(AND(T320&gt;=20,T320&lt;=40),"Muy Alto",))))</f>
        <v>Bajo</v>
      </c>
      <c r="V320" s="163" t="s">
        <v>187</v>
      </c>
      <c r="W320" s="172">
        <f t="shared" ref="W320:W321" si="229">IF(V320="Mortal o catastrófico",100,IF(V320="Muy grave",60,IF(V320="Grave",25,IF(V320="Leve",10,))))</f>
        <v>25</v>
      </c>
      <c r="X320" s="166">
        <f t="shared" ref="X320:X321" si="230">T320*W320</f>
        <v>25</v>
      </c>
      <c r="Y320" s="163" t="str">
        <f t="shared" ref="Y320:Y321" si="231">IF(AND(X320&gt;=600,X320&lt;=4000),"Nivel I: Riesgo Inaceptable",IF(AND(X320&gt;=150,X320&lt;=500),"Nivel II: Riesgo Importante",IF(AND(X320&gt;=40,X320&lt;=120),"Nivel III: Riesgo Moderado (Aceptable)","Nivel IV: Riesgo Tolerable (Aceptable)")))</f>
        <v>Nivel IV: Riesgo Tolerable (Aceptable)</v>
      </c>
      <c r="Z320" s="163">
        <v>2</v>
      </c>
      <c r="AA320" s="163" t="s">
        <v>1151</v>
      </c>
      <c r="AB320" s="161" t="s">
        <v>424</v>
      </c>
      <c r="AC320" s="161" t="s">
        <v>424</v>
      </c>
      <c r="AD320" s="161" t="s">
        <v>424</v>
      </c>
      <c r="AE320" s="161" t="s">
        <v>1039</v>
      </c>
      <c r="AF320" s="161" t="s">
        <v>1040</v>
      </c>
      <c r="AG320" s="166" t="s">
        <v>460</v>
      </c>
    </row>
    <row r="321" spans="1:33" ht="127.5" hidden="1" x14ac:dyDescent="0.2">
      <c r="A321" s="162" t="s">
        <v>880</v>
      </c>
      <c r="B321" s="162" t="s">
        <v>1095</v>
      </c>
      <c r="C321" s="162" t="s">
        <v>1193</v>
      </c>
      <c r="D321" s="162" t="s">
        <v>1194</v>
      </c>
      <c r="E321" s="161" t="s">
        <v>1000</v>
      </c>
      <c r="F321" s="162" t="s">
        <v>1123</v>
      </c>
      <c r="G321" s="162" t="s">
        <v>1143</v>
      </c>
      <c r="H321" s="162" t="s">
        <v>1021</v>
      </c>
      <c r="I321" s="163" t="s">
        <v>421</v>
      </c>
      <c r="J321" s="163" t="s">
        <v>422</v>
      </c>
      <c r="K321" s="163" t="s">
        <v>460</v>
      </c>
      <c r="L321" s="163" t="s">
        <v>469</v>
      </c>
      <c r="M321" s="161" t="s">
        <v>423</v>
      </c>
      <c r="N321" s="161" t="s">
        <v>1145</v>
      </c>
      <c r="O321" s="162" t="s">
        <v>1144</v>
      </c>
      <c r="P321" s="163" t="s">
        <v>184</v>
      </c>
      <c r="Q321" s="171">
        <f t="shared" si="225"/>
        <v>1</v>
      </c>
      <c r="R321" s="163" t="s">
        <v>485</v>
      </c>
      <c r="S321" s="172">
        <f t="shared" si="226"/>
        <v>1</v>
      </c>
      <c r="T321" s="166">
        <f t="shared" si="227"/>
        <v>1</v>
      </c>
      <c r="U321" s="163" t="s">
        <v>184</v>
      </c>
      <c r="V321" s="163" t="s">
        <v>187</v>
      </c>
      <c r="W321" s="172">
        <f t="shared" si="229"/>
        <v>25</v>
      </c>
      <c r="X321" s="166">
        <f t="shared" si="230"/>
        <v>25</v>
      </c>
      <c r="Y321" s="163" t="str">
        <f t="shared" si="231"/>
        <v>Nivel IV: Riesgo Tolerable (Aceptable)</v>
      </c>
      <c r="Z321" s="163">
        <v>2</v>
      </c>
      <c r="AA321" s="163" t="s">
        <v>1151</v>
      </c>
      <c r="AB321" s="161" t="s">
        <v>424</v>
      </c>
      <c r="AC321" s="161" t="s">
        <v>424</v>
      </c>
      <c r="AD321" s="161" t="s">
        <v>424</v>
      </c>
      <c r="AE321" s="161" t="s">
        <v>1147</v>
      </c>
      <c r="AF321" s="161" t="s">
        <v>600</v>
      </c>
      <c r="AG321" s="166" t="s">
        <v>460</v>
      </c>
    </row>
    <row r="322" spans="1:33" ht="127.5" hidden="1" x14ac:dyDescent="0.2">
      <c r="A322" s="162" t="s">
        <v>880</v>
      </c>
      <c r="B322" s="162" t="s">
        <v>1095</v>
      </c>
      <c r="C322" s="162" t="s">
        <v>1193</v>
      </c>
      <c r="D322" s="162" t="s">
        <v>1194</v>
      </c>
      <c r="E322" s="161" t="s">
        <v>996</v>
      </c>
      <c r="F322" s="162" t="s">
        <v>430</v>
      </c>
      <c r="G322" s="162" t="s">
        <v>486</v>
      </c>
      <c r="H322" s="162" t="s">
        <v>623</v>
      </c>
      <c r="I322" s="163" t="s">
        <v>421</v>
      </c>
      <c r="J322" s="163" t="s">
        <v>422</v>
      </c>
      <c r="K322" s="163" t="s">
        <v>460</v>
      </c>
      <c r="L322" s="163" t="s">
        <v>469</v>
      </c>
      <c r="M322" s="163" t="s">
        <v>1074</v>
      </c>
      <c r="N322" s="169" t="s">
        <v>1073</v>
      </c>
      <c r="O322" s="162" t="s">
        <v>1032</v>
      </c>
      <c r="P322" s="163" t="s">
        <v>184</v>
      </c>
      <c r="Q322" s="171">
        <f>IF(P322="Muy Alto",10,IF(P322="Alto",6,IF(P322="Medio",2,IF(P322="Bajo",1,))))</f>
        <v>1</v>
      </c>
      <c r="R322" s="163" t="s">
        <v>485</v>
      </c>
      <c r="S322" s="172">
        <f>IF(R322="Continua",4,IF(R322="Frecuente",3,IF(R322="Ocasional",2,IF(R322="Esporádica",1,))))</f>
        <v>1</v>
      </c>
      <c r="T322" s="166">
        <f>Q322*S322</f>
        <v>1</v>
      </c>
      <c r="U322" s="163" t="str">
        <f>IF(AND(T322&gt;=0,T322&lt;=4),"Bajo",IF(AND(T322&gt;=6,T322&lt;=8),"Medio",IF(AND(T322&gt;=10,T322&lt;=20),"Alto",IF(AND(T322&gt;=20,T322&lt;=40),"Muy Alto",))))</f>
        <v>Bajo</v>
      </c>
      <c r="V322" s="163" t="s">
        <v>428</v>
      </c>
      <c r="W322" s="172">
        <f>IF(V322="Mortal o catastrófico",100,IF(V322="Muy grave",60,IF(V322="Grave",25,IF(V322="Leve",10,))))</f>
        <v>10</v>
      </c>
      <c r="X322" s="166">
        <f>T322*W322</f>
        <v>10</v>
      </c>
      <c r="Y322" s="163" t="str">
        <f>IF(AND(X322&gt;=600,X322&lt;=4000),"Nivel I: Riesgo Inaceptable",IF(AND(X322&gt;=150,X322&lt;=500),"Nivel II: Riesgo Importante",IF(AND(X322&gt;=40,X322&lt;=120),"Nivel III: Riesgo Moderado (Aceptable)","Nivel IV: Riesgo Tolerable (Aceptable)")))</f>
        <v>Nivel IV: Riesgo Tolerable (Aceptable)</v>
      </c>
      <c r="Z322" s="163">
        <v>2</v>
      </c>
      <c r="AA322" s="163" t="s">
        <v>1151</v>
      </c>
      <c r="AB322" s="161" t="s">
        <v>424</v>
      </c>
      <c r="AC322" s="161" t="s">
        <v>424</v>
      </c>
      <c r="AD322" s="161" t="s">
        <v>424</v>
      </c>
      <c r="AE322" s="161" t="s">
        <v>1075</v>
      </c>
      <c r="AF322" s="161" t="s">
        <v>600</v>
      </c>
      <c r="AG322" s="166" t="s">
        <v>460</v>
      </c>
    </row>
    <row r="323" spans="1:33" ht="127.5" hidden="1" x14ac:dyDescent="0.2">
      <c r="A323" s="162" t="s">
        <v>880</v>
      </c>
      <c r="B323" s="162" t="s">
        <v>1095</v>
      </c>
      <c r="C323" s="162" t="s">
        <v>1193</v>
      </c>
      <c r="D323" s="162" t="s">
        <v>1194</v>
      </c>
      <c r="E323" s="161" t="s">
        <v>996</v>
      </c>
      <c r="F323" s="162" t="s">
        <v>1146</v>
      </c>
      <c r="G323" s="162" t="s">
        <v>1162</v>
      </c>
      <c r="H323" s="162" t="s">
        <v>623</v>
      </c>
      <c r="I323" s="163" t="s">
        <v>421</v>
      </c>
      <c r="J323" s="163" t="s">
        <v>422</v>
      </c>
      <c r="K323" s="163" t="s">
        <v>460</v>
      </c>
      <c r="L323" s="163" t="s">
        <v>469</v>
      </c>
      <c r="M323" s="163" t="s">
        <v>1074</v>
      </c>
      <c r="N323" s="169" t="s">
        <v>1073</v>
      </c>
      <c r="O323" s="162" t="s">
        <v>1032</v>
      </c>
      <c r="P323" s="163" t="s">
        <v>184</v>
      </c>
      <c r="Q323" s="171">
        <f>IF(P323="Muy Alto",10,IF(P323="Alto",6,IF(P323="Medio",2,IF(P323="Bajo",1,))))</f>
        <v>1</v>
      </c>
      <c r="R323" s="163" t="s">
        <v>416</v>
      </c>
      <c r="S323" s="172">
        <f>IF(R323="Continua",4,IF(R323="Frecuente",3,IF(R323="Ocasional",2,IF(R323="Esporádica",1,))))</f>
        <v>3</v>
      </c>
      <c r="T323" s="166">
        <f>Q323*S323</f>
        <v>3</v>
      </c>
      <c r="U323" s="163" t="str">
        <f>IF(AND(T323&gt;=0,T323&lt;=4),"Bajo",IF(AND(T323&gt;=6,T323&lt;=8),"Medio",IF(AND(T323&gt;=10,T323&lt;=20),"Alto",IF(AND(T323&gt;=20,T323&lt;=40),"Muy Alto",))))</f>
        <v>Bajo</v>
      </c>
      <c r="V323" s="163" t="s">
        <v>428</v>
      </c>
      <c r="W323" s="172">
        <f>IF(V323="Mortal o catastrófico",100,IF(V323="Muy grave",60,IF(V323="Grave",25,IF(V323="Leve",10,))))</f>
        <v>10</v>
      </c>
      <c r="X323" s="166">
        <f>T323*W323</f>
        <v>30</v>
      </c>
      <c r="Y323" s="163" t="str">
        <f>IF(AND(X323&gt;=600,X323&lt;=4000),"Nivel I: Riesgo Inaceptable",IF(AND(X323&gt;=150,X323&lt;=500),"Nivel II: Riesgo Importante",IF(AND(X323&gt;=40,X323&lt;=120),"Nivel III: Riesgo Moderado (Aceptable)","Nivel IV: Riesgo Tolerable (Aceptable)")))</f>
        <v>Nivel IV: Riesgo Tolerable (Aceptable)</v>
      </c>
      <c r="Z323" s="163">
        <v>2</v>
      </c>
      <c r="AA323" s="163" t="s">
        <v>1151</v>
      </c>
      <c r="AB323" s="161" t="s">
        <v>424</v>
      </c>
      <c r="AC323" s="161" t="s">
        <v>424</v>
      </c>
      <c r="AD323" s="161" t="s">
        <v>424</v>
      </c>
      <c r="AE323" s="161" t="s">
        <v>1075</v>
      </c>
      <c r="AF323" s="161" t="s">
        <v>600</v>
      </c>
      <c r="AG323" s="166" t="s">
        <v>460</v>
      </c>
    </row>
    <row r="324" spans="1:33" ht="89.25" hidden="1" x14ac:dyDescent="0.2">
      <c r="A324" s="162" t="s">
        <v>880</v>
      </c>
      <c r="B324" s="162" t="s">
        <v>1234</v>
      </c>
      <c r="C324" s="162" t="s">
        <v>1158</v>
      </c>
      <c r="D324" s="162" t="s">
        <v>1172</v>
      </c>
      <c r="E324" s="161" t="s">
        <v>998</v>
      </c>
      <c r="F324" s="162" t="s">
        <v>178</v>
      </c>
      <c r="G324" s="162" t="s">
        <v>1067</v>
      </c>
      <c r="H324" s="162" t="s">
        <v>559</v>
      </c>
      <c r="I324" s="163" t="s">
        <v>421</v>
      </c>
      <c r="J324" s="163" t="s">
        <v>422</v>
      </c>
      <c r="K324" s="163" t="s">
        <v>460</v>
      </c>
      <c r="L324" s="163" t="s">
        <v>469</v>
      </c>
      <c r="M324" s="161" t="s">
        <v>606</v>
      </c>
      <c r="N324" s="161" t="s">
        <v>606</v>
      </c>
      <c r="O324" s="162" t="s">
        <v>1046</v>
      </c>
      <c r="P324" s="163" t="s">
        <v>185</v>
      </c>
      <c r="Q324" s="171">
        <f t="shared" ref="Q324:Q330" si="232">IF(P324="Muy Alto",10,IF(P324="Alto",6,IF(P324="Medio",2,IF(P324="Bajo",1,))))</f>
        <v>2</v>
      </c>
      <c r="R324" s="163" t="s">
        <v>186</v>
      </c>
      <c r="S324" s="172">
        <f t="shared" ref="S324:S330" si="233">IF(R324="Continua",4,IF(R324="Frecuente",3,IF(R324="Ocasional",2,IF(R324="Esporádica",1,))))</f>
        <v>4</v>
      </c>
      <c r="T324" s="166">
        <f t="shared" ref="T324:T330" si="234">Q324*S324</f>
        <v>8</v>
      </c>
      <c r="U324" s="163" t="str">
        <f t="shared" ref="U324:U329" si="235">IF(AND(T324&gt;=0,T324&lt;=4),"Bajo",IF(AND(T324&gt;=6,T324&lt;=8),"Medio",IF(AND(T324&gt;=10,T324&lt;=20),"Alto",IF(AND(T324&gt;=20,T324&lt;=40),"Muy Alto",))))</f>
        <v>Medio</v>
      </c>
      <c r="V324" s="163" t="s">
        <v>187</v>
      </c>
      <c r="W324" s="172">
        <f t="shared" ref="W324:W330" si="236">IF(V324="Mortal o catastrófico",100,IF(V324="Muy grave",60,IF(V324="Grave",25,IF(V324="Leve",10,))))</f>
        <v>25</v>
      </c>
      <c r="X324" s="166">
        <f t="shared" ref="X324:X330" si="237">T324*W324</f>
        <v>200</v>
      </c>
      <c r="Y324" s="163" t="str">
        <f t="shared" ref="Y324:Y330" si="238">IF(AND(X324&gt;=600,X324&lt;=4000),"Nivel I: Riesgo Inaceptable",IF(AND(X324&gt;=150,X324&lt;=500),"Nivel II: Riesgo Importante",IF(AND(X324&gt;=40,X324&lt;=120),"Nivel III: Riesgo Moderado (Aceptable)","Nivel IV: Riesgo Tolerable (Aceptable)")))</f>
        <v>Nivel II: Riesgo Importante</v>
      </c>
      <c r="Z324" s="163">
        <v>1</v>
      </c>
      <c r="AA324" s="163" t="s">
        <v>1151</v>
      </c>
      <c r="AB324" s="161" t="s">
        <v>424</v>
      </c>
      <c r="AC324" s="161" t="s">
        <v>424</v>
      </c>
      <c r="AD324" s="161" t="s">
        <v>424</v>
      </c>
      <c r="AE324" s="161" t="s">
        <v>1130</v>
      </c>
      <c r="AF324" s="161" t="s">
        <v>600</v>
      </c>
      <c r="AG324" s="166" t="s">
        <v>460</v>
      </c>
    </row>
    <row r="325" spans="1:33" ht="140.25" hidden="1" x14ac:dyDescent="0.2">
      <c r="A325" s="162" t="s">
        <v>880</v>
      </c>
      <c r="B325" s="162" t="s">
        <v>1234</v>
      </c>
      <c r="C325" s="162" t="s">
        <v>1158</v>
      </c>
      <c r="D325" s="162" t="s">
        <v>1172</v>
      </c>
      <c r="E325" s="161" t="s">
        <v>175</v>
      </c>
      <c r="F325" s="162" t="s">
        <v>1111</v>
      </c>
      <c r="G325" s="162" t="s">
        <v>1165</v>
      </c>
      <c r="H325" s="162" t="s">
        <v>602</v>
      </c>
      <c r="I325" s="173" t="s">
        <v>421</v>
      </c>
      <c r="J325" s="173" t="s">
        <v>422</v>
      </c>
      <c r="K325" s="174" t="s">
        <v>460</v>
      </c>
      <c r="L325" s="174" t="s">
        <v>469</v>
      </c>
      <c r="M325" s="175" t="s">
        <v>1167</v>
      </c>
      <c r="N325" s="175" t="s">
        <v>423</v>
      </c>
      <c r="O325" s="176" t="s">
        <v>1166</v>
      </c>
      <c r="P325" s="177" t="s">
        <v>184</v>
      </c>
      <c r="Q325" s="178">
        <f t="shared" si="232"/>
        <v>1</v>
      </c>
      <c r="R325" s="177" t="s">
        <v>429</v>
      </c>
      <c r="S325" s="179">
        <f t="shared" si="233"/>
        <v>2</v>
      </c>
      <c r="T325" s="180">
        <f t="shared" si="234"/>
        <v>2</v>
      </c>
      <c r="U325" s="181" t="str">
        <f t="shared" si="235"/>
        <v>Bajo</v>
      </c>
      <c r="V325" s="181" t="s">
        <v>428</v>
      </c>
      <c r="W325" s="179">
        <f t="shared" si="236"/>
        <v>10</v>
      </c>
      <c r="X325" s="180">
        <f t="shared" si="237"/>
        <v>20</v>
      </c>
      <c r="Y325" s="181" t="str">
        <f t="shared" si="238"/>
        <v>Nivel IV: Riesgo Tolerable (Aceptable)</v>
      </c>
      <c r="Z325" s="163">
        <v>1</v>
      </c>
      <c r="AA325" s="163" t="s">
        <v>1151</v>
      </c>
      <c r="AB325" s="175" t="s">
        <v>424</v>
      </c>
      <c r="AC325" s="175" t="s">
        <v>424</v>
      </c>
      <c r="AD325" s="175" t="s">
        <v>424</v>
      </c>
      <c r="AE325" s="182" t="s">
        <v>1035</v>
      </c>
      <c r="AF325" s="183" t="s">
        <v>600</v>
      </c>
      <c r="AG325" s="184" t="s">
        <v>460</v>
      </c>
    </row>
    <row r="326" spans="1:33" ht="140.25" hidden="1" x14ac:dyDescent="0.2">
      <c r="A326" s="162" t="s">
        <v>880</v>
      </c>
      <c r="B326" s="162" t="s">
        <v>1234</v>
      </c>
      <c r="C326" s="162" t="s">
        <v>1158</v>
      </c>
      <c r="D326" s="162" t="s">
        <v>1172</v>
      </c>
      <c r="E326" s="161" t="s">
        <v>175</v>
      </c>
      <c r="F326" s="162" t="s">
        <v>1197</v>
      </c>
      <c r="G326" s="162" t="s">
        <v>1199</v>
      </c>
      <c r="H326" s="170" t="s">
        <v>1198</v>
      </c>
      <c r="I326" s="173" t="s">
        <v>421</v>
      </c>
      <c r="J326" s="173" t="s">
        <v>422</v>
      </c>
      <c r="K326" s="174" t="s">
        <v>460</v>
      </c>
      <c r="L326" s="174" t="s">
        <v>469</v>
      </c>
      <c r="M326" s="175" t="s">
        <v>1167</v>
      </c>
      <c r="N326" s="175" t="s">
        <v>423</v>
      </c>
      <c r="O326" s="176" t="s">
        <v>1166</v>
      </c>
      <c r="P326" s="177" t="s">
        <v>184</v>
      </c>
      <c r="Q326" s="178">
        <f t="shared" si="232"/>
        <v>1</v>
      </c>
      <c r="R326" s="177" t="s">
        <v>416</v>
      </c>
      <c r="S326" s="179">
        <f t="shared" si="233"/>
        <v>3</v>
      </c>
      <c r="T326" s="180">
        <f t="shared" si="234"/>
        <v>3</v>
      </c>
      <c r="U326" s="181" t="str">
        <f t="shared" si="235"/>
        <v>Bajo</v>
      </c>
      <c r="V326" s="181" t="s">
        <v>428</v>
      </c>
      <c r="W326" s="179">
        <f t="shared" si="236"/>
        <v>10</v>
      </c>
      <c r="X326" s="180">
        <f t="shared" si="237"/>
        <v>30</v>
      </c>
      <c r="Y326" s="181" t="str">
        <f t="shared" si="238"/>
        <v>Nivel IV: Riesgo Tolerable (Aceptable)</v>
      </c>
      <c r="Z326" s="163">
        <v>1</v>
      </c>
      <c r="AA326" s="163" t="s">
        <v>1151</v>
      </c>
      <c r="AB326" s="175" t="s">
        <v>424</v>
      </c>
      <c r="AC326" s="175" t="s">
        <v>424</v>
      </c>
      <c r="AD326" s="175" t="s">
        <v>424</v>
      </c>
      <c r="AE326" s="182" t="s">
        <v>1196</v>
      </c>
      <c r="AF326" s="183" t="s">
        <v>600</v>
      </c>
      <c r="AG326" s="184" t="s">
        <v>460</v>
      </c>
    </row>
    <row r="327" spans="1:33" ht="63.75" hidden="1" x14ac:dyDescent="0.2">
      <c r="A327" s="162" t="s">
        <v>880</v>
      </c>
      <c r="B327" s="162" t="s">
        <v>1234</v>
      </c>
      <c r="C327" s="162" t="s">
        <v>1158</v>
      </c>
      <c r="D327" s="162" t="s">
        <v>1172</v>
      </c>
      <c r="E327" s="161" t="s">
        <v>999</v>
      </c>
      <c r="F327" s="162" t="s">
        <v>292</v>
      </c>
      <c r="G327" s="162" t="s">
        <v>1149</v>
      </c>
      <c r="H327" s="162" t="s">
        <v>472</v>
      </c>
      <c r="I327" s="163" t="s">
        <v>421</v>
      </c>
      <c r="J327" s="163" t="s">
        <v>461</v>
      </c>
      <c r="K327" s="163" t="s">
        <v>460</v>
      </c>
      <c r="L327" s="163" t="s">
        <v>469</v>
      </c>
      <c r="M327" s="161" t="s">
        <v>606</v>
      </c>
      <c r="N327" s="161" t="s">
        <v>1069</v>
      </c>
      <c r="O327" s="162" t="s">
        <v>1070</v>
      </c>
      <c r="P327" s="163" t="s">
        <v>184</v>
      </c>
      <c r="Q327" s="171">
        <f t="shared" si="232"/>
        <v>1</v>
      </c>
      <c r="R327" s="163" t="s">
        <v>429</v>
      </c>
      <c r="S327" s="172">
        <f t="shared" si="233"/>
        <v>2</v>
      </c>
      <c r="T327" s="166">
        <f t="shared" si="234"/>
        <v>2</v>
      </c>
      <c r="U327" s="163" t="str">
        <f t="shared" si="235"/>
        <v>Bajo</v>
      </c>
      <c r="V327" s="163" t="s">
        <v>428</v>
      </c>
      <c r="W327" s="172">
        <f t="shared" si="236"/>
        <v>10</v>
      </c>
      <c r="X327" s="166">
        <f t="shared" si="237"/>
        <v>20</v>
      </c>
      <c r="Y327" s="163" t="str">
        <f t="shared" si="238"/>
        <v>Nivel IV: Riesgo Tolerable (Aceptable)</v>
      </c>
      <c r="Z327" s="163">
        <v>1</v>
      </c>
      <c r="AA327" s="163" t="s">
        <v>1151</v>
      </c>
      <c r="AB327" s="161" t="s">
        <v>424</v>
      </c>
      <c r="AC327" s="161" t="s">
        <v>424</v>
      </c>
      <c r="AD327" s="161" t="s">
        <v>424</v>
      </c>
      <c r="AE327" s="161" t="s">
        <v>1071</v>
      </c>
      <c r="AF327" s="161" t="s">
        <v>600</v>
      </c>
      <c r="AG327" s="166" t="s">
        <v>460</v>
      </c>
    </row>
    <row r="328" spans="1:33" ht="76.5" hidden="1" x14ac:dyDescent="0.2">
      <c r="A328" s="162" t="s">
        <v>880</v>
      </c>
      <c r="B328" s="162" t="s">
        <v>1234</v>
      </c>
      <c r="C328" s="162" t="s">
        <v>1158</v>
      </c>
      <c r="D328" s="162" t="s">
        <v>1172</v>
      </c>
      <c r="E328" s="161" t="s">
        <v>999</v>
      </c>
      <c r="F328" s="162" t="s">
        <v>288</v>
      </c>
      <c r="G328" s="162" t="s">
        <v>1131</v>
      </c>
      <c r="H328" s="162" t="s">
        <v>614</v>
      </c>
      <c r="I328" s="163" t="s">
        <v>421</v>
      </c>
      <c r="J328" s="163" t="s">
        <v>461</v>
      </c>
      <c r="K328" s="163" t="s">
        <v>460</v>
      </c>
      <c r="L328" s="163" t="s">
        <v>469</v>
      </c>
      <c r="M328" s="166" t="s">
        <v>423</v>
      </c>
      <c r="N328" s="162" t="s">
        <v>1132</v>
      </c>
      <c r="O328" s="162" t="s">
        <v>1026</v>
      </c>
      <c r="P328" s="163" t="s">
        <v>184</v>
      </c>
      <c r="Q328" s="171">
        <f t="shared" si="232"/>
        <v>1</v>
      </c>
      <c r="R328" s="163" t="s">
        <v>485</v>
      </c>
      <c r="S328" s="172">
        <f t="shared" si="233"/>
        <v>1</v>
      </c>
      <c r="T328" s="166">
        <f t="shared" si="234"/>
        <v>1</v>
      </c>
      <c r="U328" s="163" t="str">
        <f t="shared" si="235"/>
        <v>Bajo</v>
      </c>
      <c r="V328" s="163" t="s">
        <v>187</v>
      </c>
      <c r="W328" s="172">
        <f t="shared" si="236"/>
        <v>25</v>
      </c>
      <c r="X328" s="166">
        <f t="shared" si="237"/>
        <v>25</v>
      </c>
      <c r="Y328" s="163" t="str">
        <f t="shared" si="238"/>
        <v>Nivel IV: Riesgo Tolerable (Aceptable)</v>
      </c>
      <c r="Z328" s="163">
        <v>1</v>
      </c>
      <c r="AA328" s="163" t="s">
        <v>1151</v>
      </c>
      <c r="AB328" s="161" t="s">
        <v>424</v>
      </c>
      <c r="AC328" s="161" t="s">
        <v>424</v>
      </c>
      <c r="AD328" s="161" t="s">
        <v>424</v>
      </c>
      <c r="AE328" s="161" t="s">
        <v>1066</v>
      </c>
      <c r="AF328" s="161" t="s">
        <v>600</v>
      </c>
      <c r="AG328" s="166" t="s">
        <v>460</v>
      </c>
    </row>
    <row r="329" spans="1:33" ht="76.5" hidden="1" x14ac:dyDescent="0.2">
      <c r="A329" s="162" t="s">
        <v>880</v>
      </c>
      <c r="B329" s="162" t="s">
        <v>1234</v>
      </c>
      <c r="C329" s="162" t="s">
        <v>1158</v>
      </c>
      <c r="D329" s="162" t="s">
        <v>1172</v>
      </c>
      <c r="E329" s="161" t="s">
        <v>999</v>
      </c>
      <c r="F329" s="162" t="s">
        <v>1117</v>
      </c>
      <c r="G329" s="162" t="s">
        <v>564</v>
      </c>
      <c r="H329" s="162" t="s">
        <v>1072</v>
      </c>
      <c r="I329" s="163" t="s">
        <v>421</v>
      </c>
      <c r="J329" s="163" t="s">
        <v>461</v>
      </c>
      <c r="K329" s="163" t="s">
        <v>460</v>
      </c>
      <c r="L329" s="163" t="s">
        <v>469</v>
      </c>
      <c r="M329" s="166" t="s">
        <v>423</v>
      </c>
      <c r="N329" s="166" t="s">
        <v>423</v>
      </c>
      <c r="O329" s="162" t="s">
        <v>1026</v>
      </c>
      <c r="P329" s="163" t="s">
        <v>184</v>
      </c>
      <c r="Q329" s="171">
        <f t="shared" si="232"/>
        <v>1</v>
      </c>
      <c r="R329" s="163" t="s">
        <v>485</v>
      </c>
      <c r="S329" s="172">
        <f t="shared" si="233"/>
        <v>1</v>
      </c>
      <c r="T329" s="166">
        <f t="shared" si="234"/>
        <v>1</v>
      </c>
      <c r="U329" s="163" t="str">
        <f t="shared" si="235"/>
        <v>Bajo</v>
      </c>
      <c r="V329" s="163" t="s">
        <v>428</v>
      </c>
      <c r="W329" s="172">
        <f t="shared" si="236"/>
        <v>10</v>
      </c>
      <c r="X329" s="166">
        <f t="shared" si="237"/>
        <v>10</v>
      </c>
      <c r="Y329" s="163" t="str">
        <f t="shared" si="238"/>
        <v>Nivel IV: Riesgo Tolerable (Aceptable)</v>
      </c>
      <c r="Z329" s="163">
        <v>1</v>
      </c>
      <c r="AA329" s="163" t="s">
        <v>1151</v>
      </c>
      <c r="AB329" s="161" t="s">
        <v>424</v>
      </c>
      <c r="AC329" s="161" t="s">
        <v>424</v>
      </c>
      <c r="AD329" s="161" t="s">
        <v>424</v>
      </c>
      <c r="AE329" s="161" t="s">
        <v>1066</v>
      </c>
      <c r="AF329" s="161" t="s">
        <v>600</v>
      </c>
      <c r="AG329" s="166" t="s">
        <v>460</v>
      </c>
    </row>
    <row r="330" spans="1:33" ht="76.5" hidden="1" x14ac:dyDescent="0.2">
      <c r="A330" s="162" t="s">
        <v>880</v>
      </c>
      <c r="B330" s="162" t="s">
        <v>1234</v>
      </c>
      <c r="C330" s="162" t="s">
        <v>1158</v>
      </c>
      <c r="D330" s="162" t="s">
        <v>1172</v>
      </c>
      <c r="E330" s="161" t="s">
        <v>999</v>
      </c>
      <c r="F330" s="162" t="s">
        <v>1119</v>
      </c>
      <c r="G330" s="162" t="s">
        <v>1133</v>
      </c>
      <c r="H330" s="162" t="s">
        <v>966</v>
      </c>
      <c r="I330" s="163" t="s">
        <v>421</v>
      </c>
      <c r="J330" s="163" t="s">
        <v>422</v>
      </c>
      <c r="K330" s="163" t="s">
        <v>460</v>
      </c>
      <c r="L330" s="163" t="s">
        <v>469</v>
      </c>
      <c r="M330" s="161" t="s">
        <v>1163</v>
      </c>
      <c r="N330" s="161" t="s">
        <v>1164</v>
      </c>
      <c r="O330" s="164" t="s">
        <v>1026</v>
      </c>
      <c r="P330" s="163" t="s">
        <v>184</v>
      </c>
      <c r="Q330" s="171">
        <f t="shared" si="232"/>
        <v>1</v>
      </c>
      <c r="R330" s="163" t="s">
        <v>416</v>
      </c>
      <c r="S330" s="172">
        <f t="shared" si="233"/>
        <v>3</v>
      </c>
      <c r="T330" s="166">
        <f t="shared" si="234"/>
        <v>3</v>
      </c>
      <c r="U330" s="163" t="s">
        <v>184</v>
      </c>
      <c r="V330" s="163" t="s">
        <v>187</v>
      </c>
      <c r="W330" s="172">
        <f t="shared" si="236"/>
        <v>25</v>
      </c>
      <c r="X330" s="166">
        <f t="shared" si="237"/>
        <v>75</v>
      </c>
      <c r="Y330" s="163" t="str">
        <f t="shared" si="238"/>
        <v>Nivel III: Riesgo Moderado (Aceptable)</v>
      </c>
      <c r="Z330" s="163">
        <v>1</v>
      </c>
      <c r="AA330" s="163" t="s">
        <v>1151</v>
      </c>
      <c r="AB330" s="161" t="s">
        <v>424</v>
      </c>
      <c r="AC330" s="161" t="s">
        <v>424</v>
      </c>
      <c r="AD330" s="161" t="s">
        <v>424</v>
      </c>
      <c r="AE330" s="167" t="s">
        <v>1134</v>
      </c>
      <c r="AF330" s="161" t="s">
        <v>600</v>
      </c>
      <c r="AG330" s="166" t="s">
        <v>460</v>
      </c>
    </row>
    <row r="331" spans="1:33" ht="76.5" hidden="1" x14ac:dyDescent="0.2">
      <c r="A331" s="162" t="s">
        <v>880</v>
      </c>
      <c r="B331" s="162" t="s">
        <v>1234</v>
      </c>
      <c r="C331" s="162" t="s">
        <v>1158</v>
      </c>
      <c r="D331" s="162" t="s">
        <v>1172</v>
      </c>
      <c r="E331" s="161" t="s">
        <v>999</v>
      </c>
      <c r="F331" s="162" t="s">
        <v>1120</v>
      </c>
      <c r="G331" s="162" t="s">
        <v>1159</v>
      </c>
      <c r="H331" s="162" t="s">
        <v>979</v>
      </c>
      <c r="I331" s="163" t="s">
        <v>421</v>
      </c>
      <c r="J331" s="163" t="s">
        <v>422</v>
      </c>
      <c r="K331" s="163" t="s">
        <v>460</v>
      </c>
      <c r="L331" s="163" t="s">
        <v>469</v>
      </c>
      <c r="M331" s="165" t="s">
        <v>423</v>
      </c>
      <c r="N331" s="161" t="s">
        <v>1142</v>
      </c>
      <c r="O331" s="162" t="s">
        <v>1141</v>
      </c>
      <c r="P331" s="163" t="s">
        <v>184</v>
      </c>
      <c r="Q331" s="171">
        <f>IF(P331="Muy Alto",10,IF(P331="Alto",6,IF(P331="Medio",2,IF(P331="Bajo",1,))))</f>
        <v>1</v>
      </c>
      <c r="R331" s="163" t="s">
        <v>416</v>
      </c>
      <c r="S331" s="172">
        <f>IF(R331="Continua",4,IF(R331="Frecuente",3,IF(R331="Ocasional",2,IF(R331="Esporádica",1,))))</f>
        <v>3</v>
      </c>
      <c r="T331" s="166">
        <f>Q331*S331</f>
        <v>3</v>
      </c>
      <c r="U331" s="163" t="s">
        <v>184</v>
      </c>
      <c r="V331" s="163" t="s">
        <v>187</v>
      </c>
      <c r="W331" s="172">
        <f>IF(V331="Mortal o catastrófico",100,IF(V331="Muy grave",60,IF(V331="Grave",25,IF(V331="Leve",10,))))</f>
        <v>25</v>
      </c>
      <c r="X331" s="166">
        <f>T331*W331</f>
        <v>75</v>
      </c>
      <c r="Y331" s="163" t="str">
        <f>IF(AND(X331&gt;=600,X331&lt;=4000),"Nivel I: Riesgo Inaceptable",IF(AND(X331&gt;=150,X331&lt;=500),"Nivel II: Riesgo Importante",IF(AND(X331&gt;=40,X331&lt;=120),"Nivel III: Riesgo Moderado (Aceptable)","Nivel IV: Riesgo Tolerable (Aceptable)")))</f>
        <v>Nivel III: Riesgo Moderado (Aceptable)</v>
      </c>
      <c r="Z331" s="163">
        <v>1</v>
      </c>
      <c r="AA331" s="163" t="s">
        <v>1151</v>
      </c>
      <c r="AB331" s="161" t="s">
        <v>424</v>
      </c>
      <c r="AC331" s="161" t="s">
        <v>424</v>
      </c>
      <c r="AD331" s="161" t="s">
        <v>424</v>
      </c>
      <c r="AE331" s="161" t="s">
        <v>1138</v>
      </c>
      <c r="AF331" s="161" t="s">
        <v>600</v>
      </c>
      <c r="AG331" s="166" t="s">
        <v>460</v>
      </c>
    </row>
    <row r="332" spans="1:33" ht="76.5" hidden="1" x14ac:dyDescent="0.2">
      <c r="A332" s="162" t="s">
        <v>880</v>
      </c>
      <c r="B332" s="162" t="s">
        <v>1234</v>
      </c>
      <c r="C332" s="162" t="s">
        <v>1158</v>
      </c>
      <c r="D332" s="162" t="s">
        <v>1172</v>
      </c>
      <c r="E332" s="161" t="s">
        <v>999</v>
      </c>
      <c r="F332" s="162" t="s">
        <v>1121</v>
      </c>
      <c r="G332" s="162" t="s">
        <v>1139</v>
      </c>
      <c r="H332" s="162" t="s">
        <v>979</v>
      </c>
      <c r="I332" s="163" t="s">
        <v>421</v>
      </c>
      <c r="J332" s="163" t="s">
        <v>461</v>
      </c>
      <c r="K332" s="163" t="s">
        <v>460</v>
      </c>
      <c r="L332" s="163" t="s">
        <v>469</v>
      </c>
      <c r="M332" s="165" t="s">
        <v>423</v>
      </c>
      <c r="N332" s="161" t="s">
        <v>1140</v>
      </c>
      <c r="O332" s="162" t="s">
        <v>1092</v>
      </c>
      <c r="P332" s="163" t="s">
        <v>184</v>
      </c>
      <c r="Q332" s="171">
        <f>IF(P332="Muy Alto",10,IF(P332="Alto",6,IF(P332="Medio",2,IF(P332="Bajo",1,))))</f>
        <v>1</v>
      </c>
      <c r="R332" s="163" t="s">
        <v>485</v>
      </c>
      <c r="S332" s="172">
        <f>IF(R332="Continua",4,IF(R332="Frecuente",3,IF(R332="Ocasional",2,IF(R332="Esporádica",1,))))</f>
        <v>1</v>
      </c>
      <c r="T332" s="166">
        <f>Q332*S332</f>
        <v>1</v>
      </c>
      <c r="U332" s="163" t="s">
        <v>184</v>
      </c>
      <c r="V332" s="163" t="s">
        <v>187</v>
      </c>
      <c r="W332" s="172">
        <f>IF(V332="Mortal o catastrófico",100,IF(V332="Muy grave",60,IF(V332="Grave",25,IF(V332="Leve",10,))))</f>
        <v>25</v>
      </c>
      <c r="X332" s="166">
        <f>T332*W332</f>
        <v>25</v>
      </c>
      <c r="Y332" s="163" t="str">
        <f>IF(AND(X332&gt;=600,X332&lt;=4000),"Nivel I: Riesgo Inaceptable",IF(AND(X332&gt;=150,X332&lt;=500),"Nivel II: Riesgo Importante",IF(AND(X332&gt;=40,X332&lt;=120),"Nivel III: Riesgo Moderado (Aceptable)","Nivel IV: Riesgo Tolerable (Aceptable)")))</f>
        <v>Nivel IV: Riesgo Tolerable (Aceptable)</v>
      </c>
      <c r="Z332" s="163">
        <v>1</v>
      </c>
      <c r="AA332" s="163" t="s">
        <v>1151</v>
      </c>
      <c r="AB332" s="161" t="s">
        <v>424</v>
      </c>
      <c r="AC332" s="161" t="s">
        <v>424</v>
      </c>
      <c r="AD332" s="161" t="s">
        <v>424</v>
      </c>
      <c r="AE332" s="161" t="s">
        <v>1088</v>
      </c>
      <c r="AF332" s="161" t="s">
        <v>600</v>
      </c>
      <c r="AG332" s="166" t="s">
        <v>460</v>
      </c>
    </row>
    <row r="333" spans="1:33" ht="102" hidden="1" x14ac:dyDescent="0.2">
      <c r="A333" s="162" t="s">
        <v>880</v>
      </c>
      <c r="B333" s="162" t="s">
        <v>1234</v>
      </c>
      <c r="C333" s="162" t="s">
        <v>1158</v>
      </c>
      <c r="D333" s="162" t="s">
        <v>1172</v>
      </c>
      <c r="E333" s="161" t="s">
        <v>995</v>
      </c>
      <c r="F333" s="162" t="s">
        <v>714</v>
      </c>
      <c r="G333" s="162" t="s">
        <v>1036</v>
      </c>
      <c r="H333" s="162" t="s">
        <v>1135</v>
      </c>
      <c r="I333" s="163" t="s">
        <v>421</v>
      </c>
      <c r="J333" s="163" t="s">
        <v>461</v>
      </c>
      <c r="K333" s="163" t="s">
        <v>460</v>
      </c>
      <c r="L333" s="163" t="s">
        <v>469</v>
      </c>
      <c r="M333" s="161" t="s">
        <v>423</v>
      </c>
      <c r="N333" s="161" t="s">
        <v>1136</v>
      </c>
      <c r="O333" s="164" t="s">
        <v>1038</v>
      </c>
      <c r="P333" s="163" t="s">
        <v>184</v>
      </c>
      <c r="Q333" s="171">
        <f t="shared" ref="Q333:Q335" si="239">IF(P333="Muy Alto",10,IF(P333="Alto",6,IF(P333="Medio",2,IF(P333="Bajo",1,))))</f>
        <v>1</v>
      </c>
      <c r="R333" s="163" t="s">
        <v>485</v>
      </c>
      <c r="S333" s="172">
        <f t="shared" ref="S333:S335" si="240">IF(R333="Continua",4,IF(R333="Frecuente",3,IF(R333="Ocasional",2,IF(R333="Esporádica",1,))))</f>
        <v>1</v>
      </c>
      <c r="T333" s="166">
        <f t="shared" ref="T333:T335" si="241">Q333*S333</f>
        <v>1</v>
      </c>
      <c r="U333" s="163" t="str">
        <f t="shared" ref="U333" si="242">IF(AND(T333&gt;=0,T333&lt;=4),"Bajo",IF(AND(T333&gt;=6,T333&lt;=8),"Medio",IF(AND(T333&gt;=10,T333&lt;=20),"Alto",IF(AND(T333&gt;=20,T333&lt;=40),"Muy Alto",))))</f>
        <v>Bajo</v>
      </c>
      <c r="V333" s="163" t="s">
        <v>187</v>
      </c>
      <c r="W333" s="172">
        <f t="shared" ref="W333:W335" si="243">IF(V333="Mortal o catastrófico",100,IF(V333="Muy grave",60,IF(V333="Grave",25,IF(V333="Leve",10,))))</f>
        <v>25</v>
      </c>
      <c r="X333" s="166">
        <f t="shared" ref="X333:X335" si="244">T333*W333</f>
        <v>25</v>
      </c>
      <c r="Y333" s="163" t="str">
        <f t="shared" ref="Y333:Y335" si="245">IF(AND(X333&gt;=600,X333&lt;=4000),"Nivel I: Riesgo Inaceptable",IF(AND(X333&gt;=150,X333&lt;=500),"Nivel II: Riesgo Importante",IF(AND(X333&gt;=40,X333&lt;=120),"Nivel III: Riesgo Moderado (Aceptable)","Nivel IV: Riesgo Tolerable (Aceptable)")))</f>
        <v>Nivel IV: Riesgo Tolerable (Aceptable)</v>
      </c>
      <c r="Z333" s="163">
        <v>1</v>
      </c>
      <c r="AA333" s="163" t="s">
        <v>1151</v>
      </c>
      <c r="AB333" s="161" t="s">
        <v>424</v>
      </c>
      <c r="AC333" s="161" t="s">
        <v>424</v>
      </c>
      <c r="AD333" s="161" t="s">
        <v>424</v>
      </c>
      <c r="AE333" s="161" t="s">
        <v>1039</v>
      </c>
      <c r="AF333" s="161" t="s">
        <v>1040</v>
      </c>
      <c r="AG333" s="166" t="s">
        <v>460</v>
      </c>
    </row>
    <row r="334" spans="1:33" ht="89.25" hidden="1" x14ac:dyDescent="0.2">
      <c r="A334" s="162" t="s">
        <v>880</v>
      </c>
      <c r="B334" s="162" t="s">
        <v>1234</v>
      </c>
      <c r="C334" s="162" t="s">
        <v>1158</v>
      </c>
      <c r="D334" s="162" t="s">
        <v>1172</v>
      </c>
      <c r="E334" s="161" t="s">
        <v>1000</v>
      </c>
      <c r="F334" s="162" t="s">
        <v>1123</v>
      </c>
      <c r="G334" s="162" t="s">
        <v>1143</v>
      </c>
      <c r="H334" s="162" t="s">
        <v>1021</v>
      </c>
      <c r="I334" s="163" t="s">
        <v>421</v>
      </c>
      <c r="J334" s="163" t="s">
        <v>422</v>
      </c>
      <c r="K334" s="163" t="s">
        <v>460</v>
      </c>
      <c r="L334" s="163" t="s">
        <v>469</v>
      </c>
      <c r="M334" s="161" t="s">
        <v>423</v>
      </c>
      <c r="N334" s="161" t="s">
        <v>1145</v>
      </c>
      <c r="O334" s="162" t="s">
        <v>1144</v>
      </c>
      <c r="P334" s="163" t="s">
        <v>184</v>
      </c>
      <c r="Q334" s="171">
        <f t="shared" si="239"/>
        <v>1</v>
      </c>
      <c r="R334" s="163" t="s">
        <v>485</v>
      </c>
      <c r="S334" s="172">
        <f t="shared" si="240"/>
        <v>1</v>
      </c>
      <c r="T334" s="166">
        <f t="shared" si="241"/>
        <v>1</v>
      </c>
      <c r="U334" s="163" t="s">
        <v>184</v>
      </c>
      <c r="V334" s="163" t="s">
        <v>187</v>
      </c>
      <c r="W334" s="172">
        <f t="shared" si="243"/>
        <v>25</v>
      </c>
      <c r="X334" s="166">
        <f t="shared" si="244"/>
        <v>25</v>
      </c>
      <c r="Y334" s="163" t="str">
        <f t="shared" si="245"/>
        <v>Nivel IV: Riesgo Tolerable (Aceptable)</v>
      </c>
      <c r="Z334" s="163">
        <v>1</v>
      </c>
      <c r="AA334" s="163" t="s">
        <v>1151</v>
      </c>
      <c r="AB334" s="161" t="s">
        <v>424</v>
      </c>
      <c r="AC334" s="161" t="s">
        <v>424</v>
      </c>
      <c r="AD334" s="161" t="s">
        <v>424</v>
      </c>
      <c r="AE334" s="161" t="s">
        <v>1147</v>
      </c>
      <c r="AF334" s="161" t="s">
        <v>600</v>
      </c>
      <c r="AG334" s="166" t="s">
        <v>460</v>
      </c>
    </row>
    <row r="335" spans="1:33" ht="63.75" hidden="1" x14ac:dyDescent="0.2">
      <c r="A335" s="162" t="s">
        <v>880</v>
      </c>
      <c r="B335" s="162" t="s">
        <v>1234</v>
      </c>
      <c r="C335" s="162" t="s">
        <v>1158</v>
      </c>
      <c r="D335" s="162" t="s">
        <v>1172</v>
      </c>
      <c r="E335" s="161" t="s">
        <v>1000</v>
      </c>
      <c r="F335" s="162" t="s">
        <v>1127</v>
      </c>
      <c r="G335" s="162" t="s">
        <v>1152</v>
      </c>
      <c r="H335" s="162" t="s">
        <v>1021</v>
      </c>
      <c r="I335" s="163" t="s">
        <v>421</v>
      </c>
      <c r="J335" s="163" t="s">
        <v>422</v>
      </c>
      <c r="K335" s="163" t="s">
        <v>460</v>
      </c>
      <c r="L335" s="163" t="s">
        <v>469</v>
      </c>
      <c r="M335" s="161" t="s">
        <v>423</v>
      </c>
      <c r="N335" s="161" t="s">
        <v>423</v>
      </c>
      <c r="O335" s="162" t="s">
        <v>1144</v>
      </c>
      <c r="P335" s="163" t="s">
        <v>184</v>
      </c>
      <c r="Q335" s="171">
        <f t="shared" si="239"/>
        <v>1</v>
      </c>
      <c r="R335" s="163" t="s">
        <v>485</v>
      </c>
      <c r="S335" s="172">
        <f t="shared" si="240"/>
        <v>1</v>
      </c>
      <c r="T335" s="166">
        <f t="shared" si="241"/>
        <v>1</v>
      </c>
      <c r="U335" s="163" t="s">
        <v>184</v>
      </c>
      <c r="V335" s="163" t="s">
        <v>187</v>
      </c>
      <c r="W335" s="172">
        <f t="shared" si="243"/>
        <v>25</v>
      </c>
      <c r="X335" s="166">
        <f t="shared" si="244"/>
        <v>25</v>
      </c>
      <c r="Y335" s="163" t="str">
        <f t="shared" si="245"/>
        <v>Nivel IV: Riesgo Tolerable (Aceptable)</v>
      </c>
      <c r="Z335" s="163">
        <v>1</v>
      </c>
      <c r="AA335" s="163" t="s">
        <v>1151</v>
      </c>
      <c r="AB335" s="161" t="s">
        <v>424</v>
      </c>
      <c r="AC335" s="161" t="s">
        <v>424</v>
      </c>
      <c r="AD335" s="161" t="s">
        <v>424</v>
      </c>
      <c r="AE335" s="161" t="s">
        <v>1025</v>
      </c>
      <c r="AF335" s="161" t="s">
        <v>600</v>
      </c>
      <c r="AG335" s="166" t="s">
        <v>460</v>
      </c>
    </row>
    <row r="336" spans="1:33" ht="102" hidden="1" x14ac:dyDescent="0.2">
      <c r="A336" s="162" t="s">
        <v>880</v>
      </c>
      <c r="B336" s="162" t="s">
        <v>1234</v>
      </c>
      <c r="C336" s="162" t="s">
        <v>1158</v>
      </c>
      <c r="D336" s="162" t="s">
        <v>1172</v>
      </c>
      <c r="E336" s="161" t="s">
        <v>996</v>
      </c>
      <c r="F336" s="162" t="s">
        <v>430</v>
      </c>
      <c r="G336" s="162" t="s">
        <v>486</v>
      </c>
      <c r="H336" s="162" t="s">
        <v>623</v>
      </c>
      <c r="I336" s="163" t="s">
        <v>421</v>
      </c>
      <c r="J336" s="163" t="s">
        <v>422</v>
      </c>
      <c r="K336" s="163" t="s">
        <v>460</v>
      </c>
      <c r="L336" s="163" t="s">
        <v>469</v>
      </c>
      <c r="M336" s="163" t="s">
        <v>1074</v>
      </c>
      <c r="N336" s="169" t="s">
        <v>1073</v>
      </c>
      <c r="O336" s="162" t="s">
        <v>1032</v>
      </c>
      <c r="P336" s="163" t="s">
        <v>184</v>
      </c>
      <c r="Q336" s="171">
        <f>IF(P336="Muy Alto",10,IF(P336="Alto",6,IF(P336="Medio",2,IF(P336="Bajo",1,))))</f>
        <v>1</v>
      </c>
      <c r="R336" s="163" t="s">
        <v>485</v>
      </c>
      <c r="S336" s="172">
        <f>IF(R336="Continua",4,IF(R336="Frecuente",3,IF(R336="Ocasional",2,IF(R336="Esporádica",1,))))</f>
        <v>1</v>
      </c>
      <c r="T336" s="166">
        <f>Q336*S336</f>
        <v>1</v>
      </c>
      <c r="U336" s="163" t="str">
        <f>IF(AND(T336&gt;=0,T336&lt;=4),"Bajo",IF(AND(T336&gt;=6,T336&lt;=8),"Medio",IF(AND(T336&gt;=10,T336&lt;=20),"Alto",IF(AND(T336&gt;=20,T336&lt;=40),"Muy Alto",))))</f>
        <v>Bajo</v>
      </c>
      <c r="V336" s="163" t="s">
        <v>428</v>
      </c>
      <c r="W336" s="172">
        <f>IF(V336="Mortal o catastrófico",100,IF(V336="Muy grave",60,IF(V336="Grave",25,IF(V336="Leve",10,))))</f>
        <v>10</v>
      </c>
      <c r="X336" s="166">
        <f>T336*W336</f>
        <v>10</v>
      </c>
      <c r="Y336" s="163" t="str">
        <f>IF(AND(X336&gt;=600,X336&lt;=4000),"Nivel I: Riesgo Inaceptable",IF(AND(X336&gt;=150,X336&lt;=500),"Nivel II: Riesgo Importante",IF(AND(X336&gt;=40,X336&lt;=120),"Nivel III: Riesgo Moderado (Aceptable)","Nivel IV: Riesgo Tolerable (Aceptable)")))</f>
        <v>Nivel IV: Riesgo Tolerable (Aceptable)</v>
      </c>
      <c r="Z336" s="163">
        <v>1</v>
      </c>
      <c r="AA336" s="163" t="s">
        <v>1151</v>
      </c>
      <c r="AB336" s="161" t="s">
        <v>424</v>
      </c>
      <c r="AC336" s="161" t="s">
        <v>424</v>
      </c>
      <c r="AD336" s="161" t="s">
        <v>424</v>
      </c>
      <c r="AE336" s="161" t="s">
        <v>1075</v>
      </c>
      <c r="AF336" s="161" t="s">
        <v>600</v>
      </c>
      <c r="AG336" s="166" t="s">
        <v>460</v>
      </c>
    </row>
    <row r="337" spans="1:33" ht="102" hidden="1" x14ac:dyDescent="0.2">
      <c r="A337" s="162" t="s">
        <v>880</v>
      </c>
      <c r="B337" s="162" t="s">
        <v>1234</v>
      </c>
      <c r="C337" s="162" t="s">
        <v>1158</v>
      </c>
      <c r="D337" s="162" t="s">
        <v>1172</v>
      </c>
      <c r="E337" s="161" t="s">
        <v>996</v>
      </c>
      <c r="F337" s="162" t="s">
        <v>1146</v>
      </c>
      <c r="G337" s="162" t="s">
        <v>1162</v>
      </c>
      <c r="H337" s="162" t="s">
        <v>623</v>
      </c>
      <c r="I337" s="163" t="s">
        <v>421</v>
      </c>
      <c r="J337" s="163" t="s">
        <v>422</v>
      </c>
      <c r="K337" s="163" t="s">
        <v>460</v>
      </c>
      <c r="L337" s="163" t="s">
        <v>469</v>
      </c>
      <c r="M337" s="163" t="s">
        <v>1074</v>
      </c>
      <c r="N337" s="169" t="s">
        <v>1073</v>
      </c>
      <c r="O337" s="162" t="s">
        <v>1032</v>
      </c>
      <c r="P337" s="163" t="s">
        <v>184</v>
      </c>
      <c r="Q337" s="171">
        <f>IF(P337="Muy Alto",10,IF(P337="Alto",6,IF(P337="Medio",2,IF(P337="Bajo",1,))))</f>
        <v>1</v>
      </c>
      <c r="R337" s="163" t="s">
        <v>416</v>
      </c>
      <c r="S337" s="172">
        <f>IF(R337="Continua",4,IF(R337="Frecuente",3,IF(R337="Ocasional",2,IF(R337="Esporádica",1,))))</f>
        <v>3</v>
      </c>
      <c r="T337" s="166">
        <f>Q337*S337</f>
        <v>3</v>
      </c>
      <c r="U337" s="163" t="str">
        <f>IF(AND(T337&gt;=0,T337&lt;=4),"Bajo",IF(AND(T337&gt;=6,T337&lt;=8),"Medio",IF(AND(T337&gt;=10,T337&lt;=20),"Alto",IF(AND(T337&gt;=20,T337&lt;=40),"Muy Alto",))))</f>
        <v>Bajo</v>
      </c>
      <c r="V337" s="163" t="s">
        <v>428</v>
      </c>
      <c r="W337" s="172">
        <f>IF(V337="Mortal o catastrófico",100,IF(V337="Muy grave",60,IF(V337="Grave",25,IF(V337="Leve",10,))))</f>
        <v>10</v>
      </c>
      <c r="X337" s="166">
        <f>T337*W337</f>
        <v>30</v>
      </c>
      <c r="Y337" s="163" t="str">
        <f>IF(AND(X337&gt;=600,X337&lt;=4000),"Nivel I: Riesgo Inaceptable",IF(AND(X337&gt;=150,X337&lt;=500),"Nivel II: Riesgo Importante",IF(AND(X337&gt;=40,X337&lt;=120),"Nivel III: Riesgo Moderado (Aceptable)","Nivel IV: Riesgo Tolerable (Aceptable)")))</f>
        <v>Nivel IV: Riesgo Tolerable (Aceptable)</v>
      </c>
      <c r="Z337" s="163">
        <v>1</v>
      </c>
      <c r="AA337" s="163" t="s">
        <v>1151</v>
      </c>
      <c r="AB337" s="161" t="s">
        <v>424</v>
      </c>
      <c r="AC337" s="161" t="s">
        <v>424</v>
      </c>
      <c r="AD337" s="161" t="s">
        <v>424</v>
      </c>
      <c r="AE337" s="161" t="s">
        <v>1075</v>
      </c>
      <c r="AF337" s="161" t="s">
        <v>600</v>
      </c>
      <c r="AG337" s="166" t="s">
        <v>460</v>
      </c>
    </row>
    <row r="338" spans="1:33" ht="89.25" hidden="1" x14ac:dyDescent="0.2">
      <c r="A338" s="162" t="s">
        <v>880</v>
      </c>
      <c r="B338" s="162" t="s">
        <v>636</v>
      </c>
      <c r="C338" s="162" t="s">
        <v>1158</v>
      </c>
      <c r="D338" s="162" t="s">
        <v>1173</v>
      </c>
      <c r="E338" s="161" t="s">
        <v>998</v>
      </c>
      <c r="F338" s="162" t="s">
        <v>178</v>
      </c>
      <c r="G338" s="162" t="s">
        <v>1067</v>
      </c>
      <c r="H338" s="162" t="s">
        <v>559</v>
      </c>
      <c r="I338" s="163" t="s">
        <v>421</v>
      </c>
      <c r="J338" s="163" t="s">
        <v>422</v>
      </c>
      <c r="K338" s="163" t="s">
        <v>460</v>
      </c>
      <c r="L338" s="163" t="s">
        <v>469</v>
      </c>
      <c r="M338" s="161" t="s">
        <v>606</v>
      </c>
      <c r="N338" s="161" t="s">
        <v>606</v>
      </c>
      <c r="O338" s="162" t="s">
        <v>1046</v>
      </c>
      <c r="P338" s="163" t="s">
        <v>185</v>
      </c>
      <c r="Q338" s="171">
        <f t="shared" ref="Q338:Q344" si="246">IF(P338="Muy Alto",10,IF(P338="Alto",6,IF(P338="Medio",2,IF(P338="Bajo",1,))))</f>
        <v>2</v>
      </c>
      <c r="R338" s="163" t="s">
        <v>186</v>
      </c>
      <c r="S338" s="172">
        <f t="shared" ref="S338:S344" si="247">IF(R338="Continua",4,IF(R338="Frecuente",3,IF(R338="Ocasional",2,IF(R338="Esporádica",1,))))</f>
        <v>4</v>
      </c>
      <c r="T338" s="166">
        <f t="shared" ref="T338:T344" si="248">Q338*S338</f>
        <v>8</v>
      </c>
      <c r="U338" s="163" t="str">
        <f t="shared" ref="U338:U343" si="249">IF(AND(T338&gt;=0,T338&lt;=4),"Bajo",IF(AND(T338&gt;=6,T338&lt;=8),"Medio",IF(AND(T338&gt;=10,T338&lt;=20),"Alto",IF(AND(T338&gt;=20,T338&lt;=40),"Muy Alto",))))</f>
        <v>Medio</v>
      </c>
      <c r="V338" s="163" t="s">
        <v>187</v>
      </c>
      <c r="W338" s="172">
        <f t="shared" ref="W338:W344" si="250">IF(V338="Mortal o catastrófico",100,IF(V338="Muy grave",60,IF(V338="Grave",25,IF(V338="Leve",10,))))</f>
        <v>25</v>
      </c>
      <c r="X338" s="166">
        <f t="shared" ref="X338:X344" si="251">T338*W338</f>
        <v>200</v>
      </c>
      <c r="Y338" s="163" t="str">
        <f t="shared" ref="Y338:Y344" si="252">IF(AND(X338&gt;=600,X338&lt;=4000),"Nivel I: Riesgo Inaceptable",IF(AND(X338&gt;=150,X338&lt;=500),"Nivel II: Riesgo Importante",IF(AND(X338&gt;=40,X338&lt;=120),"Nivel III: Riesgo Moderado (Aceptable)","Nivel IV: Riesgo Tolerable (Aceptable)")))</f>
        <v>Nivel II: Riesgo Importante</v>
      </c>
      <c r="Z338" s="163">
        <v>1</v>
      </c>
      <c r="AA338" s="163" t="s">
        <v>1151</v>
      </c>
      <c r="AB338" s="161" t="s">
        <v>424</v>
      </c>
      <c r="AC338" s="161" t="s">
        <v>424</v>
      </c>
      <c r="AD338" s="161" t="s">
        <v>424</v>
      </c>
      <c r="AE338" s="161" t="s">
        <v>1130</v>
      </c>
      <c r="AF338" s="161" t="s">
        <v>600</v>
      </c>
      <c r="AG338" s="166" t="s">
        <v>460</v>
      </c>
    </row>
    <row r="339" spans="1:33" ht="140.25" hidden="1" x14ac:dyDescent="0.2">
      <c r="A339" s="162" t="s">
        <v>880</v>
      </c>
      <c r="B339" s="162" t="s">
        <v>636</v>
      </c>
      <c r="C339" s="162" t="s">
        <v>1158</v>
      </c>
      <c r="D339" s="162" t="s">
        <v>1173</v>
      </c>
      <c r="E339" s="161" t="s">
        <v>175</v>
      </c>
      <c r="F339" s="162" t="s">
        <v>1111</v>
      </c>
      <c r="G339" s="162" t="s">
        <v>1165</v>
      </c>
      <c r="H339" s="162" t="s">
        <v>602</v>
      </c>
      <c r="I339" s="173" t="s">
        <v>421</v>
      </c>
      <c r="J339" s="173" t="s">
        <v>422</v>
      </c>
      <c r="K339" s="174" t="s">
        <v>460</v>
      </c>
      <c r="L339" s="174" t="s">
        <v>469</v>
      </c>
      <c r="M339" s="175" t="s">
        <v>1167</v>
      </c>
      <c r="N339" s="175" t="s">
        <v>423</v>
      </c>
      <c r="O339" s="176" t="s">
        <v>1166</v>
      </c>
      <c r="P339" s="177" t="s">
        <v>184</v>
      </c>
      <c r="Q339" s="178">
        <f t="shared" si="246"/>
        <v>1</v>
      </c>
      <c r="R339" s="177" t="s">
        <v>429</v>
      </c>
      <c r="S339" s="179">
        <f t="shared" si="247"/>
        <v>2</v>
      </c>
      <c r="T339" s="180">
        <f t="shared" si="248"/>
        <v>2</v>
      </c>
      <c r="U339" s="181" t="str">
        <f t="shared" si="249"/>
        <v>Bajo</v>
      </c>
      <c r="V339" s="181" t="s">
        <v>428</v>
      </c>
      <c r="W339" s="179">
        <f t="shared" si="250"/>
        <v>10</v>
      </c>
      <c r="X339" s="180">
        <f t="shared" si="251"/>
        <v>20</v>
      </c>
      <c r="Y339" s="181" t="str">
        <f t="shared" si="252"/>
        <v>Nivel IV: Riesgo Tolerable (Aceptable)</v>
      </c>
      <c r="Z339" s="163">
        <v>1</v>
      </c>
      <c r="AA339" s="163" t="s">
        <v>1151</v>
      </c>
      <c r="AB339" s="175" t="s">
        <v>424</v>
      </c>
      <c r="AC339" s="175" t="s">
        <v>424</v>
      </c>
      <c r="AD339" s="175" t="s">
        <v>424</v>
      </c>
      <c r="AE339" s="182" t="s">
        <v>1035</v>
      </c>
      <c r="AF339" s="183" t="s">
        <v>600</v>
      </c>
      <c r="AG339" s="184" t="s">
        <v>460</v>
      </c>
    </row>
    <row r="340" spans="1:33" ht="140.25" hidden="1" x14ac:dyDescent="0.2">
      <c r="A340" s="162" t="s">
        <v>880</v>
      </c>
      <c r="B340" s="162" t="s">
        <v>636</v>
      </c>
      <c r="C340" s="162" t="s">
        <v>1158</v>
      </c>
      <c r="D340" s="162" t="s">
        <v>1173</v>
      </c>
      <c r="E340" s="161" t="s">
        <v>175</v>
      </c>
      <c r="F340" s="162" t="s">
        <v>1197</v>
      </c>
      <c r="G340" s="162" t="s">
        <v>1199</v>
      </c>
      <c r="H340" s="170" t="s">
        <v>1198</v>
      </c>
      <c r="I340" s="173" t="s">
        <v>421</v>
      </c>
      <c r="J340" s="173" t="s">
        <v>422</v>
      </c>
      <c r="K340" s="174" t="s">
        <v>460</v>
      </c>
      <c r="L340" s="174" t="s">
        <v>469</v>
      </c>
      <c r="M340" s="175" t="s">
        <v>1167</v>
      </c>
      <c r="N340" s="175" t="s">
        <v>423</v>
      </c>
      <c r="O340" s="176" t="s">
        <v>1166</v>
      </c>
      <c r="P340" s="177" t="s">
        <v>184</v>
      </c>
      <c r="Q340" s="178">
        <f t="shared" si="246"/>
        <v>1</v>
      </c>
      <c r="R340" s="177" t="s">
        <v>416</v>
      </c>
      <c r="S340" s="179">
        <f t="shared" si="247"/>
        <v>3</v>
      </c>
      <c r="T340" s="180">
        <f t="shared" si="248"/>
        <v>3</v>
      </c>
      <c r="U340" s="181" t="str">
        <f t="shared" si="249"/>
        <v>Bajo</v>
      </c>
      <c r="V340" s="181" t="s">
        <v>428</v>
      </c>
      <c r="W340" s="179">
        <f t="shared" si="250"/>
        <v>10</v>
      </c>
      <c r="X340" s="180">
        <f t="shared" si="251"/>
        <v>30</v>
      </c>
      <c r="Y340" s="181" t="str">
        <f t="shared" si="252"/>
        <v>Nivel IV: Riesgo Tolerable (Aceptable)</v>
      </c>
      <c r="Z340" s="163">
        <v>1</v>
      </c>
      <c r="AA340" s="163" t="s">
        <v>1151</v>
      </c>
      <c r="AB340" s="175" t="s">
        <v>424</v>
      </c>
      <c r="AC340" s="175" t="s">
        <v>424</v>
      </c>
      <c r="AD340" s="175" t="s">
        <v>424</v>
      </c>
      <c r="AE340" s="182" t="s">
        <v>1196</v>
      </c>
      <c r="AF340" s="183" t="s">
        <v>600</v>
      </c>
      <c r="AG340" s="184" t="s">
        <v>460</v>
      </c>
    </row>
    <row r="341" spans="1:33" ht="63.75" hidden="1" x14ac:dyDescent="0.2">
      <c r="A341" s="162" t="s">
        <v>880</v>
      </c>
      <c r="B341" s="162" t="s">
        <v>636</v>
      </c>
      <c r="C341" s="162" t="s">
        <v>1158</v>
      </c>
      <c r="D341" s="162" t="s">
        <v>1173</v>
      </c>
      <c r="E341" s="161" t="s">
        <v>999</v>
      </c>
      <c r="F341" s="162" t="s">
        <v>292</v>
      </c>
      <c r="G341" s="162" t="s">
        <v>1149</v>
      </c>
      <c r="H341" s="162" t="s">
        <v>472</v>
      </c>
      <c r="I341" s="163" t="s">
        <v>421</v>
      </c>
      <c r="J341" s="163" t="s">
        <v>461</v>
      </c>
      <c r="K341" s="163" t="s">
        <v>460</v>
      </c>
      <c r="L341" s="163" t="s">
        <v>469</v>
      </c>
      <c r="M341" s="161" t="s">
        <v>606</v>
      </c>
      <c r="N341" s="161" t="s">
        <v>1069</v>
      </c>
      <c r="O341" s="162" t="s">
        <v>1070</v>
      </c>
      <c r="P341" s="163" t="s">
        <v>184</v>
      </c>
      <c r="Q341" s="171">
        <f t="shared" si="246"/>
        <v>1</v>
      </c>
      <c r="R341" s="163" t="s">
        <v>429</v>
      </c>
      <c r="S341" s="172">
        <f t="shared" si="247"/>
        <v>2</v>
      </c>
      <c r="T341" s="166">
        <f t="shared" si="248"/>
        <v>2</v>
      </c>
      <c r="U341" s="163" t="str">
        <f t="shared" si="249"/>
        <v>Bajo</v>
      </c>
      <c r="V341" s="163" t="s">
        <v>428</v>
      </c>
      <c r="W341" s="172">
        <f t="shared" si="250"/>
        <v>10</v>
      </c>
      <c r="X341" s="166">
        <f t="shared" si="251"/>
        <v>20</v>
      </c>
      <c r="Y341" s="163" t="str">
        <f t="shared" si="252"/>
        <v>Nivel IV: Riesgo Tolerable (Aceptable)</v>
      </c>
      <c r="Z341" s="163">
        <v>1</v>
      </c>
      <c r="AA341" s="163" t="s">
        <v>1151</v>
      </c>
      <c r="AB341" s="161" t="s">
        <v>424</v>
      </c>
      <c r="AC341" s="161" t="s">
        <v>424</v>
      </c>
      <c r="AD341" s="161" t="s">
        <v>424</v>
      </c>
      <c r="AE341" s="161" t="s">
        <v>1071</v>
      </c>
      <c r="AF341" s="161" t="s">
        <v>600</v>
      </c>
      <c r="AG341" s="166" t="s">
        <v>460</v>
      </c>
    </row>
    <row r="342" spans="1:33" ht="76.5" hidden="1" x14ac:dyDescent="0.2">
      <c r="A342" s="162" t="s">
        <v>880</v>
      </c>
      <c r="B342" s="162" t="s">
        <v>636</v>
      </c>
      <c r="C342" s="162" t="s">
        <v>1158</v>
      </c>
      <c r="D342" s="162" t="s">
        <v>1173</v>
      </c>
      <c r="E342" s="161" t="s">
        <v>999</v>
      </c>
      <c r="F342" s="162" t="s">
        <v>288</v>
      </c>
      <c r="G342" s="162" t="s">
        <v>1131</v>
      </c>
      <c r="H342" s="162" t="s">
        <v>614</v>
      </c>
      <c r="I342" s="163" t="s">
        <v>421</v>
      </c>
      <c r="J342" s="163" t="s">
        <v>461</v>
      </c>
      <c r="K342" s="163" t="s">
        <v>460</v>
      </c>
      <c r="L342" s="163" t="s">
        <v>469</v>
      </c>
      <c r="M342" s="166" t="s">
        <v>423</v>
      </c>
      <c r="N342" s="162" t="s">
        <v>1132</v>
      </c>
      <c r="O342" s="162" t="s">
        <v>1026</v>
      </c>
      <c r="P342" s="163" t="s">
        <v>184</v>
      </c>
      <c r="Q342" s="171">
        <f t="shared" si="246"/>
        <v>1</v>
      </c>
      <c r="R342" s="163" t="s">
        <v>485</v>
      </c>
      <c r="S342" s="172">
        <f t="shared" si="247"/>
        <v>1</v>
      </c>
      <c r="T342" s="166">
        <f t="shared" si="248"/>
        <v>1</v>
      </c>
      <c r="U342" s="163" t="str">
        <f t="shared" si="249"/>
        <v>Bajo</v>
      </c>
      <c r="V342" s="163" t="s">
        <v>187</v>
      </c>
      <c r="W342" s="172">
        <f t="shared" si="250"/>
        <v>25</v>
      </c>
      <c r="X342" s="166">
        <f t="shared" si="251"/>
        <v>25</v>
      </c>
      <c r="Y342" s="163" t="str">
        <f t="shared" si="252"/>
        <v>Nivel IV: Riesgo Tolerable (Aceptable)</v>
      </c>
      <c r="Z342" s="163">
        <v>1</v>
      </c>
      <c r="AA342" s="163" t="s">
        <v>1151</v>
      </c>
      <c r="AB342" s="161" t="s">
        <v>424</v>
      </c>
      <c r="AC342" s="161" t="s">
        <v>424</v>
      </c>
      <c r="AD342" s="161" t="s">
        <v>424</v>
      </c>
      <c r="AE342" s="161" t="s">
        <v>1066</v>
      </c>
      <c r="AF342" s="161" t="s">
        <v>600</v>
      </c>
      <c r="AG342" s="166" t="s">
        <v>460</v>
      </c>
    </row>
    <row r="343" spans="1:33" ht="76.5" hidden="1" x14ac:dyDescent="0.2">
      <c r="A343" s="162" t="s">
        <v>880</v>
      </c>
      <c r="B343" s="162" t="s">
        <v>636</v>
      </c>
      <c r="C343" s="162" t="s">
        <v>1158</v>
      </c>
      <c r="D343" s="162" t="s">
        <v>1173</v>
      </c>
      <c r="E343" s="161" t="s">
        <v>999</v>
      </c>
      <c r="F343" s="162" t="s">
        <v>1117</v>
      </c>
      <c r="G343" s="162" t="s">
        <v>564</v>
      </c>
      <c r="H343" s="162" t="s">
        <v>1072</v>
      </c>
      <c r="I343" s="163" t="s">
        <v>421</v>
      </c>
      <c r="J343" s="163" t="s">
        <v>461</v>
      </c>
      <c r="K343" s="163" t="s">
        <v>460</v>
      </c>
      <c r="L343" s="163" t="s">
        <v>469</v>
      </c>
      <c r="M343" s="166" t="s">
        <v>423</v>
      </c>
      <c r="N343" s="166" t="s">
        <v>423</v>
      </c>
      <c r="O343" s="162" t="s">
        <v>1026</v>
      </c>
      <c r="P343" s="163" t="s">
        <v>184</v>
      </c>
      <c r="Q343" s="171">
        <f t="shared" si="246"/>
        <v>1</v>
      </c>
      <c r="R343" s="163" t="s">
        <v>485</v>
      </c>
      <c r="S343" s="172">
        <f t="shared" si="247"/>
        <v>1</v>
      </c>
      <c r="T343" s="166">
        <f t="shared" si="248"/>
        <v>1</v>
      </c>
      <c r="U343" s="163" t="str">
        <f t="shared" si="249"/>
        <v>Bajo</v>
      </c>
      <c r="V343" s="163" t="s">
        <v>428</v>
      </c>
      <c r="W343" s="172">
        <f t="shared" si="250"/>
        <v>10</v>
      </c>
      <c r="X343" s="166">
        <f t="shared" si="251"/>
        <v>10</v>
      </c>
      <c r="Y343" s="163" t="str">
        <f t="shared" si="252"/>
        <v>Nivel IV: Riesgo Tolerable (Aceptable)</v>
      </c>
      <c r="Z343" s="163">
        <v>1</v>
      </c>
      <c r="AA343" s="163" t="s">
        <v>1151</v>
      </c>
      <c r="AB343" s="161" t="s">
        <v>424</v>
      </c>
      <c r="AC343" s="161" t="s">
        <v>424</v>
      </c>
      <c r="AD343" s="161" t="s">
        <v>424</v>
      </c>
      <c r="AE343" s="161" t="s">
        <v>1066</v>
      </c>
      <c r="AF343" s="161" t="s">
        <v>600</v>
      </c>
      <c r="AG343" s="166" t="s">
        <v>460</v>
      </c>
    </row>
    <row r="344" spans="1:33" ht="76.5" hidden="1" x14ac:dyDescent="0.2">
      <c r="A344" s="162" t="s">
        <v>880</v>
      </c>
      <c r="B344" s="162" t="s">
        <v>636</v>
      </c>
      <c r="C344" s="162" t="s">
        <v>1158</v>
      </c>
      <c r="D344" s="162" t="s">
        <v>1173</v>
      </c>
      <c r="E344" s="161" t="s">
        <v>999</v>
      </c>
      <c r="F344" s="162" t="s">
        <v>1119</v>
      </c>
      <c r="G344" s="162" t="s">
        <v>1133</v>
      </c>
      <c r="H344" s="162" t="s">
        <v>966</v>
      </c>
      <c r="I344" s="163" t="s">
        <v>421</v>
      </c>
      <c r="J344" s="163" t="s">
        <v>422</v>
      </c>
      <c r="K344" s="163" t="s">
        <v>460</v>
      </c>
      <c r="L344" s="163" t="s">
        <v>469</v>
      </c>
      <c r="M344" s="161" t="s">
        <v>1163</v>
      </c>
      <c r="N344" s="161" t="s">
        <v>1164</v>
      </c>
      <c r="O344" s="164" t="s">
        <v>1026</v>
      </c>
      <c r="P344" s="163" t="s">
        <v>184</v>
      </c>
      <c r="Q344" s="171">
        <f t="shared" si="246"/>
        <v>1</v>
      </c>
      <c r="R344" s="163" t="s">
        <v>416</v>
      </c>
      <c r="S344" s="172">
        <f t="shared" si="247"/>
        <v>3</v>
      </c>
      <c r="T344" s="166">
        <f t="shared" si="248"/>
        <v>3</v>
      </c>
      <c r="U344" s="163" t="s">
        <v>184</v>
      </c>
      <c r="V344" s="163" t="s">
        <v>187</v>
      </c>
      <c r="W344" s="172">
        <f t="shared" si="250"/>
        <v>25</v>
      </c>
      <c r="X344" s="166">
        <f t="shared" si="251"/>
        <v>75</v>
      </c>
      <c r="Y344" s="163" t="str">
        <f t="shared" si="252"/>
        <v>Nivel III: Riesgo Moderado (Aceptable)</v>
      </c>
      <c r="Z344" s="163">
        <v>1</v>
      </c>
      <c r="AA344" s="163" t="s">
        <v>1151</v>
      </c>
      <c r="AB344" s="161" t="s">
        <v>424</v>
      </c>
      <c r="AC344" s="161" t="s">
        <v>424</v>
      </c>
      <c r="AD344" s="161" t="s">
        <v>424</v>
      </c>
      <c r="AE344" s="167" t="s">
        <v>1134</v>
      </c>
      <c r="AF344" s="161" t="s">
        <v>600</v>
      </c>
      <c r="AG344" s="166" t="s">
        <v>460</v>
      </c>
    </row>
    <row r="345" spans="1:33" ht="76.5" hidden="1" x14ac:dyDescent="0.2">
      <c r="A345" s="162" t="s">
        <v>880</v>
      </c>
      <c r="B345" s="162" t="s">
        <v>636</v>
      </c>
      <c r="C345" s="162" t="s">
        <v>1158</v>
      </c>
      <c r="D345" s="162" t="s">
        <v>1173</v>
      </c>
      <c r="E345" s="161" t="s">
        <v>999</v>
      </c>
      <c r="F345" s="162" t="s">
        <v>1120</v>
      </c>
      <c r="G345" s="162" t="s">
        <v>1159</v>
      </c>
      <c r="H345" s="162" t="s">
        <v>979</v>
      </c>
      <c r="I345" s="163" t="s">
        <v>421</v>
      </c>
      <c r="J345" s="163" t="s">
        <v>422</v>
      </c>
      <c r="K345" s="163" t="s">
        <v>460</v>
      </c>
      <c r="L345" s="163" t="s">
        <v>469</v>
      </c>
      <c r="M345" s="165" t="s">
        <v>423</v>
      </c>
      <c r="N345" s="161" t="s">
        <v>1142</v>
      </c>
      <c r="O345" s="162" t="s">
        <v>1141</v>
      </c>
      <c r="P345" s="163" t="s">
        <v>184</v>
      </c>
      <c r="Q345" s="171">
        <f>IF(P345="Muy Alto",10,IF(P345="Alto",6,IF(P345="Medio",2,IF(P345="Bajo",1,))))</f>
        <v>1</v>
      </c>
      <c r="R345" s="163" t="s">
        <v>485</v>
      </c>
      <c r="S345" s="172">
        <f>IF(R345="Continua",4,IF(R345="Frecuente",3,IF(R345="Ocasional",2,IF(R345="Esporádica",1,))))</f>
        <v>1</v>
      </c>
      <c r="T345" s="166">
        <f>Q345*S345</f>
        <v>1</v>
      </c>
      <c r="U345" s="163" t="s">
        <v>184</v>
      </c>
      <c r="V345" s="163" t="s">
        <v>187</v>
      </c>
      <c r="W345" s="172">
        <f>IF(V345="Mortal o catastrófico",100,IF(V345="Muy grave",60,IF(V345="Grave",25,IF(V345="Leve",10,))))</f>
        <v>25</v>
      </c>
      <c r="X345" s="166">
        <f>T345*W345</f>
        <v>25</v>
      </c>
      <c r="Y345" s="163" t="str">
        <f>IF(AND(X345&gt;=600,X345&lt;=4000),"Nivel I: Riesgo Inaceptable",IF(AND(X345&gt;=150,X345&lt;=500),"Nivel II: Riesgo Importante",IF(AND(X345&gt;=40,X345&lt;=120),"Nivel III: Riesgo Moderado (Aceptable)","Nivel IV: Riesgo Tolerable (Aceptable)")))</f>
        <v>Nivel IV: Riesgo Tolerable (Aceptable)</v>
      </c>
      <c r="Z345" s="163">
        <v>1</v>
      </c>
      <c r="AA345" s="163" t="s">
        <v>1151</v>
      </c>
      <c r="AB345" s="161" t="s">
        <v>424</v>
      </c>
      <c r="AC345" s="161" t="s">
        <v>424</v>
      </c>
      <c r="AD345" s="161" t="s">
        <v>424</v>
      </c>
      <c r="AE345" s="161" t="s">
        <v>1138</v>
      </c>
      <c r="AF345" s="161" t="s">
        <v>600</v>
      </c>
      <c r="AG345" s="166" t="s">
        <v>460</v>
      </c>
    </row>
    <row r="346" spans="1:33" ht="76.5" hidden="1" x14ac:dyDescent="0.2">
      <c r="A346" s="162" t="s">
        <v>880</v>
      </c>
      <c r="B346" s="162" t="s">
        <v>636</v>
      </c>
      <c r="C346" s="162" t="s">
        <v>1158</v>
      </c>
      <c r="D346" s="162" t="s">
        <v>1173</v>
      </c>
      <c r="E346" s="161" t="s">
        <v>999</v>
      </c>
      <c r="F346" s="162" t="s">
        <v>1121</v>
      </c>
      <c r="G346" s="162" t="s">
        <v>1139</v>
      </c>
      <c r="H346" s="162" t="s">
        <v>979</v>
      </c>
      <c r="I346" s="163" t="s">
        <v>421</v>
      </c>
      <c r="J346" s="163" t="s">
        <v>461</v>
      </c>
      <c r="K346" s="163" t="s">
        <v>460</v>
      </c>
      <c r="L346" s="163" t="s">
        <v>469</v>
      </c>
      <c r="M346" s="165" t="s">
        <v>423</v>
      </c>
      <c r="N346" s="161" t="s">
        <v>1140</v>
      </c>
      <c r="O346" s="162" t="s">
        <v>1092</v>
      </c>
      <c r="P346" s="163" t="s">
        <v>184</v>
      </c>
      <c r="Q346" s="171">
        <f>IF(P346="Muy Alto",10,IF(P346="Alto",6,IF(P346="Medio",2,IF(P346="Bajo",1,))))</f>
        <v>1</v>
      </c>
      <c r="R346" s="163" t="s">
        <v>485</v>
      </c>
      <c r="S346" s="172">
        <f>IF(R346="Continua",4,IF(R346="Frecuente",3,IF(R346="Ocasional",2,IF(R346="Esporádica",1,))))</f>
        <v>1</v>
      </c>
      <c r="T346" s="166">
        <f>Q346*S346</f>
        <v>1</v>
      </c>
      <c r="U346" s="163" t="s">
        <v>184</v>
      </c>
      <c r="V346" s="163" t="s">
        <v>187</v>
      </c>
      <c r="W346" s="172">
        <f>IF(V346="Mortal o catastrófico",100,IF(V346="Muy grave",60,IF(V346="Grave",25,IF(V346="Leve",10,))))</f>
        <v>25</v>
      </c>
      <c r="X346" s="166">
        <f>T346*W346</f>
        <v>25</v>
      </c>
      <c r="Y346" s="163" t="str">
        <f>IF(AND(X346&gt;=600,X346&lt;=4000),"Nivel I: Riesgo Inaceptable",IF(AND(X346&gt;=150,X346&lt;=500),"Nivel II: Riesgo Importante",IF(AND(X346&gt;=40,X346&lt;=120),"Nivel III: Riesgo Moderado (Aceptable)","Nivel IV: Riesgo Tolerable (Aceptable)")))</f>
        <v>Nivel IV: Riesgo Tolerable (Aceptable)</v>
      </c>
      <c r="Z346" s="163">
        <v>1</v>
      </c>
      <c r="AA346" s="163" t="s">
        <v>1151</v>
      </c>
      <c r="AB346" s="161" t="s">
        <v>424</v>
      </c>
      <c r="AC346" s="161" t="s">
        <v>424</v>
      </c>
      <c r="AD346" s="161" t="s">
        <v>424</v>
      </c>
      <c r="AE346" s="161" t="s">
        <v>1088</v>
      </c>
      <c r="AF346" s="161" t="s">
        <v>600</v>
      </c>
      <c r="AG346" s="166" t="s">
        <v>460</v>
      </c>
    </row>
    <row r="347" spans="1:33" ht="102" hidden="1" x14ac:dyDescent="0.2">
      <c r="A347" s="162" t="s">
        <v>880</v>
      </c>
      <c r="B347" s="162" t="s">
        <v>636</v>
      </c>
      <c r="C347" s="162" t="s">
        <v>1158</v>
      </c>
      <c r="D347" s="162" t="s">
        <v>1173</v>
      </c>
      <c r="E347" s="161" t="s">
        <v>995</v>
      </c>
      <c r="F347" s="162" t="s">
        <v>714</v>
      </c>
      <c r="G347" s="162" t="s">
        <v>1036</v>
      </c>
      <c r="H347" s="162" t="s">
        <v>1135</v>
      </c>
      <c r="I347" s="163" t="s">
        <v>421</v>
      </c>
      <c r="J347" s="163" t="s">
        <v>461</v>
      </c>
      <c r="K347" s="163" t="s">
        <v>460</v>
      </c>
      <c r="L347" s="163" t="s">
        <v>469</v>
      </c>
      <c r="M347" s="161" t="s">
        <v>423</v>
      </c>
      <c r="N347" s="161" t="s">
        <v>1136</v>
      </c>
      <c r="O347" s="164" t="s">
        <v>1038</v>
      </c>
      <c r="P347" s="163" t="s">
        <v>184</v>
      </c>
      <c r="Q347" s="171">
        <f t="shared" ref="Q347:Q349" si="253">IF(P347="Muy Alto",10,IF(P347="Alto",6,IF(P347="Medio",2,IF(P347="Bajo",1,))))</f>
        <v>1</v>
      </c>
      <c r="R347" s="163" t="s">
        <v>485</v>
      </c>
      <c r="S347" s="172">
        <f t="shared" ref="S347:S349" si="254">IF(R347="Continua",4,IF(R347="Frecuente",3,IF(R347="Ocasional",2,IF(R347="Esporádica",1,))))</f>
        <v>1</v>
      </c>
      <c r="T347" s="166">
        <f t="shared" ref="T347:T349" si="255">Q347*S347</f>
        <v>1</v>
      </c>
      <c r="U347" s="163" t="str">
        <f t="shared" ref="U347" si="256">IF(AND(T347&gt;=0,T347&lt;=4),"Bajo",IF(AND(T347&gt;=6,T347&lt;=8),"Medio",IF(AND(T347&gt;=10,T347&lt;=20),"Alto",IF(AND(T347&gt;=20,T347&lt;=40),"Muy Alto",))))</f>
        <v>Bajo</v>
      </c>
      <c r="V347" s="163" t="s">
        <v>187</v>
      </c>
      <c r="W347" s="172">
        <f t="shared" ref="W347:W349" si="257">IF(V347="Mortal o catastrófico",100,IF(V347="Muy grave",60,IF(V347="Grave",25,IF(V347="Leve",10,))))</f>
        <v>25</v>
      </c>
      <c r="X347" s="166">
        <f t="shared" ref="X347:X349" si="258">T347*W347</f>
        <v>25</v>
      </c>
      <c r="Y347" s="163" t="str">
        <f t="shared" ref="Y347:Y349" si="259">IF(AND(X347&gt;=600,X347&lt;=4000),"Nivel I: Riesgo Inaceptable",IF(AND(X347&gt;=150,X347&lt;=500),"Nivel II: Riesgo Importante",IF(AND(X347&gt;=40,X347&lt;=120),"Nivel III: Riesgo Moderado (Aceptable)","Nivel IV: Riesgo Tolerable (Aceptable)")))</f>
        <v>Nivel IV: Riesgo Tolerable (Aceptable)</v>
      </c>
      <c r="Z347" s="163">
        <v>1</v>
      </c>
      <c r="AA347" s="163" t="s">
        <v>1151</v>
      </c>
      <c r="AB347" s="161" t="s">
        <v>424</v>
      </c>
      <c r="AC347" s="161" t="s">
        <v>424</v>
      </c>
      <c r="AD347" s="161" t="s">
        <v>424</v>
      </c>
      <c r="AE347" s="161" t="s">
        <v>1039</v>
      </c>
      <c r="AF347" s="161" t="s">
        <v>1040</v>
      </c>
      <c r="AG347" s="166" t="s">
        <v>460</v>
      </c>
    </row>
    <row r="348" spans="1:33" ht="89.25" hidden="1" x14ac:dyDescent="0.2">
      <c r="A348" s="162" t="s">
        <v>880</v>
      </c>
      <c r="B348" s="162" t="s">
        <v>636</v>
      </c>
      <c r="C348" s="162" t="s">
        <v>1158</v>
      </c>
      <c r="D348" s="162" t="s">
        <v>1173</v>
      </c>
      <c r="E348" s="161" t="s">
        <v>1000</v>
      </c>
      <c r="F348" s="162" t="s">
        <v>1123</v>
      </c>
      <c r="G348" s="162" t="s">
        <v>1143</v>
      </c>
      <c r="H348" s="162" t="s">
        <v>1021</v>
      </c>
      <c r="I348" s="163" t="s">
        <v>421</v>
      </c>
      <c r="J348" s="163" t="s">
        <v>422</v>
      </c>
      <c r="K348" s="163" t="s">
        <v>460</v>
      </c>
      <c r="L348" s="163" t="s">
        <v>469</v>
      </c>
      <c r="M348" s="161" t="s">
        <v>423</v>
      </c>
      <c r="N348" s="161" t="s">
        <v>1145</v>
      </c>
      <c r="O348" s="162" t="s">
        <v>1144</v>
      </c>
      <c r="P348" s="163" t="s">
        <v>184</v>
      </c>
      <c r="Q348" s="171">
        <f t="shared" si="253"/>
        <v>1</v>
      </c>
      <c r="R348" s="163" t="s">
        <v>485</v>
      </c>
      <c r="S348" s="172">
        <f t="shared" si="254"/>
        <v>1</v>
      </c>
      <c r="T348" s="166">
        <f t="shared" si="255"/>
        <v>1</v>
      </c>
      <c r="U348" s="163" t="s">
        <v>184</v>
      </c>
      <c r="V348" s="163" t="s">
        <v>187</v>
      </c>
      <c r="W348" s="172">
        <f t="shared" si="257"/>
        <v>25</v>
      </c>
      <c r="X348" s="166">
        <f t="shared" si="258"/>
        <v>25</v>
      </c>
      <c r="Y348" s="163" t="str">
        <f t="shared" si="259"/>
        <v>Nivel IV: Riesgo Tolerable (Aceptable)</v>
      </c>
      <c r="Z348" s="163">
        <v>1</v>
      </c>
      <c r="AA348" s="163" t="s">
        <v>1151</v>
      </c>
      <c r="AB348" s="161" t="s">
        <v>424</v>
      </c>
      <c r="AC348" s="161" t="s">
        <v>424</v>
      </c>
      <c r="AD348" s="161" t="s">
        <v>424</v>
      </c>
      <c r="AE348" s="161" t="s">
        <v>1147</v>
      </c>
      <c r="AF348" s="161" t="s">
        <v>600</v>
      </c>
      <c r="AG348" s="166" t="s">
        <v>460</v>
      </c>
    </row>
    <row r="349" spans="1:33" ht="63.75" hidden="1" x14ac:dyDescent="0.2">
      <c r="A349" s="162" t="s">
        <v>880</v>
      </c>
      <c r="B349" s="162" t="s">
        <v>636</v>
      </c>
      <c r="C349" s="162" t="s">
        <v>1158</v>
      </c>
      <c r="D349" s="162" t="s">
        <v>1173</v>
      </c>
      <c r="E349" s="161" t="s">
        <v>1000</v>
      </c>
      <c r="F349" s="162" t="s">
        <v>1127</v>
      </c>
      <c r="G349" s="162" t="s">
        <v>1152</v>
      </c>
      <c r="H349" s="162" t="s">
        <v>1021</v>
      </c>
      <c r="I349" s="163" t="s">
        <v>421</v>
      </c>
      <c r="J349" s="163" t="s">
        <v>422</v>
      </c>
      <c r="K349" s="163" t="s">
        <v>460</v>
      </c>
      <c r="L349" s="163" t="s">
        <v>469</v>
      </c>
      <c r="M349" s="161" t="s">
        <v>423</v>
      </c>
      <c r="N349" s="161" t="s">
        <v>423</v>
      </c>
      <c r="O349" s="162" t="s">
        <v>1144</v>
      </c>
      <c r="P349" s="163" t="s">
        <v>184</v>
      </c>
      <c r="Q349" s="171">
        <f t="shared" si="253"/>
        <v>1</v>
      </c>
      <c r="R349" s="163" t="s">
        <v>485</v>
      </c>
      <c r="S349" s="172">
        <f t="shared" si="254"/>
        <v>1</v>
      </c>
      <c r="T349" s="166">
        <f t="shared" si="255"/>
        <v>1</v>
      </c>
      <c r="U349" s="163" t="s">
        <v>184</v>
      </c>
      <c r="V349" s="163" t="s">
        <v>187</v>
      </c>
      <c r="W349" s="172">
        <f t="shared" si="257"/>
        <v>25</v>
      </c>
      <c r="X349" s="166">
        <f t="shared" si="258"/>
        <v>25</v>
      </c>
      <c r="Y349" s="163" t="str">
        <f t="shared" si="259"/>
        <v>Nivel IV: Riesgo Tolerable (Aceptable)</v>
      </c>
      <c r="Z349" s="163">
        <v>1</v>
      </c>
      <c r="AA349" s="163" t="s">
        <v>1151</v>
      </c>
      <c r="AB349" s="161" t="s">
        <v>424</v>
      </c>
      <c r="AC349" s="161" t="s">
        <v>424</v>
      </c>
      <c r="AD349" s="161" t="s">
        <v>424</v>
      </c>
      <c r="AE349" s="161" t="s">
        <v>1025</v>
      </c>
      <c r="AF349" s="161" t="s">
        <v>600</v>
      </c>
      <c r="AG349" s="166" t="s">
        <v>460</v>
      </c>
    </row>
    <row r="350" spans="1:33" ht="102" hidden="1" x14ac:dyDescent="0.2">
      <c r="A350" s="162" t="s">
        <v>880</v>
      </c>
      <c r="B350" s="162" t="s">
        <v>636</v>
      </c>
      <c r="C350" s="162" t="s">
        <v>1158</v>
      </c>
      <c r="D350" s="162" t="s">
        <v>1173</v>
      </c>
      <c r="E350" s="161" t="s">
        <v>996</v>
      </c>
      <c r="F350" s="162" t="s">
        <v>430</v>
      </c>
      <c r="G350" s="162" t="s">
        <v>486</v>
      </c>
      <c r="H350" s="162" t="s">
        <v>623</v>
      </c>
      <c r="I350" s="163" t="s">
        <v>421</v>
      </c>
      <c r="J350" s="163" t="s">
        <v>422</v>
      </c>
      <c r="K350" s="163" t="s">
        <v>460</v>
      </c>
      <c r="L350" s="163" t="s">
        <v>469</v>
      </c>
      <c r="M350" s="163" t="s">
        <v>1074</v>
      </c>
      <c r="N350" s="169" t="s">
        <v>1073</v>
      </c>
      <c r="O350" s="162" t="s">
        <v>1032</v>
      </c>
      <c r="P350" s="163" t="s">
        <v>184</v>
      </c>
      <c r="Q350" s="171">
        <f>IF(P350="Muy Alto",10,IF(P350="Alto",6,IF(P350="Medio",2,IF(P350="Bajo",1,))))</f>
        <v>1</v>
      </c>
      <c r="R350" s="163" t="s">
        <v>485</v>
      </c>
      <c r="S350" s="172">
        <f>IF(R350="Continua",4,IF(R350="Frecuente",3,IF(R350="Ocasional",2,IF(R350="Esporádica",1,))))</f>
        <v>1</v>
      </c>
      <c r="T350" s="166">
        <f>Q350*S350</f>
        <v>1</v>
      </c>
      <c r="U350" s="163" t="str">
        <f>IF(AND(T350&gt;=0,T350&lt;=4),"Bajo",IF(AND(T350&gt;=6,T350&lt;=8),"Medio",IF(AND(T350&gt;=10,T350&lt;=20),"Alto",IF(AND(T350&gt;=20,T350&lt;=40),"Muy Alto",))))</f>
        <v>Bajo</v>
      </c>
      <c r="V350" s="163" t="s">
        <v>428</v>
      </c>
      <c r="W350" s="172">
        <f>IF(V350="Mortal o catastrófico",100,IF(V350="Muy grave",60,IF(V350="Grave",25,IF(V350="Leve",10,))))</f>
        <v>10</v>
      </c>
      <c r="X350" s="166">
        <f>T350*W350</f>
        <v>10</v>
      </c>
      <c r="Y350" s="163" t="str">
        <f>IF(AND(X350&gt;=600,X350&lt;=4000),"Nivel I: Riesgo Inaceptable",IF(AND(X350&gt;=150,X350&lt;=500),"Nivel II: Riesgo Importante",IF(AND(X350&gt;=40,X350&lt;=120),"Nivel III: Riesgo Moderado (Aceptable)","Nivel IV: Riesgo Tolerable (Aceptable)")))</f>
        <v>Nivel IV: Riesgo Tolerable (Aceptable)</v>
      </c>
      <c r="Z350" s="163">
        <v>1</v>
      </c>
      <c r="AA350" s="163" t="s">
        <v>1151</v>
      </c>
      <c r="AB350" s="161" t="s">
        <v>424</v>
      </c>
      <c r="AC350" s="161" t="s">
        <v>424</v>
      </c>
      <c r="AD350" s="161" t="s">
        <v>424</v>
      </c>
      <c r="AE350" s="161" t="s">
        <v>1075</v>
      </c>
      <c r="AF350" s="161" t="s">
        <v>600</v>
      </c>
      <c r="AG350" s="166" t="s">
        <v>460</v>
      </c>
    </row>
    <row r="351" spans="1:33" ht="102" hidden="1" x14ac:dyDescent="0.2">
      <c r="A351" s="162" t="s">
        <v>880</v>
      </c>
      <c r="B351" s="162" t="s">
        <v>636</v>
      </c>
      <c r="C351" s="162" t="s">
        <v>1158</v>
      </c>
      <c r="D351" s="162" t="s">
        <v>1173</v>
      </c>
      <c r="E351" s="161" t="s">
        <v>996</v>
      </c>
      <c r="F351" s="162" t="s">
        <v>1146</v>
      </c>
      <c r="G351" s="162" t="s">
        <v>1162</v>
      </c>
      <c r="H351" s="162" t="s">
        <v>623</v>
      </c>
      <c r="I351" s="163" t="s">
        <v>421</v>
      </c>
      <c r="J351" s="163" t="s">
        <v>422</v>
      </c>
      <c r="K351" s="163" t="s">
        <v>460</v>
      </c>
      <c r="L351" s="163" t="s">
        <v>469</v>
      </c>
      <c r="M351" s="163" t="s">
        <v>1074</v>
      </c>
      <c r="N351" s="169" t="s">
        <v>1073</v>
      </c>
      <c r="O351" s="162" t="s">
        <v>1032</v>
      </c>
      <c r="P351" s="163" t="s">
        <v>184</v>
      </c>
      <c r="Q351" s="171">
        <f>IF(P351="Muy Alto",10,IF(P351="Alto",6,IF(P351="Medio",2,IF(P351="Bajo",1,))))</f>
        <v>1</v>
      </c>
      <c r="R351" s="163" t="s">
        <v>416</v>
      </c>
      <c r="S351" s="172">
        <f>IF(R351="Continua",4,IF(R351="Frecuente",3,IF(R351="Ocasional",2,IF(R351="Esporádica",1,))))</f>
        <v>3</v>
      </c>
      <c r="T351" s="166">
        <f>Q351*S351</f>
        <v>3</v>
      </c>
      <c r="U351" s="163" t="str">
        <f>IF(AND(T351&gt;=0,T351&lt;=4),"Bajo",IF(AND(T351&gt;=6,T351&lt;=8),"Medio",IF(AND(T351&gt;=10,T351&lt;=20),"Alto",IF(AND(T351&gt;=20,T351&lt;=40),"Muy Alto",))))</f>
        <v>Bajo</v>
      </c>
      <c r="V351" s="163" t="s">
        <v>428</v>
      </c>
      <c r="W351" s="172">
        <f>IF(V351="Mortal o catastrófico",100,IF(V351="Muy grave",60,IF(V351="Grave",25,IF(V351="Leve",10,))))</f>
        <v>10</v>
      </c>
      <c r="X351" s="166">
        <f>T351*W351</f>
        <v>30</v>
      </c>
      <c r="Y351" s="163" t="str">
        <f>IF(AND(X351&gt;=600,X351&lt;=4000),"Nivel I: Riesgo Inaceptable",IF(AND(X351&gt;=150,X351&lt;=500),"Nivel II: Riesgo Importante",IF(AND(X351&gt;=40,X351&lt;=120),"Nivel III: Riesgo Moderado (Aceptable)","Nivel IV: Riesgo Tolerable (Aceptable)")))</f>
        <v>Nivel IV: Riesgo Tolerable (Aceptable)</v>
      </c>
      <c r="Z351" s="163">
        <v>1</v>
      </c>
      <c r="AA351" s="163" t="s">
        <v>1151</v>
      </c>
      <c r="AB351" s="161" t="s">
        <v>424</v>
      </c>
      <c r="AC351" s="161" t="s">
        <v>424</v>
      </c>
      <c r="AD351" s="161" t="s">
        <v>424</v>
      </c>
      <c r="AE351" s="161" t="s">
        <v>1075</v>
      </c>
      <c r="AF351" s="161" t="s">
        <v>600</v>
      </c>
      <c r="AG351" s="166" t="s">
        <v>460</v>
      </c>
    </row>
    <row r="352" spans="1:33" ht="89.25" hidden="1" x14ac:dyDescent="0.2">
      <c r="A352" s="162" t="s">
        <v>1292</v>
      </c>
      <c r="B352" s="162" t="s">
        <v>1234</v>
      </c>
      <c r="C352" s="162" t="s">
        <v>1174</v>
      </c>
      <c r="D352" s="162" t="s">
        <v>689</v>
      </c>
      <c r="E352" s="161" t="s">
        <v>998</v>
      </c>
      <c r="F352" s="162" t="s">
        <v>178</v>
      </c>
      <c r="G352" s="162" t="s">
        <v>1175</v>
      </c>
      <c r="H352" s="162" t="s">
        <v>1176</v>
      </c>
      <c r="I352" s="163" t="s">
        <v>421</v>
      </c>
      <c r="J352" s="163" t="s">
        <v>422</v>
      </c>
      <c r="K352" s="163" t="s">
        <v>460</v>
      </c>
      <c r="L352" s="163" t="s">
        <v>469</v>
      </c>
      <c r="M352" s="161" t="s">
        <v>606</v>
      </c>
      <c r="N352" s="161" t="s">
        <v>606</v>
      </c>
      <c r="O352" s="162" t="s">
        <v>1046</v>
      </c>
      <c r="P352" s="163" t="s">
        <v>185</v>
      </c>
      <c r="Q352" s="171">
        <f t="shared" ref="Q352:Q358" si="260">IF(P352="Muy Alto",10,IF(P352="Alto",6,IF(P352="Medio",2,IF(P352="Bajo",1,))))</f>
        <v>2</v>
      </c>
      <c r="R352" s="163" t="s">
        <v>416</v>
      </c>
      <c r="S352" s="172">
        <f t="shared" ref="S352:S358" si="261">IF(R352="Continua",4,IF(R352="Frecuente",3,IF(R352="Ocasional",2,IF(R352="Esporádica",1,))))</f>
        <v>3</v>
      </c>
      <c r="T352" s="166">
        <f t="shared" ref="T352:T358" si="262">Q352*S352</f>
        <v>6</v>
      </c>
      <c r="U352" s="163" t="str">
        <f t="shared" ref="U352:U358" si="263">IF(AND(T352&gt;=0,T352&lt;=4),"Bajo",IF(AND(T352&gt;=6,T352&lt;=8),"Medio",IF(AND(T352&gt;=10,T352&lt;=20),"Alto",IF(AND(T352&gt;=20,T352&lt;=40),"Muy Alto",))))</f>
        <v>Medio</v>
      </c>
      <c r="V352" s="163" t="s">
        <v>187</v>
      </c>
      <c r="W352" s="172">
        <f t="shared" ref="W352:W358" si="264">IF(V352="Mortal o catastrófico",100,IF(V352="Muy grave",60,IF(V352="Grave",25,IF(V352="Leve",10,))))</f>
        <v>25</v>
      </c>
      <c r="X352" s="166">
        <f t="shared" ref="X352:X358" si="265">T352*W352</f>
        <v>150</v>
      </c>
      <c r="Y352" s="163" t="str">
        <f t="shared" ref="Y352:Y358" si="266">IF(AND(X352&gt;=600,X352&lt;=4000),"Nivel I: Riesgo Inaceptable",IF(AND(X352&gt;=150,X352&lt;=500),"Nivel II: Riesgo Importante",IF(AND(X352&gt;=40,X352&lt;=120),"Nivel III: Riesgo Moderado (Aceptable)","Nivel IV: Riesgo Tolerable (Aceptable)")))</f>
        <v>Nivel II: Riesgo Importante</v>
      </c>
      <c r="Z352" s="163">
        <v>1</v>
      </c>
      <c r="AA352" s="163" t="s">
        <v>1151</v>
      </c>
      <c r="AB352" s="161" t="s">
        <v>1177</v>
      </c>
      <c r="AC352" s="161" t="s">
        <v>424</v>
      </c>
      <c r="AD352" s="161" t="s">
        <v>424</v>
      </c>
      <c r="AE352" s="161" t="s">
        <v>1178</v>
      </c>
      <c r="AF352" s="161" t="s">
        <v>600</v>
      </c>
      <c r="AG352" s="166" t="s">
        <v>460</v>
      </c>
    </row>
    <row r="353" spans="1:33" ht="89.25" hidden="1" x14ac:dyDescent="0.2">
      <c r="A353" s="162" t="s">
        <v>1292</v>
      </c>
      <c r="B353" s="162" t="s">
        <v>1234</v>
      </c>
      <c r="C353" s="162" t="s">
        <v>1174</v>
      </c>
      <c r="D353" s="162" t="s">
        <v>689</v>
      </c>
      <c r="E353" s="161" t="s">
        <v>998</v>
      </c>
      <c r="F353" s="162" t="s">
        <v>1115</v>
      </c>
      <c r="G353" s="162" t="s">
        <v>1179</v>
      </c>
      <c r="H353" s="162" t="s">
        <v>1176</v>
      </c>
      <c r="I353" s="163" t="s">
        <v>421</v>
      </c>
      <c r="J353" s="163" t="s">
        <v>422</v>
      </c>
      <c r="K353" s="163" t="s">
        <v>460</v>
      </c>
      <c r="L353" s="163" t="s">
        <v>469</v>
      </c>
      <c r="M353" s="161" t="s">
        <v>606</v>
      </c>
      <c r="N353" s="161" t="s">
        <v>606</v>
      </c>
      <c r="O353" s="162" t="s">
        <v>1046</v>
      </c>
      <c r="P353" s="163" t="s">
        <v>185</v>
      </c>
      <c r="Q353" s="171">
        <f t="shared" si="260"/>
        <v>2</v>
      </c>
      <c r="R353" s="163" t="s">
        <v>416</v>
      </c>
      <c r="S353" s="172">
        <f t="shared" si="261"/>
        <v>3</v>
      </c>
      <c r="T353" s="166">
        <f t="shared" si="262"/>
        <v>6</v>
      </c>
      <c r="U353" s="163" t="str">
        <f t="shared" si="263"/>
        <v>Medio</v>
      </c>
      <c r="V353" s="163" t="s">
        <v>187</v>
      </c>
      <c r="W353" s="172">
        <f t="shared" si="264"/>
        <v>25</v>
      </c>
      <c r="X353" s="166">
        <f t="shared" si="265"/>
        <v>150</v>
      </c>
      <c r="Y353" s="163" t="str">
        <f t="shared" si="266"/>
        <v>Nivel II: Riesgo Importante</v>
      </c>
      <c r="Z353" s="163">
        <v>1</v>
      </c>
      <c r="AA353" s="163" t="s">
        <v>1151</v>
      </c>
      <c r="AB353" s="161" t="s">
        <v>1177</v>
      </c>
      <c r="AC353" s="161" t="s">
        <v>424</v>
      </c>
      <c r="AD353" s="161" t="s">
        <v>424</v>
      </c>
      <c r="AE353" s="161" t="s">
        <v>1178</v>
      </c>
      <c r="AF353" s="161" t="s">
        <v>600</v>
      </c>
      <c r="AG353" s="166" t="s">
        <v>460</v>
      </c>
    </row>
    <row r="354" spans="1:33" ht="140.25" hidden="1" x14ac:dyDescent="0.2">
      <c r="A354" s="162" t="s">
        <v>1292</v>
      </c>
      <c r="B354" s="162" t="s">
        <v>1234</v>
      </c>
      <c r="C354" s="162" t="s">
        <v>1174</v>
      </c>
      <c r="D354" s="162" t="s">
        <v>689</v>
      </c>
      <c r="E354" s="161" t="s">
        <v>175</v>
      </c>
      <c r="F354" s="162" t="s">
        <v>1111</v>
      </c>
      <c r="G354" s="162" t="s">
        <v>1165</v>
      </c>
      <c r="H354" s="162" t="s">
        <v>602</v>
      </c>
      <c r="I354" s="173" t="s">
        <v>421</v>
      </c>
      <c r="J354" s="173" t="s">
        <v>422</v>
      </c>
      <c r="K354" s="174" t="s">
        <v>460</v>
      </c>
      <c r="L354" s="174" t="s">
        <v>469</v>
      </c>
      <c r="M354" s="175" t="s">
        <v>1167</v>
      </c>
      <c r="N354" s="175" t="s">
        <v>423</v>
      </c>
      <c r="O354" s="176" t="s">
        <v>1166</v>
      </c>
      <c r="P354" s="177" t="s">
        <v>185</v>
      </c>
      <c r="Q354" s="178">
        <f t="shared" si="260"/>
        <v>2</v>
      </c>
      <c r="R354" s="177" t="s">
        <v>429</v>
      </c>
      <c r="S354" s="179">
        <f t="shared" si="261"/>
        <v>2</v>
      </c>
      <c r="T354" s="180">
        <f t="shared" si="262"/>
        <v>4</v>
      </c>
      <c r="U354" s="181" t="str">
        <f t="shared" si="263"/>
        <v>Bajo</v>
      </c>
      <c r="V354" s="181" t="s">
        <v>428</v>
      </c>
      <c r="W354" s="179">
        <f t="shared" si="264"/>
        <v>10</v>
      </c>
      <c r="X354" s="180">
        <f t="shared" si="265"/>
        <v>40</v>
      </c>
      <c r="Y354" s="181" t="str">
        <f t="shared" si="266"/>
        <v>Nivel III: Riesgo Moderado (Aceptable)</v>
      </c>
      <c r="Z354" s="163">
        <v>1</v>
      </c>
      <c r="AA354" s="163" t="s">
        <v>1151</v>
      </c>
      <c r="AB354" s="175" t="s">
        <v>424</v>
      </c>
      <c r="AC354" s="175" t="s">
        <v>424</v>
      </c>
      <c r="AD354" s="175" t="s">
        <v>424</v>
      </c>
      <c r="AE354" s="182" t="s">
        <v>1035</v>
      </c>
      <c r="AF354" s="183" t="s">
        <v>600</v>
      </c>
      <c r="AG354" s="184" t="s">
        <v>460</v>
      </c>
    </row>
    <row r="355" spans="1:33" ht="140.25" hidden="1" x14ac:dyDescent="0.2">
      <c r="A355" s="162" t="s">
        <v>1292</v>
      </c>
      <c r="B355" s="162" t="s">
        <v>1234</v>
      </c>
      <c r="C355" s="162" t="s">
        <v>1174</v>
      </c>
      <c r="D355" s="162" t="s">
        <v>689</v>
      </c>
      <c r="E355" s="161" t="s">
        <v>175</v>
      </c>
      <c r="F355" s="162" t="s">
        <v>1197</v>
      </c>
      <c r="G355" s="162" t="s">
        <v>1199</v>
      </c>
      <c r="H355" s="170" t="s">
        <v>1198</v>
      </c>
      <c r="I355" s="173" t="s">
        <v>421</v>
      </c>
      <c r="J355" s="173" t="s">
        <v>422</v>
      </c>
      <c r="K355" s="174" t="s">
        <v>460</v>
      </c>
      <c r="L355" s="174" t="s">
        <v>469</v>
      </c>
      <c r="M355" s="175" t="s">
        <v>1167</v>
      </c>
      <c r="N355" s="175" t="s">
        <v>423</v>
      </c>
      <c r="O355" s="176" t="s">
        <v>1166</v>
      </c>
      <c r="P355" s="177" t="s">
        <v>184</v>
      </c>
      <c r="Q355" s="178">
        <f t="shared" si="260"/>
        <v>1</v>
      </c>
      <c r="R355" s="177" t="s">
        <v>416</v>
      </c>
      <c r="S355" s="179">
        <f t="shared" si="261"/>
        <v>3</v>
      </c>
      <c r="T355" s="180">
        <f t="shared" si="262"/>
        <v>3</v>
      </c>
      <c r="U355" s="181" t="str">
        <f t="shared" si="263"/>
        <v>Bajo</v>
      </c>
      <c r="V355" s="181" t="s">
        <v>428</v>
      </c>
      <c r="W355" s="179">
        <f t="shared" si="264"/>
        <v>10</v>
      </c>
      <c r="X355" s="180">
        <f t="shared" si="265"/>
        <v>30</v>
      </c>
      <c r="Y355" s="181" t="str">
        <f t="shared" si="266"/>
        <v>Nivel IV: Riesgo Tolerable (Aceptable)</v>
      </c>
      <c r="Z355" s="163">
        <v>1</v>
      </c>
      <c r="AA355" s="163" t="s">
        <v>1151</v>
      </c>
      <c r="AB355" s="175" t="s">
        <v>424</v>
      </c>
      <c r="AC355" s="175" t="s">
        <v>424</v>
      </c>
      <c r="AD355" s="175" t="s">
        <v>424</v>
      </c>
      <c r="AE355" s="182" t="s">
        <v>1196</v>
      </c>
      <c r="AF355" s="183" t="s">
        <v>600</v>
      </c>
      <c r="AG355" s="184" t="s">
        <v>460</v>
      </c>
    </row>
    <row r="356" spans="1:33" ht="89.25" hidden="1" x14ac:dyDescent="0.2">
      <c r="A356" s="162" t="s">
        <v>1292</v>
      </c>
      <c r="B356" s="162" t="s">
        <v>1234</v>
      </c>
      <c r="C356" s="162" t="s">
        <v>1174</v>
      </c>
      <c r="D356" s="162" t="s">
        <v>689</v>
      </c>
      <c r="E356" s="161" t="s">
        <v>999</v>
      </c>
      <c r="F356" s="162" t="s">
        <v>292</v>
      </c>
      <c r="G356" s="162" t="s">
        <v>1149</v>
      </c>
      <c r="H356" s="162" t="s">
        <v>472</v>
      </c>
      <c r="I356" s="163" t="s">
        <v>421</v>
      </c>
      <c r="J356" s="163" t="s">
        <v>461</v>
      </c>
      <c r="K356" s="163" t="s">
        <v>460</v>
      </c>
      <c r="L356" s="163" t="s">
        <v>469</v>
      </c>
      <c r="M356" s="161" t="s">
        <v>606</v>
      </c>
      <c r="N356" s="161" t="s">
        <v>1069</v>
      </c>
      <c r="O356" s="162" t="s">
        <v>1070</v>
      </c>
      <c r="P356" s="163" t="s">
        <v>184</v>
      </c>
      <c r="Q356" s="171">
        <f t="shared" si="260"/>
        <v>1</v>
      </c>
      <c r="R356" s="163" t="s">
        <v>416</v>
      </c>
      <c r="S356" s="172">
        <f t="shared" si="261"/>
        <v>3</v>
      </c>
      <c r="T356" s="166">
        <f t="shared" si="262"/>
        <v>3</v>
      </c>
      <c r="U356" s="163" t="str">
        <f t="shared" si="263"/>
        <v>Bajo</v>
      </c>
      <c r="V356" s="163" t="s">
        <v>428</v>
      </c>
      <c r="W356" s="172">
        <f t="shared" si="264"/>
        <v>10</v>
      </c>
      <c r="X356" s="166">
        <f t="shared" si="265"/>
        <v>30</v>
      </c>
      <c r="Y356" s="163" t="str">
        <f t="shared" si="266"/>
        <v>Nivel IV: Riesgo Tolerable (Aceptable)</v>
      </c>
      <c r="Z356" s="163">
        <v>1</v>
      </c>
      <c r="AA356" s="163" t="s">
        <v>1151</v>
      </c>
      <c r="AB356" s="161" t="s">
        <v>424</v>
      </c>
      <c r="AC356" s="161" t="s">
        <v>424</v>
      </c>
      <c r="AD356" s="161" t="s">
        <v>424</v>
      </c>
      <c r="AE356" s="161" t="s">
        <v>1071</v>
      </c>
      <c r="AF356" s="161" t="s">
        <v>600</v>
      </c>
      <c r="AG356" s="166" t="s">
        <v>460</v>
      </c>
    </row>
    <row r="357" spans="1:33" ht="89.25" hidden="1" x14ac:dyDescent="0.2">
      <c r="A357" s="162" t="s">
        <v>1292</v>
      </c>
      <c r="B357" s="162" t="s">
        <v>1234</v>
      </c>
      <c r="C357" s="162" t="s">
        <v>1174</v>
      </c>
      <c r="D357" s="162" t="s">
        <v>689</v>
      </c>
      <c r="E357" s="161" t="s">
        <v>999</v>
      </c>
      <c r="F357" s="162" t="s">
        <v>288</v>
      </c>
      <c r="G357" s="162" t="s">
        <v>1131</v>
      </c>
      <c r="H357" s="162" t="s">
        <v>614</v>
      </c>
      <c r="I357" s="163" t="s">
        <v>421</v>
      </c>
      <c r="J357" s="163" t="s">
        <v>422</v>
      </c>
      <c r="K357" s="163" t="s">
        <v>460</v>
      </c>
      <c r="L357" s="163" t="s">
        <v>469</v>
      </c>
      <c r="M357" s="166" t="s">
        <v>423</v>
      </c>
      <c r="N357" s="162" t="s">
        <v>1132</v>
      </c>
      <c r="O357" s="162" t="s">
        <v>1026</v>
      </c>
      <c r="P357" s="163" t="s">
        <v>184</v>
      </c>
      <c r="Q357" s="171">
        <f t="shared" si="260"/>
        <v>1</v>
      </c>
      <c r="R357" s="163" t="s">
        <v>416</v>
      </c>
      <c r="S357" s="172">
        <f t="shared" si="261"/>
        <v>3</v>
      </c>
      <c r="T357" s="166">
        <f t="shared" si="262"/>
        <v>3</v>
      </c>
      <c r="U357" s="163" t="str">
        <f t="shared" si="263"/>
        <v>Bajo</v>
      </c>
      <c r="V357" s="163" t="s">
        <v>187</v>
      </c>
      <c r="W357" s="172">
        <f t="shared" si="264"/>
        <v>25</v>
      </c>
      <c r="X357" s="166">
        <f t="shared" si="265"/>
        <v>75</v>
      </c>
      <c r="Y357" s="163" t="str">
        <f t="shared" si="266"/>
        <v>Nivel III: Riesgo Moderado (Aceptable)</v>
      </c>
      <c r="Z357" s="163">
        <v>1</v>
      </c>
      <c r="AA357" s="163" t="s">
        <v>1151</v>
      </c>
      <c r="AB357" s="161" t="s">
        <v>424</v>
      </c>
      <c r="AC357" s="161" t="s">
        <v>424</v>
      </c>
      <c r="AD357" s="161" t="s">
        <v>424</v>
      </c>
      <c r="AE357" s="161" t="s">
        <v>1066</v>
      </c>
      <c r="AF357" s="161" t="s">
        <v>1182</v>
      </c>
      <c r="AG357" s="166" t="s">
        <v>460</v>
      </c>
    </row>
    <row r="358" spans="1:33" ht="89.25" hidden="1" x14ac:dyDescent="0.2">
      <c r="A358" s="162" t="s">
        <v>1292</v>
      </c>
      <c r="B358" s="162" t="s">
        <v>1234</v>
      </c>
      <c r="C358" s="162" t="s">
        <v>1174</v>
      </c>
      <c r="D358" s="162" t="s">
        <v>689</v>
      </c>
      <c r="E358" s="161" t="s">
        <v>999</v>
      </c>
      <c r="F358" s="162" t="s">
        <v>1117</v>
      </c>
      <c r="G358" s="162" t="s">
        <v>1180</v>
      </c>
      <c r="H358" s="162" t="s">
        <v>1072</v>
      </c>
      <c r="I358" s="163" t="s">
        <v>421</v>
      </c>
      <c r="J358" s="163" t="s">
        <v>422</v>
      </c>
      <c r="K358" s="163" t="s">
        <v>460</v>
      </c>
      <c r="L358" s="163" t="s">
        <v>469</v>
      </c>
      <c r="M358" s="166" t="s">
        <v>423</v>
      </c>
      <c r="N358" s="166" t="s">
        <v>423</v>
      </c>
      <c r="O358" s="162" t="s">
        <v>1026</v>
      </c>
      <c r="P358" s="163" t="s">
        <v>184</v>
      </c>
      <c r="Q358" s="171">
        <f t="shared" si="260"/>
        <v>1</v>
      </c>
      <c r="R358" s="163" t="s">
        <v>429</v>
      </c>
      <c r="S358" s="172">
        <f t="shared" si="261"/>
        <v>2</v>
      </c>
      <c r="T358" s="166">
        <f t="shared" si="262"/>
        <v>2</v>
      </c>
      <c r="U358" s="163" t="str">
        <f t="shared" si="263"/>
        <v>Bajo</v>
      </c>
      <c r="V358" s="163" t="s">
        <v>187</v>
      </c>
      <c r="W358" s="172">
        <f t="shared" si="264"/>
        <v>25</v>
      </c>
      <c r="X358" s="166">
        <f t="shared" si="265"/>
        <v>50</v>
      </c>
      <c r="Y358" s="163" t="str">
        <f t="shared" si="266"/>
        <v>Nivel III: Riesgo Moderado (Aceptable)</v>
      </c>
      <c r="Z358" s="163">
        <v>1</v>
      </c>
      <c r="AA358" s="163" t="s">
        <v>1151</v>
      </c>
      <c r="AB358" s="161" t="s">
        <v>424</v>
      </c>
      <c r="AC358" s="161" t="s">
        <v>424</v>
      </c>
      <c r="AD358" s="161" t="s">
        <v>424</v>
      </c>
      <c r="AE358" s="161" t="s">
        <v>1066</v>
      </c>
      <c r="AF358" s="161" t="s">
        <v>1183</v>
      </c>
      <c r="AG358" s="166" t="s">
        <v>460</v>
      </c>
    </row>
    <row r="359" spans="1:33" ht="89.25" hidden="1" x14ac:dyDescent="0.2">
      <c r="A359" s="162" t="s">
        <v>1292</v>
      </c>
      <c r="B359" s="162" t="s">
        <v>1234</v>
      </c>
      <c r="C359" s="162" t="s">
        <v>1174</v>
      </c>
      <c r="D359" s="162" t="s">
        <v>689</v>
      </c>
      <c r="E359" s="161" t="s">
        <v>999</v>
      </c>
      <c r="F359" s="162" t="s">
        <v>1121</v>
      </c>
      <c r="G359" s="162" t="s">
        <v>1139</v>
      </c>
      <c r="H359" s="162" t="s">
        <v>979</v>
      </c>
      <c r="I359" s="163" t="s">
        <v>421</v>
      </c>
      <c r="J359" s="163" t="s">
        <v>422</v>
      </c>
      <c r="K359" s="163" t="s">
        <v>460</v>
      </c>
      <c r="L359" s="163" t="s">
        <v>469</v>
      </c>
      <c r="M359" s="165" t="s">
        <v>423</v>
      </c>
      <c r="N359" s="161" t="s">
        <v>1140</v>
      </c>
      <c r="O359" s="162" t="s">
        <v>1092</v>
      </c>
      <c r="P359" s="163" t="s">
        <v>184</v>
      </c>
      <c r="Q359" s="171">
        <f>IF(P359="Muy Alto",10,IF(P359="Alto",6,IF(P359="Medio",2,IF(P359="Bajo",1,))))</f>
        <v>1</v>
      </c>
      <c r="R359" s="163" t="s">
        <v>485</v>
      </c>
      <c r="S359" s="172">
        <f>IF(R359="Continua",4,IF(R359="Frecuente",3,IF(R359="Ocasional",2,IF(R359="Esporádica",1,))))</f>
        <v>1</v>
      </c>
      <c r="T359" s="166">
        <f>Q359*S359</f>
        <v>1</v>
      </c>
      <c r="U359" s="163" t="s">
        <v>184</v>
      </c>
      <c r="V359" s="163" t="s">
        <v>187</v>
      </c>
      <c r="W359" s="172">
        <f>IF(V359="Mortal o catastrófico",100,IF(V359="Muy grave",60,IF(V359="Grave",25,IF(V359="Leve",10,))))</f>
        <v>25</v>
      </c>
      <c r="X359" s="166">
        <f>T359*W359</f>
        <v>25</v>
      </c>
      <c r="Y359" s="163" t="str">
        <f>IF(AND(X359&gt;=600,X359&lt;=4000),"Nivel I: Riesgo Inaceptable",IF(AND(X359&gt;=150,X359&lt;=500),"Nivel II: Riesgo Importante",IF(AND(X359&gt;=40,X359&lt;=120),"Nivel III: Riesgo Moderado (Aceptable)","Nivel IV: Riesgo Tolerable (Aceptable)")))</f>
        <v>Nivel IV: Riesgo Tolerable (Aceptable)</v>
      </c>
      <c r="Z359" s="163">
        <v>1</v>
      </c>
      <c r="AA359" s="163" t="s">
        <v>1151</v>
      </c>
      <c r="AB359" s="161" t="s">
        <v>424</v>
      </c>
      <c r="AC359" s="161" t="s">
        <v>424</v>
      </c>
      <c r="AD359" s="161" t="s">
        <v>424</v>
      </c>
      <c r="AE359" s="161" t="s">
        <v>1088</v>
      </c>
      <c r="AF359" s="161" t="s">
        <v>600</v>
      </c>
      <c r="AG359" s="166" t="s">
        <v>460</v>
      </c>
    </row>
    <row r="360" spans="1:33" ht="114.75" hidden="1" x14ac:dyDescent="0.2">
      <c r="A360" s="162" t="s">
        <v>1292</v>
      </c>
      <c r="B360" s="162" t="s">
        <v>1234</v>
      </c>
      <c r="C360" s="162" t="s">
        <v>1174</v>
      </c>
      <c r="D360" s="162" t="s">
        <v>689</v>
      </c>
      <c r="E360" s="161" t="s">
        <v>995</v>
      </c>
      <c r="F360" s="162" t="s">
        <v>714</v>
      </c>
      <c r="G360" s="162" t="s">
        <v>1181</v>
      </c>
      <c r="H360" s="162" t="s">
        <v>1135</v>
      </c>
      <c r="I360" s="163" t="s">
        <v>421</v>
      </c>
      <c r="J360" s="163" t="s">
        <v>422</v>
      </c>
      <c r="K360" s="163" t="s">
        <v>460</v>
      </c>
      <c r="L360" s="163" t="s">
        <v>469</v>
      </c>
      <c r="M360" s="161" t="s">
        <v>423</v>
      </c>
      <c r="N360" s="161" t="s">
        <v>1136</v>
      </c>
      <c r="O360" s="164" t="s">
        <v>1184</v>
      </c>
      <c r="P360" s="163" t="s">
        <v>184</v>
      </c>
      <c r="Q360" s="171">
        <f t="shared" ref="Q360:Q362" si="267">IF(P360="Muy Alto",10,IF(P360="Alto",6,IF(P360="Medio",2,IF(P360="Bajo",1,))))</f>
        <v>1</v>
      </c>
      <c r="R360" s="163" t="s">
        <v>429</v>
      </c>
      <c r="S360" s="172">
        <f t="shared" ref="S360:S362" si="268">IF(R360="Continua",4,IF(R360="Frecuente",3,IF(R360="Ocasional",2,IF(R360="Esporádica",1,))))</f>
        <v>2</v>
      </c>
      <c r="T360" s="166">
        <f t="shared" ref="T360:T362" si="269">Q360*S360</f>
        <v>2</v>
      </c>
      <c r="U360" s="163" t="str">
        <f t="shared" ref="U360:U361" si="270">IF(AND(T360&gt;=0,T360&lt;=4),"Bajo",IF(AND(T360&gt;=6,T360&lt;=8),"Medio",IF(AND(T360&gt;=10,T360&lt;=20),"Alto",IF(AND(T360&gt;=20,T360&lt;=40),"Muy Alto",))))</f>
        <v>Bajo</v>
      </c>
      <c r="V360" s="163" t="s">
        <v>187</v>
      </c>
      <c r="W360" s="172">
        <f t="shared" ref="W360:W362" si="271">IF(V360="Mortal o catastrófico",100,IF(V360="Muy grave",60,IF(V360="Grave",25,IF(V360="Leve",10,))))</f>
        <v>25</v>
      </c>
      <c r="X360" s="166">
        <f t="shared" ref="X360:X362" si="272">T360*W360</f>
        <v>50</v>
      </c>
      <c r="Y360" s="163" t="str">
        <f t="shared" ref="Y360:Y362" si="273">IF(AND(X360&gt;=600,X360&lt;=4000),"Nivel I: Riesgo Inaceptable",IF(AND(X360&gt;=150,X360&lt;=500),"Nivel II: Riesgo Importante",IF(AND(X360&gt;=40,X360&lt;=120),"Nivel III: Riesgo Moderado (Aceptable)","Nivel IV: Riesgo Tolerable (Aceptable)")))</f>
        <v>Nivel III: Riesgo Moderado (Aceptable)</v>
      </c>
      <c r="Z360" s="163">
        <v>1</v>
      </c>
      <c r="AA360" s="163" t="s">
        <v>1151</v>
      </c>
      <c r="AB360" s="161" t="s">
        <v>424</v>
      </c>
      <c r="AC360" s="161" t="s">
        <v>424</v>
      </c>
      <c r="AD360" s="161" t="s">
        <v>424</v>
      </c>
      <c r="AE360" s="161" t="s">
        <v>1039</v>
      </c>
      <c r="AF360" s="161" t="s">
        <v>1040</v>
      </c>
      <c r="AG360" s="166" t="s">
        <v>460</v>
      </c>
    </row>
    <row r="361" spans="1:33" ht="114.75" hidden="1" x14ac:dyDescent="0.2">
      <c r="A361" s="162" t="s">
        <v>1292</v>
      </c>
      <c r="B361" s="162" t="s">
        <v>1234</v>
      </c>
      <c r="C361" s="162" t="s">
        <v>1174</v>
      </c>
      <c r="D361" s="162" t="s">
        <v>689</v>
      </c>
      <c r="E361" s="161" t="s">
        <v>995</v>
      </c>
      <c r="F361" s="162" t="s">
        <v>715</v>
      </c>
      <c r="G361" s="162" t="s">
        <v>1181</v>
      </c>
      <c r="H361" s="162" t="s">
        <v>1135</v>
      </c>
      <c r="I361" s="163" t="s">
        <v>421</v>
      </c>
      <c r="J361" s="163" t="s">
        <v>422</v>
      </c>
      <c r="K361" s="163" t="s">
        <v>460</v>
      </c>
      <c r="L361" s="163" t="s">
        <v>469</v>
      </c>
      <c r="M361" s="161" t="s">
        <v>423</v>
      </c>
      <c r="N361" s="161" t="s">
        <v>1136</v>
      </c>
      <c r="O361" s="164" t="s">
        <v>1184</v>
      </c>
      <c r="P361" s="163" t="s">
        <v>184</v>
      </c>
      <c r="Q361" s="171">
        <f t="shared" si="267"/>
        <v>1</v>
      </c>
      <c r="R361" s="163" t="s">
        <v>429</v>
      </c>
      <c r="S361" s="172">
        <f t="shared" si="268"/>
        <v>2</v>
      </c>
      <c r="T361" s="166">
        <f t="shared" si="269"/>
        <v>2</v>
      </c>
      <c r="U361" s="163" t="str">
        <f t="shared" si="270"/>
        <v>Bajo</v>
      </c>
      <c r="V361" s="163" t="s">
        <v>187</v>
      </c>
      <c r="W361" s="172">
        <f t="shared" si="271"/>
        <v>25</v>
      </c>
      <c r="X361" s="166">
        <f t="shared" si="272"/>
        <v>50</v>
      </c>
      <c r="Y361" s="163" t="str">
        <f t="shared" si="273"/>
        <v>Nivel III: Riesgo Moderado (Aceptable)</v>
      </c>
      <c r="Z361" s="163">
        <v>1</v>
      </c>
      <c r="AA361" s="163" t="s">
        <v>1151</v>
      </c>
      <c r="AB361" s="161" t="s">
        <v>424</v>
      </c>
      <c r="AC361" s="161" t="s">
        <v>424</v>
      </c>
      <c r="AD361" s="161" t="s">
        <v>424</v>
      </c>
      <c r="AE361" s="161" t="s">
        <v>1039</v>
      </c>
      <c r="AF361" s="161" t="s">
        <v>1185</v>
      </c>
      <c r="AG361" s="166" t="s">
        <v>460</v>
      </c>
    </row>
    <row r="362" spans="1:33" ht="89.25" hidden="1" x14ac:dyDescent="0.2">
      <c r="A362" s="162" t="s">
        <v>1292</v>
      </c>
      <c r="B362" s="162" t="s">
        <v>1234</v>
      </c>
      <c r="C362" s="162" t="s">
        <v>1174</v>
      </c>
      <c r="D362" s="162" t="s">
        <v>689</v>
      </c>
      <c r="E362" s="161" t="s">
        <v>1000</v>
      </c>
      <c r="F362" s="162" t="s">
        <v>1123</v>
      </c>
      <c r="G362" s="162" t="s">
        <v>1186</v>
      </c>
      <c r="H362" s="162" t="s">
        <v>1021</v>
      </c>
      <c r="I362" s="163" t="s">
        <v>421</v>
      </c>
      <c r="J362" s="163" t="s">
        <v>422</v>
      </c>
      <c r="K362" s="163" t="s">
        <v>460</v>
      </c>
      <c r="L362" s="163" t="s">
        <v>469</v>
      </c>
      <c r="M362" s="161" t="s">
        <v>423</v>
      </c>
      <c r="N362" s="161" t="s">
        <v>1145</v>
      </c>
      <c r="O362" s="162" t="s">
        <v>1144</v>
      </c>
      <c r="P362" s="163" t="s">
        <v>184</v>
      </c>
      <c r="Q362" s="171">
        <f t="shared" si="267"/>
        <v>1</v>
      </c>
      <c r="R362" s="163" t="s">
        <v>485</v>
      </c>
      <c r="S362" s="172">
        <f t="shared" si="268"/>
        <v>1</v>
      </c>
      <c r="T362" s="166">
        <f t="shared" si="269"/>
        <v>1</v>
      </c>
      <c r="U362" s="163" t="s">
        <v>184</v>
      </c>
      <c r="V362" s="163" t="s">
        <v>187</v>
      </c>
      <c r="W362" s="172">
        <f t="shared" si="271"/>
        <v>25</v>
      </c>
      <c r="X362" s="166">
        <f t="shared" si="272"/>
        <v>25</v>
      </c>
      <c r="Y362" s="163" t="str">
        <f t="shared" si="273"/>
        <v>Nivel IV: Riesgo Tolerable (Aceptable)</v>
      </c>
      <c r="Z362" s="163">
        <v>1</v>
      </c>
      <c r="AA362" s="163" t="s">
        <v>1151</v>
      </c>
      <c r="AB362" s="161" t="s">
        <v>424</v>
      </c>
      <c r="AC362" s="161" t="s">
        <v>424</v>
      </c>
      <c r="AD362" s="161" t="s">
        <v>424</v>
      </c>
      <c r="AE362" s="161" t="s">
        <v>1147</v>
      </c>
      <c r="AF362" s="161" t="s">
        <v>600</v>
      </c>
      <c r="AG362" s="166" t="s">
        <v>460</v>
      </c>
    </row>
    <row r="363" spans="1:33" ht="102" hidden="1" x14ac:dyDescent="0.2">
      <c r="A363" s="162" t="s">
        <v>1292</v>
      </c>
      <c r="B363" s="162" t="s">
        <v>1234</v>
      </c>
      <c r="C363" s="162" t="s">
        <v>1174</v>
      </c>
      <c r="D363" s="162" t="s">
        <v>689</v>
      </c>
      <c r="E363" s="161" t="s">
        <v>996</v>
      </c>
      <c r="F363" s="162" t="s">
        <v>430</v>
      </c>
      <c r="G363" s="162" t="s">
        <v>486</v>
      </c>
      <c r="H363" s="162" t="s">
        <v>623</v>
      </c>
      <c r="I363" s="163" t="s">
        <v>421</v>
      </c>
      <c r="J363" s="163" t="s">
        <v>422</v>
      </c>
      <c r="K363" s="163" t="s">
        <v>460</v>
      </c>
      <c r="L363" s="163" t="s">
        <v>469</v>
      </c>
      <c r="M363" s="163" t="s">
        <v>1074</v>
      </c>
      <c r="N363" s="169" t="s">
        <v>1073</v>
      </c>
      <c r="O363" s="162" t="s">
        <v>1032</v>
      </c>
      <c r="P363" s="163" t="s">
        <v>184</v>
      </c>
      <c r="Q363" s="171">
        <f>IF(P363="Muy Alto",10,IF(P363="Alto",6,IF(P363="Medio",2,IF(P363="Bajo",1,))))</f>
        <v>1</v>
      </c>
      <c r="R363" s="163" t="s">
        <v>485</v>
      </c>
      <c r="S363" s="172">
        <f>IF(R363="Continua",4,IF(R363="Frecuente",3,IF(R363="Ocasional",2,IF(R363="Esporádica",1,))))</f>
        <v>1</v>
      </c>
      <c r="T363" s="166">
        <f>Q363*S363</f>
        <v>1</v>
      </c>
      <c r="U363" s="163" t="str">
        <f>IF(AND(T363&gt;=0,T363&lt;=4),"Bajo",IF(AND(T363&gt;=6,T363&lt;=8),"Medio",IF(AND(T363&gt;=10,T363&lt;=20),"Alto",IF(AND(T363&gt;=20,T363&lt;=40),"Muy Alto",))))</f>
        <v>Bajo</v>
      </c>
      <c r="V363" s="163" t="s">
        <v>428</v>
      </c>
      <c r="W363" s="172">
        <f>IF(V363="Mortal o catastrófico",100,IF(V363="Muy grave",60,IF(V363="Grave",25,IF(V363="Leve",10,))))</f>
        <v>10</v>
      </c>
      <c r="X363" s="166">
        <f>T363*W363</f>
        <v>10</v>
      </c>
      <c r="Y363" s="163" t="str">
        <f>IF(AND(X363&gt;=600,X363&lt;=4000),"Nivel I: Riesgo Inaceptable",IF(AND(X363&gt;=150,X363&lt;=500),"Nivel II: Riesgo Importante",IF(AND(X363&gt;=40,X363&lt;=120),"Nivel III: Riesgo Moderado (Aceptable)","Nivel IV: Riesgo Tolerable (Aceptable)")))</f>
        <v>Nivel IV: Riesgo Tolerable (Aceptable)</v>
      </c>
      <c r="Z363" s="163">
        <v>1</v>
      </c>
      <c r="AA363" s="163" t="s">
        <v>1151</v>
      </c>
      <c r="AB363" s="161" t="s">
        <v>424</v>
      </c>
      <c r="AC363" s="161" t="s">
        <v>424</v>
      </c>
      <c r="AD363" s="161" t="s">
        <v>424</v>
      </c>
      <c r="AE363" s="161" t="s">
        <v>1075</v>
      </c>
      <c r="AF363" s="161" t="s">
        <v>600</v>
      </c>
      <c r="AG363" s="166" t="s">
        <v>460</v>
      </c>
    </row>
    <row r="364" spans="1:33" ht="127.5" hidden="1" x14ac:dyDescent="0.2">
      <c r="A364" s="162" t="s">
        <v>1292</v>
      </c>
      <c r="B364" s="162" t="s">
        <v>1234</v>
      </c>
      <c r="C364" s="162" t="s">
        <v>1174</v>
      </c>
      <c r="D364" s="162" t="s">
        <v>689</v>
      </c>
      <c r="E364" s="161" t="s">
        <v>997</v>
      </c>
      <c r="F364" s="162" t="s">
        <v>1107</v>
      </c>
      <c r="G364" s="162" t="s">
        <v>1293</v>
      </c>
      <c r="H364" s="162" t="s">
        <v>1294</v>
      </c>
      <c r="I364" s="163" t="s">
        <v>529</v>
      </c>
      <c r="J364" s="163" t="s">
        <v>422</v>
      </c>
      <c r="K364" s="163" t="s">
        <v>460</v>
      </c>
      <c r="L364" s="163" t="s">
        <v>469</v>
      </c>
      <c r="M364" s="162" t="s">
        <v>1295</v>
      </c>
      <c r="N364" s="161" t="s">
        <v>1296</v>
      </c>
      <c r="O364" s="162" t="s">
        <v>1299</v>
      </c>
      <c r="P364" s="163" t="s">
        <v>184</v>
      </c>
      <c r="Q364" s="171">
        <f>IF(P364="Muy Alto",10,IF(P364="Alto",6,IF(P364="Medio",2,IF(P364="Bajo",1,))))</f>
        <v>1</v>
      </c>
      <c r="R364" s="163" t="s">
        <v>429</v>
      </c>
      <c r="S364" s="172">
        <f>IF(R364="Continua",4,IF(R364="Frecuente",3,IF(R364="Ocasional",2,IF(R364="Esporádica",1,))))</f>
        <v>2</v>
      </c>
      <c r="T364" s="166">
        <f>Q364*S364</f>
        <v>2</v>
      </c>
      <c r="U364" s="163" t="str">
        <f>IF(AND(T364&gt;=0,T364&lt;=4),"Bajo",IF(AND(T364&gt;=6,T364&lt;=8),"Medio",IF(AND(T364&gt;=10,T364&lt;=20),"Alto",IF(AND(T364&gt;=20,T364&lt;=40),"Muy Alto",))))</f>
        <v>Bajo</v>
      </c>
      <c r="V364" s="163" t="s">
        <v>187</v>
      </c>
      <c r="W364" s="172">
        <f>IF(V364="Mortal o catastrófico",100,IF(V364="Muy grave",60,IF(V364="Grave",25,IF(V364="Leve",10,))))</f>
        <v>25</v>
      </c>
      <c r="X364" s="166">
        <f>T364*W364</f>
        <v>50</v>
      </c>
      <c r="Y364" s="163" t="str">
        <f>IF(AND(X364&gt;=600,X364&lt;=4000),"Nivel I: Riesgo Inaceptable",IF(AND(X364&gt;=150,X364&lt;=500),"Nivel II: Riesgo Importante",IF(AND(X364&gt;=40,X364&lt;=120),"Nivel III: Riesgo Moderado (Aceptable)","Nivel IV: Riesgo Tolerable (Aceptable)")))</f>
        <v>Nivel III: Riesgo Moderado (Aceptable)</v>
      </c>
      <c r="Z364" s="163">
        <v>1</v>
      </c>
      <c r="AA364" s="163" t="s">
        <v>1151</v>
      </c>
      <c r="AB364" s="161" t="s">
        <v>424</v>
      </c>
      <c r="AC364" s="161" t="s">
        <v>424</v>
      </c>
      <c r="AD364" s="161" t="s">
        <v>424</v>
      </c>
      <c r="AE364" s="161" t="s">
        <v>1189</v>
      </c>
      <c r="AF364" s="161" t="s">
        <v>1190</v>
      </c>
      <c r="AG364" s="166" t="s">
        <v>460</v>
      </c>
    </row>
    <row r="365" spans="1:33" ht="89.25" hidden="1" x14ac:dyDescent="0.2">
      <c r="A365" s="162" t="s">
        <v>1292</v>
      </c>
      <c r="B365" s="162" t="s">
        <v>1234</v>
      </c>
      <c r="C365" s="162" t="s">
        <v>1174</v>
      </c>
      <c r="D365" s="162" t="s">
        <v>689</v>
      </c>
      <c r="E365" s="161" t="s">
        <v>997</v>
      </c>
      <c r="F365" s="162" t="s">
        <v>176</v>
      </c>
      <c r="G365" s="162" t="s">
        <v>1187</v>
      </c>
      <c r="H365" s="162" t="s">
        <v>1300</v>
      </c>
      <c r="I365" s="163" t="s">
        <v>421</v>
      </c>
      <c r="J365" s="163" t="s">
        <v>422</v>
      </c>
      <c r="K365" s="163" t="s">
        <v>460</v>
      </c>
      <c r="L365" s="163" t="s">
        <v>469</v>
      </c>
      <c r="M365" s="162" t="s">
        <v>1297</v>
      </c>
      <c r="N365" s="161" t="s">
        <v>1298</v>
      </c>
      <c r="O365" s="162" t="s">
        <v>1188</v>
      </c>
      <c r="P365" s="163" t="s">
        <v>184</v>
      </c>
      <c r="Q365" s="171">
        <f>IF(P365="Muy Alto",10,IF(P365="Alto",6,IF(P365="Medio",2,IF(P365="Bajo",1,))))</f>
        <v>1</v>
      </c>
      <c r="R365" s="163" t="s">
        <v>429</v>
      </c>
      <c r="S365" s="172">
        <f>IF(R365="Continua",4,IF(R365="Frecuente",3,IF(R365="Ocasional",2,IF(R365="Esporádica",1,))))</f>
        <v>2</v>
      </c>
      <c r="T365" s="166">
        <f>Q365*S365</f>
        <v>2</v>
      </c>
      <c r="U365" s="163" t="str">
        <f>IF(AND(T365&gt;=0,T365&lt;=4),"Bajo",IF(AND(T365&gt;=6,T365&lt;=8),"Medio",IF(AND(T365&gt;=10,T365&lt;=20),"Alto",IF(AND(T365&gt;=20,T365&lt;=40),"Muy Alto",))))</f>
        <v>Bajo</v>
      </c>
      <c r="V365" s="163" t="s">
        <v>187</v>
      </c>
      <c r="W365" s="172">
        <f>IF(V365="Mortal o catastrófico",100,IF(V365="Muy grave",60,IF(V365="Grave",25,IF(V365="Leve",10,))))</f>
        <v>25</v>
      </c>
      <c r="X365" s="166">
        <f>T365*W365</f>
        <v>50</v>
      </c>
      <c r="Y365" s="163" t="str">
        <f>IF(AND(X365&gt;=600,X365&lt;=4000),"Nivel I: Riesgo Inaceptable",IF(AND(X365&gt;=150,X365&lt;=500),"Nivel II: Riesgo Importante",IF(AND(X365&gt;=40,X365&lt;=120),"Nivel III: Riesgo Moderado (Aceptable)","Nivel IV: Riesgo Tolerable (Aceptable)")))</f>
        <v>Nivel III: Riesgo Moderado (Aceptable)</v>
      </c>
      <c r="Z365" s="163">
        <v>1</v>
      </c>
      <c r="AA365" s="163" t="s">
        <v>1151</v>
      </c>
      <c r="AB365" s="161" t="s">
        <v>424</v>
      </c>
      <c r="AC365" s="161" t="s">
        <v>424</v>
      </c>
      <c r="AD365" s="161" t="s">
        <v>424</v>
      </c>
      <c r="AE365" s="161" t="s">
        <v>1189</v>
      </c>
      <c r="AF365" s="161" t="s">
        <v>1190</v>
      </c>
      <c r="AG365" s="166" t="s">
        <v>460</v>
      </c>
    </row>
    <row r="366" spans="1:33" ht="89.25" hidden="1" x14ac:dyDescent="0.2">
      <c r="A366" s="162" t="s">
        <v>880</v>
      </c>
      <c r="B366" s="162" t="s">
        <v>1095</v>
      </c>
      <c r="C366" s="162" t="s">
        <v>1193</v>
      </c>
      <c r="D366" s="162" t="s">
        <v>1195</v>
      </c>
      <c r="E366" s="161" t="s">
        <v>998</v>
      </c>
      <c r="F366" s="162" t="s">
        <v>178</v>
      </c>
      <c r="G366" s="162" t="s">
        <v>1067</v>
      </c>
      <c r="H366" s="162" t="s">
        <v>559</v>
      </c>
      <c r="I366" s="163" t="s">
        <v>421</v>
      </c>
      <c r="J366" s="163" t="s">
        <v>422</v>
      </c>
      <c r="K366" s="163" t="s">
        <v>460</v>
      </c>
      <c r="L366" s="163" t="s">
        <v>469</v>
      </c>
      <c r="M366" s="161" t="s">
        <v>606</v>
      </c>
      <c r="N366" s="161" t="s">
        <v>606</v>
      </c>
      <c r="O366" s="162" t="s">
        <v>1046</v>
      </c>
      <c r="P366" s="163" t="s">
        <v>185</v>
      </c>
      <c r="Q366" s="171">
        <f t="shared" ref="Q366:Q372" si="274">IF(P366="Muy Alto",10,IF(P366="Alto",6,IF(P366="Medio",2,IF(P366="Bajo",1,))))</f>
        <v>2</v>
      </c>
      <c r="R366" s="163" t="s">
        <v>186</v>
      </c>
      <c r="S366" s="172">
        <f t="shared" ref="S366:S372" si="275">IF(R366="Continua",4,IF(R366="Frecuente",3,IF(R366="Ocasional",2,IF(R366="Esporádica",1,))))</f>
        <v>4</v>
      </c>
      <c r="T366" s="166">
        <f t="shared" ref="T366:T372" si="276">Q366*S366</f>
        <v>8</v>
      </c>
      <c r="U366" s="163" t="str">
        <f t="shared" ref="U366:U371" si="277">IF(AND(T366&gt;=0,T366&lt;=4),"Bajo",IF(AND(T366&gt;=6,T366&lt;=8),"Medio",IF(AND(T366&gt;=10,T366&lt;=20),"Alto",IF(AND(T366&gt;=20,T366&lt;=40),"Muy Alto",))))</f>
        <v>Medio</v>
      </c>
      <c r="V366" s="163" t="s">
        <v>187</v>
      </c>
      <c r="W366" s="172">
        <f t="shared" ref="W366:W372" si="278">IF(V366="Mortal o catastrófico",100,IF(V366="Muy grave",60,IF(V366="Grave",25,IF(V366="Leve",10,))))</f>
        <v>25</v>
      </c>
      <c r="X366" s="166">
        <f t="shared" ref="X366:X372" si="279">T366*W366</f>
        <v>200</v>
      </c>
      <c r="Y366" s="163" t="str">
        <f t="shared" ref="Y366:Y372" si="280">IF(AND(X366&gt;=600,X366&lt;=4000),"Nivel I: Riesgo Inaceptable",IF(AND(X366&gt;=150,X366&lt;=500),"Nivel II: Riesgo Importante",IF(AND(X366&gt;=40,X366&lt;=120),"Nivel III: Riesgo Moderado (Aceptable)","Nivel IV: Riesgo Tolerable (Aceptable)")))</f>
        <v>Nivel II: Riesgo Importante</v>
      </c>
      <c r="Z366" s="163">
        <v>1</v>
      </c>
      <c r="AA366" s="163" t="s">
        <v>1151</v>
      </c>
      <c r="AB366" s="161" t="s">
        <v>424</v>
      </c>
      <c r="AC366" s="161" t="s">
        <v>424</v>
      </c>
      <c r="AD366" s="161" t="s">
        <v>424</v>
      </c>
      <c r="AE366" s="161" t="s">
        <v>1130</v>
      </c>
      <c r="AF366" s="161" t="s">
        <v>600</v>
      </c>
      <c r="AG366" s="166" t="s">
        <v>460</v>
      </c>
    </row>
    <row r="367" spans="1:33" ht="140.25" hidden="1" x14ac:dyDescent="0.2">
      <c r="A367" s="162" t="s">
        <v>880</v>
      </c>
      <c r="B367" s="162" t="s">
        <v>1095</v>
      </c>
      <c r="C367" s="162" t="s">
        <v>1193</v>
      </c>
      <c r="D367" s="162" t="s">
        <v>1195</v>
      </c>
      <c r="E367" s="161" t="s">
        <v>175</v>
      </c>
      <c r="F367" s="162" t="s">
        <v>1111</v>
      </c>
      <c r="G367" s="162" t="s">
        <v>1165</v>
      </c>
      <c r="H367" s="162" t="s">
        <v>602</v>
      </c>
      <c r="I367" s="173" t="s">
        <v>421</v>
      </c>
      <c r="J367" s="173" t="s">
        <v>422</v>
      </c>
      <c r="K367" s="174" t="s">
        <v>460</v>
      </c>
      <c r="L367" s="174" t="s">
        <v>469</v>
      </c>
      <c r="M367" s="175" t="s">
        <v>1167</v>
      </c>
      <c r="N367" s="175" t="s">
        <v>423</v>
      </c>
      <c r="O367" s="176" t="s">
        <v>1166</v>
      </c>
      <c r="P367" s="177" t="s">
        <v>185</v>
      </c>
      <c r="Q367" s="178">
        <f t="shared" si="274"/>
        <v>2</v>
      </c>
      <c r="R367" s="177" t="s">
        <v>429</v>
      </c>
      <c r="S367" s="179">
        <f t="shared" si="275"/>
        <v>2</v>
      </c>
      <c r="T367" s="180">
        <f t="shared" si="276"/>
        <v>4</v>
      </c>
      <c r="U367" s="181" t="str">
        <f t="shared" si="277"/>
        <v>Bajo</v>
      </c>
      <c r="V367" s="181" t="s">
        <v>428</v>
      </c>
      <c r="W367" s="179">
        <f t="shared" si="278"/>
        <v>10</v>
      </c>
      <c r="X367" s="180">
        <f t="shared" si="279"/>
        <v>40</v>
      </c>
      <c r="Y367" s="181" t="str">
        <f t="shared" si="280"/>
        <v>Nivel III: Riesgo Moderado (Aceptable)</v>
      </c>
      <c r="Z367" s="163">
        <v>1</v>
      </c>
      <c r="AA367" s="163" t="s">
        <v>1151</v>
      </c>
      <c r="AB367" s="175" t="s">
        <v>424</v>
      </c>
      <c r="AC367" s="175" t="s">
        <v>424</v>
      </c>
      <c r="AD367" s="175" t="s">
        <v>424</v>
      </c>
      <c r="AE367" s="182" t="s">
        <v>1035</v>
      </c>
      <c r="AF367" s="183" t="s">
        <v>600</v>
      </c>
      <c r="AG367" s="184" t="s">
        <v>460</v>
      </c>
    </row>
    <row r="368" spans="1:33" ht="140.25" hidden="1" x14ac:dyDescent="0.2">
      <c r="A368" s="162" t="s">
        <v>880</v>
      </c>
      <c r="B368" s="162" t="s">
        <v>1095</v>
      </c>
      <c r="C368" s="162" t="s">
        <v>1193</v>
      </c>
      <c r="D368" s="162" t="s">
        <v>1195</v>
      </c>
      <c r="E368" s="161" t="s">
        <v>175</v>
      </c>
      <c r="F368" s="162" t="s">
        <v>1197</v>
      </c>
      <c r="G368" s="162" t="s">
        <v>1199</v>
      </c>
      <c r="H368" s="170" t="s">
        <v>1198</v>
      </c>
      <c r="I368" s="173" t="s">
        <v>421</v>
      </c>
      <c r="J368" s="173" t="s">
        <v>422</v>
      </c>
      <c r="K368" s="174" t="s">
        <v>460</v>
      </c>
      <c r="L368" s="174" t="s">
        <v>469</v>
      </c>
      <c r="M368" s="175" t="s">
        <v>1167</v>
      </c>
      <c r="N368" s="175" t="s">
        <v>423</v>
      </c>
      <c r="O368" s="176" t="s">
        <v>1166</v>
      </c>
      <c r="P368" s="177" t="s">
        <v>185</v>
      </c>
      <c r="Q368" s="178">
        <f t="shared" si="274"/>
        <v>2</v>
      </c>
      <c r="R368" s="177" t="s">
        <v>416</v>
      </c>
      <c r="S368" s="179">
        <f t="shared" si="275"/>
        <v>3</v>
      </c>
      <c r="T368" s="180">
        <f t="shared" si="276"/>
        <v>6</v>
      </c>
      <c r="U368" s="181" t="str">
        <f t="shared" si="277"/>
        <v>Medio</v>
      </c>
      <c r="V368" s="181" t="s">
        <v>187</v>
      </c>
      <c r="W368" s="179">
        <f t="shared" si="278"/>
        <v>25</v>
      </c>
      <c r="X368" s="180">
        <f t="shared" si="279"/>
        <v>150</v>
      </c>
      <c r="Y368" s="181" t="str">
        <f t="shared" si="280"/>
        <v>Nivel II: Riesgo Importante</v>
      </c>
      <c r="Z368" s="163">
        <v>1</v>
      </c>
      <c r="AA368" s="163" t="s">
        <v>1151</v>
      </c>
      <c r="AB368" s="175" t="s">
        <v>424</v>
      </c>
      <c r="AC368" s="175" t="s">
        <v>424</v>
      </c>
      <c r="AD368" s="175" t="s">
        <v>424</v>
      </c>
      <c r="AE368" s="182" t="s">
        <v>1196</v>
      </c>
      <c r="AF368" s="183" t="s">
        <v>600</v>
      </c>
      <c r="AG368" s="184" t="s">
        <v>460</v>
      </c>
    </row>
    <row r="369" spans="1:33" ht="63.75" hidden="1" x14ac:dyDescent="0.2">
      <c r="A369" s="162" t="s">
        <v>880</v>
      </c>
      <c r="B369" s="162" t="s">
        <v>1095</v>
      </c>
      <c r="C369" s="162" t="s">
        <v>1193</v>
      </c>
      <c r="D369" s="162" t="s">
        <v>1195</v>
      </c>
      <c r="E369" s="161" t="s">
        <v>999</v>
      </c>
      <c r="F369" s="162" t="s">
        <v>292</v>
      </c>
      <c r="G369" s="162" t="s">
        <v>1149</v>
      </c>
      <c r="H369" s="162" t="s">
        <v>472</v>
      </c>
      <c r="I369" s="163" t="s">
        <v>421</v>
      </c>
      <c r="J369" s="163" t="s">
        <v>461</v>
      </c>
      <c r="K369" s="163" t="s">
        <v>460</v>
      </c>
      <c r="L369" s="163" t="s">
        <v>469</v>
      </c>
      <c r="M369" s="161" t="s">
        <v>606</v>
      </c>
      <c r="N369" s="161" t="s">
        <v>1069</v>
      </c>
      <c r="O369" s="162" t="s">
        <v>1070</v>
      </c>
      <c r="P369" s="163" t="s">
        <v>184</v>
      </c>
      <c r="Q369" s="171">
        <f t="shared" si="274"/>
        <v>1</v>
      </c>
      <c r="R369" s="163" t="s">
        <v>429</v>
      </c>
      <c r="S369" s="172">
        <f t="shared" si="275"/>
        <v>2</v>
      </c>
      <c r="T369" s="166">
        <f t="shared" si="276"/>
        <v>2</v>
      </c>
      <c r="U369" s="163" t="str">
        <f t="shared" si="277"/>
        <v>Bajo</v>
      </c>
      <c r="V369" s="163" t="s">
        <v>428</v>
      </c>
      <c r="W369" s="172">
        <f t="shared" si="278"/>
        <v>10</v>
      </c>
      <c r="X369" s="166">
        <f t="shared" si="279"/>
        <v>20</v>
      </c>
      <c r="Y369" s="163" t="str">
        <f t="shared" si="280"/>
        <v>Nivel IV: Riesgo Tolerable (Aceptable)</v>
      </c>
      <c r="Z369" s="163">
        <v>1</v>
      </c>
      <c r="AA369" s="163" t="s">
        <v>1151</v>
      </c>
      <c r="AB369" s="161" t="s">
        <v>424</v>
      </c>
      <c r="AC369" s="161" t="s">
        <v>424</v>
      </c>
      <c r="AD369" s="161" t="s">
        <v>424</v>
      </c>
      <c r="AE369" s="161" t="s">
        <v>1071</v>
      </c>
      <c r="AF369" s="161" t="s">
        <v>600</v>
      </c>
      <c r="AG369" s="166" t="s">
        <v>460</v>
      </c>
    </row>
    <row r="370" spans="1:33" ht="76.5" hidden="1" x14ac:dyDescent="0.2">
      <c r="A370" s="162" t="s">
        <v>880</v>
      </c>
      <c r="B370" s="162" t="s">
        <v>1095</v>
      </c>
      <c r="C370" s="162" t="s">
        <v>1193</v>
      </c>
      <c r="D370" s="162" t="s">
        <v>1195</v>
      </c>
      <c r="E370" s="161" t="s">
        <v>999</v>
      </c>
      <c r="F370" s="162" t="s">
        <v>288</v>
      </c>
      <c r="G370" s="162" t="s">
        <v>1131</v>
      </c>
      <c r="H370" s="162" t="s">
        <v>614</v>
      </c>
      <c r="I370" s="163" t="s">
        <v>421</v>
      </c>
      <c r="J370" s="163" t="s">
        <v>461</v>
      </c>
      <c r="K370" s="163" t="s">
        <v>460</v>
      </c>
      <c r="L370" s="163" t="s">
        <v>469</v>
      </c>
      <c r="M370" s="166" t="s">
        <v>423</v>
      </c>
      <c r="N370" s="162" t="s">
        <v>1132</v>
      </c>
      <c r="O370" s="162" t="s">
        <v>1026</v>
      </c>
      <c r="P370" s="163" t="s">
        <v>184</v>
      </c>
      <c r="Q370" s="171">
        <f t="shared" si="274"/>
        <v>1</v>
      </c>
      <c r="R370" s="163" t="s">
        <v>485</v>
      </c>
      <c r="S370" s="172">
        <f t="shared" si="275"/>
        <v>1</v>
      </c>
      <c r="T370" s="166">
        <f t="shared" si="276"/>
        <v>1</v>
      </c>
      <c r="U370" s="163" t="str">
        <f t="shared" si="277"/>
        <v>Bajo</v>
      </c>
      <c r="V370" s="163" t="s">
        <v>187</v>
      </c>
      <c r="W370" s="172">
        <f t="shared" si="278"/>
        <v>25</v>
      </c>
      <c r="X370" s="166">
        <f t="shared" si="279"/>
        <v>25</v>
      </c>
      <c r="Y370" s="163" t="str">
        <f t="shared" si="280"/>
        <v>Nivel IV: Riesgo Tolerable (Aceptable)</v>
      </c>
      <c r="Z370" s="163">
        <v>1</v>
      </c>
      <c r="AA370" s="163" t="s">
        <v>1151</v>
      </c>
      <c r="AB370" s="161" t="s">
        <v>424</v>
      </c>
      <c r="AC370" s="161" t="s">
        <v>424</v>
      </c>
      <c r="AD370" s="161" t="s">
        <v>424</v>
      </c>
      <c r="AE370" s="161" t="s">
        <v>1066</v>
      </c>
      <c r="AF370" s="161" t="s">
        <v>600</v>
      </c>
      <c r="AG370" s="166" t="s">
        <v>460</v>
      </c>
    </row>
    <row r="371" spans="1:33" ht="76.5" hidden="1" x14ac:dyDescent="0.2">
      <c r="A371" s="162" t="s">
        <v>880</v>
      </c>
      <c r="B371" s="162" t="s">
        <v>1095</v>
      </c>
      <c r="C371" s="162" t="s">
        <v>1193</v>
      </c>
      <c r="D371" s="162" t="s">
        <v>1195</v>
      </c>
      <c r="E371" s="161" t="s">
        <v>999</v>
      </c>
      <c r="F371" s="162" t="s">
        <v>1117</v>
      </c>
      <c r="G371" s="162" t="s">
        <v>564</v>
      </c>
      <c r="H371" s="162" t="s">
        <v>1072</v>
      </c>
      <c r="I371" s="163" t="s">
        <v>421</v>
      </c>
      <c r="J371" s="163" t="s">
        <v>461</v>
      </c>
      <c r="K371" s="163" t="s">
        <v>460</v>
      </c>
      <c r="L371" s="163" t="s">
        <v>469</v>
      </c>
      <c r="M371" s="166" t="s">
        <v>423</v>
      </c>
      <c r="N371" s="166" t="s">
        <v>423</v>
      </c>
      <c r="O371" s="162" t="s">
        <v>1026</v>
      </c>
      <c r="P371" s="163" t="s">
        <v>184</v>
      </c>
      <c r="Q371" s="171">
        <f t="shared" si="274"/>
        <v>1</v>
      </c>
      <c r="R371" s="163" t="s">
        <v>485</v>
      </c>
      <c r="S371" s="172">
        <f t="shared" si="275"/>
        <v>1</v>
      </c>
      <c r="T371" s="166">
        <f t="shared" si="276"/>
        <v>1</v>
      </c>
      <c r="U371" s="163" t="str">
        <f t="shared" si="277"/>
        <v>Bajo</v>
      </c>
      <c r="V371" s="163" t="s">
        <v>428</v>
      </c>
      <c r="W371" s="172">
        <f t="shared" si="278"/>
        <v>10</v>
      </c>
      <c r="X371" s="166">
        <f t="shared" si="279"/>
        <v>10</v>
      </c>
      <c r="Y371" s="163" t="str">
        <f t="shared" si="280"/>
        <v>Nivel IV: Riesgo Tolerable (Aceptable)</v>
      </c>
      <c r="Z371" s="163">
        <v>1</v>
      </c>
      <c r="AA371" s="163" t="s">
        <v>1151</v>
      </c>
      <c r="AB371" s="161" t="s">
        <v>424</v>
      </c>
      <c r="AC371" s="161" t="s">
        <v>424</v>
      </c>
      <c r="AD371" s="161" t="s">
        <v>424</v>
      </c>
      <c r="AE371" s="161" t="s">
        <v>1066</v>
      </c>
      <c r="AF371" s="161" t="s">
        <v>600</v>
      </c>
      <c r="AG371" s="166" t="s">
        <v>460</v>
      </c>
    </row>
    <row r="372" spans="1:33" ht="76.5" hidden="1" x14ac:dyDescent="0.2">
      <c r="A372" s="162" t="s">
        <v>880</v>
      </c>
      <c r="B372" s="162" t="s">
        <v>1095</v>
      </c>
      <c r="C372" s="162" t="s">
        <v>1193</v>
      </c>
      <c r="D372" s="162" t="s">
        <v>1195</v>
      </c>
      <c r="E372" s="161" t="s">
        <v>999</v>
      </c>
      <c r="F372" s="162" t="s">
        <v>1119</v>
      </c>
      <c r="G372" s="162" t="s">
        <v>1133</v>
      </c>
      <c r="H372" s="162" t="s">
        <v>966</v>
      </c>
      <c r="I372" s="163" t="s">
        <v>421</v>
      </c>
      <c r="J372" s="163" t="s">
        <v>422</v>
      </c>
      <c r="K372" s="163" t="s">
        <v>460</v>
      </c>
      <c r="L372" s="163" t="s">
        <v>469</v>
      </c>
      <c r="M372" s="161" t="s">
        <v>1163</v>
      </c>
      <c r="N372" s="161" t="s">
        <v>1164</v>
      </c>
      <c r="O372" s="164" t="s">
        <v>1026</v>
      </c>
      <c r="P372" s="163" t="s">
        <v>184</v>
      </c>
      <c r="Q372" s="171">
        <f t="shared" si="274"/>
        <v>1</v>
      </c>
      <c r="R372" s="163" t="s">
        <v>416</v>
      </c>
      <c r="S372" s="172">
        <f t="shared" si="275"/>
        <v>3</v>
      </c>
      <c r="T372" s="166">
        <f t="shared" si="276"/>
        <v>3</v>
      </c>
      <c r="U372" s="163" t="s">
        <v>184</v>
      </c>
      <c r="V372" s="163" t="s">
        <v>187</v>
      </c>
      <c r="W372" s="172">
        <f t="shared" si="278"/>
        <v>25</v>
      </c>
      <c r="X372" s="166">
        <f t="shared" si="279"/>
        <v>75</v>
      </c>
      <c r="Y372" s="163" t="str">
        <f t="shared" si="280"/>
        <v>Nivel III: Riesgo Moderado (Aceptable)</v>
      </c>
      <c r="Z372" s="163">
        <v>1</v>
      </c>
      <c r="AA372" s="163" t="s">
        <v>1151</v>
      </c>
      <c r="AB372" s="161" t="s">
        <v>424</v>
      </c>
      <c r="AC372" s="161" t="s">
        <v>424</v>
      </c>
      <c r="AD372" s="161" t="s">
        <v>424</v>
      </c>
      <c r="AE372" s="167" t="s">
        <v>1134</v>
      </c>
      <c r="AF372" s="161" t="s">
        <v>600</v>
      </c>
      <c r="AG372" s="166" t="s">
        <v>460</v>
      </c>
    </row>
    <row r="373" spans="1:33" ht="76.5" hidden="1" x14ac:dyDescent="0.2">
      <c r="A373" s="162" t="s">
        <v>880</v>
      </c>
      <c r="B373" s="162" t="s">
        <v>1095</v>
      </c>
      <c r="C373" s="162" t="s">
        <v>1193</v>
      </c>
      <c r="D373" s="162" t="s">
        <v>1195</v>
      </c>
      <c r="E373" s="161" t="s">
        <v>999</v>
      </c>
      <c r="F373" s="162" t="s">
        <v>1121</v>
      </c>
      <c r="G373" s="162" t="s">
        <v>1139</v>
      </c>
      <c r="H373" s="162" t="s">
        <v>979</v>
      </c>
      <c r="I373" s="163" t="s">
        <v>421</v>
      </c>
      <c r="J373" s="163" t="s">
        <v>461</v>
      </c>
      <c r="K373" s="163" t="s">
        <v>460</v>
      </c>
      <c r="L373" s="163" t="s">
        <v>469</v>
      </c>
      <c r="M373" s="165" t="s">
        <v>423</v>
      </c>
      <c r="N373" s="161" t="s">
        <v>1140</v>
      </c>
      <c r="O373" s="162" t="s">
        <v>1092</v>
      </c>
      <c r="P373" s="163" t="s">
        <v>184</v>
      </c>
      <c r="Q373" s="171">
        <f>IF(P373="Muy Alto",10,IF(P373="Alto",6,IF(P373="Medio",2,IF(P373="Bajo",1,))))</f>
        <v>1</v>
      </c>
      <c r="R373" s="163" t="s">
        <v>485</v>
      </c>
      <c r="S373" s="172">
        <f>IF(R373="Continua",4,IF(R373="Frecuente",3,IF(R373="Ocasional",2,IF(R373="Esporádica",1,))))</f>
        <v>1</v>
      </c>
      <c r="T373" s="166">
        <f>Q373*S373</f>
        <v>1</v>
      </c>
      <c r="U373" s="163" t="s">
        <v>184</v>
      </c>
      <c r="V373" s="163" t="s">
        <v>187</v>
      </c>
      <c r="W373" s="172">
        <f>IF(V373="Mortal o catastrófico",100,IF(V373="Muy grave",60,IF(V373="Grave",25,IF(V373="Leve",10,))))</f>
        <v>25</v>
      </c>
      <c r="X373" s="166">
        <f>T373*W373</f>
        <v>25</v>
      </c>
      <c r="Y373" s="163" t="str">
        <f>IF(AND(X373&gt;=600,X373&lt;=4000),"Nivel I: Riesgo Inaceptable",IF(AND(X373&gt;=150,X373&lt;=500),"Nivel II: Riesgo Importante",IF(AND(X373&gt;=40,X373&lt;=120),"Nivel III: Riesgo Moderado (Aceptable)","Nivel IV: Riesgo Tolerable (Aceptable)")))</f>
        <v>Nivel IV: Riesgo Tolerable (Aceptable)</v>
      </c>
      <c r="Z373" s="163">
        <v>1</v>
      </c>
      <c r="AA373" s="163" t="s">
        <v>1151</v>
      </c>
      <c r="AB373" s="161" t="s">
        <v>424</v>
      </c>
      <c r="AC373" s="161" t="s">
        <v>424</v>
      </c>
      <c r="AD373" s="161" t="s">
        <v>424</v>
      </c>
      <c r="AE373" s="161" t="s">
        <v>1088</v>
      </c>
      <c r="AF373" s="161" t="s">
        <v>600</v>
      </c>
      <c r="AG373" s="166" t="s">
        <v>460</v>
      </c>
    </row>
    <row r="374" spans="1:33" ht="102" hidden="1" x14ac:dyDescent="0.2">
      <c r="A374" s="162" t="s">
        <v>880</v>
      </c>
      <c r="B374" s="162" t="s">
        <v>1095</v>
      </c>
      <c r="C374" s="162" t="s">
        <v>1193</v>
      </c>
      <c r="D374" s="162" t="s">
        <v>1195</v>
      </c>
      <c r="E374" s="161" t="s">
        <v>995</v>
      </c>
      <c r="F374" s="162" t="s">
        <v>714</v>
      </c>
      <c r="G374" s="162" t="s">
        <v>1036</v>
      </c>
      <c r="H374" s="162" t="s">
        <v>1135</v>
      </c>
      <c r="I374" s="163" t="s">
        <v>421</v>
      </c>
      <c r="J374" s="163" t="s">
        <v>461</v>
      </c>
      <c r="K374" s="163" t="s">
        <v>460</v>
      </c>
      <c r="L374" s="163" t="s">
        <v>469</v>
      </c>
      <c r="M374" s="161" t="s">
        <v>423</v>
      </c>
      <c r="N374" s="161" t="s">
        <v>1136</v>
      </c>
      <c r="O374" s="164" t="s">
        <v>1038</v>
      </c>
      <c r="P374" s="163" t="s">
        <v>184</v>
      </c>
      <c r="Q374" s="171">
        <f t="shared" ref="Q374:Q375" si="281">IF(P374="Muy Alto",10,IF(P374="Alto",6,IF(P374="Medio",2,IF(P374="Bajo",1,))))</f>
        <v>1</v>
      </c>
      <c r="R374" s="163" t="s">
        <v>485</v>
      </c>
      <c r="S374" s="172">
        <f t="shared" ref="S374:S375" si="282">IF(R374="Continua",4,IF(R374="Frecuente",3,IF(R374="Ocasional",2,IF(R374="Esporádica",1,))))</f>
        <v>1</v>
      </c>
      <c r="T374" s="166">
        <f t="shared" ref="T374:T375" si="283">Q374*S374</f>
        <v>1</v>
      </c>
      <c r="U374" s="163" t="str">
        <f t="shared" ref="U374" si="284">IF(AND(T374&gt;=0,T374&lt;=4),"Bajo",IF(AND(T374&gt;=6,T374&lt;=8),"Medio",IF(AND(T374&gt;=10,T374&lt;=20),"Alto",IF(AND(T374&gt;=20,T374&lt;=40),"Muy Alto",))))</f>
        <v>Bajo</v>
      </c>
      <c r="V374" s="163" t="s">
        <v>187</v>
      </c>
      <c r="W374" s="172">
        <f t="shared" ref="W374:W375" si="285">IF(V374="Mortal o catastrófico",100,IF(V374="Muy grave",60,IF(V374="Grave",25,IF(V374="Leve",10,))))</f>
        <v>25</v>
      </c>
      <c r="X374" s="166">
        <f t="shared" ref="X374:X375" si="286">T374*W374</f>
        <v>25</v>
      </c>
      <c r="Y374" s="163" t="str">
        <f t="shared" ref="Y374:Y375" si="287">IF(AND(X374&gt;=600,X374&lt;=4000),"Nivel I: Riesgo Inaceptable",IF(AND(X374&gt;=150,X374&lt;=500),"Nivel II: Riesgo Importante",IF(AND(X374&gt;=40,X374&lt;=120),"Nivel III: Riesgo Moderado (Aceptable)","Nivel IV: Riesgo Tolerable (Aceptable)")))</f>
        <v>Nivel IV: Riesgo Tolerable (Aceptable)</v>
      </c>
      <c r="Z374" s="163">
        <v>1</v>
      </c>
      <c r="AA374" s="163" t="s">
        <v>1151</v>
      </c>
      <c r="AB374" s="161" t="s">
        <v>424</v>
      </c>
      <c r="AC374" s="161" t="s">
        <v>424</v>
      </c>
      <c r="AD374" s="161" t="s">
        <v>424</v>
      </c>
      <c r="AE374" s="161" t="s">
        <v>1039</v>
      </c>
      <c r="AF374" s="161" t="s">
        <v>1040</v>
      </c>
      <c r="AG374" s="166" t="s">
        <v>460</v>
      </c>
    </row>
    <row r="375" spans="1:33" ht="89.25" hidden="1" x14ac:dyDescent="0.2">
      <c r="A375" s="162" t="s">
        <v>880</v>
      </c>
      <c r="B375" s="162" t="s">
        <v>1095</v>
      </c>
      <c r="C375" s="162" t="s">
        <v>1193</v>
      </c>
      <c r="D375" s="162" t="s">
        <v>1195</v>
      </c>
      <c r="E375" s="161" t="s">
        <v>1000</v>
      </c>
      <c r="F375" s="162" t="s">
        <v>1123</v>
      </c>
      <c r="G375" s="162" t="s">
        <v>1143</v>
      </c>
      <c r="H375" s="162" t="s">
        <v>1021</v>
      </c>
      <c r="I375" s="163" t="s">
        <v>421</v>
      </c>
      <c r="J375" s="163" t="s">
        <v>422</v>
      </c>
      <c r="K375" s="163" t="s">
        <v>460</v>
      </c>
      <c r="L375" s="163" t="s">
        <v>469</v>
      </c>
      <c r="M375" s="161" t="s">
        <v>423</v>
      </c>
      <c r="N375" s="161" t="s">
        <v>1145</v>
      </c>
      <c r="O375" s="162" t="s">
        <v>1144</v>
      </c>
      <c r="P375" s="163" t="s">
        <v>184</v>
      </c>
      <c r="Q375" s="171">
        <f t="shared" si="281"/>
        <v>1</v>
      </c>
      <c r="R375" s="163" t="s">
        <v>485</v>
      </c>
      <c r="S375" s="172">
        <f t="shared" si="282"/>
        <v>1</v>
      </c>
      <c r="T375" s="166">
        <f t="shared" si="283"/>
        <v>1</v>
      </c>
      <c r="U375" s="163" t="s">
        <v>184</v>
      </c>
      <c r="V375" s="163" t="s">
        <v>187</v>
      </c>
      <c r="W375" s="172">
        <f t="shared" si="285"/>
        <v>25</v>
      </c>
      <c r="X375" s="166">
        <f t="shared" si="286"/>
        <v>25</v>
      </c>
      <c r="Y375" s="163" t="str">
        <f t="shared" si="287"/>
        <v>Nivel IV: Riesgo Tolerable (Aceptable)</v>
      </c>
      <c r="Z375" s="163">
        <v>1</v>
      </c>
      <c r="AA375" s="163" t="s">
        <v>1151</v>
      </c>
      <c r="AB375" s="161" t="s">
        <v>424</v>
      </c>
      <c r="AC375" s="161" t="s">
        <v>424</v>
      </c>
      <c r="AD375" s="161" t="s">
        <v>424</v>
      </c>
      <c r="AE375" s="161" t="s">
        <v>1147</v>
      </c>
      <c r="AF375" s="161" t="s">
        <v>600</v>
      </c>
      <c r="AG375" s="166" t="s">
        <v>460</v>
      </c>
    </row>
    <row r="376" spans="1:33" ht="102" hidden="1" x14ac:dyDescent="0.2">
      <c r="A376" s="162" t="s">
        <v>880</v>
      </c>
      <c r="B376" s="162" t="s">
        <v>1095</v>
      </c>
      <c r="C376" s="162" t="s">
        <v>1193</v>
      </c>
      <c r="D376" s="162" t="s">
        <v>1195</v>
      </c>
      <c r="E376" s="161" t="s">
        <v>996</v>
      </c>
      <c r="F376" s="162" t="s">
        <v>430</v>
      </c>
      <c r="G376" s="162" t="s">
        <v>486</v>
      </c>
      <c r="H376" s="162" t="s">
        <v>623</v>
      </c>
      <c r="I376" s="163" t="s">
        <v>421</v>
      </c>
      <c r="J376" s="163" t="s">
        <v>422</v>
      </c>
      <c r="K376" s="163" t="s">
        <v>460</v>
      </c>
      <c r="L376" s="163" t="s">
        <v>469</v>
      </c>
      <c r="M376" s="163" t="s">
        <v>1074</v>
      </c>
      <c r="N376" s="169" t="s">
        <v>1073</v>
      </c>
      <c r="O376" s="162" t="s">
        <v>1032</v>
      </c>
      <c r="P376" s="163" t="s">
        <v>184</v>
      </c>
      <c r="Q376" s="171">
        <f>IF(P376="Muy Alto",10,IF(P376="Alto",6,IF(P376="Medio",2,IF(P376="Bajo",1,))))</f>
        <v>1</v>
      </c>
      <c r="R376" s="163" t="s">
        <v>485</v>
      </c>
      <c r="S376" s="172">
        <f>IF(R376="Continua",4,IF(R376="Frecuente",3,IF(R376="Ocasional",2,IF(R376="Esporádica",1,))))</f>
        <v>1</v>
      </c>
      <c r="T376" s="166">
        <f>Q376*S376</f>
        <v>1</v>
      </c>
      <c r="U376" s="163" t="str">
        <f>IF(AND(T376&gt;=0,T376&lt;=4),"Bajo",IF(AND(T376&gt;=6,T376&lt;=8),"Medio",IF(AND(T376&gt;=10,T376&lt;=20),"Alto",IF(AND(T376&gt;=20,T376&lt;=40),"Muy Alto",))))</f>
        <v>Bajo</v>
      </c>
      <c r="V376" s="163" t="s">
        <v>428</v>
      </c>
      <c r="W376" s="172">
        <f>IF(V376="Mortal o catastrófico",100,IF(V376="Muy grave",60,IF(V376="Grave",25,IF(V376="Leve",10,))))</f>
        <v>10</v>
      </c>
      <c r="X376" s="166">
        <f>T376*W376</f>
        <v>10</v>
      </c>
      <c r="Y376" s="163" t="str">
        <f>IF(AND(X376&gt;=600,X376&lt;=4000),"Nivel I: Riesgo Inaceptable",IF(AND(X376&gt;=150,X376&lt;=500),"Nivel II: Riesgo Importante",IF(AND(X376&gt;=40,X376&lt;=120),"Nivel III: Riesgo Moderado (Aceptable)","Nivel IV: Riesgo Tolerable (Aceptable)")))</f>
        <v>Nivel IV: Riesgo Tolerable (Aceptable)</v>
      </c>
      <c r="Z376" s="163">
        <v>1</v>
      </c>
      <c r="AA376" s="163" t="s">
        <v>1151</v>
      </c>
      <c r="AB376" s="161" t="s">
        <v>424</v>
      </c>
      <c r="AC376" s="161" t="s">
        <v>424</v>
      </c>
      <c r="AD376" s="161" t="s">
        <v>424</v>
      </c>
      <c r="AE376" s="161" t="s">
        <v>1075</v>
      </c>
      <c r="AF376" s="161" t="s">
        <v>600</v>
      </c>
      <c r="AG376" s="166" t="s">
        <v>460</v>
      </c>
    </row>
    <row r="377" spans="1:33" ht="102" hidden="1" x14ac:dyDescent="0.2">
      <c r="A377" s="162" t="s">
        <v>880</v>
      </c>
      <c r="B377" s="162" t="s">
        <v>1095</v>
      </c>
      <c r="C377" s="162" t="s">
        <v>1193</v>
      </c>
      <c r="D377" s="162" t="s">
        <v>1195</v>
      </c>
      <c r="E377" s="161" t="s">
        <v>996</v>
      </c>
      <c r="F377" s="162" t="s">
        <v>1146</v>
      </c>
      <c r="G377" s="162" t="s">
        <v>1162</v>
      </c>
      <c r="H377" s="162" t="s">
        <v>623</v>
      </c>
      <c r="I377" s="163" t="s">
        <v>421</v>
      </c>
      <c r="J377" s="163" t="s">
        <v>422</v>
      </c>
      <c r="K377" s="163" t="s">
        <v>460</v>
      </c>
      <c r="L377" s="163" t="s">
        <v>469</v>
      </c>
      <c r="M377" s="163" t="s">
        <v>1074</v>
      </c>
      <c r="N377" s="169" t="s">
        <v>1073</v>
      </c>
      <c r="O377" s="162" t="s">
        <v>1032</v>
      </c>
      <c r="P377" s="163" t="s">
        <v>184</v>
      </c>
      <c r="Q377" s="171">
        <f>IF(P377="Muy Alto",10,IF(P377="Alto",6,IF(P377="Medio",2,IF(P377="Bajo",1,))))</f>
        <v>1</v>
      </c>
      <c r="R377" s="163" t="s">
        <v>416</v>
      </c>
      <c r="S377" s="172">
        <f>IF(R377="Continua",4,IF(R377="Frecuente",3,IF(R377="Ocasional",2,IF(R377="Esporádica",1,))))</f>
        <v>3</v>
      </c>
      <c r="T377" s="166">
        <f>Q377*S377</f>
        <v>3</v>
      </c>
      <c r="U377" s="163" t="str">
        <f>IF(AND(T377&gt;=0,T377&lt;=4),"Bajo",IF(AND(T377&gt;=6,T377&lt;=8),"Medio",IF(AND(T377&gt;=10,T377&lt;=20),"Alto",IF(AND(T377&gt;=20,T377&lt;=40),"Muy Alto",))))</f>
        <v>Bajo</v>
      </c>
      <c r="V377" s="163" t="s">
        <v>428</v>
      </c>
      <c r="W377" s="172">
        <f>IF(V377="Mortal o catastrófico",100,IF(V377="Muy grave",60,IF(V377="Grave",25,IF(V377="Leve",10,))))</f>
        <v>10</v>
      </c>
      <c r="X377" s="166">
        <f>T377*W377</f>
        <v>30</v>
      </c>
      <c r="Y377" s="163" t="str">
        <f>IF(AND(X377&gt;=600,X377&lt;=4000),"Nivel I: Riesgo Inaceptable",IF(AND(X377&gt;=150,X377&lt;=500),"Nivel II: Riesgo Importante",IF(AND(X377&gt;=40,X377&lt;=120),"Nivel III: Riesgo Moderado (Aceptable)","Nivel IV: Riesgo Tolerable (Aceptable)")))</f>
        <v>Nivel IV: Riesgo Tolerable (Aceptable)</v>
      </c>
      <c r="Z377" s="163">
        <v>1</v>
      </c>
      <c r="AA377" s="163" t="s">
        <v>1151</v>
      </c>
      <c r="AB377" s="161" t="s">
        <v>424</v>
      </c>
      <c r="AC377" s="161" t="s">
        <v>424</v>
      </c>
      <c r="AD377" s="161" t="s">
        <v>424</v>
      </c>
      <c r="AE377" s="161" t="s">
        <v>1075</v>
      </c>
      <c r="AF377" s="161" t="s">
        <v>600</v>
      </c>
      <c r="AG377" s="166" t="s">
        <v>460</v>
      </c>
    </row>
    <row r="378" spans="1:33" ht="140.25" hidden="1" x14ac:dyDescent="0.2">
      <c r="A378" s="162" t="s">
        <v>1281</v>
      </c>
      <c r="B378" s="162" t="s">
        <v>642</v>
      </c>
      <c r="C378" s="162" t="s">
        <v>1200</v>
      </c>
      <c r="D378" s="162" t="s">
        <v>1201</v>
      </c>
      <c r="E378" s="161" t="s">
        <v>175</v>
      </c>
      <c r="F378" s="162" t="s">
        <v>1111</v>
      </c>
      <c r="G378" s="162" t="s">
        <v>1165</v>
      </c>
      <c r="H378" s="162" t="s">
        <v>602</v>
      </c>
      <c r="I378" s="173" t="s">
        <v>421</v>
      </c>
      <c r="J378" s="173" t="s">
        <v>422</v>
      </c>
      <c r="K378" s="174" t="s">
        <v>460</v>
      </c>
      <c r="L378" s="174" t="s">
        <v>469</v>
      </c>
      <c r="M378" s="175" t="s">
        <v>1167</v>
      </c>
      <c r="N378" s="175" t="s">
        <v>423</v>
      </c>
      <c r="O378" s="176" t="s">
        <v>1166</v>
      </c>
      <c r="P378" s="177" t="s">
        <v>184</v>
      </c>
      <c r="Q378" s="178">
        <f t="shared" ref="Q378:Q381" si="288">IF(P378="Muy Alto",10,IF(P378="Alto",6,IF(P378="Medio",2,IF(P378="Bajo",1,))))</f>
        <v>1</v>
      </c>
      <c r="R378" s="177" t="s">
        <v>429</v>
      </c>
      <c r="S378" s="179">
        <f t="shared" ref="S378:S381" si="289">IF(R378="Continua",4,IF(R378="Frecuente",3,IF(R378="Ocasional",2,IF(R378="Esporádica",1,))))</f>
        <v>2</v>
      </c>
      <c r="T378" s="180">
        <f t="shared" ref="T378:T381" si="290">Q378*S378</f>
        <v>2</v>
      </c>
      <c r="U378" s="181" t="str">
        <f t="shared" ref="U378:U381" si="291">IF(AND(T378&gt;=0,T378&lt;=4),"Bajo",IF(AND(T378&gt;=6,T378&lt;=8),"Medio",IF(AND(T378&gt;=10,T378&lt;=20),"Alto",IF(AND(T378&gt;=20,T378&lt;=40),"Muy Alto",))))</f>
        <v>Bajo</v>
      </c>
      <c r="V378" s="181" t="s">
        <v>428</v>
      </c>
      <c r="W378" s="179">
        <f t="shared" ref="W378:W381" si="292">IF(V378="Mortal o catastrófico",100,IF(V378="Muy grave",60,IF(V378="Grave",25,IF(V378="Leve",10,))))</f>
        <v>10</v>
      </c>
      <c r="X378" s="180">
        <f t="shared" ref="X378:X381" si="293">T378*W378</f>
        <v>20</v>
      </c>
      <c r="Y378" s="181" t="str">
        <f t="shared" ref="Y378:Y381" si="294">IF(AND(X378&gt;=600,X378&lt;=4000),"Nivel I: Riesgo Inaceptable",IF(AND(X378&gt;=150,X378&lt;=500),"Nivel II: Riesgo Importante",IF(AND(X378&gt;=40,X378&lt;=120),"Nivel III: Riesgo Moderado (Aceptable)","Nivel IV: Riesgo Tolerable (Aceptable)")))</f>
        <v>Nivel IV: Riesgo Tolerable (Aceptable)</v>
      </c>
      <c r="Z378" s="163">
        <v>1</v>
      </c>
      <c r="AA378" s="163" t="s">
        <v>1151</v>
      </c>
      <c r="AB378" s="175" t="s">
        <v>424</v>
      </c>
      <c r="AC378" s="175" t="s">
        <v>424</v>
      </c>
      <c r="AD378" s="175" t="s">
        <v>424</v>
      </c>
      <c r="AE378" s="182" t="s">
        <v>1035</v>
      </c>
      <c r="AF378" s="183" t="s">
        <v>600</v>
      </c>
      <c r="AG378" s="184" t="s">
        <v>460</v>
      </c>
    </row>
    <row r="379" spans="1:33" ht="140.25" hidden="1" x14ac:dyDescent="0.2">
      <c r="A379" s="162" t="s">
        <v>1281</v>
      </c>
      <c r="B379" s="162" t="s">
        <v>642</v>
      </c>
      <c r="C379" s="162" t="s">
        <v>1200</v>
      </c>
      <c r="D379" s="162" t="s">
        <v>1201</v>
      </c>
      <c r="E379" s="161" t="s">
        <v>175</v>
      </c>
      <c r="F379" s="162" t="s">
        <v>1197</v>
      </c>
      <c r="G379" s="162" t="s">
        <v>1199</v>
      </c>
      <c r="H379" s="170" t="s">
        <v>1198</v>
      </c>
      <c r="I379" s="173" t="s">
        <v>421</v>
      </c>
      <c r="J379" s="173" t="s">
        <v>422</v>
      </c>
      <c r="K379" s="174" t="s">
        <v>460</v>
      </c>
      <c r="L379" s="174" t="s">
        <v>469</v>
      </c>
      <c r="M379" s="175" t="s">
        <v>1167</v>
      </c>
      <c r="N379" s="175" t="s">
        <v>423</v>
      </c>
      <c r="O379" s="176" t="s">
        <v>1166</v>
      </c>
      <c r="P379" s="177" t="s">
        <v>184</v>
      </c>
      <c r="Q379" s="178">
        <f t="shared" si="288"/>
        <v>1</v>
      </c>
      <c r="R379" s="177" t="s">
        <v>416</v>
      </c>
      <c r="S379" s="179">
        <f t="shared" si="289"/>
        <v>3</v>
      </c>
      <c r="T379" s="180">
        <f t="shared" si="290"/>
        <v>3</v>
      </c>
      <c r="U379" s="181" t="str">
        <f t="shared" si="291"/>
        <v>Bajo</v>
      </c>
      <c r="V379" s="181" t="s">
        <v>428</v>
      </c>
      <c r="W379" s="179">
        <f t="shared" si="292"/>
        <v>10</v>
      </c>
      <c r="X379" s="180">
        <f t="shared" si="293"/>
        <v>30</v>
      </c>
      <c r="Y379" s="181" t="str">
        <f t="shared" si="294"/>
        <v>Nivel IV: Riesgo Tolerable (Aceptable)</v>
      </c>
      <c r="Z379" s="163">
        <v>1</v>
      </c>
      <c r="AA379" s="163" t="s">
        <v>1151</v>
      </c>
      <c r="AB379" s="175" t="s">
        <v>424</v>
      </c>
      <c r="AC379" s="175" t="s">
        <v>424</v>
      </c>
      <c r="AD379" s="175" t="s">
        <v>424</v>
      </c>
      <c r="AE379" s="182" t="s">
        <v>1196</v>
      </c>
      <c r="AF379" s="183" t="s">
        <v>600</v>
      </c>
      <c r="AG379" s="184" t="s">
        <v>460</v>
      </c>
    </row>
    <row r="380" spans="1:33" ht="63.75" hidden="1" x14ac:dyDescent="0.2">
      <c r="A380" s="162" t="s">
        <v>1281</v>
      </c>
      <c r="B380" s="162" t="s">
        <v>642</v>
      </c>
      <c r="C380" s="162" t="s">
        <v>1200</v>
      </c>
      <c r="D380" s="162" t="s">
        <v>1201</v>
      </c>
      <c r="E380" s="161" t="s">
        <v>999</v>
      </c>
      <c r="F380" s="162" t="s">
        <v>292</v>
      </c>
      <c r="G380" s="162" t="s">
        <v>1202</v>
      </c>
      <c r="H380" s="162" t="s">
        <v>472</v>
      </c>
      <c r="I380" s="163" t="s">
        <v>421</v>
      </c>
      <c r="J380" s="163" t="s">
        <v>422</v>
      </c>
      <c r="K380" s="163" t="s">
        <v>460</v>
      </c>
      <c r="L380" s="163" t="s">
        <v>469</v>
      </c>
      <c r="M380" s="161" t="s">
        <v>606</v>
      </c>
      <c r="N380" s="161" t="s">
        <v>606</v>
      </c>
      <c r="O380" s="162" t="s">
        <v>1070</v>
      </c>
      <c r="P380" s="163" t="s">
        <v>185</v>
      </c>
      <c r="Q380" s="171">
        <f t="shared" si="288"/>
        <v>2</v>
      </c>
      <c r="R380" s="163" t="s">
        <v>416</v>
      </c>
      <c r="S380" s="172">
        <f t="shared" si="289"/>
        <v>3</v>
      </c>
      <c r="T380" s="166">
        <f t="shared" si="290"/>
        <v>6</v>
      </c>
      <c r="U380" s="163" t="str">
        <f t="shared" si="291"/>
        <v>Medio</v>
      </c>
      <c r="V380" s="163" t="s">
        <v>428</v>
      </c>
      <c r="W380" s="172">
        <f t="shared" si="292"/>
        <v>10</v>
      </c>
      <c r="X380" s="166">
        <f t="shared" si="293"/>
        <v>60</v>
      </c>
      <c r="Y380" s="163" t="str">
        <f t="shared" si="294"/>
        <v>Nivel III: Riesgo Moderado (Aceptable)</v>
      </c>
      <c r="Z380" s="163">
        <v>1</v>
      </c>
      <c r="AA380" s="163" t="s">
        <v>1151</v>
      </c>
      <c r="AB380" s="161" t="s">
        <v>424</v>
      </c>
      <c r="AC380" s="161" t="s">
        <v>424</v>
      </c>
      <c r="AD380" s="161" t="s">
        <v>424</v>
      </c>
      <c r="AE380" s="161" t="s">
        <v>1203</v>
      </c>
      <c r="AF380" s="161" t="s">
        <v>600</v>
      </c>
      <c r="AG380" s="166" t="s">
        <v>460</v>
      </c>
    </row>
    <row r="381" spans="1:33" ht="76.5" hidden="1" x14ac:dyDescent="0.2">
      <c r="A381" s="162" t="s">
        <v>1281</v>
      </c>
      <c r="B381" s="162" t="s">
        <v>642</v>
      </c>
      <c r="C381" s="162" t="s">
        <v>1200</v>
      </c>
      <c r="D381" s="162" t="s">
        <v>1201</v>
      </c>
      <c r="E381" s="161" t="s">
        <v>999</v>
      </c>
      <c r="F381" s="162" t="s">
        <v>288</v>
      </c>
      <c r="G381" s="162" t="s">
        <v>1204</v>
      </c>
      <c r="H381" s="162" t="s">
        <v>614</v>
      </c>
      <c r="I381" s="163" t="s">
        <v>421</v>
      </c>
      <c r="J381" s="163" t="s">
        <v>422</v>
      </c>
      <c r="K381" s="163" t="s">
        <v>460</v>
      </c>
      <c r="L381" s="163" t="s">
        <v>469</v>
      </c>
      <c r="M381" s="166" t="s">
        <v>423</v>
      </c>
      <c r="N381" s="166" t="s">
        <v>423</v>
      </c>
      <c r="O381" s="162" t="s">
        <v>1026</v>
      </c>
      <c r="P381" s="163" t="s">
        <v>185</v>
      </c>
      <c r="Q381" s="171">
        <f t="shared" si="288"/>
        <v>2</v>
      </c>
      <c r="R381" s="163" t="s">
        <v>416</v>
      </c>
      <c r="S381" s="172">
        <f t="shared" si="289"/>
        <v>3</v>
      </c>
      <c r="T381" s="166">
        <f t="shared" si="290"/>
        <v>6</v>
      </c>
      <c r="U381" s="163" t="str">
        <f t="shared" si="291"/>
        <v>Medio</v>
      </c>
      <c r="V381" s="163" t="s">
        <v>187</v>
      </c>
      <c r="W381" s="172">
        <f t="shared" si="292"/>
        <v>25</v>
      </c>
      <c r="X381" s="166">
        <f t="shared" si="293"/>
        <v>150</v>
      </c>
      <c r="Y381" s="163" t="str">
        <f t="shared" si="294"/>
        <v>Nivel II: Riesgo Importante</v>
      </c>
      <c r="Z381" s="163">
        <v>1</v>
      </c>
      <c r="AA381" s="163" t="s">
        <v>1151</v>
      </c>
      <c r="AB381" s="161" t="s">
        <v>424</v>
      </c>
      <c r="AC381" s="161" t="s">
        <v>424</v>
      </c>
      <c r="AD381" s="161" t="s">
        <v>424</v>
      </c>
      <c r="AE381" s="161" t="s">
        <v>1203</v>
      </c>
      <c r="AF381" s="161" t="s">
        <v>600</v>
      </c>
      <c r="AG381" s="166" t="s">
        <v>460</v>
      </c>
    </row>
    <row r="382" spans="1:33" ht="63.75" hidden="1" x14ac:dyDescent="0.2">
      <c r="A382" s="162" t="s">
        <v>1281</v>
      </c>
      <c r="B382" s="162" t="s">
        <v>642</v>
      </c>
      <c r="C382" s="162" t="s">
        <v>1200</v>
      </c>
      <c r="D382" s="162" t="s">
        <v>1201</v>
      </c>
      <c r="E382" s="161" t="s">
        <v>999</v>
      </c>
      <c r="F382" s="162" t="s">
        <v>1120</v>
      </c>
      <c r="G382" s="162" t="s">
        <v>1205</v>
      </c>
      <c r="H382" s="162" t="s">
        <v>979</v>
      </c>
      <c r="I382" s="163" t="s">
        <v>529</v>
      </c>
      <c r="J382" s="163" t="s">
        <v>422</v>
      </c>
      <c r="K382" s="163" t="s">
        <v>460</v>
      </c>
      <c r="L382" s="163" t="s">
        <v>469</v>
      </c>
      <c r="M382" s="165" t="s">
        <v>423</v>
      </c>
      <c r="N382" s="165" t="s">
        <v>423</v>
      </c>
      <c r="O382" s="162" t="s">
        <v>1280</v>
      </c>
      <c r="P382" s="163" t="s">
        <v>185</v>
      </c>
      <c r="Q382" s="171">
        <f>IF(P382="Muy Alto",10,IF(P382="Alto",6,IF(P382="Medio",2,IF(P382="Bajo",1,))))</f>
        <v>2</v>
      </c>
      <c r="R382" s="163" t="s">
        <v>416</v>
      </c>
      <c r="S382" s="172">
        <f>IF(R382="Continua",4,IF(R382="Frecuente",3,IF(R382="Ocasional",2,IF(R382="Esporádica",1,))))</f>
        <v>3</v>
      </c>
      <c r="T382" s="166">
        <f>Q382*S382</f>
        <v>6</v>
      </c>
      <c r="U382" s="163" t="s">
        <v>184</v>
      </c>
      <c r="V382" s="163" t="s">
        <v>187</v>
      </c>
      <c r="W382" s="172">
        <f>IF(V382="Mortal o catastrófico",100,IF(V382="Muy grave",60,IF(V382="Grave",25,IF(V382="Leve",10,))))</f>
        <v>25</v>
      </c>
      <c r="X382" s="166">
        <f>T382*W382</f>
        <v>150</v>
      </c>
      <c r="Y382" s="163" t="str">
        <f>IF(AND(X382&gt;=600,X382&lt;=4000),"Nivel I: Riesgo Inaceptable",IF(AND(X382&gt;=150,X382&lt;=500),"Nivel II: Riesgo Importante",IF(AND(X382&gt;=40,X382&lt;=120),"Nivel III: Riesgo Moderado (Aceptable)","Nivel IV: Riesgo Tolerable (Aceptable)")))</f>
        <v>Nivel II: Riesgo Importante</v>
      </c>
      <c r="Z382" s="163">
        <v>1</v>
      </c>
      <c r="AA382" s="163" t="s">
        <v>1151</v>
      </c>
      <c r="AB382" s="161" t="s">
        <v>424</v>
      </c>
      <c r="AC382" s="161" t="s">
        <v>424</v>
      </c>
      <c r="AD382" s="161" t="s">
        <v>424</v>
      </c>
      <c r="AE382" s="161" t="s">
        <v>1206</v>
      </c>
      <c r="AF382" s="161" t="s">
        <v>600</v>
      </c>
      <c r="AG382" s="166" t="s">
        <v>460</v>
      </c>
    </row>
    <row r="383" spans="1:33" ht="63.75" hidden="1" x14ac:dyDescent="0.2">
      <c r="A383" s="162" t="s">
        <v>1281</v>
      </c>
      <c r="B383" s="162" t="s">
        <v>642</v>
      </c>
      <c r="C383" s="162" t="s">
        <v>1200</v>
      </c>
      <c r="D383" s="162" t="s">
        <v>1201</v>
      </c>
      <c r="E383" s="161" t="s">
        <v>999</v>
      </c>
      <c r="F383" s="162" t="s">
        <v>1121</v>
      </c>
      <c r="G383" s="162" t="s">
        <v>1139</v>
      </c>
      <c r="H383" s="162" t="s">
        <v>979</v>
      </c>
      <c r="I383" s="163" t="s">
        <v>421</v>
      </c>
      <c r="J383" s="163" t="s">
        <v>422</v>
      </c>
      <c r="K383" s="163" t="s">
        <v>460</v>
      </c>
      <c r="L383" s="163" t="s">
        <v>469</v>
      </c>
      <c r="M383" s="165" t="s">
        <v>423</v>
      </c>
      <c r="N383" s="165" t="s">
        <v>423</v>
      </c>
      <c r="O383" s="162" t="s">
        <v>1092</v>
      </c>
      <c r="P383" s="163" t="s">
        <v>185</v>
      </c>
      <c r="Q383" s="171">
        <f>IF(P383="Muy Alto",10,IF(P383="Alto",6,IF(P383="Medio",2,IF(P383="Bajo",1,))))</f>
        <v>2</v>
      </c>
      <c r="R383" s="163" t="s">
        <v>416</v>
      </c>
      <c r="S383" s="172">
        <f>IF(R383="Continua",4,IF(R383="Frecuente",3,IF(R383="Ocasional",2,IF(R383="Esporádica",1,))))</f>
        <v>3</v>
      </c>
      <c r="T383" s="166">
        <f>Q383*S383</f>
        <v>6</v>
      </c>
      <c r="U383" s="163" t="s">
        <v>184</v>
      </c>
      <c r="V383" s="163" t="s">
        <v>187</v>
      </c>
      <c r="W383" s="172">
        <f>IF(V383="Mortal o catastrófico",100,IF(V383="Muy grave",60,IF(V383="Grave",25,IF(V383="Leve",10,))))</f>
        <v>25</v>
      </c>
      <c r="X383" s="166">
        <f>T383*W383</f>
        <v>150</v>
      </c>
      <c r="Y383" s="163" t="str">
        <f>IF(AND(X383&gt;=600,X383&lt;=4000),"Nivel I: Riesgo Inaceptable",IF(AND(X383&gt;=150,X383&lt;=500),"Nivel II: Riesgo Importante",IF(AND(X383&gt;=40,X383&lt;=120),"Nivel III: Riesgo Moderado (Aceptable)","Nivel IV: Riesgo Tolerable (Aceptable)")))</f>
        <v>Nivel II: Riesgo Importante</v>
      </c>
      <c r="Z383" s="163">
        <v>1</v>
      </c>
      <c r="AA383" s="163" t="s">
        <v>1151</v>
      </c>
      <c r="AB383" s="161" t="s">
        <v>424</v>
      </c>
      <c r="AC383" s="161" t="s">
        <v>424</v>
      </c>
      <c r="AD383" s="161" t="s">
        <v>424</v>
      </c>
      <c r="AE383" s="161" t="s">
        <v>1207</v>
      </c>
      <c r="AF383" s="161" t="s">
        <v>600</v>
      </c>
      <c r="AG383" s="166" t="s">
        <v>460</v>
      </c>
    </row>
    <row r="384" spans="1:33" ht="102" hidden="1" x14ac:dyDescent="0.2">
      <c r="A384" s="162" t="s">
        <v>1281</v>
      </c>
      <c r="B384" s="162" t="s">
        <v>642</v>
      </c>
      <c r="C384" s="162" t="s">
        <v>1200</v>
      </c>
      <c r="D384" s="162" t="s">
        <v>1201</v>
      </c>
      <c r="E384" s="161" t="s">
        <v>995</v>
      </c>
      <c r="F384" s="162" t="s">
        <v>714</v>
      </c>
      <c r="G384" s="162" t="s">
        <v>1036</v>
      </c>
      <c r="H384" s="162" t="s">
        <v>1135</v>
      </c>
      <c r="I384" s="163" t="s">
        <v>421</v>
      </c>
      <c r="J384" s="163" t="s">
        <v>461</v>
      </c>
      <c r="K384" s="163" t="s">
        <v>460</v>
      </c>
      <c r="L384" s="163" t="s">
        <v>469</v>
      </c>
      <c r="M384" s="161" t="s">
        <v>423</v>
      </c>
      <c r="N384" s="161" t="s">
        <v>1208</v>
      </c>
      <c r="O384" s="164" t="s">
        <v>1038</v>
      </c>
      <c r="P384" s="163" t="s">
        <v>184</v>
      </c>
      <c r="Q384" s="171">
        <f t="shared" ref="Q384:Q385" si="295">IF(P384="Muy Alto",10,IF(P384="Alto",6,IF(P384="Medio",2,IF(P384="Bajo",1,))))</f>
        <v>1</v>
      </c>
      <c r="R384" s="163" t="s">
        <v>485</v>
      </c>
      <c r="S384" s="172">
        <f t="shared" ref="S384:S385" si="296">IF(R384="Continua",4,IF(R384="Frecuente",3,IF(R384="Ocasional",2,IF(R384="Esporádica",1,))))</f>
        <v>1</v>
      </c>
      <c r="T384" s="166">
        <f t="shared" ref="T384:T385" si="297">Q384*S384</f>
        <v>1</v>
      </c>
      <c r="U384" s="163" t="str">
        <f t="shared" ref="U384" si="298">IF(AND(T384&gt;=0,T384&lt;=4),"Bajo",IF(AND(T384&gt;=6,T384&lt;=8),"Medio",IF(AND(T384&gt;=10,T384&lt;=20),"Alto",IF(AND(T384&gt;=20,T384&lt;=40),"Muy Alto",))))</f>
        <v>Bajo</v>
      </c>
      <c r="V384" s="163" t="s">
        <v>187</v>
      </c>
      <c r="W384" s="172">
        <f t="shared" ref="W384:W385" si="299">IF(V384="Mortal o catastrófico",100,IF(V384="Muy grave",60,IF(V384="Grave",25,IF(V384="Leve",10,))))</f>
        <v>25</v>
      </c>
      <c r="X384" s="166">
        <f t="shared" ref="X384:X385" si="300">T384*W384</f>
        <v>25</v>
      </c>
      <c r="Y384" s="163" t="str">
        <f t="shared" ref="Y384:Y385" si="301">IF(AND(X384&gt;=600,X384&lt;=4000),"Nivel I: Riesgo Inaceptable",IF(AND(X384&gt;=150,X384&lt;=500),"Nivel II: Riesgo Importante",IF(AND(X384&gt;=40,X384&lt;=120),"Nivel III: Riesgo Moderado (Aceptable)","Nivel IV: Riesgo Tolerable (Aceptable)")))</f>
        <v>Nivel IV: Riesgo Tolerable (Aceptable)</v>
      </c>
      <c r="Z384" s="163">
        <v>1</v>
      </c>
      <c r="AA384" s="163" t="s">
        <v>1151</v>
      </c>
      <c r="AB384" s="161" t="s">
        <v>424</v>
      </c>
      <c r="AC384" s="161" t="s">
        <v>424</v>
      </c>
      <c r="AD384" s="161" t="s">
        <v>424</v>
      </c>
      <c r="AE384" s="161" t="s">
        <v>1039</v>
      </c>
      <c r="AF384" s="161" t="s">
        <v>1040</v>
      </c>
      <c r="AG384" s="166" t="s">
        <v>460</v>
      </c>
    </row>
    <row r="385" spans="1:33" ht="63.75" hidden="1" x14ac:dyDescent="0.2">
      <c r="A385" s="162" t="s">
        <v>1281</v>
      </c>
      <c r="B385" s="162" t="s">
        <v>642</v>
      </c>
      <c r="C385" s="162" t="s">
        <v>1200</v>
      </c>
      <c r="D385" s="162" t="s">
        <v>1201</v>
      </c>
      <c r="E385" s="161" t="s">
        <v>1000</v>
      </c>
      <c r="F385" s="162" t="s">
        <v>1123</v>
      </c>
      <c r="G385" s="162" t="s">
        <v>1143</v>
      </c>
      <c r="H385" s="162" t="s">
        <v>1021</v>
      </c>
      <c r="I385" s="163" t="s">
        <v>421</v>
      </c>
      <c r="J385" s="163" t="s">
        <v>422</v>
      </c>
      <c r="K385" s="163" t="s">
        <v>460</v>
      </c>
      <c r="L385" s="163" t="s">
        <v>469</v>
      </c>
      <c r="M385" s="161" t="s">
        <v>423</v>
      </c>
      <c r="N385" s="161" t="s">
        <v>423</v>
      </c>
      <c r="O385" s="162" t="s">
        <v>1144</v>
      </c>
      <c r="P385" s="163" t="s">
        <v>184</v>
      </c>
      <c r="Q385" s="171">
        <f t="shared" si="295"/>
        <v>1</v>
      </c>
      <c r="R385" s="163" t="s">
        <v>485</v>
      </c>
      <c r="S385" s="172">
        <f t="shared" si="296"/>
        <v>1</v>
      </c>
      <c r="T385" s="166">
        <f t="shared" si="297"/>
        <v>1</v>
      </c>
      <c r="U385" s="163" t="s">
        <v>184</v>
      </c>
      <c r="V385" s="163" t="s">
        <v>187</v>
      </c>
      <c r="W385" s="172">
        <f t="shared" si="299"/>
        <v>25</v>
      </c>
      <c r="X385" s="166">
        <f t="shared" si="300"/>
        <v>25</v>
      </c>
      <c r="Y385" s="163" t="str">
        <f t="shared" si="301"/>
        <v>Nivel IV: Riesgo Tolerable (Aceptable)</v>
      </c>
      <c r="Z385" s="163">
        <v>1</v>
      </c>
      <c r="AA385" s="163" t="s">
        <v>1151</v>
      </c>
      <c r="AB385" s="161" t="s">
        <v>424</v>
      </c>
      <c r="AC385" s="161" t="s">
        <v>424</v>
      </c>
      <c r="AD385" s="161" t="s">
        <v>424</v>
      </c>
      <c r="AE385" s="161" t="s">
        <v>1209</v>
      </c>
      <c r="AF385" s="161" t="s">
        <v>600</v>
      </c>
      <c r="AG385" s="166" t="s">
        <v>460</v>
      </c>
    </row>
    <row r="386" spans="1:33" ht="76.5" hidden="1" x14ac:dyDescent="0.2">
      <c r="A386" s="162" t="s">
        <v>1281</v>
      </c>
      <c r="B386" s="162" t="s">
        <v>642</v>
      </c>
      <c r="C386" s="162" t="s">
        <v>1200</v>
      </c>
      <c r="D386" s="162" t="s">
        <v>1201</v>
      </c>
      <c r="E386" s="161" t="s">
        <v>996</v>
      </c>
      <c r="F386" s="162" t="s">
        <v>283</v>
      </c>
      <c r="G386" s="162" t="s">
        <v>1210</v>
      </c>
      <c r="H386" s="162" t="s">
        <v>1211</v>
      </c>
      <c r="I386" s="163" t="s">
        <v>421</v>
      </c>
      <c r="J386" s="163" t="s">
        <v>422</v>
      </c>
      <c r="K386" s="163" t="s">
        <v>460</v>
      </c>
      <c r="L386" s="163" t="s">
        <v>469</v>
      </c>
      <c r="M386" s="163" t="s">
        <v>423</v>
      </c>
      <c r="N386" s="163" t="s">
        <v>1214</v>
      </c>
      <c r="O386" s="162" t="s">
        <v>1212</v>
      </c>
      <c r="P386" s="163" t="s">
        <v>185</v>
      </c>
      <c r="Q386" s="171">
        <f>IF(P386="Muy Alto",10,IF(P386="Alto",6,IF(P386="Medio",2,IF(P386="Bajo",1,))))</f>
        <v>2</v>
      </c>
      <c r="R386" s="163" t="s">
        <v>416</v>
      </c>
      <c r="S386" s="172">
        <f>IF(R386="Continua",4,IF(R386="Frecuente",3,IF(R386="Ocasional",2,IF(R386="Esporádica",1,))))</f>
        <v>3</v>
      </c>
      <c r="T386" s="166">
        <f>Q386*S386</f>
        <v>6</v>
      </c>
      <c r="U386" s="163" t="str">
        <f>IF(AND(T386&gt;=0,T386&lt;=4),"Bajo",IF(AND(T386&gt;=6,T386&lt;=8),"Medio",IF(AND(T386&gt;=10,T386&lt;=20),"Alto",IF(AND(T386&gt;=20,T386&lt;=40),"Muy Alto",))))</f>
        <v>Medio</v>
      </c>
      <c r="V386" s="163" t="s">
        <v>428</v>
      </c>
      <c r="W386" s="172">
        <f>IF(V386="Mortal o catastrófico",100,IF(V386="Muy grave",60,IF(V386="Grave",25,IF(V386="Leve",10,))))</f>
        <v>10</v>
      </c>
      <c r="X386" s="166">
        <f>T386*W386</f>
        <v>60</v>
      </c>
      <c r="Y386" s="163" t="str">
        <f>IF(AND(X386&gt;=600,X386&lt;=4000),"Nivel I: Riesgo Inaceptable",IF(AND(X386&gt;=150,X386&lt;=500),"Nivel II: Riesgo Importante",IF(AND(X386&gt;=40,X386&lt;=120),"Nivel III: Riesgo Moderado (Aceptable)","Nivel IV: Riesgo Tolerable (Aceptable)")))</f>
        <v>Nivel III: Riesgo Moderado (Aceptable)</v>
      </c>
      <c r="Z386" s="163">
        <v>1</v>
      </c>
      <c r="AA386" s="163" t="s">
        <v>1151</v>
      </c>
      <c r="AB386" s="161" t="s">
        <v>424</v>
      </c>
      <c r="AC386" s="161" t="s">
        <v>424</v>
      </c>
      <c r="AD386" s="161" t="s">
        <v>424</v>
      </c>
      <c r="AE386" s="161" t="s">
        <v>1213</v>
      </c>
      <c r="AF386" s="161" t="s">
        <v>600</v>
      </c>
      <c r="AG386" s="166" t="s">
        <v>460</v>
      </c>
    </row>
    <row r="387" spans="1:33" ht="114.75" hidden="1" x14ac:dyDescent="0.2">
      <c r="A387" s="162" t="s">
        <v>1281</v>
      </c>
      <c r="B387" s="162" t="s">
        <v>642</v>
      </c>
      <c r="C387" s="162" t="s">
        <v>1200</v>
      </c>
      <c r="D387" s="162" t="s">
        <v>1201</v>
      </c>
      <c r="E387" s="161" t="s">
        <v>996</v>
      </c>
      <c r="F387" s="162" t="s">
        <v>1146</v>
      </c>
      <c r="G387" s="162" t="s">
        <v>1215</v>
      </c>
      <c r="H387" s="162" t="s">
        <v>1216</v>
      </c>
      <c r="I387" s="163" t="s">
        <v>421</v>
      </c>
      <c r="J387" s="163" t="s">
        <v>422</v>
      </c>
      <c r="K387" s="163" t="s">
        <v>460</v>
      </c>
      <c r="L387" s="163" t="s">
        <v>469</v>
      </c>
      <c r="M387" s="163" t="s">
        <v>423</v>
      </c>
      <c r="N387" s="163" t="s">
        <v>423</v>
      </c>
      <c r="O387" s="162" t="s">
        <v>1032</v>
      </c>
      <c r="P387" s="163" t="s">
        <v>185</v>
      </c>
      <c r="Q387" s="171">
        <f>IF(P387="Muy Alto",10,IF(P387="Alto",6,IF(P387="Medio",2,IF(P387="Bajo",1,))))</f>
        <v>2</v>
      </c>
      <c r="R387" s="163" t="s">
        <v>416</v>
      </c>
      <c r="S387" s="172">
        <f>IF(R387="Continua",4,IF(R387="Frecuente",3,IF(R387="Ocasional",2,IF(R387="Esporádica",1,))))</f>
        <v>3</v>
      </c>
      <c r="T387" s="166">
        <f>Q387*S387</f>
        <v>6</v>
      </c>
      <c r="U387" s="163" t="str">
        <f>IF(AND(T387&gt;=0,T387&lt;=4),"Bajo",IF(AND(T387&gt;=6,T387&lt;=8),"Medio",IF(AND(T387&gt;=10,T387&lt;=20),"Alto",IF(AND(T387&gt;=20,T387&lt;=40),"Muy Alto",))))</f>
        <v>Medio</v>
      </c>
      <c r="V387" s="163" t="s">
        <v>428</v>
      </c>
      <c r="W387" s="172">
        <f>IF(V387="Mortal o catastrófico",100,IF(V387="Muy grave",60,IF(V387="Grave",25,IF(V387="Leve",10,))))</f>
        <v>10</v>
      </c>
      <c r="X387" s="166">
        <f>T387*W387</f>
        <v>60</v>
      </c>
      <c r="Y387" s="163" t="str">
        <f>IF(AND(X387&gt;=600,X387&lt;=4000),"Nivel I: Riesgo Inaceptable",IF(AND(X387&gt;=150,X387&lt;=500),"Nivel II: Riesgo Importante",IF(AND(X387&gt;=40,X387&lt;=120),"Nivel III: Riesgo Moderado (Aceptable)","Nivel IV: Riesgo Tolerable (Aceptable)")))</f>
        <v>Nivel III: Riesgo Moderado (Aceptable)</v>
      </c>
      <c r="Z387" s="163">
        <v>1</v>
      </c>
      <c r="AA387" s="163" t="s">
        <v>1151</v>
      </c>
      <c r="AB387" s="161" t="s">
        <v>424</v>
      </c>
      <c r="AC387" s="161" t="s">
        <v>424</v>
      </c>
      <c r="AD387" s="161" t="s">
        <v>424</v>
      </c>
      <c r="AE387" s="161" t="s">
        <v>1217</v>
      </c>
      <c r="AF387" s="161" t="s">
        <v>600</v>
      </c>
      <c r="AG387" s="166" t="s">
        <v>460</v>
      </c>
    </row>
    <row r="388" spans="1:33" ht="102" hidden="1" x14ac:dyDescent="0.2">
      <c r="A388" s="162" t="s">
        <v>1218</v>
      </c>
      <c r="B388" s="162" t="s">
        <v>642</v>
      </c>
      <c r="C388" s="162" t="s">
        <v>1219</v>
      </c>
      <c r="D388" s="162" t="s">
        <v>1220</v>
      </c>
      <c r="E388" s="161" t="s">
        <v>998</v>
      </c>
      <c r="F388" s="162" t="s">
        <v>178</v>
      </c>
      <c r="G388" s="162" t="s">
        <v>1067</v>
      </c>
      <c r="H388" s="162" t="s">
        <v>559</v>
      </c>
      <c r="I388" s="163" t="s">
        <v>421</v>
      </c>
      <c r="J388" s="163" t="s">
        <v>422</v>
      </c>
      <c r="K388" s="163" t="s">
        <v>460</v>
      </c>
      <c r="L388" s="163" t="s">
        <v>469</v>
      </c>
      <c r="M388" s="161" t="s">
        <v>606</v>
      </c>
      <c r="N388" s="161" t="s">
        <v>606</v>
      </c>
      <c r="O388" s="162" t="s">
        <v>1046</v>
      </c>
      <c r="P388" s="163" t="s">
        <v>185</v>
      </c>
      <c r="Q388" s="171">
        <f t="shared" ref="Q388:Q394" si="302">IF(P388="Muy Alto",10,IF(P388="Alto",6,IF(P388="Medio",2,IF(P388="Bajo",1,))))</f>
        <v>2</v>
      </c>
      <c r="R388" s="163" t="s">
        <v>186</v>
      </c>
      <c r="S388" s="172">
        <f t="shared" ref="S388:S394" si="303">IF(R388="Continua",4,IF(R388="Frecuente",3,IF(R388="Ocasional",2,IF(R388="Esporádica",1,))))</f>
        <v>4</v>
      </c>
      <c r="T388" s="166">
        <f t="shared" ref="T388:T394" si="304">Q388*S388</f>
        <v>8</v>
      </c>
      <c r="U388" s="163" t="str">
        <f t="shared" ref="U388:U393" si="305">IF(AND(T388&gt;=0,T388&lt;=4),"Bajo",IF(AND(T388&gt;=6,T388&lt;=8),"Medio",IF(AND(T388&gt;=10,T388&lt;=20),"Alto",IF(AND(T388&gt;=20,T388&lt;=40),"Muy Alto",))))</f>
        <v>Medio</v>
      </c>
      <c r="V388" s="163" t="s">
        <v>187</v>
      </c>
      <c r="W388" s="172">
        <f t="shared" ref="W388:W394" si="306">IF(V388="Mortal o catastrófico",100,IF(V388="Muy grave",60,IF(V388="Grave",25,IF(V388="Leve",10,))))</f>
        <v>25</v>
      </c>
      <c r="X388" s="166">
        <f t="shared" ref="X388:X394" si="307">T388*W388</f>
        <v>200</v>
      </c>
      <c r="Y388" s="163" t="str">
        <f t="shared" ref="Y388:Y394" si="308">IF(AND(X388&gt;=600,X388&lt;=4000),"Nivel I: Riesgo Inaceptable",IF(AND(X388&gt;=150,X388&lt;=500),"Nivel II: Riesgo Importante",IF(AND(X388&gt;=40,X388&lt;=120),"Nivel III: Riesgo Moderado (Aceptable)","Nivel IV: Riesgo Tolerable (Aceptable)")))</f>
        <v>Nivel II: Riesgo Importante</v>
      </c>
      <c r="Z388" s="163">
        <v>1</v>
      </c>
      <c r="AA388" s="163" t="s">
        <v>1151</v>
      </c>
      <c r="AB388" s="161" t="s">
        <v>424</v>
      </c>
      <c r="AC388" s="161" t="s">
        <v>424</v>
      </c>
      <c r="AD388" s="161" t="s">
        <v>424</v>
      </c>
      <c r="AE388" s="161" t="s">
        <v>1223</v>
      </c>
      <c r="AF388" s="161" t="s">
        <v>600</v>
      </c>
      <c r="AG388" s="166" t="s">
        <v>460</v>
      </c>
    </row>
    <row r="389" spans="1:33" ht="140.25" hidden="1" x14ac:dyDescent="0.2">
      <c r="A389" s="162" t="s">
        <v>1218</v>
      </c>
      <c r="B389" s="162" t="s">
        <v>642</v>
      </c>
      <c r="C389" s="162" t="s">
        <v>1219</v>
      </c>
      <c r="D389" s="162" t="s">
        <v>1220</v>
      </c>
      <c r="E389" s="161" t="s">
        <v>175</v>
      </c>
      <c r="F389" s="162" t="s">
        <v>1111</v>
      </c>
      <c r="G389" s="162" t="s">
        <v>1165</v>
      </c>
      <c r="H389" s="162" t="s">
        <v>602</v>
      </c>
      <c r="I389" s="173" t="s">
        <v>421</v>
      </c>
      <c r="J389" s="173" t="s">
        <v>422</v>
      </c>
      <c r="K389" s="174" t="s">
        <v>460</v>
      </c>
      <c r="L389" s="174" t="s">
        <v>469</v>
      </c>
      <c r="M389" s="175" t="s">
        <v>1167</v>
      </c>
      <c r="N389" s="175" t="s">
        <v>423</v>
      </c>
      <c r="O389" s="176" t="s">
        <v>1166</v>
      </c>
      <c r="P389" s="177" t="s">
        <v>185</v>
      </c>
      <c r="Q389" s="178">
        <f t="shared" si="302"/>
        <v>2</v>
      </c>
      <c r="R389" s="177" t="s">
        <v>429</v>
      </c>
      <c r="S389" s="179">
        <f t="shared" si="303"/>
        <v>2</v>
      </c>
      <c r="T389" s="180">
        <f t="shared" si="304"/>
        <v>4</v>
      </c>
      <c r="U389" s="181" t="str">
        <f t="shared" si="305"/>
        <v>Bajo</v>
      </c>
      <c r="V389" s="181" t="s">
        <v>428</v>
      </c>
      <c r="W389" s="179">
        <f t="shared" si="306"/>
        <v>10</v>
      </c>
      <c r="X389" s="180">
        <f t="shared" si="307"/>
        <v>40</v>
      </c>
      <c r="Y389" s="181" t="str">
        <f t="shared" si="308"/>
        <v>Nivel III: Riesgo Moderado (Aceptable)</v>
      </c>
      <c r="Z389" s="163">
        <v>1</v>
      </c>
      <c r="AA389" s="163" t="s">
        <v>1151</v>
      </c>
      <c r="AB389" s="175" t="s">
        <v>424</v>
      </c>
      <c r="AC389" s="175" t="s">
        <v>424</v>
      </c>
      <c r="AD389" s="175" t="s">
        <v>424</v>
      </c>
      <c r="AE389" s="182" t="s">
        <v>1035</v>
      </c>
      <c r="AF389" s="183" t="s">
        <v>600</v>
      </c>
      <c r="AG389" s="184" t="s">
        <v>460</v>
      </c>
    </row>
    <row r="390" spans="1:33" ht="140.25" hidden="1" x14ac:dyDescent="0.2">
      <c r="A390" s="162" t="s">
        <v>1218</v>
      </c>
      <c r="B390" s="162" t="s">
        <v>642</v>
      </c>
      <c r="C390" s="162" t="s">
        <v>1219</v>
      </c>
      <c r="D390" s="162" t="s">
        <v>1220</v>
      </c>
      <c r="E390" s="161" t="s">
        <v>175</v>
      </c>
      <c r="F390" s="162" t="s">
        <v>1197</v>
      </c>
      <c r="G390" s="162" t="s">
        <v>1199</v>
      </c>
      <c r="H390" s="170" t="s">
        <v>1198</v>
      </c>
      <c r="I390" s="173" t="s">
        <v>421</v>
      </c>
      <c r="J390" s="173" t="s">
        <v>422</v>
      </c>
      <c r="K390" s="174" t="s">
        <v>460</v>
      </c>
      <c r="L390" s="174" t="s">
        <v>469</v>
      </c>
      <c r="M390" s="175" t="s">
        <v>1167</v>
      </c>
      <c r="N390" s="175" t="s">
        <v>423</v>
      </c>
      <c r="O390" s="176" t="s">
        <v>1166</v>
      </c>
      <c r="P390" s="177" t="s">
        <v>185</v>
      </c>
      <c r="Q390" s="178">
        <f t="shared" si="302"/>
        <v>2</v>
      </c>
      <c r="R390" s="177" t="s">
        <v>416</v>
      </c>
      <c r="S390" s="179">
        <f t="shared" si="303"/>
        <v>3</v>
      </c>
      <c r="T390" s="180">
        <f t="shared" si="304"/>
        <v>6</v>
      </c>
      <c r="U390" s="181" t="str">
        <f t="shared" si="305"/>
        <v>Medio</v>
      </c>
      <c r="V390" s="181" t="s">
        <v>187</v>
      </c>
      <c r="W390" s="179">
        <f t="shared" si="306"/>
        <v>25</v>
      </c>
      <c r="X390" s="180">
        <f t="shared" si="307"/>
        <v>150</v>
      </c>
      <c r="Y390" s="181" t="str">
        <f t="shared" si="308"/>
        <v>Nivel II: Riesgo Importante</v>
      </c>
      <c r="Z390" s="163">
        <v>1</v>
      </c>
      <c r="AA390" s="163" t="s">
        <v>1151</v>
      </c>
      <c r="AB390" s="175" t="s">
        <v>424</v>
      </c>
      <c r="AC390" s="175" t="s">
        <v>424</v>
      </c>
      <c r="AD390" s="175" t="s">
        <v>424</v>
      </c>
      <c r="AE390" s="182" t="s">
        <v>1196</v>
      </c>
      <c r="AF390" s="183" t="s">
        <v>600</v>
      </c>
      <c r="AG390" s="184" t="s">
        <v>460</v>
      </c>
    </row>
    <row r="391" spans="1:33" ht="63.75" hidden="1" x14ac:dyDescent="0.2">
      <c r="A391" s="162" t="s">
        <v>1218</v>
      </c>
      <c r="B391" s="162" t="s">
        <v>642</v>
      </c>
      <c r="C391" s="162" t="s">
        <v>1219</v>
      </c>
      <c r="D391" s="162" t="s">
        <v>1220</v>
      </c>
      <c r="E391" s="161" t="s">
        <v>999</v>
      </c>
      <c r="F391" s="162" t="s">
        <v>292</v>
      </c>
      <c r="G391" s="162" t="s">
        <v>1149</v>
      </c>
      <c r="H391" s="162" t="s">
        <v>472</v>
      </c>
      <c r="I391" s="163" t="s">
        <v>421</v>
      </c>
      <c r="J391" s="163" t="s">
        <v>461</v>
      </c>
      <c r="K391" s="163" t="s">
        <v>460</v>
      </c>
      <c r="L391" s="163" t="s">
        <v>469</v>
      </c>
      <c r="M391" s="161" t="s">
        <v>606</v>
      </c>
      <c r="N391" s="161" t="s">
        <v>1069</v>
      </c>
      <c r="O391" s="162" t="s">
        <v>1070</v>
      </c>
      <c r="P391" s="163" t="s">
        <v>184</v>
      </c>
      <c r="Q391" s="171">
        <f t="shared" si="302"/>
        <v>1</v>
      </c>
      <c r="R391" s="163" t="s">
        <v>429</v>
      </c>
      <c r="S391" s="172">
        <f t="shared" si="303"/>
        <v>2</v>
      </c>
      <c r="T391" s="166">
        <f t="shared" si="304"/>
        <v>2</v>
      </c>
      <c r="U391" s="163" t="str">
        <f t="shared" si="305"/>
        <v>Bajo</v>
      </c>
      <c r="V391" s="163" t="s">
        <v>428</v>
      </c>
      <c r="W391" s="172">
        <f t="shared" si="306"/>
        <v>10</v>
      </c>
      <c r="X391" s="166">
        <f t="shared" si="307"/>
        <v>20</v>
      </c>
      <c r="Y391" s="163" t="str">
        <f t="shared" si="308"/>
        <v>Nivel IV: Riesgo Tolerable (Aceptable)</v>
      </c>
      <c r="Z391" s="163">
        <v>1</v>
      </c>
      <c r="AA391" s="163" t="s">
        <v>1151</v>
      </c>
      <c r="AB391" s="161" t="s">
        <v>424</v>
      </c>
      <c r="AC391" s="161" t="s">
        <v>424</v>
      </c>
      <c r="AD391" s="161" t="s">
        <v>424</v>
      </c>
      <c r="AE391" s="161" t="s">
        <v>1071</v>
      </c>
      <c r="AF391" s="161" t="s">
        <v>600</v>
      </c>
      <c r="AG391" s="166" t="s">
        <v>460</v>
      </c>
    </row>
    <row r="392" spans="1:33" ht="76.5" hidden="1" x14ac:dyDescent="0.2">
      <c r="A392" s="162" t="s">
        <v>1218</v>
      </c>
      <c r="B392" s="162" t="s">
        <v>642</v>
      </c>
      <c r="C392" s="162" t="s">
        <v>1219</v>
      </c>
      <c r="D392" s="162" t="s">
        <v>1220</v>
      </c>
      <c r="E392" s="161" t="s">
        <v>999</v>
      </c>
      <c r="F392" s="162" t="s">
        <v>288</v>
      </c>
      <c r="G392" s="162" t="s">
        <v>1131</v>
      </c>
      <c r="H392" s="162" t="s">
        <v>614</v>
      </c>
      <c r="I392" s="163" t="s">
        <v>421</v>
      </c>
      <c r="J392" s="163" t="s">
        <v>461</v>
      </c>
      <c r="K392" s="163" t="s">
        <v>460</v>
      </c>
      <c r="L392" s="163" t="s">
        <v>469</v>
      </c>
      <c r="M392" s="166" t="s">
        <v>423</v>
      </c>
      <c r="N392" s="162" t="s">
        <v>1132</v>
      </c>
      <c r="O392" s="162" t="s">
        <v>1026</v>
      </c>
      <c r="P392" s="163" t="s">
        <v>184</v>
      </c>
      <c r="Q392" s="171">
        <f t="shared" si="302"/>
        <v>1</v>
      </c>
      <c r="R392" s="163" t="s">
        <v>485</v>
      </c>
      <c r="S392" s="172">
        <f t="shared" si="303"/>
        <v>1</v>
      </c>
      <c r="T392" s="166">
        <f t="shared" si="304"/>
        <v>1</v>
      </c>
      <c r="U392" s="163" t="str">
        <f t="shared" si="305"/>
        <v>Bajo</v>
      </c>
      <c r="V392" s="163" t="s">
        <v>187</v>
      </c>
      <c r="W392" s="172">
        <f t="shared" si="306"/>
        <v>25</v>
      </c>
      <c r="X392" s="166">
        <f t="shared" si="307"/>
        <v>25</v>
      </c>
      <c r="Y392" s="163" t="str">
        <f t="shared" si="308"/>
        <v>Nivel IV: Riesgo Tolerable (Aceptable)</v>
      </c>
      <c r="Z392" s="163">
        <v>1</v>
      </c>
      <c r="AA392" s="163" t="s">
        <v>1151</v>
      </c>
      <c r="AB392" s="161" t="s">
        <v>424</v>
      </c>
      <c r="AC392" s="161" t="s">
        <v>424</v>
      </c>
      <c r="AD392" s="161" t="s">
        <v>424</v>
      </c>
      <c r="AE392" s="161" t="s">
        <v>1066</v>
      </c>
      <c r="AF392" s="161" t="s">
        <v>600</v>
      </c>
      <c r="AG392" s="166" t="s">
        <v>460</v>
      </c>
    </row>
    <row r="393" spans="1:33" ht="76.5" hidden="1" x14ac:dyDescent="0.2">
      <c r="A393" s="162" t="s">
        <v>1218</v>
      </c>
      <c r="B393" s="162" t="s">
        <v>642</v>
      </c>
      <c r="C393" s="162" t="s">
        <v>1219</v>
      </c>
      <c r="D393" s="162" t="s">
        <v>1220</v>
      </c>
      <c r="E393" s="161" t="s">
        <v>999</v>
      </c>
      <c r="F393" s="162" t="s">
        <v>1117</v>
      </c>
      <c r="G393" s="162" t="s">
        <v>564</v>
      </c>
      <c r="H393" s="162" t="s">
        <v>1072</v>
      </c>
      <c r="I393" s="163" t="s">
        <v>421</v>
      </c>
      <c r="J393" s="163" t="s">
        <v>461</v>
      </c>
      <c r="K393" s="163" t="s">
        <v>460</v>
      </c>
      <c r="L393" s="163" t="s">
        <v>469</v>
      </c>
      <c r="M393" s="166" t="s">
        <v>423</v>
      </c>
      <c r="N393" s="166" t="s">
        <v>423</v>
      </c>
      <c r="O393" s="162" t="s">
        <v>1026</v>
      </c>
      <c r="P393" s="163" t="s">
        <v>184</v>
      </c>
      <c r="Q393" s="171">
        <f t="shared" si="302"/>
        <v>1</v>
      </c>
      <c r="R393" s="163" t="s">
        <v>485</v>
      </c>
      <c r="S393" s="172">
        <f t="shared" si="303"/>
        <v>1</v>
      </c>
      <c r="T393" s="166">
        <f t="shared" si="304"/>
        <v>1</v>
      </c>
      <c r="U393" s="163" t="str">
        <f t="shared" si="305"/>
        <v>Bajo</v>
      </c>
      <c r="V393" s="163" t="s">
        <v>428</v>
      </c>
      <c r="W393" s="172">
        <f t="shared" si="306"/>
        <v>10</v>
      </c>
      <c r="X393" s="166">
        <f t="shared" si="307"/>
        <v>10</v>
      </c>
      <c r="Y393" s="163" t="str">
        <f t="shared" si="308"/>
        <v>Nivel IV: Riesgo Tolerable (Aceptable)</v>
      </c>
      <c r="Z393" s="163">
        <v>1</v>
      </c>
      <c r="AA393" s="163" t="s">
        <v>1151</v>
      </c>
      <c r="AB393" s="161" t="s">
        <v>424</v>
      </c>
      <c r="AC393" s="161" t="s">
        <v>424</v>
      </c>
      <c r="AD393" s="161" t="s">
        <v>424</v>
      </c>
      <c r="AE393" s="161" t="s">
        <v>1066</v>
      </c>
      <c r="AF393" s="161" t="s">
        <v>600</v>
      </c>
      <c r="AG393" s="166" t="s">
        <v>460</v>
      </c>
    </row>
    <row r="394" spans="1:33" ht="76.5" hidden="1" x14ac:dyDescent="0.2">
      <c r="A394" s="162" t="s">
        <v>1218</v>
      </c>
      <c r="B394" s="162" t="s">
        <v>642</v>
      </c>
      <c r="C394" s="162" t="s">
        <v>1219</v>
      </c>
      <c r="D394" s="162" t="s">
        <v>1220</v>
      </c>
      <c r="E394" s="161" t="s">
        <v>999</v>
      </c>
      <c r="F394" s="162" t="s">
        <v>1119</v>
      </c>
      <c r="G394" s="162" t="s">
        <v>1133</v>
      </c>
      <c r="H394" s="162" t="s">
        <v>966</v>
      </c>
      <c r="I394" s="163" t="s">
        <v>421</v>
      </c>
      <c r="J394" s="163" t="s">
        <v>422</v>
      </c>
      <c r="K394" s="163" t="s">
        <v>460</v>
      </c>
      <c r="L394" s="163" t="s">
        <v>469</v>
      </c>
      <c r="M394" s="161" t="s">
        <v>1163</v>
      </c>
      <c r="N394" s="161" t="s">
        <v>1164</v>
      </c>
      <c r="O394" s="164" t="s">
        <v>1026</v>
      </c>
      <c r="P394" s="163" t="s">
        <v>184</v>
      </c>
      <c r="Q394" s="171">
        <f t="shared" si="302"/>
        <v>1</v>
      </c>
      <c r="R394" s="163" t="s">
        <v>416</v>
      </c>
      <c r="S394" s="172">
        <f t="shared" si="303"/>
        <v>3</v>
      </c>
      <c r="T394" s="166">
        <f t="shared" si="304"/>
        <v>3</v>
      </c>
      <c r="U394" s="163" t="s">
        <v>184</v>
      </c>
      <c r="V394" s="163" t="s">
        <v>187</v>
      </c>
      <c r="W394" s="172">
        <f t="shared" si="306"/>
        <v>25</v>
      </c>
      <c r="X394" s="166">
        <f t="shared" si="307"/>
        <v>75</v>
      </c>
      <c r="Y394" s="163" t="str">
        <f t="shared" si="308"/>
        <v>Nivel III: Riesgo Moderado (Aceptable)</v>
      </c>
      <c r="Z394" s="163">
        <v>1</v>
      </c>
      <c r="AA394" s="163" t="s">
        <v>1151</v>
      </c>
      <c r="AB394" s="161" t="s">
        <v>424</v>
      </c>
      <c r="AC394" s="161" t="s">
        <v>424</v>
      </c>
      <c r="AD394" s="161" t="s">
        <v>424</v>
      </c>
      <c r="AE394" s="167" t="s">
        <v>1134</v>
      </c>
      <c r="AF394" s="161" t="s">
        <v>600</v>
      </c>
      <c r="AG394" s="166" t="s">
        <v>460</v>
      </c>
    </row>
    <row r="395" spans="1:33" ht="76.5" hidden="1" x14ac:dyDescent="0.2">
      <c r="A395" s="162" t="s">
        <v>1218</v>
      </c>
      <c r="B395" s="162" t="s">
        <v>642</v>
      </c>
      <c r="C395" s="162" t="s">
        <v>1219</v>
      </c>
      <c r="D395" s="162" t="s">
        <v>1220</v>
      </c>
      <c r="E395" s="161" t="s">
        <v>999</v>
      </c>
      <c r="F395" s="162" t="s">
        <v>1121</v>
      </c>
      <c r="G395" s="162" t="s">
        <v>1139</v>
      </c>
      <c r="H395" s="162" t="s">
        <v>979</v>
      </c>
      <c r="I395" s="163" t="s">
        <v>421</v>
      </c>
      <c r="J395" s="163" t="s">
        <v>461</v>
      </c>
      <c r="K395" s="163" t="s">
        <v>460</v>
      </c>
      <c r="L395" s="163" t="s">
        <v>469</v>
      </c>
      <c r="M395" s="165" t="s">
        <v>423</v>
      </c>
      <c r="N395" s="161" t="s">
        <v>1140</v>
      </c>
      <c r="O395" s="162" t="s">
        <v>1092</v>
      </c>
      <c r="P395" s="163" t="s">
        <v>184</v>
      </c>
      <c r="Q395" s="171">
        <f>IF(P395="Muy Alto",10,IF(P395="Alto",6,IF(P395="Medio",2,IF(P395="Bajo",1,))))</f>
        <v>1</v>
      </c>
      <c r="R395" s="163" t="s">
        <v>485</v>
      </c>
      <c r="S395" s="172">
        <f>IF(R395="Continua",4,IF(R395="Frecuente",3,IF(R395="Ocasional",2,IF(R395="Esporádica",1,))))</f>
        <v>1</v>
      </c>
      <c r="T395" s="166">
        <f>Q395*S395</f>
        <v>1</v>
      </c>
      <c r="U395" s="163" t="s">
        <v>184</v>
      </c>
      <c r="V395" s="163" t="s">
        <v>187</v>
      </c>
      <c r="W395" s="172">
        <f>IF(V395="Mortal o catastrófico",100,IF(V395="Muy grave",60,IF(V395="Grave",25,IF(V395="Leve",10,))))</f>
        <v>25</v>
      </c>
      <c r="X395" s="166">
        <f>T395*W395</f>
        <v>25</v>
      </c>
      <c r="Y395" s="163" t="str">
        <f>IF(AND(X395&gt;=600,X395&lt;=4000),"Nivel I: Riesgo Inaceptable",IF(AND(X395&gt;=150,X395&lt;=500),"Nivel II: Riesgo Importante",IF(AND(X395&gt;=40,X395&lt;=120),"Nivel III: Riesgo Moderado (Aceptable)","Nivel IV: Riesgo Tolerable (Aceptable)")))</f>
        <v>Nivel IV: Riesgo Tolerable (Aceptable)</v>
      </c>
      <c r="Z395" s="163">
        <v>1</v>
      </c>
      <c r="AA395" s="163" t="s">
        <v>1151</v>
      </c>
      <c r="AB395" s="161" t="s">
        <v>424</v>
      </c>
      <c r="AC395" s="161" t="s">
        <v>424</v>
      </c>
      <c r="AD395" s="161" t="s">
        <v>424</v>
      </c>
      <c r="AE395" s="161" t="s">
        <v>1088</v>
      </c>
      <c r="AF395" s="161" t="s">
        <v>600</v>
      </c>
      <c r="AG395" s="166" t="s">
        <v>460</v>
      </c>
    </row>
    <row r="396" spans="1:33" ht="102" hidden="1" x14ac:dyDescent="0.2">
      <c r="A396" s="162" t="s">
        <v>1218</v>
      </c>
      <c r="B396" s="162" t="s">
        <v>642</v>
      </c>
      <c r="C396" s="162" t="s">
        <v>1219</v>
      </c>
      <c r="D396" s="162" t="s">
        <v>1220</v>
      </c>
      <c r="E396" s="161" t="s">
        <v>995</v>
      </c>
      <c r="F396" s="162" t="s">
        <v>714</v>
      </c>
      <c r="G396" s="162" t="s">
        <v>1036</v>
      </c>
      <c r="H396" s="162" t="s">
        <v>1135</v>
      </c>
      <c r="I396" s="163" t="s">
        <v>421</v>
      </c>
      <c r="J396" s="163" t="s">
        <v>461</v>
      </c>
      <c r="K396" s="163" t="s">
        <v>460</v>
      </c>
      <c r="L396" s="163" t="s">
        <v>469</v>
      </c>
      <c r="M396" s="161" t="s">
        <v>423</v>
      </c>
      <c r="N396" s="161" t="s">
        <v>1136</v>
      </c>
      <c r="O396" s="164" t="s">
        <v>1038</v>
      </c>
      <c r="P396" s="163" t="s">
        <v>184</v>
      </c>
      <c r="Q396" s="171">
        <f t="shared" ref="Q396:Q397" si="309">IF(P396="Muy Alto",10,IF(P396="Alto",6,IF(P396="Medio",2,IF(P396="Bajo",1,))))</f>
        <v>1</v>
      </c>
      <c r="R396" s="163" t="s">
        <v>485</v>
      </c>
      <c r="S396" s="172">
        <f t="shared" ref="S396:S397" si="310">IF(R396="Continua",4,IF(R396="Frecuente",3,IF(R396="Ocasional",2,IF(R396="Esporádica",1,))))</f>
        <v>1</v>
      </c>
      <c r="T396" s="166">
        <f t="shared" ref="T396:T397" si="311">Q396*S396</f>
        <v>1</v>
      </c>
      <c r="U396" s="163" t="str">
        <f t="shared" ref="U396" si="312">IF(AND(T396&gt;=0,T396&lt;=4),"Bajo",IF(AND(T396&gt;=6,T396&lt;=8),"Medio",IF(AND(T396&gt;=10,T396&lt;=20),"Alto",IF(AND(T396&gt;=20,T396&lt;=40),"Muy Alto",))))</f>
        <v>Bajo</v>
      </c>
      <c r="V396" s="163" t="s">
        <v>187</v>
      </c>
      <c r="W396" s="172">
        <f t="shared" ref="W396:W397" si="313">IF(V396="Mortal o catastrófico",100,IF(V396="Muy grave",60,IF(V396="Grave",25,IF(V396="Leve",10,))))</f>
        <v>25</v>
      </c>
      <c r="X396" s="166">
        <f t="shared" ref="X396:X397" si="314">T396*W396</f>
        <v>25</v>
      </c>
      <c r="Y396" s="163" t="str">
        <f t="shared" ref="Y396:Y397" si="315">IF(AND(X396&gt;=600,X396&lt;=4000),"Nivel I: Riesgo Inaceptable",IF(AND(X396&gt;=150,X396&lt;=500),"Nivel II: Riesgo Importante",IF(AND(X396&gt;=40,X396&lt;=120),"Nivel III: Riesgo Moderado (Aceptable)","Nivel IV: Riesgo Tolerable (Aceptable)")))</f>
        <v>Nivel IV: Riesgo Tolerable (Aceptable)</v>
      </c>
      <c r="Z396" s="163">
        <v>1</v>
      </c>
      <c r="AA396" s="163" t="s">
        <v>1151</v>
      </c>
      <c r="AB396" s="161" t="s">
        <v>424</v>
      </c>
      <c r="AC396" s="161" t="s">
        <v>424</v>
      </c>
      <c r="AD396" s="161" t="s">
        <v>424</v>
      </c>
      <c r="AE396" s="161" t="s">
        <v>1039</v>
      </c>
      <c r="AF396" s="161" t="s">
        <v>1040</v>
      </c>
      <c r="AG396" s="166" t="s">
        <v>460</v>
      </c>
    </row>
    <row r="397" spans="1:33" ht="89.25" hidden="1" x14ac:dyDescent="0.2">
      <c r="A397" s="162" t="s">
        <v>1218</v>
      </c>
      <c r="B397" s="162" t="s">
        <v>642</v>
      </c>
      <c r="C397" s="162" t="s">
        <v>1219</v>
      </c>
      <c r="D397" s="162" t="s">
        <v>1220</v>
      </c>
      <c r="E397" s="161" t="s">
        <v>1000</v>
      </c>
      <c r="F397" s="162" t="s">
        <v>1123</v>
      </c>
      <c r="G397" s="162" t="s">
        <v>1143</v>
      </c>
      <c r="H397" s="162" t="s">
        <v>1021</v>
      </c>
      <c r="I397" s="163" t="s">
        <v>421</v>
      </c>
      <c r="J397" s="163" t="s">
        <v>422</v>
      </c>
      <c r="K397" s="163" t="s">
        <v>460</v>
      </c>
      <c r="L397" s="163" t="s">
        <v>469</v>
      </c>
      <c r="M397" s="161" t="s">
        <v>423</v>
      </c>
      <c r="N397" s="161" t="s">
        <v>1145</v>
      </c>
      <c r="O397" s="162" t="s">
        <v>1144</v>
      </c>
      <c r="P397" s="163" t="s">
        <v>184</v>
      </c>
      <c r="Q397" s="171">
        <f t="shared" si="309"/>
        <v>1</v>
      </c>
      <c r="R397" s="163" t="s">
        <v>485</v>
      </c>
      <c r="S397" s="172">
        <f t="shared" si="310"/>
        <v>1</v>
      </c>
      <c r="T397" s="166">
        <f t="shared" si="311"/>
        <v>1</v>
      </c>
      <c r="U397" s="163" t="s">
        <v>184</v>
      </c>
      <c r="V397" s="163" t="s">
        <v>187</v>
      </c>
      <c r="W397" s="172">
        <f t="shared" si="313"/>
        <v>25</v>
      </c>
      <c r="X397" s="166">
        <f t="shared" si="314"/>
        <v>25</v>
      </c>
      <c r="Y397" s="163" t="str">
        <f t="shared" si="315"/>
        <v>Nivel IV: Riesgo Tolerable (Aceptable)</v>
      </c>
      <c r="Z397" s="163">
        <v>1</v>
      </c>
      <c r="AA397" s="163" t="s">
        <v>1151</v>
      </c>
      <c r="AB397" s="161" t="s">
        <v>424</v>
      </c>
      <c r="AC397" s="161" t="s">
        <v>424</v>
      </c>
      <c r="AD397" s="161" t="s">
        <v>424</v>
      </c>
      <c r="AE397" s="161" t="s">
        <v>1147</v>
      </c>
      <c r="AF397" s="161" t="s">
        <v>600</v>
      </c>
      <c r="AG397" s="166" t="s">
        <v>460</v>
      </c>
    </row>
    <row r="398" spans="1:33" ht="102" hidden="1" x14ac:dyDescent="0.2">
      <c r="A398" s="162" t="s">
        <v>1218</v>
      </c>
      <c r="B398" s="162" t="s">
        <v>642</v>
      </c>
      <c r="C398" s="162" t="s">
        <v>1219</v>
      </c>
      <c r="D398" s="162" t="s">
        <v>1220</v>
      </c>
      <c r="E398" s="161" t="s">
        <v>996</v>
      </c>
      <c r="F398" s="162" t="s">
        <v>430</v>
      </c>
      <c r="G398" s="162" t="s">
        <v>486</v>
      </c>
      <c r="H398" s="162" t="s">
        <v>623</v>
      </c>
      <c r="I398" s="163" t="s">
        <v>421</v>
      </c>
      <c r="J398" s="163" t="s">
        <v>422</v>
      </c>
      <c r="K398" s="163" t="s">
        <v>460</v>
      </c>
      <c r="L398" s="163" t="s">
        <v>469</v>
      </c>
      <c r="M398" s="163" t="s">
        <v>1074</v>
      </c>
      <c r="N398" s="169" t="s">
        <v>1073</v>
      </c>
      <c r="O398" s="162" t="s">
        <v>1032</v>
      </c>
      <c r="P398" s="163" t="s">
        <v>184</v>
      </c>
      <c r="Q398" s="171">
        <f>IF(P398="Muy Alto",10,IF(P398="Alto",6,IF(P398="Medio",2,IF(P398="Bajo",1,))))</f>
        <v>1</v>
      </c>
      <c r="R398" s="163" t="s">
        <v>485</v>
      </c>
      <c r="S398" s="172">
        <f>IF(R398="Continua",4,IF(R398="Frecuente",3,IF(R398="Ocasional",2,IF(R398="Esporádica",1,))))</f>
        <v>1</v>
      </c>
      <c r="T398" s="166">
        <f>Q398*S398</f>
        <v>1</v>
      </c>
      <c r="U398" s="163" t="str">
        <f>IF(AND(T398&gt;=0,T398&lt;=4),"Bajo",IF(AND(T398&gt;=6,T398&lt;=8),"Medio",IF(AND(T398&gt;=10,T398&lt;=20),"Alto",IF(AND(T398&gt;=20,T398&lt;=40),"Muy Alto",))))</f>
        <v>Bajo</v>
      </c>
      <c r="V398" s="163" t="s">
        <v>428</v>
      </c>
      <c r="W398" s="172">
        <f>IF(V398="Mortal o catastrófico",100,IF(V398="Muy grave",60,IF(V398="Grave",25,IF(V398="Leve",10,))))</f>
        <v>10</v>
      </c>
      <c r="X398" s="166">
        <f>T398*W398</f>
        <v>10</v>
      </c>
      <c r="Y398" s="163" t="str">
        <f>IF(AND(X398&gt;=600,X398&lt;=4000),"Nivel I: Riesgo Inaceptable",IF(AND(X398&gt;=150,X398&lt;=500),"Nivel II: Riesgo Importante",IF(AND(X398&gt;=40,X398&lt;=120),"Nivel III: Riesgo Moderado (Aceptable)","Nivel IV: Riesgo Tolerable (Aceptable)")))</f>
        <v>Nivel IV: Riesgo Tolerable (Aceptable)</v>
      </c>
      <c r="Z398" s="163">
        <v>1</v>
      </c>
      <c r="AA398" s="163" t="s">
        <v>1151</v>
      </c>
      <c r="AB398" s="161" t="s">
        <v>424</v>
      </c>
      <c r="AC398" s="161" t="s">
        <v>424</v>
      </c>
      <c r="AD398" s="161" t="s">
        <v>424</v>
      </c>
      <c r="AE398" s="161" t="s">
        <v>1075</v>
      </c>
      <c r="AF398" s="161" t="s">
        <v>600</v>
      </c>
      <c r="AG398" s="166" t="s">
        <v>460</v>
      </c>
    </row>
    <row r="399" spans="1:33" ht="102" hidden="1" x14ac:dyDescent="0.2">
      <c r="A399" s="162" t="s">
        <v>1218</v>
      </c>
      <c r="B399" s="162" t="s">
        <v>642</v>
      </c>
      <c r="C399" s="162" t="s">
        <v>1219</v>
      </c>
      <c r="D399" s="162" t="s">
        <v>1220</v>
      </c>
      <c r="E399" s="161" t="s">
        <v>996</v>
      </c>
      <c r="F399" s="162" t="s">
        <v>1146</v>
      </c>
      <c r="G399" s="162" t="s">
        <v>1162</v>
      </c>
      <c r="H399" s="162" t="s">
        <v>623</v>
      </c>
      <c r="I399" s="163" t="s">
        <v>421</v>
      </c>
      <c r="J399" s="163" t="s">
        <v>422</v>
      </c>
      <c r="K399" s="163" t="s">
        <v>460</v>
      </c>
      <c r="L399" s="163" t="s">
        <v>469</v>
      </c>
      <c r="M399" s="163" t="s">
        <v>1074</v>
      </c>
      <c r="N399" s="169" t="s">
        <v>1073</v>
      </c>
      <c r="O399" s="162" t="s">
        <v>1032</v>
      </c>
      <c r="P399" s="163" t="s">
        <v>184</v>
      </c>
      <c r="Q399" s="171">
        <f>IF(P399="Muy Alto",10,IF(P399="Alto",6,IF(P399="Medio",2,IF(P399="Bajo",1,))))</f>
        <v>1</v>
      </c>
      <c r="R399" s="163" t="s">
        <v>416</v>
      </c>
      <c r="S399" s="172">
        <f>IF(R399="Continua",4,IF(R399="Frecuente",3,IF(R399="Ocasional",2,IF(R399="Esporádica",1,))))</f>
        <v>3</v>
      </c>
      <c r="T399" s="166">
        <f>Q399*S399</f>
        <v>3</v>
      </c>
      <c r="U399" s="163" t="str">
        <f>IF(AND(T399&gt;=0,T399&lt;=4),"Bajo",IF(AND(T399&gt;=6,T399&lt;=8),"Medio",IF(AND(T399&gt;=10,T399&lt;=20),"Alto",IF(AND(T399&gt;=20,T399&lt;=40),"Muy Alto",))))</f>
        <v>Bajo</v>
      </c>
      <c r="V399" s="163" t="s">
        <v>428</v>
      </c>
      <c r="W399" s="172">
        <f>IF(V399="Mortal o catastrófico",100,IF(V399="Muy grave",60,IF(V399="Grave",25,IF(V399="Leve",10,))))</f>
        <v>10</v>
      </c>
      <c r="X399" s="166">
        <f>T399*W399</f>
        <v>30</v>
      </c>
      <c r="Y399" s="163" t="str">
        <f>IF(AND(X399&gt;=600,X399&lt;=4000),"Nivel I: Riesgo Inaceptable",IF(AND(X399&gt;=150,X399&lt;=500),"Nivel II: Riesgo Importante",IF(AND(X399&gt;=40,X399&lt;=120),"Nivel III: Riesgo Moderado (Aceptable)","Nivel IV: Riesgo Tolerable (Aceptable)")))</f>
        <v>Nivel IV: Riesgo Tolerable (Aceptable)</v>
      </c>
      <c r="Z399" s="163">
        <v>1</v>
      </c>
      <c r="AA399" s="163" t="s">
        <v>1151</v>
      </c>
      <c r="AB399" s="161" t="s">
        <v>424</v>
      </c>
      <c r="AC399" s="161" t="s">
        <v>424</v>
      </c>
      <c r="AD399" s="161" t="s">
        <v>424</v>
      </c>
      <c r="AE399" s="161" t="s">
        <v>1075</v>
      </c>
      <c r="AF399" s="161" t="s">
        <v>600</v>
      </c>
      <c r="AG399" s="166" t="s">
        <v>460</v>
      </c>
    </row>
    <row r="400" spans="1:33" ht="76.5" hidden="1" x14ac:dyDescent="0.2">
      <c r="A400" s="162" t="s">
        <v>1218</v>
      </c>
      <c r="B400" s="162" t="s">
        <v>642</v>
      </c>
      <c r="C400" s="162" t="s">
        <v>1219</v>
      </c>
      <c r="D400" s="162" t="s">
        <v>1220</v>
      </c>
      <c r="E400" s="161" t="s">
        <v>996</v>
      </c>
      <c r="F400" s="162" t="s">
        <v>283</v>
      </c>
      <c r="G400" s="162" t="s">
        <v>1210</v>
      </c>
      <c r="H400" s="162" t="s">
        <v>1211</v>
      </c>
      <c r="I400" s="163" t="s">
        <v>421</v>
      </c>
      <c r="J400" s="163" t="s">
        <v>422</v>
      </c>
      <c r="K400" s="163" t="s">
        <v>460</v>
      </c>
      <c r="L400" s="163" t="s">
        <v>469</v>
      </c>
      <c r="M400" s="163" t="s">
        <v>423</v>
      </c>
      <c r="N400" s="163" t="s">
        <v>1214</v>
      </c>
      <c r="O400" s="162" t="s">
        <v>1212</v>
      </c>
      <c r="P400" s="163" t="s">
        <v>185</v>
      </c>
      <c r="Q400" s="171">
        <f>IF(P400="Muy Alto",10,IF(P400="Alto",6,IF(P400="Medio",2,IF(P400="Bajo",1,))))</f>
        <v>2</v>
      </c>
      <c r="R400" s="163" t="s">
        <v>416</v>
      </c>
      <c r="S400" s="172">
        <f>IF(R400="Continua",4,IF(R400="Frecuente",3,IF(R400="Ocasional",2,IF(R400="Esporádica",1,))))</f>
        <v>3</v>
      </c>
      <c r="T400" s="166">
        <f>Q400*S400</f>
        <v>6</v>
      </c>
      <c r="U400" s="163" t="str">
        <f>IF(AND(T400&gt;=0,T400&lt;=4),"Bajo",IF(AND(T400&gt;=6,T400&lt;=8),"Medio",IF(AND(T400&gt;=10,T400&lt;=20),"Alto",IF(AND(T400&gt;=20,T400&lt;=40),"Muy Alto",))))</f>
        <v>Medio</v>
      </c>
      <c r="V400" s="163" t="s">
        <v>428</v>
      </c>
      <c r="W400" s="172">
        <f>IF(V400="Mortal o catastrófico",100,IF(V400="Muy grave",60,IF(V400="Grave",25,IF(V400="Leve",10,))))</f>
        <v>10</v>
      </c>
      <c r="X400" s="166">
        <f>T400*W400</f>
        <v>60</v>
      </c>
      <c r="Y400" s="163" t="str">
        <f>IF(AND(X400&gt;=600,X400&lt;=4000),"Nivel I: Riesgo Inaceptable",IF(AND(X400&gt;=150,X400&lt;=500),"Nivel II: Riesgo Importante",IF(AND(X400&gt;=40,X400&lt;=120),"Nivel III: Riesgo Moderado (Aceptable)","Nivel IV: Riesgo Tolerable (Aceptable)")))</f>
        <v>Nivel III: Riesgo Moderado (Aceptable)</v>
      </c>
      <c r="Z400" s="163">
        <v>1</v>
      </c>
      <c r="AA400" s="163" t="s">
        <v>1151</v>
      </c>
      <c r="AB400" s="161" t="s">
        <v>424</v>
      </c>
      <c r="AC400" s="161" t="s">
        <v>424</v>
      </c>
      <c r="AD400" s="161" t="s">
        <v>424</v>
      </c>
      <c r="AE400" s="161" t="s">
        <v>1213</v>
      </c>
      <c r="AF400" s="161" t="s">
        <v>600</v>
      </c>
      <c r="AG400" s="166" t="s">
        <v>460</v>
      </c>
    </row>
    <row r="401" spans="1:33" ht="102" hidden="1" x14ac:dyDescent="0.2">
      <c r="A401" s="162" t="s">
        <v>1221</v>
      </c>
      <c r="B401" s="162" t="s">
        <v>642</v>
      </c>
      <c r="C401" s="162" t="s">
        <v>1219</v>
      </c>
      <c r="D401" s="162" t="s">
        <v>1222</v>
      </c>
      <c r="E401" s="161" t="s">
        <v>998</v>
      </c>
      <c r="F401" s="162" t="s">
        <v>178</v>
      </c>
      <c r="G401" s="162" t="s">
        <v>1067</v>
      </c>
      <c r="H401" s="162" t="s">
        <v>559</v>
      </c>
      <c r="I401" s="163" t="s">
        <v>421</v>
      </c>
      <c r="J401" s="163" t="s">
        <v>422</v>
      </c>
      <c r="K401" s="163" t="s">
        <v>460</v>
      </c>
      <c r="L401" s="163" t="s">
        <v>469</v>
      </c>
      <c r="M401" s="161" t="s">
        <v>606</v>
      </c>
      <c r="N401" s="161" t="s">
        <v>606</v>
      </c>
      <c r="O401" s="162" t="s">
        <v>1046</v>
      </c>
      <c r="P401" s="163" t="s">
        <v>185</v>
      </c>
      <c r="Q401" s="171">
        <f t="shared" ref="Q401:Q407" si="316">IF(P401="Muy Alto",10,IF(P401="Alto",6,IF(P401="Medio",2,IF(P401="Bajo",1,))))</f>
        <v>2</v>
      </c>
      <c r="R401" s="163" t="s">
        <v>186</v>
      </c>
      <c r="S401" s="172">
        <f t="shared" ref="S401:S407" si="317">IF(R401="Continua",4,IF(R401="Frecuente",3,IF(R401="Ocasional",2,IF(R401="Esporádica",1,))))</f>
        <v>4</v>
      </c>
      <c r="T401" s="166">
        <f t="shared" ref="T401:T407" si="318">Q401*S401</f>
        <v>8</v>
      </c>
      <c r="U401" s="163" t="str">
        <f t="shared" ref="U401:U406" si="319">IF(AND(T401&gt;=0,T401&lt;=4),"Bajo",IF(AND(T401&gt;=6,T401&lt;=8),"Medio",IF(AND(T401&gt;=10,T401&lt;=20),"Alto",IF(AND(T401&gt;=20,T401&lt;=40),"Muy Alto",))))</f>
        <v>Medio</v>
      </c>
      <c r="V401" s="163" t="s">
        <v>187</v>
      </c>
      <c r="W401" s="172">
        <f t="shared" ref="W401:W407" si="320">IF(V401="Mortal o catastrófico",100,IF(V401="Muy grave",60,IF(V401="Grave",25,IF(V401="Leve",10,))))</f>
        <v>25</v>
      </c>
      <c r="X401" s="166">
        <f t="shared" ref="X401:X407" si="321">T401*W401</f>
        <v>200</v>
      </c>
      <c r="Y401" s="163" t="str">
        <f t="shared" ref="Y401:Y407" si="322">IF(AND(X401&gt;=600,X401&lt;=4000),"Nivel I: Riesgo Inaceptable",IF(AND(X401&gt;=150,X401&lt;=500),"Nivel II: Riesgo Importante",IF(AND(X401&gt;=40,X401&lt;=120),"Nivel III: Riesgo Moderado (Aceptable)","Nivel IV: Riesgo Tolerable (Aceptable)")))</f>
        <v>Nivel II: Riesgo Importante</v>
      </c>
      <c r="Z401" s="163">
        <v>1</v>
      </c>
      <c r="AA401" s="163" t="s">
        <v>1151</v>
      </c>
      <c r="AB401" s="161" t="s">
        <v>424</v>
      </c>
      <c r="AC401" s="161" t="s">
        <v>424</v>
      </c>
      <c r="AD401" s="161" t="s">
        <v>424</v>
      </c>
      <c r="AE401" s="161" t="s">
        <v>1223</v>
      </c>
      <c r="AF401" s="161" t="s">
        <v>600</v>
      </c>
      <c r="AG401" s="166" t="s">
        <v>460</v>
      </c>
    </row>
    <row r="402" spans="1:33" ht="140.25" hidden="1" x14ac:dyDescent="0.2">
      <c r="A402" s="162" t="s">
        <v>1221</v>
      </c>
      <c r="B402" s="162" t="s">
        <v>642</v>
      </c>
      <c r="C402" s="162" t="s">
        <v>1219</v>
      </c>
      <c r="D402" s="162" t="s">
        <v>1222</v>
      </c>
      <c r="E402" s="161" t="s">
        <v>175</v>
      </c>
      <c r="F402" s="162" t="s">
        <v>1111</v>
      </c>
      <c r="G402" s="162" t="s">
        <v>1165</v>
      </c>
      <c r="H402" s="162" t="s">
        <v>602</v>
      </c>
      <c r="I402" s="173" t="s">
        <v>421</v>
      </c>
      <c r="J402" s="173" t="s">
        <v>422</v>
      </c>
      <c r="K402" s="174" t="s">
        <v>460</v>
      </c>
      <c r="L402" s="174" t="s">
        <v>469</v>
      </c>
      <c r="M402" s="175" t="s">
        <v>1167</v>
      </c>
      <c r="N402" s="175" t="s">
        <v>423</v>
      </c>
      <c r="O402" s="176" t="s">
        <v>1166</v>
      </c>
      <c r="P402" s="177" t="s">
        <v>185</v>
      </c>
      <c r="Q402" s="178">
        <f t="shared" si="316"/>
        <v>2</v>
      </c>
      <c r="R402" s="177" t="s">
        <v>429</v>
      </c>
      <c r="S402" s="179">
        <f t="shared" si="317"/>
        <v>2</v>
      </c>
      <c r="T402" s="180">
        <f t="shared" si="318"/>
        <v>4</v>
      </c>
      <c r="U402" s="181" t="str">
        <f t="shared" si="319"/>
        <v>Bajo</v>
      </c>
      <c r="V402" s="181" t="s">
        <v>428</v>
      </c>
      <c r="W402" s="179">
        <f t="shared" si="320"/>
        <v>10</v>
      </c>
      <c r="X402" s="180">
        <f t="shared" si="321"/>
        <v>40</v>
      </c>
      <c r="Y402" s="181" t="str">
        <f t="shared" si="322"/>
        <v>Nivel III: Riesgo Moderado (Aceptable)</v>
      </c>
      <c r="Z402" s="163">
        <v>1</v>
      </c>
      <c r="AA402" s="163" t="s">
        <v>1151</v>
      </c>
      <c r="AB402" s="175" t="s">
        <v>424</v>
      </c>
      <c r="AC402" s="175" t="s">
        <v>424</v>
      </c>
      <c r="AD402" s="175" t="s">
        <v>424</v>
      </c>
      <c r="AE402" s="182" t="s">
        <v>1035</v>
      </c>
      <c r="AF402" s="183" t="s">
        <v>600</v>
      </c>
      <c r="AG402" s="184" t="s">
        <v>460</v>
      </c>
    </row>
    <row r="403" spans="1:33" ht="140.25" hidden="1" x14ac:dyDescent="0.2">
      <c r="A403" s="162" t="s">
        <v>1221</v>
      </c>
      <c r="B403" s="162" t="s">
        <v>642</v>
      </c>
      <c r="C403" s="162" t="s">
        <v>1219</v>
      </c>
      <c r="D403" s="162" t="s">
        <v>1222</v>
      </c>
      <c r="E403" s="161" t="s">
        <v>175</v>
      </c>
      <c r="F403" s="162" t="s">
        <v>1197</v>
      </c>
      <c r="G403" s="162" t="s">
        <v>1199</v>
      </c>
      <c r="H403" s="170" t="s">
        <v>1198</v>
      </c>
      <c r="I403" s="173" t="s">
        <v>421</v>
      </c>
      <c r="J403" s="173" t="s">
        <v>422</v>
      </c>
      <c r="K403" s="174" t="s">
        <v>460</v>
      </c>
      <c r="L403" s="174" t="s">
        <v>469</v>
      </c>
      <c r="M403" s="175" t="s">
        <v>1167</v>
      </c>
      <c r="N403" s="175" t="s">
        <v>423</v>
      </c>
      <c r="O403" s="176" t="s">
        <v>1166</v>
      </c>
      <c r="P403" s="177" t="s">
        <v>185</v>
      </c>
      <c r="Q403" s="178">
        <f t="shared" si="316"/>
        <v>2</v>
      </c>
      <c r="R403" s="177" t="s">
        <v>416</v>
      </c>
      <c r="S403" s="179">
        <f t="shared" si="317"/>
        <v>3</v>
      </c>
      <c r="T403" s="180">
        <f t="shared" si="318"/>
        <v>6</v>
      </c>
      <c r="U403" s="181" t="str">
        <f t="shared" si="319"/>
        <v>Medio</v>
      </c>
      <c r="V403" s="181" t="s">
        <v>187</v>
      </c>
      <c r="W403" s="179">
        <f t="shared" si="320"/>
        <v>25</v>
      </c>
      <c r="X403" s="180">
        <f t="shared" si="321"/>
        <v>150</v>
      </c>
      <c r="Y403" s="181" t="str">
        <f t="shared" si="322"/>
        <v>Nivel II: Riesgo Importante</v>
      </c>
      <c r="Z403" s="163">
        <v>1</v>
      </c>
      <c r="AA403" s="163" t="s">
        <v>1151</v>
      </c>
      <c r="AB403" s="175" t="s">
        <v>424</v>
      </c>
      <c r="AC403" s="175" t="s">
        <v>424</v>
      </c>
      <c r="AD403" s="175" t="s">
        <v>424</v>
      </c>
      <c r="AE403" s="182" t="s">
        <v>1196</v>
      </c>
      <c r="AF403" s="183" t="s">
        <v>600</v>
      </c>
      <c r="AG403" s="184" t="s">
        <v>460</v>
      </c>
    </row>
    <row r="404" spans="1:33" ht="63.75" hidden="1" x14ac:dyDescent="0.2">
      <c r="A404" s="162" t="s">
        <v>1221</v>
      </c>
      <c r="B404" s="162" t="s">
        <v>642</v>
      </c>
      <c r="C404" s="162" t="s">
        <v>1219</v>
      </c>
      <c r="D404" s="162" t="s">
        <v>1222</v>
      </c>
      <c r="E404" s="161" t="s">
        <v>999</v>
      </c>
      <c r="F404" s="162" t="s">
        <v>292</v>
      </c>
      <c r="G404" s="162" t="s">
        <v>1149</v>
      </c>
      <c r="H404" s="162" t="s">
        <v>472</v>
      </c>
      <c r="I404" s="163" t="s">
        <v>421</v>
      </c>
      <c r="J404" s="163" t="s">
        <v>461</v>
      </c>
      <c r="K404" s="163" t="s">
        <v>460</v>
      </c>
      <c r="L404" s="163" t="s">
        <v>469</v>
      </c>
      <c r="M404" s="161" t="s">
        <v>606</v>
      </c>
      <c r="N404" s="161" t="s">
        <v>1069</v>
      </c>
      <c r="O404" s="162" t="s">
        <v>1070</v>
      </c>
      <c r="P404" s="163" t="s">
        <v>184</v>
      </c>
      <c r="Q404" s="171">
        <f t="shared" si="316"/>
        <v>1</v>
      </c>
      <c r="R404" s="163" t="s">
        <v>429</v>
      </c>
      <c r="S404" s="172">
        <f t="shared" si="317"/>
        <v>2</v>
      </c>
      <c r="T404" s="166">
        <f t="shared" si="318"/>
        <v>2</v>
      </c>
      <c r="U404" s="163" t="str">
        <f t="shared" si="319"/>
        <v>Bajo</v>
      </c>
      <c r="V404" s="163" t="s">
        <v>428</v>
      </c>
      <c r="W404" s="172">
        <f t="shared" si="320"/>
        <v>10</v>
      </c>
      <c r="X404" s="166">
        <f t="shared" si="321"/>
        <v>20</v>
      </c>
      <c r="Y404" s="163" t="str">
        <f t="shared" si="322"/>
        <v>Nivel IV: Riesgo Tolerable (Aceptable)</v>
      </c>
      <c r="Z404" s="163">
        <v>1</v>
      </c>
      <c r="AA404" s="163" t="s">
        <v>1151</v>
      </c>
      <c r="AB404" s="161" t="s">
        <v>424</v>
      </c>
      <c r="AC404" s="161" t="s">
        <v>424</v>
      </c>
      <c r="AD404" s="161" t="s">
        <v>424</v>
      </c>
      <c r="AE404" s="161" t="s">
        <v>1071</v>
      </c>
      <c r="AF404" s="161" t="s">
        <v>600</v>
      </c>
      <c r="AG404" s="166" t="s">
        <v>460</v>
      </c>
    </row>
    <row r="405" spans="1:33" ht="76.5" hidden="1" x14ac:dyDescent="0.2">
      <c r="A405" s="162" t="s">
        <v>1221</v>
      </c>
      <c r="B405" s="162" t="s">
        <v>642</v>
      </c>
      <c r="C405" s="162" t="s">
        <v>1219</v>
      </c>
      <c r="D405" s="162" t="s">
        <v>1222</v>
      </c>
      <c r="E405" s="161" t="s">
        <v>999</v>
      </c>
      <c r="F405" s="162" t="s">
        <v>288</v>
      </c>
      <c r="G405" s="162" t="s">
        <v>1131</v>
      </c>
      <c r="H405" s="162" t="s">
        <v>614</v>
      </c>
      <c r="I405" s="163" t="s">
        <v>421</v>
      </c>
      <c r="J405" s="163" t="s">
        <v>461</v>
      </c>
      <c r="K405" s="163" t="s">
        <v>460</v>
      </c>
      <c r="L405" s="163" t="s">
        <v>469</v>
      </c>
      <c r="M405" s="166" t="s">
        <v>423</v>
      </c>
      <c r="N405" s="162" t="s">
        <v>1132</v>
      </c>
      <c r="O405" s="162" t="s">
        <v>1026</v>
      </c>
      <c r="P405" s="163" t="s">
        <v>184</v>
      </c>
      <c r="Q405" s="171">
        <f t="shared" si="316"/>
        <v>1</v>
      </c>
      <c r="R405" s="163" t="s">
        <v>485</v>
      </c>
      <c r="S405" s="172">
        <f t="shared" si="317"/>
        <v>1</v>
      </c>
      <c r="T405" s="166">
        <f t="shared" si="318"/>
        <v>1</v>
      </c>
      <c r="U405" s="163" t="str">
        <f t="shared" si="319"/>
        <v>Bajo</v>
      </c>
      <c r="V405" s="163" t="s">
        <v>187</v>
      </c>
      <c r="W405" s="172">
        <f t="shared" si="320"/>
        <v>25</v>
      </c>
      <c r="X405" s="166">
        <f t="shared" si="321"/>
        <v>25</v>
      </c>
      <c r="Y405" s="163" t="str">
        <f t="shared" si="322"/>
        <v>Nivel IV: Riesgo Tolerable (Aceptable)</v>
      </c>
      <c r="Z405" s="163">
        <v>1</v>
      </c>
      <c r="AA405" s="163" t="s">
        <v>1151</v>
      </c>
      <c r="AB405" s="161" t="s">
        <v>424</v>
      </c>
      <c r="AC405" s="161" t="s">
        <v>424</v>
      </c>
      <c r="AD405" s="161" t="s">
        <v>424</v>
      </c>
      <c r="AE405" s="161" t="s">
        <v>1066</v>
      </c>
      <c r="AF405" s="161" t="s">
        <v>600</v>
      </c>
      <c r="AG405" s="166" t="s">
        <v>460</v>
      </c>
    </row>
    <row r="406" spans="1:33" ht="76.5" hidden="1" x14ac:dyDescent="0.2">
      <c r="A406" s="162" t="s">
        <v>1221</v>
      </c>
      <c r="B406" s="162" t="s">
        <v>642</v>
      </c>
      <c r="C406" s="162" t="s">
        <v>1219</v>
      </c>
      <c r="D406" s="162" t="s">
        <v>1222</v>
      </c>
      <c r="E406" s="161" t="s">
        <v>999</v>
      </c>
      <c r="F406" s="162" t="s">
        <v>1117</v>
      </c>
      <c r="G406" s="162" t="s">
        <v>564</v>
      </c>
      <c r="H406" s="162" t="s">
        <v>1072</v>
      </c>
      <c r="I406" s="163" t="s">
        <v>421</v>
      </c>
      <c r="J406" s="163" t="s">
        <v>461</v>
      </c>
      <c r="K406" s="163" t="s">
        <v>460</v>
      </c>
      <c r="L406" s="163" t="s">
        <v>469</v>
      </c>
      <c r="M406" s="166" t="s">
        <v>423</v>
      </c>
      <c r="N406" s="166" t="s">
        <v>423</v>
      </c>
      <c r="O406" s="162" t="s">
        <v>1026</v>
      </c>
      <c r="P406" s="163" t="s">
        <v>184</v>
      </c>
      <c r="Q406" s="171">
        <f t="shared" si="316"/>
        <v>1</v>
      </c>
      <c r="R406" s="163" t="s">
        <v>485</v>
      </c>
      <c r="S406" s="172">
        <f t="shared" si="317"/>
        <v>1</v>
      </c>
      <c r="T406" s="166">
        <f t="shared" si="318"/>
        <v>1</v>
      </c>
      <c r="U406" s="163" t="str">
        <f t="shared" si="319"/>
        <v>Bajo</v>
      </c>
      <c r="V406" s="163" t="s">
        <v>428</v>
      </c>
      <c r="W406" s="172">
        <f t="shared" si="320"/>
        <v>10</v>
      </c>
      <c r="X406" s="166">
        <f t="shared" si="321"/>
        <v>10</v>
      </c>
      <c r="Y406" s="163" t="str">
        <f t="shared" si="322"/>
        <v>Nivel IV: Riesgo Tolerable (Aceptable)</v>
      </c>
      <c r="Z406" s="163">
        <v>1</v>
      </c>
      <c r="AA406" s="163" t="s">
        <v>1151</v>
      </c>
      <c r="AB406" s="161" t="s">
        <v>424</v>
      </c>
      <c r="AC406" s="161" t="s">
        <v>424</v>
      </c>
      <c r="AD406" s="161" t="s">
        <v>424</v>
      </c>
      <c r="AE406" s="161" t="s">
        <v>1066</v>
      </c>
      <c r="AF406" s="161" t="s">
        <v>600</v>
      </c>
      <c r="AG406" s="166" t="s">
        <v>460</v>
      </c>
    </row>
    <row r="407" spans="1:33" ht="76.5" hidden="1" x14ac:dyDescent="0.2">
      <c r="A407" s="162" t="s">
        <v>1221</v>
      </c>
      <c r="B407" s="162" t="s">
        <v>642</v>
      </c>
      <c r="C407" s="162" t="s">
        <v>1219</v>
      </c>
      <c r="D407" s="162" t="s">
        <v>1222</v>
      </c>
      <c r="E407" s="161" t="s">
        <v>999</v>
      </c>
      <c r="F407" s="162" t="s">
        <v>1119</v>
      </c>
      <c r="G407" s="162" t="s">
        <v>1133</v>
      </c>
      <c r="H407" s="162" t="s">
        <v>966</v>
      </c>
      <c r="I407" s="163" t="s">
        <v>421</v>
      </c>
      <c r="J407" s="163" t="s">
        <v>422</v>
      </c>
      <c r="K407" s="163" t="s">
        <v>460</v>
      </c>
      <c r="L407" s="163" t="s">
        <v>469</v>
      </c>
      <c r="M407" s="161" t="s">
        <v>1163</v>
      </c>
      <c r="N407" s="161" t="s">
        <v>1164</v>
      </c>
      <c r="O407" s="164" t="s">
        <v>1026</v>
      </c>
      <c r="P407" s="163" t="s">
        <v>184</v>
      </c>
      <c r="Q407" s="171">
        <f t="shared" si="316"/>
        <v>1</v>
      </c>
      <c r="R407" s="163" t="s">
        <v>416</v>
      </c>
      <c r="S407" s="172">
        <f t="shared" si="317"/>
        <v>3</v>
      </c>
      <c r="T407" s="166">
        <f t="shared" si="318"/>
        <v>3</v>
      </c>
      <c r="U407" s="163" t="s">
        <v>184</v>
      </c>
      <c r="V407" s="163" t="s">
        <v>187</v>
      </c>
      <c r="W407" s="172">
        <f t="shared" si="320"/>
        <v>25</v>
      </c>
      <c r="X407" s="166">
        <f t="shared" si="321"/>
        <v>75</v>
      </c>
      <c r="Y407" s="163" t="str">
        <f t="shared" si="322"/>
        <v>Nivel III: Riesgo Moderado (Aceptable)</v>
      </c>
      <c r="Z407" s="163">
        <v>1</v>
      </c>
      <c r="AA407" s="163" t="s">
        <v>1151</v>
      </c>
      <c r="AB407" s="161" t="s">
        <v>424</v>
      </c>
      <c r="AC407" s="161" t="s">
        <v>424</v>
      </c>
      <c r="AD407" s="161" t="s">
        <v>424</v>
      </c>
      <c r="AE407" s="167" t="s">
        <v>1134</v>
      </c>
      <c r="AF407" s="161" t="s">
        <v>600</v>
      </c>
      <c r="AG407" s="166" t="s">
        <v>460</v>
      </c>
    </row>
    <row r="408" spans="1:33" ht="76.5" hidden="1" x14ac:dyDescent="0.2">
      <c r="A408" s="162" t="s">
        <v>1221</v>
      </c>
      <c r="B408" s="162" t="s">
        <v>642</v>
      </c>
      <c r="C408" s="162" t="s">
        <v>1219</v>
      </c>
      <c r="D408" s="162" t="s">
        <v>1222</v>
      </c>
      <c r="E408" s="161" t="s">
        <v>999</v>
      </c>
      <c r="F408" s="162" t="s">
        <v>1121</v>
      </c>
      <c r="G408" s="162" t="s">
        <v>1139</v>
      </c>
      <c r="H408" s="162" t="s">
        <v>979</v>
      </c>
      <c r="I408" s="163" t="s">
        <v>421</v>
      </c>
      <c r="J408" s="163" t="s">
        <v>461</v>
      </c>
      <c r="K408" s="163" t="s">
        <v>460</v>
      </c>
      <c r="L408" s="163" t="s">
        <v>469</v>
      </c>
      <c r="M408" s="165" t="s">
        <v>423</v>
      </c>
      <c r="N408" s="161" t="s">
        <v>1140</v>
      </c>
      <c r="O408" s="162" t="s">
        <v>1092</v>
      </c>
      <c r="P408" s="163" t="s">
        <v>184</v>
      </c>
      <c r="Q408" s="171">
        <f>IF(P408="Muy Alto",10,IF(P408="Alto",6,IF(P408="Medio",2,IF(P408="Bajo",1,))))</f>
        <v>1</v>
      </c>
      <c r="R408" s="163" t="s">
        <v>485</v>
      </c>
      <c r="S408" s="172">
        <f>IF(R408="Continua",4,IF(R408="Frecuente",3,IF(R408="Ocasional",2,IF(R408="Esporádica",1,))))</f>
        <v>1</v>
      </c>
      <c r="T408" s="166">
        <f>Q408*S408</f>
        <v>1</v>
      </c>
      <c r="U408" s="163" t="s">
        <v>184</v>
      </c>
      <c r="V408" s="163" t="s">
        <v>187</v>
      </c>
      <c r="W408" s="172">
        <f>IF(V408="Mortal o catastrófico",100,IF(V408="Muy grave",60,IF(V408="Grave",25,IF(V408="Leve",10,))))</f>
        <v>25</v>
      </c>
      <c r="X408" s="166">
        <f>T408*W408</f>
        <v>25</v>
      </c>
      <c r="Y408" s="163" t="str">
        <f>IF(AND(X408&gt;=600,X408&lt;=4000),"Nivel I: Riesgo Inaceptable",IF(AND(X408&gt;=150,X408&lt;=500),"Nivel II: Riesgo Importante",IF(AND(X408&gt;=40,X408&lt;=120),"Nivel III: Riesgo Moderado (Aceptable)","Nivel IV: Riesgo Tolerable (Aceptable)")))</f>
        <v>Nivel IV: Riesgo Tolerable (Aceptable)</v>
      </c>
      <c r="Z408" s="163">
        <v>1</v>
      </c>
      <c r="AA408" s="163" t="s">
        <v>1151</v>
      </c>
      <c r="AB408" s="161" t="s">
        <v>424</v>
      </c>
      <c r="AC408" s="161" t="s">
        <v>424</v>
      </c>
      <c r="AD408" s="161" t="s">
        <v>424</v>
      </c>
      <c r="AE408" s="161" t="s">
        <v>1088</v>
      </c>
      <c r="AF408" s="161" t="s">
        <v>600</v>
      </c>
      <c r="AG408" s="166" t="s">
        <v>460</v>
      </c>
    </row>
    <row r="409" spans="1:33" ht="102" hidden="1" x14ac:dyDescent="0.2">
      <c r="A409" s="162" t="s">
        <v>1221</v>
      </c>
      <c r="B409" s="162" t="s">
        <v>642</v>
      </c>
      <c r="C409" s="162" t="s">
        <v>1219</v>
      </c>
      <c r="D409" s="162" t="s">
        <v>1222</v>
      </c>
      <c r="E409" s="161" t="s">
        <v>995</v>
      </c>
      <c r="F409" s="162" t="s">
        <v>714</v>
      </c>
      <c r="G409" s="162" t="s">
        <v>1036</v>
      </c>
      <c r="H409" s="162" t="s">
        <v>1135</v>
      </c>
      <c r="I409" s="163" t="s">
        <v>421</v>
      </c>
      <c r="J409" s="163" t="s">
        <v>461</v>
      </c>
      <c r="K409" s="163" t="s">
        <v>460</v>
      </c>
      <c r="L409" s="163" t="s">
        <v>469</v>
      </c>
      <c r="M409" s="161" t="s">
        <v>423</v>
      </c>
      <c r="N409" s="161" t="s">
        <v>1136</v>
      </c>
      <c r="O409" s="164" t="s">
        <v>1038</v>
      </c>
      <c r="P409" s="163" t="s">
        <v>184</v>
      </c>
      <c r="Q409" s="171">
        <f t="shared" ref="Q409:Q410" si="323">IF(P409="Muy Alto",10,IF(P409="Alto",6,IF(P409="Medio",2,IF(P409="Bajo",1,))))</f>
        <v>1</v>
      </c>
      <c r="R409" s="163" t="s">
        <v>485</v>
      </c>
      <c r="S409" s="172">
        <f t="shared" ref="S409:S410" si="324">IF(R409="Continua",4,IF(R409="Frecuente",3,IF(R409="Ocasional",2,IF(R409="Esporádica",1,))))</f>
        <v>1</v>
      </c>
      <c r="T409" s="166">
        <f t="shared" ref="T409:T410" si="325">Q409*S409</f>
        <v>1</v>
      </c>
      <c r="U409" s="163" t="str">
        <f t="shared" ref="U409" si="326">IF(AND(T409&gt;=0,T409&lt;=4),"Bajo",IF(AND(T409&gt;=6,T409&lt;=8),"Medio",IF(AND(T409&gt;=10,T409&lt;=20),"Alto",IF(AND(T409&gt;=20,T409&lt;=40),"Muy Alto",))))</f>
        <v>Bajo</v>
      </c>
      <c r="V409" s="163" t="s">
        <v>187</v>
      </c>
      <c r="W409" s="172">
        <f t="shared" ref="W409:W410" si="327">IF(V409="Mortal o catastrófico",100,IF(V409="Muy grave",60,IF(V409="Grave",25,IF(V409="Leve",10,))))</f>
        <v>25</v>
      </c>
      <c r="X409" s="166">
        <f t="shared" ref="X409:X410" si="328">T409*W409</f>
        <v>25</v>
      </c>
      <c r="Y409" s="163" t="str">
        <f t="shared" ref="Y409:Y410" si="329">IF(AND(X409&gt;=600,X409&lt;=4000),"Nivel I: Riesgo Inaceptable",IF(AND(X409&gt;=150,X409&lt;=500),"Nivel II: Riesgo Importante",IF(AND(X409&gt;=40,X409&lt;=120),"Nivel III: Riesgo Moderado (Aceptable)","Nivel IV: Riesgo Tolerable (Aceptable)")))</f>
        <v>Nivel IV: Riesgo Tolerable (Aceptable)</v>
      </c>
      <c r="Z409" s="163">
        <v>1</v>
      </c>
      <c r="AA409" s="163" t="s">
        <v>1151</v>
      </c>
      <c r="AB409" s="161" t="s">
        <v>424</v>
      </c>
      <c r="AC409" s="161" t="s">
        <v>424</v>
      </c>
      <c r="AD409" s="161" t="s">
        <v>424</v>
      </c>
      <c r="AE409" s="161" t="s">
        <v>1039</v>
      </c>
      <c r="AF409" s="161" t="s">
        <v>1040</v>
      </c>
      <c r="AG409" s="166" t="s">
        <v>460</v>
      </c>
    </row>
    <row r="410" spans="1:33" ht="89.25" hidden="1" x14ac:dyDescent="0.2">
      <c r="A410" s="162" t="s">
        <v>1221</v>
      </c>
      <c r="B410" s="162" t="s">
        <v>642</v>
      </c>
      <c r="C410" s="162" t="s">
        <v>1219</v>
      </c>
      <c r="D410" s="162" t="s">
        <v>1222</v>
      </c>
      <c r="E410" s="161" t="s">
        <v>1000</v>
      </c>
      <c r="F410" s="162" t="s">
        <v>1123</v>
      </c>
      <c r="G410" s="162" t="s">
        <v>1143</v>
      </c>
      <c r="H410" s="162" t="s">
        <v>1021</v>
      </c>
      <c r="I410" s="163" t="s">
        <v>421</v>
      </c>
      <c r="J410" s="163" t="s">
        <v>422</v>
      </c>
      <c r="K410" s="163" t="s">
        <v>460</v>
      </c>
      <c r="L410" s="163" t="s">
        <v>469</v>
      </c>
      <c r="M410" s="161" t="s">
        <v>423</v>
      </c>
      <c r="N410" s="161" t="s">
        <v>1145</v>
      </c>
      <c r="O410" s="162" t="s">
        <v>1144</v>
      </c>
      <c r="P410" s="163" t="s">
        <v>184</v>
      </c>
      <c r="Q410" s="171">
        <f t="shared" si="323"/>
        <v>1</v>
      </c>
      <c r="R410" s="163" t="s">
        <v>485</v>
      </c>
      <c r="S410" s="172">
        <f t="shared" si="324"/>
        <v>1</v>
      </c>
      <c r="T410" s="166">
        <f t="shared" si="325"/>
        <v>1</v>
      </c>
      <c r="U410" s="163" t="s">
        <v>184</v>
      </c>
      <c r="V410" s="163" t="s">
        <v>187</v>
      </c>
      <c r="W410" s="172">
        <f t="shared" si="327"/>
        <v>25</v>
      </c>
      <c r="X410" s="166">
        <f t="shared" si="328"/>
        <v>25</v>
      </c>
      <c r="Y410" s="163" t="str">
        <f t="shared" si="329"/>
        <v>Nivel IV: Riesgo Tolerable (Aceptable)</v>
      </c>
      <c r="Z410" s="163">
        <v>1</v>
      </c>
      <c r="AA410" s="163" t="s">
        <v>1151</v>
      </c>
      <c r="AB410" s="161" t="s">
        <v>424</v>
      </c>
      <c r="AC410" s="161" t="s">
        <v>424</v>
      </c>
      <c r="AD410" s="161" t="s">
        <v>424</v>
      </c>
      <c r="AE410" s="161" t="s">
        <v>1147</v>
      </c>
      <c r="AF410" s="161" t="s">
        <v>600</v>
      </c>
      <c r="AG410" s="166" t="s">
        <v>460</v>
      </c>
    </row>
    <row r="411" spans="1:33" ht="102" hidden="1" x14ac:dyDescent="0.2">
      <c r="A411" s="162" t="s">
        <v>1221</v>
      </c>
      <c r="B411" s="162" t="s">
        <v>642</v>
      </c>
      <c r="C411" s="162" t="s">
        <v>1219</v>
      </c>
      <c r="D411" s="162" t="s">
        <v>1222</v>
      </c>
      <c r="E411" s="161" t="s">
        <v>996</v>
      </c>
      <c r="F411" s="162" t="s">
        <v>430</v>
      </c>
      <c r="G411" s="162" t="s">
        <v>486</v>
      </c>
      <c r="H411" s="162" t="s">
        <v>623</v>
      </c>
      <c r="I411" s="163" t="s">
        <v>421</v>
      </c>
      <c r="J411" s="163" t="s">
        <v>422</v>
      </c>
      <c r="K411" s="163" t="s">
        <v>460</v>
      </c>
      <c r="L411" s="163" t="s">
        <v>469</v>
      </c>
      <c r="M411" s="163" t="s">
        <v>1074</v>
      </c>
      <c r="N411" s="169" t="s">
        <v>1073</v>
      </c>
      <c r="O411" s="162" t="s">
        <v>1032</v>
      </c>
      <c r="P411" s="163" t="s">
        <v>184</v>
      </c>
      <c r="Q411" s="171">
        <f t="shared" ref="Q411:Q416" si="330">IF(P411="Muy Alto",10,IF(P411="Alto",6,IF(P411="Medio",2,IF(P411="Bajo",1,))))</f>
        <v>1</v>
      </c>
      <c r="R411" s="163" t="s">
        <v>485</v>
      </c>
      <c r="S411" s="172">
        <f>IF(R411="Continua",4,IF(R411="Frecuente",3,IF(R411="Ocasional",2,IF(R411="Esporádica",1,))))</f>
        <v>1</v>
      </c>
      <c r="T411" s="166">
        <f>Q411*S411</f>
        <v>1</v>
      </c>
      <c r="U411" s="163" t="str">
        <f>IF(AND(T411&gt;=0,T411&lt;=4),"Bajo",IF(AND(T411&gt;=6,T411&lt;=8),"Medio",IF(AND(T411&gt;=10,T411&lt;=20),"Alto",IF(AND(T411&gt;=20,T411&lt;=40),"Muy Alto",))))</f>
        <v>Bajo</v>
      </c>
      <c r="V411" s="163" t="s">
        <v>428</v>
      </c>
      <c r="W411" s="172">
        <f>IF(V411="Mortal o catastrófico",100,IF(V411="Muy grave",60,IF(V411="Grave",25,IF(V411="Leve",10,))))</f>
        <v>10</v>
      </c>
      <c r="X411" s="166">
        <f t="shared" ref="X411:X415" si="331">T411*W411</f>
        <v>10</v>
      </c>
      <c r="Y411" s="163" t="str">
        <f t="shared" ref="Y411:Y416" si="332">IF(AND(X411&gt;=600,X411&lt;=4000),"Nivel I: Riesgo Inaceptable",IF(AND(X411&gt;=150,X411&lt;=500),"Nivel II: Riesgo Importante",IF(AND(X411&gt;=40,X411&lt;=120),"Nivel III: Riesgo Moderado (Aceptable)","Nivel IV: Riesgo Tolerable (Aceptable)")))</f>
        <v>Nivel IV: Riesgo Tolerable (Aceptable)</v>
      </c>
      <c r="Z411" s="163">
        <v>1</v>
      </c>
      <c r="AA411" s="163" t="s">
        <v>1151</v>
      </c>
      <c r="AB411" s="161" t="s">
        <v>424</v>
      </c>
      <c r="AC411" s="161" t="s">
        <v>424</v>
      </c>
      <c r="AD411" s="161" t="s">
        <v>424</v>
      </c>
      <c r="AE411" s="161" t="s">
        <v>1075</v>
      </c>
      <c r="AF411" s="161" t="s">
        <v>600</v>
      </c>
      <c r="AG411" s="166" t="s">
        <v>460</v>
      </c>
    </row>
    <row r="412" spans="1:33" ht="102" hidden="1" x14ac:dyDescent="0.2">
      <c r="A412" s="162" t="s">
        <v>1221</v>
      </c>
      <c r="B412" s="162" t="s">
        <v>642</v>
      </c>
      <c r="C412" s="162" t="s">
        <v>1219</v>
      </c>
      <c r="D412" s="162" t="s">
        <v>1222</v>
      </c>
      <c r="E412" s="161" t="s">
        <v>996</v>
      </c>
      <c r="F412" s="162" t="s">
        <v>1146</v>
      </c>
      <c r="G412" s="162" t="s">
        <v>1162</v>
      </c>
      <c r="H412" s="162" t="s">
        <v>623</v>
      </c>
      <c r="I412" s="163" t="s">
        <v>421</v>
      </c>
      <c r="J412" s="163" t="s">
        <v>422</v>
      </c>
      <c r="K412" s="163" t="s">
        <v>460</v>
      </c>
      <c r="L412" s="163" t="s">
        <v>469</v>
      </c>
      <c r="M412" s="163" t="s">
        <v>1074</v>
      </c>
      <c r="N412" s="169" t="s">
        <v>1073</v>
      </c>
      <c r="O412" s="162" t="s">
        <v>1032</v>
      </c>
      <c r="P412" s="163" t="s">
        <v>184</v>
      </c>
      <c r="Q412" s="171">
        <f t="shared" si="330"/>
        <v>1</v>
      </c>
      <c r="R412" s="163" t="s">
        <v>416</v>
      </c>
      <c r="S412" s="172">
        <f>IF(R412="Continua",4,IF(R412="Frecuente",3,IF(R412="Ocasional",2,IF(R412="Esporádica",1,))))</f>
        <v>3</v>
      </c>
      <c r="T412" s="166">
        <f>Q412*S412</f>
        <v>3</v>
      </c>
      <c r="U412" s="163" t="str">
        <f>IF(AND(T412&gt;=0,T412&lt;=4),"Bajo",IF(AND(T412&gt;=6,T412&lt;=8),"Medio",IF(AND(T412&gt;=10,T412&lt;=20),"Alto",IF(AND(T412&gt;=20,T412&lt;=40),"Muy Alto",))))</f>
        <v>Bajo</v>
      </c>
      <c r="V412" s="163" t="s">
        <v>428</v>
      </c>
      <c r="W412" s="172">
        <f>IF(V412="Mortal o catastrófico",100,IF(V412="Muy grave",60,IF(V412="Grave",25,IF(V412="Leve",10,))))</f>
        <v>10</v>
      </c>
      <c r="X412" s="166">
        <f t="shared" si="331"/>
        <v>30</v>
      </c>
      <c r="Y412" s="163" t="str">
        <f t="shared" si="332"/>
        <v>Nivel IV: Riesgo Tolerable (Aceptable)</v>
      </c>
      <c r="Z412" s="163">
        <v>1</v>
      </c>
      <c r="AA412" s="163" t="s">
        <v>1151</v>
      </c>
      <c r="AB412" s="161" t="s">
        <v>424</v>
      </c>
      <c r="AC412" s="161" t="s">
        <v>424</v>
      </c>
      <c r="AD412" s="161" t="s">
        <v>424</v>
      </c>
      <c r="AE412" s="161" t="s">
        <v>1075</v>
      </c>
      <c r="AF412" s="161" t="s">
        <v>600</v>
      </c>
      <c r="AG412" s="166" t="s">
        <v>460</v>
      </c>
    </row>
    <row r="413" spans="1:33" ht="76.5" hidden="1" x14ac:dyDescent="0.2">
      <c r="A413" s="162" t="s">
        <v>1221</v>
      </c>
      <c r="B413" s="162" t="s">
        <v>642</v>
      </c>
      <c r="C413" s="162" t="s">
        <v>1219</v>
      </c>
      <c r="D413" s="162" t="s">
        <v>1222</v>
      </c>
      <c r="E413" s="161" t="s">
        <v>996</v>
      </c>
      <c r="F413" s="162" t="s">
        <v>283</v>
      </c>
      <c r="G413" s="162" t="s">
        <v>1210</v>
      </c>
      <c r="H413" s="162" t="s">
        <v>1211</v>
      </c>
      <c r="I413" s="163" t="s">
        <v>421</v>
      </c>
      <c r="J413" s="163" t="s">
        <v>422</v>
      </c>
      <c r="K413" s="163" t="s">
        <v>460</v>
      </c>
      <c r="L413" s="163" t="s">
        <v>469</v>
      </c>
      <c r="M413" s="163" t="s">
        <v>423</v>
      </c>
      <c r="N413" s="163" t="s">
        <v>1214</v>
      </c>
      <c r="O413" s="162" t="s">
        <v>1212</v>
      </c>
      <c r="P413" s="163" t="s">
        <v>185</v>
      </c>
      <c r="Q413" s="171">
        <f t="shared" si="330"/>
        <v>2</v>
      </c>
      <c r="R413" s="163" t="s">
        <v>416</v>
      </c>
      <c r="S413" s="172">
        <f>IF(R413="Continua",4,IF(R413="Frecuente",3,IF(R413="Ocasional",2,IF(R413="Esporádica",1,))))</f>
        <v>3</v>
      </c>
      <c r="T413" s="166">
        <f>Q413*S413</f>
        <v>6</v>
      </c>
      <c r="U413" s="163" t="str">
        <f>IF(AND(T413&gt;=0,T413&lt;=4),"Bajo",IF(AND(T413&gt;=6,T413&lt;=8),"Medio",IF(AND(T413&gt;=10,T413&lt;=20),"Alto",IF(AND(T413&gt;=20,T413&lt;=40),"Muy Alto",))))</f>
        <v>Medio</v>
      </c>
      <c r="V413" s="163" t="s">
        <v>428</v>
      </c>
      <c r="W413" s="172">
        <f>IF(V413="Mortal o catastrófico",100,IF(V413="Muy grave",60,IF(V413="Grave",25,IF(V413="Leve",10,))))</f>
        <v>10</v>
      </c>
      <c r="X413" s="166">
        <f t="shared" si="331"/>
        <v>60</v>
      </c>
      <c r="Y413" s="163" t="str">
        <f t="shared" si="332"/>
        <v>Nivel III: Riesgo Moderado (Aceptable)</v>
      </c>
      <c r="Z413" s="163">
        <v>1</v>
      </c>
      <c r="AA413" s="163" t="s">
        <v>1151</v>
      </c>
      <c r="AB413" s="161" t="s">
        <v>424</v>
      </c>
      <c r="AC413" s="161" t="s">
        <v>424</v>
      </c>
      <c r="AD413" s="161" t="s">
        <v>424</v>
      </c>
      <c r="AE413" s="161" t="s">
        <v>1213</v>
      </c>
      <c r="AF413" s="161" t="s">
        <v>600</v>
      </c>
      <c r="AG413" s="166" t="s">
        <v>460</v>
      </c>
    </row>
    <row r="414" spans="1:33" ht="246.75" hidden="1" customHeight="1" x14ac:dyDescent="0.2">
      <c r="A414" s="163" t="s">
        <v>1309</v>
      </c>
      <c r="B414" s="163" t="s">
        <v>1310</v>
      </c>
      <c r="C414" s="163" t="s">
        <v>1388</v>
      </c>
      <c r="D414" s="163" t="s">
        <v>1394</v>
      </c>
      <c r="E414" s="169" t="s">
        <v>999</v>
      </c>
      <c r="F414" s="163" t="s">
        <v>1117</v>
      </c>
      <c r="G414" s="163" t="s">
        <v>1412</v>
      </c>
      <c r="H414" s="163" t="s">
        <v>1413</v>
      </c>
      <c r="I414" s="163" t="s">
        <v>529</v>
      </c>
      <c r="J414" s="163" t="s">
        <v>422</v>
      </c>
      <c r="K414" s="181" t="s">
        <v>460</v>
      </c>
      <c r="L414" s="181" t="s">
        <v>469</v>
      </c>
      <c r="M414" s="200" t="s">
        <v>423</v>
      </c>
      <c r="N414" s="200" t="s">
        <v>1414</v>
      </c>
      <c r="O414" s="200" t="s">
        <v>1415</v>
      </c>
      <c r="P414" s="200" t="s">
        <v>509</v>
      </c>
      <c r="Q414" s="189">
        <f t="shared" si="330"/>
        <v>6</v>
      </c>
      <c r="R414" s="200" t="s">
        <v>416</v>
      </c>
      <c r="S414" s="179">
        <f t="shared" ref="S414:S439" si="333">IF(R414="Continua",4,IF(R414="Frecuente",3,IF(R414="Ocasional",2,IF(R414="Esporádica",1,))))</f>
        <v>3</v>
      </c>
      <c r="T414" s="180">
        <f t="shared" ref="T414:T439" si="334">Q414*S414</f>
        <v>18</v>
      </c>
      <c r="U414" s="181" t="str">
        <f t="shared" ref="U414:U439" si="335">IF(AND(T414&gt;=0,T414&lt;=4),"Bajo",IF(AND(T414&gt;=6,T414&lt;=8),"Medio",IF(AND(T414&gt;=10,T414&lt;=20),"Alto",IF(AND(T414&gt;=20,T414&lt;=40),"Muy Alto",))))</f>
        <v>Alto</v>
      </c>
      <c r="V414" s="200" t="s">
        <v>187</v>
      </c>
      <c r="W414" s="179">
        <f t="shared" ref="W414:W439" si="336">IF(V414="Mortal o catastrófico",100,IF(V414="Muy grave",60,IF(V414="Grave",25,IF(V414="Leve",10,))))</f>
        <v>25</v>
      </c>
      <c r="X414" s="180">
        <f t="shared" si="331"/>
        <v>450</v>
      </c>
      <c r="Y414" s="181" t="str">
        <f t="shared" si="332"/>
        <v>Nivel II: Riesgo Importante</v>
      </c>
      <c r="Z414" s="163">
        <v>10</v>
      </c>
      <c r="AA414" s="184">
        <v>2.5</v>
      </c>
      <c r="AB414" s="214" t="s">
        <v>1392</v>
      </c>
      <c r="AC414" s="214" t="s">
        <v>1392</v>
      </c>
      <c r="AD414" s="214" t="s">
        <v>1392</v>
      </c>
      <c r="AE414" s="214" t="s">
        <v>1422</v>
      </c>
      <c r="AF414" s="215" t="s">
        <v>1416</v>
      </c>
      <c r="AG414" s="166"/>
    </row>
    <row r="415" spans="1:33" ht="180" hidden="1" customHeight="1" x14ac:dyDescent="0.2">
      <c r="A415" s="163" t="s">
        <v>1311</v>
      </c>
      <c r="B415" s="163" t="s">
        <v>1310</v>
      </c>
      <c r="C415" s="163" t="s">
        <v>1388</v>
      </c>
      <c r="D415" s="163" t="s">
        <v>1394</v>
      </c>
      <c r="E415" s="169" t="s">
        <v>999</v>
      </c>
      <c r="F415" s="163" t="s">
        <v>1117</v>
      </c>
      <c r="G415" s="163" t="s">
        <v>1421</v>
      </c>
      <c r="H415" s="163" t="s">
        <v>1417</v>
      </c>
      <c r="I415" s="163" t="s">
        <v>529</v>
      </c>
      <c r="J415" s="163" t="s">
        <v>422</v>
      </c>
      <c r="K415" s="181" t="s">
        <v>460</v>
      </c>
      <c r="L415" s="181" t="s">
        <v>469</v>
      </c>
      <c r="M415" s="210" t="s">
        <v>423</v>
      </c>
      <c r="N415" s="200" t="s">
        <v>423</v>
      </c>
      <c r="O415" s="200" t="s">
        <v>1418</v>
      </c>
      <c r="P415" s="200" t="s">
        <v>185</v>
      </c>
      <c r="Q415" s="189">
        <f t="shared" si="330"/>
        <v>2</v>
      </c>
      <c r="R415" s="200" t="s">
        <v>416</v>
      </c>
      <c r="S415" s="179">
        <f t="shared" ref="S415" si="337">IF(R415="Continua",4,IF(R415="Frecuente",3,IF(R415="Ocasional",2,IF(R415="Esporádica",1,))))</f>
        <v>3</v>
      </c>
      <c r="T415" s="180">
        <f t="shared" ref="T415" si="338">Q415*S415</f>
        <v>6</v>
      </c>
      <c r="U415" s="181" t="str">
        <f t="shared" ref="U415" si="339">IF(AND(T415&gt;=0,T415&lt;=4),"Bajo",IF(AND(T415&gt;=6,T415&lt;=8),"Medio",IF(AND(T415&gt;=10,T415&lt;=20),"Alto",IF(AND(T415&gt;=20,T415&lt;=40),"Muy Alto",))))</f>
        <v>Medio</v>
      </c>
      <c r="V415" s="200" t="s">
        <v>187</v>
      </c>
      <c r="W415" s="179">
        <f t="shared" ref="W415" si="340">IF(V415="Mortal o catastrófico",100,IF(V415="Muy grave",60,IF(V415="Grave",25,IF(V415="Leve",10,))))</f>
        <v>25</v>
      </c>
      <c r="X415" s="180">
        <f t="shared" si="331"/>
        <v>150</v>
      </c>
      <c r="Y415" s="181" t="str">
        <f t="shared" si="332"/>
        <v>Nivel II: Riesgo Importante</v>
      </c>
      <c r="Z415" s="163">
        <v>11</v>
      </c>
      <c r="AA415" s="184">
        <v>2.5</v>
      </c>
      <c r="AB415" s="214" t="s">
        <v>1392</v>
      </c>
      <c r="AC415" s="214" t="s">
        <v>1420</v>
      </c>
      <c r="AD415" s="214" t="s">
        <v>1392</v>
      </c>
      <c r="AE415" s="214" t="s">
        <v>551</v>
      </c>
      <c r="AF415" s="215" t="s">
        <v>1419</v>
      </c>
      <c r="AG415" s="166"/>
    </row>
    <row r="416" spans="1:33" s="144" customFormat="1" ht="116.25" hidden="1" customHeight="1" x14ac:dyDescent="0.2">
      <c r="A416" s="163" t="s">
        <v>1311</v>
      </c>
      <c r="B416" s="163" t="s">
        <v>1310</v>
      </c>
      <c r="C416" s="163" t="s">
        <v>1388</v>
      </c>
      <c r="D416" s="163" t="s">
        <v>1394</v>
      </c>
      <c r="E416" s="212" t="s">
        <v>998</v>
      </c>
      <c r="F416" s="163" t="s">
        <v>1114</v>
      </c>
      <c r="G416" s="220" t="s">
        <v>924</v>
      </c>
      <c r="H416" s="163" t="s">
        <v>1313</v>
      </c>
      <c r="I416" s="186" t="s">
        <v>421</v>
      </c>
      <c r="J416" s="186" t="s">
        <v>422</v>
      </c>
      <c r="K416" s="181" t="s">
        <v>460</v>
      </c>
      <c r="L416" s="181" t="s">
        <v>469</v>
      </c>
      <c r="M416" s="210" t="s">
        <v>423</v>
      </c>
      <c r="N416" s="210" t="s">
        <v>1391</v>
      </c>
      <c r="O416" s="181" t="s">
        <v>1238</v>
      </c>
      <c r="P416" s="181" t="s">
        <v>184</v>
      </c>
      <c r="Q416" s="189">
        <f t="shared" si="330"/>
        <v>1</v>
      </c>
      <c r="R416" s="181" t="s">
        <v>186</v>
      </c>
      <c r="S416" s="179">
        <f t="shared" si="333"/>
        <v>4</v>
      </c>
      <c r="T416" s="180">
        <f t="shared" si="334"/>
        <v>4</v>
      </c>
      <c r="U416" s="181" t="str">
        <f t="shared" si="335"/>
        <v>Bajo</v>
      </c>
      <c r="V416" s="181" t="s">
        <v>428</v>
      </c>
      <c r="W416" s="179">
        <f t="shared" si="336"/>
        <v>10</v>
      </c>
      <c r="X416" s="180">
        <f>T416*W416</f>
        <v>40</v>
      </c>
      <c r="Y416" s="181" t="str">
        <f t="shared" si="332"/>
        <v>Nivel III: Riesgo Moderado (Aceptable)</v>
      </c>
      <c r="Z416" s="190">
        <v>10</v>
      </c>
      <c r="AA416" s="184">
        <v>7</v>
      </c>
      <c r="AB416" s="210" t="s">
        <v>1392</v>
      </c>
      <c r="AC416" s="210" t="s">
        <v>1392</v>
      </c>
      <c r="AD416" s="210" t="s">
        <v>1392</v>
      </c>
      <c r="AE416" s="210" t="s">
        <v>551</v>
      </c>
      <c r="AF416" s="169" t="s">
        <v>1393</v>
      </c>
      <c r="AG416" s="166" t="s">
        <v>460</v>
      </c>
    </row>
    <row r="417" spans="1:33" ht="162.75" hidden="1" customHeight="1" x14ac:dyDescent="0.2">
      <c r="A417" s="163" t="s">
        <v>1311</v>
      </c>
      <c r="B417" s="163" t="s">
        <v>1310</v>
      </c>
      <c r="C417" s="163" t="s">
        <v>1388</v>
      </c>
      <c r="D417" s="163" t="s">
        <v>1394</v>
      </c>
      <c r="E417" s="212" t="s">
        <v>998</v>
      </c>
      <c r="F417" s="163" t="s">
        <v>178</v>
      </c>
      <c r="G417" s="220" t="s">
        <v>1398</v>
      </c>
      <c r="H417" s="163" t="s">
        <v>1317</v>
      </c>
      <c r="I417" s="186" t="s">
        <v>529</v>
      </c>
      <c r="J417" s="186" t="s">
        <v>422</v>
      </c>
      <c r="K417" s="181" t="s">
        <v>460</v>
      </c>
      <c r="L417" s="181" t="s">
        <v>469</v>
      </c>
      <c r="M417" s="163" t="s">
        <v>1395</v>
      </c>
      <c r="N417" s="210" t="s">
        <v>1396</v>
      </c>
      <c r="O417" s="181" t="s">
        <v>1397</v>
      </c>
      <c r="P417" s="181" t="s">
        <v>509</v>
      </c>
      <c r="Q417" s="189">
        <f t="shared" ref="Q417:Q439" si="341">IF(P417="Muy Alto",10,IF(P417="Alto",6,IF(P417="Medio",2,IF(P417="Bajo",1,))))</f>
        <v>6</v>
      </c>
      <c r="R417" s="181" t="s">
        <v>416</v>
      </c>
      <c r="S417" s="179">
        <f t="shared" si="333"/>
        <v>3</v>
      </c>
      <c r="T417" s="180">
        <f t="shared" si="334"/>
        <v>18</v>
      </c>
      <c r="U417" s="181" t="str">
        <f t="shared" si="335"/>
        <v>Alto</v>
      </c>
      <c r="V417" s="181" t="s">
        <v>187</v>
      </c>
      <c r="W417" s="179">
        <f t="shared" si="336"/>
        <v>25</v>
      </c>
      <c r="X417" s="180">
        <f t="shared" ref="X417:X439" si="342">T417*W417</f>
        <v>450</v>
      </c>
      <c r="Y417" s="181" t="str">
        <f t="shared" ref="Y417:Y439" si="343">IF(AND(X417&gt;=600,X417&lt;=4000),"Nivel I: Riesgo Inaceptable",IF(AND(X417&gt;=150,X417&lt;=500),"Nivel II: Riesgo Importante",IF(AND(X417&gt;=40,X417&lt;=120),"Nivel III: Riesgo Moderado (Aceptable)","Nivel IV: Riesgo Tolerable (Aceptable)")))</f>
        <v>Nivel II: Riesgo Importante</v>
      </c>
      <c r="Z417" s="190">
        <v>10</v>
      </c>
      <c r="AA417" s="184">
        <v>6</v>
      </c>
      <c r="AB417" s="210" t="s">
        <v>1392</v>
      </c>
      <c r="AC417" s="210" t="s">
        <v>1392</v>
      </c>
      <c r="AD417" s="210" t="s">
        <v>1392</v>
      </c>
      <c r="AE417" s="210" t="s">
        <v>1405</v>
      </c>
      <c r="AF417" s="169" t="s">
        <v>1393</v>
      </c>
      <c r="AG417" s="166" t="s">
        <v>460</v>
      </c>
    </row>
    <row r="418" spans="1:33" ht="177.75" hidden="1" customHeight="1" x14ac:dyDescent="0.2">
      <c r="A418" s="163" t="s">
        <v>1311</v>
      </c>
      <c r="B418" s="163" t="s">
        <v>1310</v>
      </c>
      <c r="C418" s="163" t="s">
        <v>1388</v>
      </c>
      <c r="D418" s="163" t="s">
        <v>1394</v>
      </c>
      <c r="E418" s="212" t="s">
        <v>998</v>
      </c>
      <c r="F418" s="163" t="s">
        <v>1115</v>
      </c>
      <c r="G418" s="220" t="s">
        <v>1398</v>
      </c>
      <c r="H418" s="163" t="s">
        <v>1317</v>
      </c>
      <c r="I418" s="186" t="s">
        <v>421</v>
      </c>
      <c r="J418" s="186" t="s">
        <v>461</v>
      </c>
      <c r="K418" s="181" t="s">
        <v>460</v>
      </c>
      <c r="L418" s="181" t="s">
        <v>469</v>
      </c>
      <c r="M418" s="163" t="s">
        <v>1395</v>
      </c>
      <c r="N418" s="210" t="s">
        <v>1396</v>
      </c>
      <c r="O418" s="181" t="s">
        <v>1397</v>
      </c>
      <c r="P418" s="181" t="s">
        <v>509</v>
      </c>
      <c r="Q418" s="189">
        <f t="shared" ref="Q418" si="344">IF(P418="Muy Alto",10,IF(P418="Alto",6,IF(P418="Medio",2,IF(P418="Bajo",1,))))</f>
        <v>6</v>
      </c>
      <c r="R418" s="181" t="s">
        <v>429</v>
      </c>
      <c r="S418" s="179">
        <f>IF(R418="Continua",4,IF(R418="Frecuente",3,IF(R418="Ocasional",2,IF(R418="Esporádica",1,))))</f>
        <v>2</v>
      </c>
      <c r="T418" s="180">
        <f t="shared" ref="T418" si="345">Q418*S418</f>
        <v>12</v>
      </c>
      <c r="U418" s="181" t="str">
        <f>IF(AND(T418&gt;=0,T418&lt;=4),"Bajo",IF(AND(T418&gt;=6,T418&lt;=8),"Medio",IF(AND(T418&gt;=10,T418&lt;=20),"Alto",IF(AND(T418&gt;=20,T418&lt;=40),"Muy Alto",))))</f>
        <v>Alto</v>
      </c>
      <c r="V418" s="181" t="s">
        <v>187</v>
      </c>
      <c r="W418" s="179">
        <f t="shared" ref="W418" si="346">IF(V418="Mortal o catastrófico",100,IF(V418="Muy grave",60,IF(V418="Grave",25,IF(V418="Leve",10,))))</f>
        <v>25</v>
      </c>
      <c r="X418" s="180">
        <f t="shared" ref="X418" si="347">T418*W418</f>
        <v>300</v>
      </c>
      <c r="Y418" s="181" t="str">
        <f t="shared" ref="Y418" si="348">IF(AND(X418&gt;=600,X418&lt;=4000),"Nivel I: Riesgo Inaceptable",IF(AND(X418&gt;=150,X418&lt;=500),"Nivel II: Riesgo Importante",IF(AND(X418&gt;=40,X418&lt;=120),"Nivel III: Riesgo Moderado (Aceptable)","Nivel IV: Riesgo Tolerable (Aceptable)")))</f>
        <v>Nivel II: Riesgo Importante</v>
      </c>
      <c r="Z418" s="190">
        <v>10</v>
      </c>
      <c r="AA418" s="184">
        <v>6</v>
      </c>
      <c r="AB418" s="210" t="s">
        <v>1392</v>
      </c>
      <c r="AC418" s="210" t="s">
        <v>1392</v>
      </c>
      <c r="AD418" s="210" t="s">
        <v>1392</v>
      </c>
      <c r="AE418" s="210" t="s">
        <v>1411</v>
      </c>
      <c r="AF418" s="169" t="s">
        <v>1404</v>
      </c>
      <c r="AG418" s="166" t="s">
        <v>460</v>
      </c>
    </row>
    <row r="419" spans="1:33" ht="177.75" hidden="1" customHeight="1" x14ac:dyDescent="0.2">
      <c r="A419" s="163" t="s">
        <v>1311</v>
      </c>
      <c r="B419" s="163" t="s">
        <v>1310</v>
      </c>
      <c r="C419" s="163" t="s">
        <v>1388</v>
      </c>
      <c r="D419" s="163" t="s">
        <v>1394</v>
      </c>
      <c r="E419" s="212" t="s">
        <v>998</v>
      </c>
      <c r="F419" s="163" t="s">
        <v>1115</v>
      </c>
      <c r="G419" s="220" t="s">
        <v>1401</v>
      </c>
      <c r="H419" s="163" t="s">
        <v>1400</v>
      </c>
      <c r="I419" s="186" t="s">
        <v>421</v>
      </c>
      <c r="J419" s="186" t="s">
        <v>461</v>
      </c>
      <c r="K419" s="181" t="s">
        <v>460</v>
      </c>
      <c r="L419" s="181" t="s">
        <v>469</v>
      </c>
      <c r="M419" s="210" t="s">
        <v>423</v>
      </c>
      <c r="N419" s="210" t="s">
        <v>1402</v>
      </c>
      <c r="O419" s="181" t="s">
        <v>1239</v>
      </c>
      <c r="P419" s="181" t="s">
        <v>509</v>
      </c>
      <c r="Q419" s="189">
        <f t="shared" si="341"/>
        <v>6</v>
      </c>
      <c r="R419" s="181" t="s">
        <v>429</v>
      </c>
      <c r="S419" s="179">
        <f>IF(R419="Continua",4,IF(R419="Frecuente",3,IF(R419="Ocasional",2,IF(R419="Esporádica",1,))))</f>
        <v>2</v>
      </c>
      <c r="T419" s="180">
        <f t="shared" si="334"/>
        <v>12</v>
      </c>
      <c r="U419" s="181" t="str">
        <f>IF(AND(T419&gt;=0,T419&lt;=4),"Bajo",IF(AND(T419&gt;=6,T419&lt;=8),"Medio",IF(AND(T419&gt;=10,T419&lt;=20),"Alto",IF(AND(T419&gt;=20,T419&lt;=40),"Muy Alto",))))</f>
        <v>Alto</v>
      </c>
      <c r="V419" s="181" t="s">
        <v>187</v>
      </c>
      <c r="W419" s="179">
        <f t="shared" si="336"/>
        <v>25</v>
      </c>
      <c r="X419" s="180">
        <f t="shared" si="342"/>
        <v>300</v>
      </c>
      <c r="Y419" s="181" t="str">
        <f t="shared" si="343"/>
        <v>Nivel II: Riesgo Importante</v>
      </c>
      <c r="Z419" s="190">
        <v>11</v>
      </c>
      <c r="AA419" s="184">
        <v>6</v>
      </c>
      <c r="AB419" s="210" t="s">
        <v>1392</v>
      </c>
      <c r="AC419" s="210" t="s">
        <v>1392</v>
      </c>
      <c r="AD419" s="210" t="s">
        <v>1403</v>
      </c>
      <c r="AE419" s="210" t="s">
        <v>1406</v>
      </c>
      <c r="AF419" s="169" t="s">
        <v>1404</v>
      </c>
      <c r="AG419" s="166" t="s">
        <v>460</v>
      </c>
    </row>
    <row r="420" spans="1:33" ht="180" hidden="1" customHeight="1" x14ac:dyDescent="0.2">
      <c r="A420" s="163" t="s">
        <v>1311</v>
      </c>
      <c r="B420" s="163" t="s">
        <v>1310</v>
      </c>
      <c r="C420" s="163" t="s">
        <v>1388</v>
      </c>
      <c r="D420" s="163" t="s">
        <v>1394</v>
      </c>
      <c r="E420" s="212" t="s">
        <v>998</v>
      </c>
      <c r="F420" s="163" t="s">
        <v>1115</v>
      </c>
      <c r="G420" s="220" t="s">
        <v>927</v>
      </c>
      <c r="H420" s="163" t="s">
        <v>1407</v>
      </c>
      <c r="I420" s="190" t="s">
        <v>529</v>
      </c>
      <c r="J420" s="190" t="s">
        <v>422</v>
      </c>
      <c r="K420" s="191" t="s">
        <v>460</v>
      </c>
      <c r="L420" s="191" t="s">
        <v>469</v>
      </c>
      <c r="M420" s="210" t="s">
        <v>423</v>
      </c>
      <c r="N420" s="210" t="s">
        <v>1408</v>
      </c>
      <c r="O420" s="191" t="s">
        <v>1409</v>
      </c>
      <c r="P420" s="191" t="s">
        <v>184</v>
      </c>
      <c r="Q420" s="189">
        <f t="shared" si="341"/>
        <v>1</v>
      </c>
      <c r="R420" s="191" t="s">
        <v>416</v>
      </c>
      <c r="S420" s="179">
        <f t="shared" si="333"/>
        <v>3</v>
      </c>
      <c r="T420" s="180">
        <f t="shared" si="334"/>
        <v>3</v>
      </c>
      <c r="U420" s="181" t="str">
        <f>IF(AND(T420&gt;=0,T420&lt;=4),"Bajo",IF(AND(T420&gt;=6,T420&lt;=8),"Medio",IF(AND(T420&gt;=10,T420&lt;=20),"Alto",IF(AND(T420&gt;=20,T420&lt;=40),"Muy Alto",))))</f>
        <v>Bajo</v>
      </c>
      <c r="V420" s="181" t="s">
        <v>187</v>
      </c>
      <c r="W420" s="179">
        <f t="shared" si="336"/>
        <v>25</v>
      </c>
      <c r="X420" s="180">
        <f t="shared" si="342"/>
        <v>75</v>
      </c>
      <c r="Y420" s="181" t="str">
        <f t="shared" si="343"/>
        <v>Nivel III: Riesgo Moderado (Aceptable)</v>
      </c>
      <c r="Z420" s="190">
        <v>11</v>
      </c>
      <c r="AA420" s="211">
        <v>6</v>
      </c>
      <c r="AB420" s="210" t="s">
        <v>1392</v>
      </c>
      <c r="AC420" s="210" t="s">
        <v>1392</v>
      </c>
      <c r="AD420" s="210" t="s">
        <v>1410</v>
      </c>
      <c r="AE420" s="213" t="s">
        <v>551</v>
      </c>
      <c r="AF420" s="169" t="s">
        <v>1404</v>
      </c>
      <c r="AG420" s="166" t="s">
        <v>460</v>
      </c>
    </row>
    <row r="421" spans="1:33" ht="249" hidden="1" customHeight="1" x14ac:dyDescent="0.2">
      <c r="A421" s="163" t="s">
        <v>1311</v>
      </c>
      <c r="B421" s="163" t="s">
        <v>1310</v>
      </c>
      <c r="C421" s="163" t="s">
        <v>1388</v>
      </c>
      <c r="D421" s="163" t="s">
        <v>1394</v>
      </c>
      <c r="E421" s="169" t="s">
        <v>999</v>
      </c>
      <c r="F421" s="163" t="s">
        <v>1346</v>
      </c>
      <c r="G421" s="163" t="s">
        <v>1423</v>
      </c>
      <c r="H421" s="163" t="s">
        <v>1330</v>
      </c>
      <c r="I421" s="186" t="s">
        <v>421</v>
      </c>
      <c r="J421" s="186" t="s">
        <v>422</v>
      </c>
      <c r="K421" s="181" t="s">
        <v>460</v>
      </c>
      <c r="L421" s="181" t="s">
        <v>469</v>
      </c>
      <c r="M421" s="187" t="s">
        <v>423</v>
      </c>
      <c r="N421" s="210" t="s">
        <v>1253</v>
      </c>
      <c r="O421" s="181" t="s">
        <v>1424</v>
      </c>
      <c r="P421" s="181" t="s">
        <v>184</v>
      </c>
      <c r="Q421" s="189">
        <f t="shared" si="341"/>
        <v>1</v>
      </c>
      <c r="R421" s="181" t="s">
        <v>416</v>
      </c>
      <c r="S421" s="179">
        <f t="shared" si="333"/>
        <v>3</v>
      </c>
      <c r="T421" s="180">
        <f t="shared" si="334"/>
        <v>3</v>
      </c>
      <c r="U421" s="181" t="str">
        <f>IF(AND(T421&gt;=0,T421&lt;=4),"Bajo",IF(AND(T421&gt;=6,T421&lt;=8),"Medio",IF(AND(T421&gt;=10,T421&lt;=20),"Alto",IF(AND(T421&gt;=20,T421&lt;=40),"Muy Alto",))))</f>
        <v>Bajo</v>
      </c>
      <c r="V421" s="181" t="s">
        <v>428</v>
      </c>
      <c r="W421" s="179">
        <f t="shared" si="336"/>
        <v>10</v>
      </c>
      <c r="X421" s="180">
        <f t="shared" si="342"/>
        <v>30</v>
      </c>
      <c r="Y421" s="181" t="str">
        <f t="shared" si="343"/>
        <v>Nivel IV: Riesgo Tolerable (Aceptable)</v>
      </c>
      <c r="Z421" s="190">
        <v>10</v>
      </c>
      <c r="AA421" s="184">
        <v>7</v>
      </c>
      <c r="AB421" s="210" t="s">
        <v>1392</v>
      </c>
      <c r="AC421" s="210" t="s">
        <v>1392</v>
      </c>
      <c r="AD421" s="210" t="s">
        <v>1392</v>
      </c>
      <c r="AE421" s="210" t="s">
        <v>1425</v>
      </c>
      <c r="AF421" s="169" t="s">
        <v>1393</v>
      </c>
      <c r="AG421" s="166" t="s">
        <v>460</v>
      </c>
    </row>
    <row r="422" spans="1:33" ht="153.75" hidden="1" customHeight="1" x14ac:dyDescent="0.2">
      <c r="A422" s="163" t="s">
        <v>1311</v>
      </c>
      <c r="B422" s="163" t="s">
        <v>1310</v>
      </c>
      <c r="C422" s="163" t="s">
        <v>1388</v>
      </c>
      <c r="D422" s="163" t="s">
        <v>1394</v>
      </c>
      <c r="E422" s="169" t="s">
        <v>999</v>
      </c>
      <c r="F422" s="162" t="s">
        <v>288</v>
      </c>
      <c r="G422" s="162" t="s">
        <v>1240</v>
      </c>
      <c r="H422" s="162" t="s">
        <v>1241</v>
      </c>
      <c r="I422" s="186" t="s">
        <v>529</v>
      </c>
      <c r="J422" s="186" t="s">
        <v>422</v>
      </c>
      <c r="K422" s="181" t="s">
        <v>460</v>
      </c>
      <c r="L422" s="181" t="s">
        <v>469</v>
      </c>
      <c r="M422" s="187" t="s">
        <v>423</v>
      </c>
      <c r="N422" s="187" t="s">
        <v>1243</v>
      </c>
      <c r="O422" s="188" t="s">
        <v>1242</v>
      </c>
      <c r="P422" s="181" t="s">
        <v>184</v>
      </c>
      <c r="Q422" s="189">
        <f t="shared" si="341"/>
        <v>1</v>
      </c>
      <c r="R422" s="181" t="s">
        <v>186</v>
      </c>
      <c r="S422" s="179">
        <f t="shared" si="333"/>
        <v>4</v>
      </c>
      <c r="T422" s="180">
        <f t="shared" si="334"/>
        <v>4</v>
      </c>
      <c r="U422" s="181" t="str">
        <f t="shared" si="335"/>
        <v>Bajo</v>
      </c>
      <c r="V422" s="181" t="s">
        <v>428</v>
      </c>
      <c r="W422" s="179">
        <f t="shared" si="336"/>
        <v>10</v>
      </c>
      <c r="X422" s="180">
        <f t="shared" si="342"/>
        <v>40</v>
      </c>
      <c r="Y422" s="181" t="str">
        <f t="shared" si="343"/>
        <v>Nivel III: Riesgo Moderado (Aceptable)</v>
      </c>
      <c r="Z422" s="190">
        <v>11</v>
      </c>
      <c r="AA422" s="184">
        <v>7</v>
      </c>
      <c r="AB422" s="187" t="s">
        <v>424</v>
      </c>
      <c r="AC422" s="187" t="s">
        <v>424</v>
      </c>
      <c r="AD422" s="187" t="s">
        <v>424</v>
      </c>
      <c r="AE422" s="188" t="s">
        <v>1290</v>
      </c>
      <c r="AF422" s="162" t="s">
        <v>531</v>
      </c>
      <c r="AG422" s="166" t="s">
        <v>460</v>
      </c>
    </row>
    <row r="423" spans="1:33" ht="76.5" hidden="1" x14ac:dyDescent="0.2">
      <c r="A423" s="162" t="s">
        <v>1235</v>
      </c>
      <c r="B423" s="162" t="s">
        <v>642</v>
      </c>
      <c r="C423" s="162" t="s">
        <v>1200</v>
      </c>
      <c r="D423" s="162" t="s">
        <v>667</v>
      </c>
      <c r="E423" s="185" t="s">
        <v>999</v>
      </c>
      <c r="F423" s="162" t="s">
        <v>1117</v>
      </c>
      <c r="G423" s="162" t="s">
        <v>1244</v>
      </c>
      <c r="H423" s="162" t="s">
        <v>1245</v>
      </c>
      <c r="I423" s="186" t="s">
        <v>529</v>
      </c>
      <c r="J423" s="186" t="s">
        <v>461</v>
      </c>
      <c r="K423" s="181" t="s">
        <v>460</v>
      </c>
      <c r="L423" s="181" t="s">
        <v>469</v>
      </c>
      <c r="M423" s="187" t="s">
        <v>423</v>
      </c>
      <c r="N423" s="187" t="s">
        <v>423</v>
      </c>
      <c r="O423" s="188" t="s">
        <v>1246</v>
      </c>
      <c r="P423" s="181" t="s">
        <v>185</v>
      </c>
      <c r="Q423" s="189">
        <f t="shared" si="341"/>
        <v>2</v>
      </c>
      <c r="R423" s="181" t="s">
        <v>416</v>
      </c>
      <c r="S423" s="179">
        <f t="shared" si="333"/>
        <v>3</v>
      </c>
      <c r="T423" s="180">
        <f t="shared" si="334"/>
        <v>6</v>
      </c>
      <c r="U423" s="181" t="str">
        <f t="shared" si="335"/>
        <v>Medio</v>
      </c>
      <c r="V423" s="181" t="s">
        <v>187</v>
      </c>
      <c r="W423" s="179">
        <f t="shared" si="336"/>
        <v>25</v>
      </c>
      <c r="X423" s="180">
        <f t="shared" si="342"/>
        <v>150</v>
      </c>
      <c r="Y423" s="181" t="str">
        <f t="shared" si="343"/>
        <v>Nivel II: Riesgo Importante</v>
      </c>
      <c r="Z423" s="190">
        <v>11</v>
      </c>
      <c r="AA423" s="184">
        <v>7</v>
      </c>
      <c r="AB423" s="187" t="s">
        <v>424</v>
      </c>
      <c r="AC423" s="187" t="s">
        <v>424</v>
      </c>
      <c r="AD423" s="187" t="s">
        <v>424</v>
      </c>
      <c r="AE423" s="194" t="s">
        <v>1283</v>
      </c>
      <c r="AF423" s="162" t="s">
        <v>1247</v>
      </c>
      <c r="AG423" s="166" t="s">
        <v>460</v>
      </c>
    </row>
    <row r="424" spans="1:33" ht="38.25" hidden="1" x14ac:dyDescent="0.2">
      <c r="A424" s="162" t="s">
        <v>1235</v>
      </c>
      <c r="B424" s="162" t="s">
        <v>642</v>
      </c>
      <c r="C424" s="162" t="s">
        <v>1200</v>
      </c>
      <c r="D424" s="162" t="s">
        <v>667</v>
      </c>
      <c r="E424" s="185" t="s">
        <v>999</v>
      </c>
      <c r="F424" s="162" t="s">
        <v>1117</v>
      </c>
      <c r="G424" s="162" t="s">
        <v>1248</v>
      </c>
      <c r="H424" s="162" t="s">
        <v>1249</v>
      </c>
      <c r="I424" s="186" t="s">
        <v>421</v>
      </c>
      <c r="J424" s="186" t="s">
        <v>422</v>
      </c>
      <c r="K424" s="181" t="s">
        <v>460</v>
      </c>
      <c r="L424" s="181" t="s">
        <v>469</v>
      </c>
      <c r="M424" s="187" t="s">
        <v>423</v>
      </c>
      <c r="N424" s="187" t="s">
        <v>423</v>
      </c>
      <c r="O424" s="188" t="s">
        <v>1250</v>
      </c>
      <c r="P424" s="181" t="s">
        <v>185</v>
      </c>
      <c r="Q424" s="189">
        <f t="shared" si="341"/>
        <v>2</v>
      </c>
      <c r="R424" s="181" t="s">
        <v>416</v>
      </c>
      <c r="S424" s="179">
        <f t="shared" si="333"/>
        <v>3</v>
      </c>
      <c r="T424" s="180">
        <f t="shared" si="334"/>
        <v>6</v>
      </c>
      <c r="U424" s="181" t="str">
        <f t="shared" si="335"/>
        <v>Medio</v>
      </c>
      <c r="V424" s="181" t="s">
        <v>187</v>
      </c>
      <c r="W424" s="179">
        <f t="shared" si="336"/>
        <v>25</v>
      </c>
      <c r="X424" s="180">
        <f t="shared" si="342"/>
        <v>150</v>
      </c>
      <c r="Y424" s="181" t="str">
        <f t="shared" si="343"/>
        <v>Nivel II: Riesgo Importante</v>
      </c>
      <c r="Z424" s="190">
        <v>11</v>
      </c>
      <c r="AA424" s="184">
        <v>7</v>
      </c>
      <c r="AB424" s="187" t="s">
        <v>424</v>
      </c>
      <c r="AC424" s="187" t="s">
        <v>424</v>
      </c>
      <c r="AD424" s="187" t="s">
        <v>424</v>
      </c>
      <c r="AE424" s="188" t="s">
        <v>551</v>
      </c>
      <c r="AF424" s="161" t="s">
        <v>532</v>
      </c>
      <c r="AG424" s="166" t="s">
        <v>460</v>
      </c>
    </row>
    <row r="425" spans="1:33" ht="76.5" hidden="1" x14ac:dyDescent="0.2">
      <c r="A425" s="162" t="s">
        <v>1235</v>
      </c>
      <c r="B425" s="162" t="s">
        <v>642</v>
      </c>
      <c r="C425" s="162" t="s">
        <v>1200</v>
      </c>
      <c r="D425" s="162" t="s">
        <v>667</v>
      </c>
      <c r="E425" s="185" t="s">
        <v>999</v>
      </c>
      <c r="F425" s="162" t="s">
        <v>288</v>
      </c>
      <c r="G425" s="162" t="s">
        <v>1255</v>
      </c>
      <c r="H425" s="162" t="s">
        <v>1251</v>
      </c>
      <c r="I425" s="186" t="s">
        <v>529</v>
      </c>
      <c r="J425" s="186" t="s">
        <v>422</v>
      </c>
      <c r="K425" s="181" t="s">
        <v>460</v>
      </c>
      <c r="L425" s="181" t="s">
        <v>469</v>
      </c>
      <c r="M425" s="187" t="s">
        <v>1253</v>
      </c>
      <c r="N425" s="187" t="s">
        <v>1252</v>
      </c>
      <c r="O425" s="188" t="s">
        <v>1254</v>
      </c>
      <c r="P425" s="181" t="s">
        <v>185</v>
      </c>
      <c r="Q425" s="189">
        <f t="shared" si="341"/>
        <v>2</v>
      </c>
      <c r="R425" s="181" t="s">
        <v>186</v>
      </c>
      <c r="S425" s="179">
        <f t="shared" si="333"/>
        <v>4</v>
      </c>
      <c r="T425" s="180">
        <f t="shared" si="334"/>
        <v>8</v>
      </c>
      <c r="U425" s="181" t="str">
        <f t="shared" si="335"/>
        <v>Medio</v>
      </c>
      <c r="V425" s="181" t="s">
        <v>187</v>
      </c>
      <c r="W425" s="179">
        <f t="shared" si="336"/>
        <v>25</v>
      </c>
      <c r="X425" s="180">
        <f t="shared" si="342"/>
        <v>200</v>
      </c>
      <c r="Y425" s="181" t="str">
        <f t="shared" si="343"/>
        <v>Nivel II: Riesgo Importante</v>
      </c>
      <c r="Z425" s="190">
        <v>11</v>
      </c>
      <c r="AA425" s="184">
        <v>7</v>
      </c>
      <c r="AB425" s="187" t="s">
        <v>424</v>
      </c>
      <c r="AC425" s="187" t="s">
        <v>424</v>
      </c>
      <c r="AD425" s="187" t="s">
        <v>424</v>
      </c>
      <c r="AE425" s="188" t="s">
        <v>551</v>
      </c>
      <c r="AF425" s="161" t="s">
        <v>528</v>
      </c>
      <c r="AG425" s="166" t="s">
        <v>460</v>
      </c>
    </row>
    <row r="426" spans="1:33" ht="51" hidden="1" x14ac:dyDescent="0.2">
      <c r="A426" s="162" t="s">
        <v>1235</v>
      </c>
      <c r="B426" s="162" t="s">
        <v>642</v>
      </c>
      <c r="C426" s="162" t="s">
        <v>1200</v>
      </c>
      <c r="D426" s="162" t="s">
        <v>667</v>
      </c>
      <c r="E426" s="185" t="s">
        <v>999</v>
      </c>
      <c r="F426" s="162" t="s">
        <v>288</v>
      </c>
      <c r="G426" s="162" t="s">
        <v>1256</v>
      </c>
      <c r="H426" s="162" t="s">
        <v>1257</v>
      </c>
      <c r="I426" s="186" t="s">
        <v>421</v>
      </c>
      <c r="J426" s="186" t="s">
        <v>422</v>
      </c>
      <c r="K426" s="181" t="s">
        <v>460</v>
      </c>
      <c r="L426" s="181" t="s">
        <v>469</v>
      </c>
      <c r="M426" s="187" t="s">
        <v>423</v>
      </c>
      <c r="N426" s="187" t="s">
        <v>423</v>
      </c>
      <c r="O426" s="188" t="s">
        <v>1254</v>
      </c>
      <c r="P426" s="181" t="s">
        <v>184</v>
      </c>
      <c r="Q426" s="189">
        <f t="shared" si="341"/>
        <v>1</v>
      </c>
      <c r="R426" s="181" t="s">
        <v>416</v>
      </c>
      <c r="S426" s="179">
        <f t="shared" si="333"/>
        <v>3</v>
      </c>
      <c r="T426" s="180">
        <f t="shared" si="334"/>
        <v>3</v>
      </c>
      <c r="U426" s="181" t="str">
        <f t="shared" si="335"/>
        <v>Bajo</v>
      </c>
      <c r="V426" s="181" t="s">
        <v>187</v>
      </c>
      <c r="W426" s="179">
        <f t="shared" si="336"/>
        <v>25</v>
      </c>
      <c r="X426" s="180">
        <f t="shared" si="342"/>
        <v>75</v>
      </c>
      <c r="Y426" s="181" t="str">
        <f t="shared" si="343"/>
        <v>Nivel III: Riesgo Moderado (Aceptable)</v>
      </c>
      <c r="Z426" s="190">
        <v>11</v>
      </c>
      <c r="AA426" s="184">
        <v>7</v>
      </c>
      <c r="AB426" s="187" t="s">
        <v>424</v>
      </c>
      <c r="AC426" s="187" t="s">
        <v>424</v>
      </c>
      <c r="AD426" s="187" t="s">
        <v>424</v>
      </c>
      <c r="AE426" s="187" t="s">
        <v>551</v>
      </c>
      <c r="AF426" s="161" t="s">
        <v>528</v>
      </c>
      <c r="AG426" s="166" t="s">
        <v>460</v>
      </c>
    </row>
    <row r="427" spans="1:33" ht="139.5" hidden="1" customHeight="1" x14ac:dyDescent="0.2">
      <c r="A427" s="162" t="s">
        <v>1235</v>
      </c>
      <c r="B427" s="162" t="s">
        <v>642</v>
      </c>
      <c r="C427" s="162" t="s">
        <v>1200</v>
      </c>
      <c r="D427" s="162" t="s">
        <v>667</v>
      </c>
      <c r="E427" s="185" t="s">
        <v>999</v>
      </c>
      <c r="F427" s="162" t="s">
        <v>288</v>
      </c>
      <c r="G427" s="162" t="s">
        <v>1258</v>
      </c>
      <c r="H427" s="162" t="s">
        <v>527</v>
      </c>
      <c r="I427" s="190" t="s">
        <v>421</v>
      </c>
      <c r="J427" s="190" t="s">
        <v>422</v>
      </c>
      <c r="K427" s="191" t="s">
        <v>460</v>
      </c>
      <c r="L427" s="191" t="s">
        <v>469</v>
      </c>
      <c r="M427" s="187" t="s">
        <v>423</v>
      </c>
      <c r="N427" s="187" t="s">
        <v>423</v>
      </c>
      <c r="O427" s="188" t="s">
        <v>1254</v>
      </c>
      <c r="P427" s="191" t="s">
        <v>184</v>
      </c>
      <c r="Q427" s="195">
        <f t="shared" si="341"/>
        <v>1</v>
      </c>
      <c r="R427" s="191" t="s">
        <v>416</v>
      </c>
      <c r="S427" s="196">
        <f t="shared" si="333"/>
        <v>3</v>
      </c>
      <c r="T427" s="197">
        <f t="shared" si="334"/>
        <v>3</v>
      </c>
      <c r="U427" s="191" t="str">
        <f t="shared" si="335"/>
        <v>Bajo</v>
      </c>
      <c r="V427" s="191" t="s">
        <v>187</v>
      </c>
      <c r="W427" s="196">
        <f t="shared" si="336"/>
        <v>25</v>
      </c>
      <c r="X427" s="197">
        <f t="shared" si="342"/>
        <v>75</v>
      </c>
      <c r="Y427" s="191" t="str">
        <f t="shared" si="343"/>
        <v>Nivel III: Riesgo Moderado (Aceptable)</v>
      </c>
      <c r="Z427" s="190">
        <v>11</v>
      </c>
      <c r="AA427" s="211">
        <v>7</v>
      </c>
      <c r="AB427" s="187" t="s">
        <v>424</v>
      </c>
      <c r="AC427" s="187" t="s">
        <v>424</v>
      </c>
      <c r="AD427" s="187" t="s">
        <v>424</v>
      </c>
      <c r="AE427" s="194" t="s">
        <v>551</v>
      </c>
      <c r="AF427" s="161" t="s">
        <v>528</v>
      </c>
      <c r="AG427" s="166" t="s">
        <v>460</v>
      </c>
    </row>
    <row r="428" spans="1:33" ht="51" hidden="1" x14ac:dyDescent="0.2">
      <c r="A428" s="162" t="s">
        <v>1235</v>
      </c>
      <c r="B428" s="162" t="s">
        <v>642</v>
      </c>
      <c r="C428" s="162" t="s">
        <v>1200</v>
      </c>
      <c r="D428" s="162" t="s">
        <v>667</v>
      </c>
      <c r="E428" s="185" t="s">
        <v>997</v>
      </c>
      <c r="F428" s="162" t="s">
        <v>1105</v>
      </c>
      <c r="G428" s="162" t="s">
        <v>1259</v>
      </c>
      <c r="H428" s="162" t="s">
        <v>1260</v>
      </c>
      <c r="I428" s="190" t="s">
        <v>421</v>
      </c>
      <c r="J428" s="190" t="s">
        <v>461</v>
      </c>
      <c r="K428" s="191" t="s">
        <v>460</v>
      </c>
      <c r="L428" s="191" t="s">
        <v>469</v>
      </c>
      <c r="M428" s="187" t="s">
        <v>423</v>
      </c>
      <c r="N428" s="187" t="s">
        <v>544</v>
      </c>
      <c r="O428" s="192" t="s">
        <v>1261</v>
      </c>
      <c r="P428" s="191" t="s">
        <v>184</v>
      </c>
      <c r="Q428" s="195">
        <f>IF(P428="Muy Alto",10,IF(P428="Alto",6,IF(P428="Medio",2,IF(P428="Bajo",1,))))</f>
        <v>1</v>
      </c>
      <c r="R428" s="191" t="s">
        <v>186</v>
      </c>
      <c r="S428" s="196">
        <f>IF(R428="Continua",4,IF(R428="Frecuente",3,IF(R428="Ocasional",2,IF(R428="Esporádica",1,))))</f>
        <v>4</v>
      </c>
      <c r="T428" s="197">
        <f t="shared" si="334"/>
        <v>4</v>
      </c>
      <c r="U428" s="191" t="str">
        <f t="shared" si="335"/>
        <v>Bajo</v>
      </c>
      <c r="V428" s="191" t="s">
        <v>187</v>
      </c>
      <c r="W428" s="196">
        <f t="shared" si="336"/>
        <v>25</v>
      </c>
      <c r="X428" s="197">
        <f t="shared" si="342"/>
        <v>100</v>
      </c>
      <c r="Y428" s="191" t="str">
        <f t="shared" si="343"/>
        <v>Nivel III: Riesgo Moderado (Aceptable)</v>
      </c>
      <c r="Z428" s="190">
        <v>11</v>
      </c>
      <c r="AA428" s="193">
        <v>7</v>
      </c>
      <c r="AB428" s="187" t="s">
        <v>424</v>
      </c>
      <c r="AC428" s="187" t="s">
        <v>424</v>
      </c>
      <c r="AD428" s="187" t="s">
        <v>424</v>
      </c>
      <c r="AE428" s="194" t="s">
        <v>551</v>
      </c>
      <c r="AF428" s="161" t="s">
        <v>1262</v>
      </c>
      <c r="AG428" s="166" t="s">
        <v>460</v>
      </c>
    </row>
    <row r="429" spans="1:33" ht="51" hidden="1" x14ac:dyDescent="0.2">
      <c r="A429" s="162" t="s">
        <v>1235</v>
      </c>
      <c r="B429" s="162" t="s">
        <v>642</v>
      </c>
      <c r="C429" s="162" t="s">
        <v>1200</v>
      </c>
      <c r="D429" s="162" t="s">
        <v>667</v>
      </c>
      <c r="E429" s="161" t="s">
        <v>996</v>
      </c>
      <c r="F429" s="162" t="s">
        <v>283</v>
      </c>
      <c r="G429" s="162" t="s">
        <v>505</v>
      </c>
      <c r="H429" s="162" t="s">
        <v>570</v>
      </c>
      <c r="I429" s="190" t="s">
        <v>421</v>
      </c>
      <c r="J429" s="190" t="s">
        <v>422</v>
      </c>
      <c r="K429" s="191" t="s">
        <v>460</v>
      </c>
      <c r="L429" s="191" t="s">
        <v>469</v>
      </c>
      <c r="M429" s="187" t="s">
        <v>423</v>
      </c>
      <c r="N429" s="187" t="s">
        <v>423</v>
      </c>
      <c r="O429" s="192" t="s">
        <v>1263</v>
      </c>
      <c r="P429" s="191" t="s">
        <v>184</v>
      </c>
      <c r="Q429" s="195">
        <f>IF(P429="Muy Alto",10,IF(P429="Alto",6,IF(P429="Medio",2,IF(P429="Bajo",1,))))</f>
        <v>1</v>
      </c>
      <c r="R429" s="191" t="s">
        <v>186</v>
      </c>
      <c r="S429" s="196">
        <f>IF(R429="Continua",4,IF(R429="Frecuente",3,IF(R429="Ocasional",2,IF(R429="Esporádica",1,))))</f>
        <v>4</v>
      </c>
      <c r="T429" s="197">
        <f t="shared" si="334"/>
        <v>4</v>
      </c>
      <c r="U429" s="191" t="str">
        <f t="shared" si="335"/>
        <v>Bajo</v>
      </c>
      <c r="V429" s="191" t="s">
        <v>428</v>
      </c>
      <c r="W429" s="196">
        <f t="shared" si="336"/>
        <v>10</v>
      </c>
      <c r="X429" s="197">
        <f t="shared" si="342"/>
        <v>40</v>
      </c>
      <c r="Y429" s="191" t="str">
        <f t="shared" si="343"/>
        <v>Nivel III: Riesgo Moderado (Aceptable)</v>
      </c>
      <c r="Z429" s="190">
        <v>11</v>
      </c>
      <c r="AA429" s="193">
        <v>7</v>
      </c>
      <c r="AB429" s="187" t="s">
        <v>424</v>
      </c>
      <c r="AC429" s="187" t="s">
        <v>424</v>
      </c>
      <c r="AD429" s="187" t="s">
        <v>424</v>
      </c>
      <c r="AE429" s="194" t="s">
        <v>585</v>
      </c>
      <c r="AF429" s="161" t="s">
        <v>586</v>
      </c>
      <c r="AG429" s="166" t="s">
        <v>460</v>
      </c>
    </row>
    <row r="430" spans="1:33" ht="38.25" hidden="1" x14ac:dyDescent="0.2">
      <c r="A430" s="162" t="s">
        <v>1235</v>
      </c>
      <c r="B430" s="162" t="s">
        <v>642</v>
      </c>
      <c r="C430" s="162" t="s">
        <v>1200</v>
      </c>
      <c r="D430" s="162" t="s">
        <v>667</v>
      </c>
      <c r="E430" s="185" t="s">
        <v>999</v>
      </c>
      <c r="F430" s="162" t="s">
        <v>294</v>
      </c>
      <c r="G430" s="162" t="s">
        <v>506</v>
      </c>
      <c r="H430" s="162" t="s">
        <v>966</v>
      </c>
      <c r="I430" s="186" t="s">
        <v>421</v>
      </c>
      <c r="J430" s="186" t="s">
        <v>422</v>
      </c>
      <c r="K430" s="181" t="s">
        <v>460</v>
      </c>
      <c r="L430" s="181" t="s">
        <v>469</v>
      </c>
      <c r="M430" s="187" t="s">
        <v>423</v>
      </c>
      <c r="N430" s="187" t="s">
        <v>1264</v>
      </c>
      <c r="O430" s="192" t="s">
        <v>606</v>
      </c>
      <c r="P430" s="181" t="s">
        <v>184</v>
      </c>
      <c r="Q430" s="189">
        <f>IF(P430="Muy Alto",10,IF(P430="Alto",6,IF(P430="Medio",2,IF(P430="Bajo",1,))))</f>
        <v>1</v>
      </c>
      <c r="R430" s="181" t="s">
        <v>485</v>
      </c>
      <c r="S430" s="179">
        <f>IF(R430="Continua",4,IF(R430="Frecuente",3,IF(R430="Ocasional",2,IF(R430="Esporádica",1,))))</f>
        <v>1</v>
      </c>
      <c r="T430" s="180">
        <f t="shared" si="334"/>
        <v>1</v>
      </c>
      <c r="U430" s="181" t="str">
        <f t="shared" si="335"/>
        <v>Bajo</v>
      </c>
      <c r="V430" s="181" t="s">
        <v>428</v>
      </c>
      <c r="W430" s="179">
        <f t="shared" si="336"/>
        <v>10</v>
      </c>
      <c r="X430" s="180">
        <f t="shared" si="342"/>
        <v>10</v>
      </c>
      <c r="Y430" s="181" t="str">
        <f t="shared" si="343"/>
        <v>Nivel IV: Riesgo Tolerable (Aceptable)</v>
      </c>
      <c r="Z430" s="190">
        <v>11</v>
      </c>
      <c r="AA430" s="184">
        <v>7</v>
      </c>
      <c r="AB430" s="187" t="s">
        <v>424</v>
      </c>
      <c r="AC430" s="187" t="s">
        <v>424</v>
      </c>
      <c r="AD430" s="187" t="s">
        <v>424</v>
      </c>
      <c r="AE430" s="198" t="s">
        <v>510</v>
      </c>
      <c r="AF430" s="161" t="s">
        <v>600</v>
      </c>
      <c r="AG430" s="166" t="s">
        <v>460</v>
      </c>
    </row>
    <row r="431" spans="1:33" ht="63.75" hidden="1" x14ac:dyDescent="0.2">
      <c r="A431" s="162" t="s">
        <v>1235</v>
      </c>
      <c r="B431" s="162" t="s">
        <v>642</v>
      </c>
      <c r="C431" s="162" t="s">
        <v>1200</v>
      </c>
      <c r="D431" s="162" t="s">
        <v>667</v>
      </c>
      <c r="E431" s="185" t="s">
        <v>999</v>
      </c>
      <c r="F431" s="162" t="s">
        <v>714</v>
      </c>
      <c r="G431" s="162" t="s">
        <v>512</v>
      </c>
      <c r="H431" s="162" t="s">
        <v>625</v>
      </c>
      <c r="I431" s="190" t="s">
        <v>529</v>
      </c>
      <c r="J431" s="190" t="s">
        <v>422</v>
      </c>
      <c r="K431" s="181" t="s">
        <v>460</v>
      </c>
      <c r="L431" s="181" t="s">
        <v>469</v>
      </c>
      <c r="M431" s="187" t="s">
        <v>1266</v>
      </c>
      <c r="N431" s="187" t="s">
        <v>513</v>
      </c>
      <c r="O431" s="188" t="s">
        <v>1265</v>
      </c>
      <c r="P431" s="181" t="s">
        <v>184</v>
      </c>
      <c r="Q431" s="189">
        <v>2</v>
      </c>
      <c r="R431" s="181" t="s">
        <v>485</v>
      </c>
      <c r="S431" s="179">
        <v>4</v>
      </c>
      <c r="T431" s="180">
        <f t="shared" si="334"/>
        <v>8</v>
      </c>
      <c r="U431" s="181" t="str">
        <f t="shared" si="335"/>
        <v>Medio</v>
      </c>
      <c r="V431" s="181" t="s">
        <v>187</v>
      </c>
      <c r="W431" s="179">
        <f t="shared" si="336"/>
        <v>25</v>
      </c>
      <c r="X431" s="180">
        <f t="shared" si="342"/>
        <v>200</v>
      </c>
      <c r="Y431" s="181" t="str">
        <f t="shared" si="343"/>
        <v>Nivel II: Riesgo Importante</v>
      </c>
      <c r="Z431" s="190">
        <v>11</v>
      </c>
      <c r="AA431" s="211">
        <v>7</v>
      </c>
      <c r="AB431" s="187" t="s">
        <v>424</v>
      </c>
      <c r="AC431" s="187" t="s">
        <v>424</v>
      </c>
      <c r="AD431" s="187" t="s">
        <v>1268</v>
      </c>
      <c r="AE431" s="187" t="s">
        <v>1267</v>
      </c>
      <c r="AF431" s="161" t="s">
        <v>600</v>
      </c>
      <c r="AG431" s="166" t="s">
        <v>460</v>
      </c>
    </row>
    <row r="432" spans="1:33" ht="127.5" hidden="1" customHeight="1" x14ac:dyDescent="0.2">
      <c r="A432" s="162" t="s">
        <v>1235</v>
      </c>
      <c r="B432" s="162" t="s">
        <v>642</v>
      </c>
      <c r="C432" s="162" t="s">
        <v>1200</v>
      </c>
      <c r="D432" s="162" t="s">
        <v>667</v>
      </c>
      <c r="E432" s="161" t="s">
        <v>175</v>
      </c>
      <c r="F432" s="162" t="s">
        <v>592</v>
      </c>
      <c r="G432" s="162" t="s">
        <v>593</v>
      </c>
      <c r="H432" s="162" t="s">
        <v>602</v>
      </c>
      <c r="I432" s="190" t="s">
        <v>421</v>
      </c>
      <c r="J432" s="173" t="s">
        <v>422</v>
      </c>
      <c r="K432" s="177" t="s">
        <v>460</v>
      </c>
      <c r="L432" s="177" t="s">
        <v>469</v>
      </c>
      <c r="M432" s="182" t="s">
        <v>423</v>
      </c>
      <c r="N432" s="182" t="s">
        <v>1273</v>
      </c>
      <c r="O432" s="176" t="s">
        <v>601</v>
      </c>
      <c r="P432" s="191" t="s">
        <v>184</v>
      </c>
      <c r="Q432" s="195">
        <f>IF(P432="Muy Alto",10,IF(P432="Alto",6,IF(P432="Medio",2,IF(P432="Bajo",1,))))</f>
        <v>1</v>
      </c>
      <c r="R432" s="191" t="s">
        <v>485</v>
      </c>
      <c r="S432" s="196">
        <f>IF(R432="Continua",4,IF(R432="Frecuente",3,IF(R432="Ocasional",2,IF(R432="Esporádica",1,))))</f>
        <v>1</v>
      </c>
      <c r="T432" s="197">
        <f t="shared" si="334"/>
        <v>1</v>
      </c>
      <c r="U432" s="191" t="str">
        <f t="shared" si="335"/>
        <v>Bajo</v>
      </c>
      <c r="V432" s="191" t="s">
        <v>428</v>
      </c>
      <c r="W432" s="196">
        <f t="shared" si="336"/>
        <v>10</v>
      </c>
      <c r="X432" s="197">
        <f t="shared" si="342"/>
        <v>10</v>
      </c>
      <c r="Y432" s="191" t="str">
        <f t="shared" si="343"/>
        <v>Nivel IV: Riesgo Tolerable (Aceptable)</v>
      </c>
      <c r="Z432" s="190">
        <v>11</v>
      </c>
      <c r="AA432" s="193">
        <v>7</v>
      </c>
      <c r="AB432" s="182" t="s">
        <v>424</v>
      </c>
      <c r="AC432" s="182" t="s">
        <v>424</v>
      </c>
      <c r="AD432" s="182" t="s">
        <v>424</v>
      </c>
      <c r="AE432" s="182" t="s">
        <v>1269</v>
      </c>
      <c r="AF432" s="161" t="s">
        <v>600</v>
      </c>
      <c r="AG432" s="166" t="s">
        <v>460</v>
      </c>
    </row>
    <row r="433" spans="1:33" ht="127.5" hidden="1" customHeight="1" x14ac:dyDescent="0.2">
      <c r="A433" s="162" t="s">
        <v>1235</v>
      </c>
      <c r="B433" s="162" t="s">
        <v>642</v>
      </c>
      <c r="C433" s="162" t="s">
        <v>1200</v>
      </c>
      <c r="D433" s="162" t="s">
        <v>667</v>
      </c>
      <c r="E433" s="161" t="s">
        <v>175</v>
      </c>
      <c r="F433" s="162" t="s">
        <v>594</v>
      </c>
      <c r="G433" s="162" t="s">
        <v>595</v>
      </c>
      <c r="H433" s="162" t="s">
        <v>602</v>
      </c>
      <c r="I433" s="186" t="s">
        <v>421</v>
      </c>
      <c r="J433" s="173" t="s">
        <v>422</v>
      </c>
      <c r="K433" s="177" t="s">
        <v>460</v>
      </c>
      <c r="L433" s="177" t="s">
        <v>469</v>
      </c>
      <c r="M433" s="182" t="s">
        <v>423</v>
      </c>
      <c r="N433" s="182" t="s">
        <v>1273</v>
      </c>
      <c r="O433" s="176" t="s">
        <v>601</v>
      </c>
      <c r="P433" s="181" t="s">
        <v>184</v>
      </c>
      <c r="Q433" s="195">
        <f t="shared" ref="Q433:Q435" si="349">IF(P433="Muy Alto",10,IF(P433="Alto",6,IF(P433="Medio",2,IF(P433="Bajo",1,))))</f>
        <v>1</v>
      </c>
      <c r="R433" s="181" t="s">
        <v>485</v>
      </c>
      <c r="S433" s="179">
        <f t="shared" si="333"/>
        <v>1</v>
      </c>
      <c r="T433" s="180">
        <f t="shared" si="334"/>
        <v>1</v>
      </c>
      <c r="U433" s="181" t="str">
        <f t="shared" si="335"/>
        <v>Bajo</v>
      </c>
      <c r="V433" s="181" t="s">
        <v>428</v>
      </c>
      <c r="W433" s="179">
        <f t="shared" si="336"/>
        <v>10</v>
      </c>
      <c r="X433" s="180">
        <f t="shared" si="342"/>
        <v>10</v>
      </c>
      <c r="Y433" s="181" t="str">
        <f t="shared" si="343"/>
        <v>Nivel IV: Riesgo Tolerable (Aceptable)</v>
      </c>
      <c r="Z433" s="190">
        <v>11</v>
      </c>
      <c r="AA433" s="193">
        <v>7</v>
      </c>
      <c r="AB433" s="182" t="s">
        <v>424</v>
      </c>
      <c r="AC433" s="182" t="s">
        <v>424</v>
      </c>
      <c r="AD433" s="182" t="s">
        <v>424</v>
      </c>
      <c r="AE433" s="182" t="s">
        <v>1270</v>
      </c>
      <c r="AF433" s="161" t="s">
        <v>600</v>
      </c>
      <c r="AG433" s="166" t="s">
        <v>460</v>
      </c>
    </row>
    <row r="434" spans="1:33" ht="127.5" hidden="1" customHeight="1" x14ac:dyDescent="0.2">
      <c r="A434" s="162" t="s">
        <v>1235</v>
      </c>
      <c r="B434" s="162" t="s">
        <v>642</v>
      </c>
      <c r="C434" s="162" t="s">
        <v>1200</v>
      </c>
      <c r="D434" s="162" t="s">
        <v>667</v>
      </c>
      <c r="E434" s="161" t="s">
        <v>175</v>
      </c>
      <c r="F434" s="162" t="s">
        <v>596</v>
      </c>
      <c r="G434" s="162" t="s">
        <v>599</v>
      </c>
      <c r="H434" s="162" t="s">
        <v>602</v>
      </c>
      <c r="I434" s="190" t="s">
        <v>421</v>
      </c>
      <c r="J434" s="173" t="s">
        <v>422</v>
      </c>
      <c r="K434" s="177" t="s">
        <v>460</v>
      </c>
      <c r="L434" s="177" t="s">
        <v>469</v>
      </c>
      <c r="M434" s="182" t="s">
        <v>423</v>
      </c>
      <c r="N434" s="182" t="s">
        <v>1273</v>
      </c>
      <c r="O434" s="176" t="s">
        <v>601</v>
      </c>
      <c r="P434" s="191" t="s">
        <v>184</v>
      </c>
      <c r="Q434" s="195">
        <f t="shared" si="349"/>
        <v>1</v>
      </c>
      <c r="R434" s="181" t="s">
        <v>485</v>
      </c>
      <c r="S434" s="179">
        <f t="shared" si="333"/>
        <v>1</v>
      </c>
      <c r="T434" s="180">
        <f t="shared" si="334"/>
        <v>1</v>
      </c>
      <c r="U434" s="191" t="str">
        <f t="shared" si="335"/>
        <v>Bajo</v>
      </c>
      <c r="V434" s="191" t="s">
        <v>428</v>
      </c>
      <c r="W434" s="179">
        <f t="shared" si="336"/>
        <v>10</v>
      </c>
      <c r="X434" s="180">
        <f t="shared" si="342"/>
        <v>10</v>
      </c>
      <c r="Y434" s="181" t="str">
        <f t="shared" si="343"/>
        <v>Nivel IV: Riesgo Tolerable (Aceptable)</v>
      </c>
      <c r="Z434" s="190">
        <v>11</v>
      </c>
      <c r="AA434" s="193">
        <v>7</v>
      </c>
      <c r="AB434" s="182" t="s">
        <v>424</v>
      </c>
      <c r="AC434" s="182" t="s">
        <v>424</v>
      </c>
      <c r="AD434" s="182" t="s">
        <v>424</v>
      </c>
      <c r="AE434" s="182" t="s">
        <v>1271</v>
      </c>
      <c r="AF434" s="161" t="s">
        <v>600</v>
      </c>
      <c r="AG434" s="166" t="s">
        <v>460</v>
      </c>
    </row>
    <row r="435" spans="1:33" ht="127.5" hidden="1" customHeight="1" x14ac:dyDescent="0.2">
      <c r="A435" s="162" t="s">
        <v>1235</v>
      </c>
      <c r="B435" s="162" t="s">
        <v>642</v>
      </c>
      <c r="C435" s="162" t="s">
        <v>1200</v>
      </c>
      <c r="D435" s="162" t="s">
        <v>667</v>
      </c>
      <c r="E435" s="161" t="s">
        <v>175</v>
      </c>
      <c r="F435" s="162" t="s">
        <v>597</v>
      </c>
      <c r="G435" s="162" t="s">
        <v>598</v>
      </c>
      <c r="H435" s="162" t="s">
        <v>602</v>
      </c>
      <c r="I435" s="186" t="s">
        <v>421</v>
      </c>
      <c r="J435" s="173" t="s">
        <v>422</v>
      </c>
      <c r="K435" s="177" t="s">
        <v>460</v>
      </c>
      <c r="L435" s="177" t="s">
        <v>469</v>
      </c>
      <c r="M435" s="182" t="s">
        <v>423</v>
      </c>
      <c r="N435" s="182" t="s">
        <v>1273</v>
      </c>
      <c r="O435" s="176" t="s">
        <v>601</v>
      </c>
      <c r="P435" s="181" t="s">
        <v>184</v>
      </c>
      <c r="Q435" s="195">
        <f t="shared" si="349"/>
        <v>1</v>
      </c>
      <c r="R435" s="181" t="s">
        <v>485</v>
      </c>
      <c r="S435" s="179">
        <f t="shared" si="333"/>
        <v>1</v>
      </c>
      <c r="T435" s="180">
        <f t="shared" si="334"/>
        <v>1</v>
      </c>
      <c r="U435" s="191" t="str">
        <f t="shared" si="335"/>
        <v>Bajo</v>
      </c>
      <c r="V435" s="191" t="s">
        <v>428</v>
      </c>
      <c r="W435" s="179">
        <f t="shared" si="336"/>
        <v>10</v>
      </c>
      <c r="X435" s="180">
        <f t="shared" si="342"/>
        <v>10</v>
      </c>
      <c r="Y435" s="181" t="str">
        <f t="shared" si="343"/>
        <v>Nivel IV: Riesgo Tolerable (Aceptable)</v>
      </c>
      <c r="Z435" s="190">
        <v>11</v>
      </c>
      <c r="AA435" s="193">
        <v>7</v>
      </c>
      <c r="AB435" s="182" t="s">
        <v>424</v>
      </c>
      <c r="AC435" s="182" t="s">
        <v>424</v>
      </c>
      <c r="AD435" s="182" t="s">
        <v>424</v>
      </c>
      <c r="AE435" s="182" t="s">
        <v>1272</v>
      </c>
      <c r="AF435" s="161" t="s">
        <v>600</v>
      </c>
      <c r="AG435" s="166" t="s">
        <v>460</v>
      </c>
    </row>
    <row r="436" spans="1:33" ht="51" hidden="1" x14ac:dyDescent="0.2">
      <c r="A436" s="162" t="s">
        <v>1235</v>
      </c>
      <c r="B436" s="162" t="s">
        <v>642</v>
      </c>
      <c r="C436" s="162" t="s">
        <v>1200</v>
      </c>
      <c r="D436" s="162" t="s">
        <v>667</v>
      </c>
      <c r="E436" s="161" t="s">
        <v>999</v>
      </c>
      <c r="F436" s="162" t="s">
        <v>578</v>
      </c>
      <c r="G436" s="162" t="s">
        <v>783</v>
      </c>
      <c r="H436" s="162" t="s">
        <v>431</v>
      </c>
      <c r="I436" s="186" t="s">
        <v>421</v>
      </c>
      <c r="J436" s="186" t="s">
        <v>422</v>
      </c>
      <c r="K436" s="181" t="s">
        <v>460</v>
      </c>
      <c r="L436" s="181" t="s">
        <v>469</v>
      </c>
      <c r="M436" s="187" t="s">
        <v>423</v>
      </c>
      <c r="N436" s="182" t="s">
        <v>1273</v>
      </c>
      <c r="O436" s="188" t="s">
        <v>490</v>
      </c>
      <c r="P436" s="181" t="s">
        <v>184</v>
      </c>
      <c r="Q436" s="189">
        <f t="shared" si="341"/>
        <v>1</v>
      </c>
      <c r="R436" s="181" t="s">
        <v>485</v>
      </c>
      <c r="S436" s="179">
        <f t="shared" si="333"/>
        <v>1</v>
      </c>
      <c r="T436" s="180">
        <f t="shared" si="334"/>
        <v>1</v>
      </c>
      <c r="U436" s="181" t="str">
        <f t="shared" si="335"/>
        <v>Bajo</v>
      </c>
      <c r="V436" s="181" t="s">
        <v>187</v>
      </c>
      <c r="W436" s="179">
        <f t="shared" si="336"/>
        <v>25</v>
      </c>
      <c r="X436" s="180">
        <f t="shared" si="342"/>
        <v>25</v>
      </c>
      <c r="Y436" s="181" t="str">
        <f t="shared" si="343"/>
        <v>Nivel IV: Riesgo Tolerable (Aceptable)</v>
      </c>
      <c r="Z436" s="190">
        <v>11</v>
      </c>
      <c r="AA436" s="184"/>
      <c r="AB436" s="187" t="s">
        <v>424</v>
      </c>
      <c r="AC436" s="187" t="s">
        <v>424</v>
      </c>
      <c r="AD436" s="187" t="s">
        <v>424</v>
      </c>
      <c r="AE436" s="187" t="s">
        <v>1274</v>
      </c>
      <c r="AF436" s="161" t="s">
        <v>600</v>
      </c>
      <c r="AG436" s="166" t="s">
        <v>460</v>
      </c>
    </row>
    <row r="437" spans="1:33" ht="63.75" hidden="1" x14ac:dyDescent="0.2">
      <c r="A437" s="162" t="s">
        <v>1235</v>
      </c>
      <c r="B437" s="162" t="s">
        <v>642</v>
      </c>
      <c r="C437" s="162" t="s">
        <v>1200</v>
      </c>
      <c r="D437" s="162" t="s">
        <v>667</v>
      </c>
      <c r="E437" s="161" t="s">
        <v>999</v>
      </c>
      <c r="F437" s="162" t="s">
        <v>359</v>
      </c>
      <c r="G437" s="162" t="s">
        <v>850</v>
      </c>
      <c r="H437" s="162" t="s">
        <v>431</v>
      </c>
      <c r="I437" s="186" t="s">
        <v>421</v>
      </c>
      <c r="J437" s="186" t="s">
        <v>422</v>
      </c>
      <c r="K437" s="181" t="s">
        <v>460</v>
      </c>
      <c r="L437" s="181" t="s">
        <v>469</v>
      </c>
      <c r="M437" s="187" t="s">
        <v>423</v>
      </c>
      <c r="N437" s="187" t="s">
        <v>423</v>
      </c>
      <c r="O437" s="188" t="s">
        <v>590</v>
      </c>
      <c r="P437" s="181" t="s">
        <v>184</v>
      </c>
      <c r="Q437" s="189">
        <f t="shared" si="341"/>
        <v>1</v>
      </c>
      <c r="R437" s="181" t="s">
        <v>186</v>
      </c>
      <c r="S437" s="179">
        <f t="shared" si="333"/>
        <v>4</v>
      </c>
      <c r="T437" s="180">
        <f t="shared" si="334"/>
        <v>4</v>
      </c>
      <c r="U437" s="181" t="str">
        <f t="shared" si="335"/>
        <v>Bajo</v>
      </c>
      <c r="V437" s="181" t="s">
        <v>187</v>
      </c>
      <c r="W437" s="179">
        <f t="shared" si="336"/>
        <v>25</v>
      </c>
      <c r="X437" s="180">
        <f t="shared" si="342"/>
        <v>100</v>
      </c>
      <c r="Y437" s="181" t="str">
        <f t="shared" si="343"/>
        <v>Nivel III: Riesgo Moderado (Aceptable)</v>
      </c>
      <c r="Z437" s="190">
        <v>11</v>
      </c>
      <c r="AA437" s="184"/>
      <c r="AB437" s="187" t="s">
        <v>424</v>
      </c>
      <c r="AC437" s="187" t="s">
        <v>424</v>
      </c>
      <c r="AD437" s="187" t="s">
        <v>424</v>
      </c>
      <c r="AE437" s="187" t="s">
        <v>1275</v>
      </c>
      <c r="AF437" s="161" t="s">
        <v>528</v>
      </c>
      <c r="AG437" s="166" t="s">
        <v>460</v>
      </c>
    </row>
    <row r="438" spans="1:33" ht="69.75" hidden="1" customHeight="1" x14ac:dyDescent="0.2">
      <c r="A438" s="162" t="s">
        <v>1235</v>
      </c>
      <c r="B438" s="162" t="s">
        <v>642</v>
      </c>
      <c r="C438" s="162" t="s">
        <v>1200</v>
      </c>
      <c r="D438" s="162" t="s">
        <v>667</v>
      </c>
      <c r="E438" s="199" t="s">
        <v>449</v>
      </c>
      <c r="F438" s="162" t="s">
        <v>591</v>
      </c>
      <c r="G438" s="162" t="s">
        <v>547</v>
      </c>
      <c r="H438" s="162" t="s">
        <v>1276</v>
      </c>
      <c r="I438" s="190" t="s">
        <v>421</v>
      </c>
      <c r="J438" s="190" t="s">
        <v>461</v>
      </c>
      <c r="K438" s="191" t="s">
        <v>460</v>
      </c>
      <c r="L438" s="191" t="s">
        <v>469</v>
      </c>
      <c r="M438" s="194" t="s">
        <v>423</v>
      </c>
      <c r="N438" s="194" t="s">
        <v>550</v>
      </c>
      <c r="O438" s="192" t="s">
        <v>549</v>
      </c>
      <c r="P438" s="191" t="s">
        <v>184</v>
      </c>
      <c r="Q438" s="195">
        <f t="shared" si="341"/>
        <v>1</v>
      </c>
      <c r="R438" s="191" t="s">
        <v>429</v>
      </c>
      <c r="S438" s="196">
        <f t="shared" si="333"/>
        <v>2</v>
      </c>
      <c r="T438" s="197">
        <f t="shared" si="334"/>
        <v>2</v>
      </c>
      <c r="U438" s="191" t="str">
        <f t="shared" si="335"/>
        <v>Bajo</v>
      </c>
      <c r="V438" s="191" t="s">
        <v>187</v>
      </c>
      <c r="W438" s="196">
        <f t="shared" si="336"/>
        <v>25</v>
      </c>
      <c r="X438" s="197">
        <f t="shared" si="342"/>
        <v>50</v>
      </c>
      <c r="Y438" s="191" t="str">
        <f t="shared" si="343"/>
        <v>Nivel III: Riesgo Moderado (Aceptable)</v>
      </c>
      <c r="Z438" s="190">
        <v>11</v>
      </c>
      <c r="AA438" s="193"/>
      <c r="AB438" s="187" t="s">
        <v>424</v>
      </c>
      <c r="AC438" s="187" t="s">
        <v>424</v>
      </c>
      <c r="AD438" s="187" t="s">
        <v>424</v>
      </c>
      <c r="AE438" s="194" t="s">
        <v>551</v>
      </c>
      <c r="AF438" s="161" t="s">
        <v>600</v>
      </c>
      <c r="AG438" s="166" t="s">
        <v>460</v>
      </c>
    </row>
    <row r="439" spans="1:33" ht="21" hidden="1" customHeight="1" x14ac:dyDescent="0.2">
      <c r="A439" s="162" t="s">
        <v>1235</v>
      </c>
      <c r="B439" s="162" t="s">
        <v>642</v>
      </c>
      <c r="C439" s="162" t="s">
        <v>1200</v>
      </c>
      <c r="D439" s="162" t="s">
        <v>667</v>
      </c>
      <c r="E439" s="199" t="s">
        <v>449</v>
      </c>
      <c r="F439" s="162" t="s">
        <v>591</v>
      </c>
      <c r="G439" s="162" t="s">
        <v>552</v>
      </c>
      <c r="H439" s="162" t="s">
        <v>1277</v>
      </c>
      <c r="I439" s="190" t="s">
        <v>421</v>
      </c>
      <c r="J439" s="190" t="s">
        <v>461</v>
      </c>
      <c r="K439" s="191" t="s">
        <v>460</v>
      </c>
      <c r="L439" s="191" t="s">
        <v>469</v>
      </c>
      <c r="M439" s="194" t="s">
        <v>423</v>
      </c>
      <c r="N439" s="194" t="s">
        <v>554</v>
      </c>
      <c r="O439" s="192" t="s">
        <v>555</v>
      </c>
      <c r="P439" s="191" t="s">
        <v>184</v>
      </c>
      <c r="Q439" s="195">
        <f t="shared" si="341"/>
        <v>1</v>
      </c>
      <c r="R439" s="191" t="s">
        <v>429</v>
      </c>
      <c r="S439" s="196">
        <f t="shared" si="333"/>
        <v>2</v>
      </c>
      <c r="T439" s="197">
        <f t="shared" si="334"/>
        <v>2</v>
      </c>
      <c r="U439" s="191" t="str">
        <f t="shared" si="335"/>
        <v>Bajo</v>
      </c>
      <c r="V439" s="191" t="s">
        <v>187</v>
      </c>
      <c r="W439" s="196">
        <f t="shared" si="336"/>
        <v>25</v>
      </c>
      <c r="X439" s="197">
        <f t="shared" si="342"/>
        <v>50</v>
      </c>
      <c r="Y439" s="191" t="str">
        <f t="shared" si="343"/>
        <v>Nivel III: Riesgo Moderado (Aceptable)</v>
      </c>
      <c r="Z439" s="190">
        <v>11</v>
      </c>
      <c r="AA439" s="193"/>
      <c r="AB439" s="187" t="s">
        <v>424</v>
      </c>
      <c r="AC439" s="187" t="s">
        <v>424</v>
      </c>
      <c r="AD439" s="187" t="s">
        <v>424</v>
      </c>
      <c r="AE439" s="194" t="s">
        <v>551</v>
      </c>
      <c r="AF439" s="161" t="s">
        <v>600</v>
      </c>
      <c r="AG439" s="166" t="s">
        <v>460</v>
      </c>
    </row>
    <row r="440" spans="1:33" x14ac:dyDescent="0.2">
      <c r="G440" s="160"/>
      <c r="H440" s="160"/>
    </row>
  </sheetData>
  <autoFilter ref="A6:EEN439" xr:uid="{00000000-0009-0000-0000-000004000000}">
    <filterColumn colId="3">
      <filters>
        <filter val="ANALISTA CONTABLE_x000a_ANALISTA DE RECAUDO_x000a_ANALISTA DE FACTURACIÓN_x000a_ANALISTA DE CONTROL INTERNO_x000a_SOPORTE DE TI_x000a_AUXILIAR ADMINISTRATIVA_x000a_ANALISTA DE DESPACHO_x000a_APRENDIZ_x000a_LIDER DE TESORERIA"/>
      </filters>
    </filterColumn>
    <filterColumn colId="4">
      <filters>
        <filter val="Condiciones de seguridad"/>
      </filters>
    </filterColumn>
    <filterColumn colId="15" showButton="0"/>
    <filterColumn colId="17" showButton="0"/>
    <filterColumn colId="19" showButton="0"/>
    <filterColumn colId="21" showButton="0"/>
  </autoFilter>
  <mergeCells count="20">
    <mergeCell ref="P6:Q6"/>
    <mergeCell ref="R6:S6"/>
    <mergeCell ref="T6:U6"/>
    <mergeCell ref="V6:W6"/>
    <mergeCell ref="AA5:AA6"/>
    <mergeCell ref="A5:L5"/>
    <mergeCell ref="M5:O5"/>
    <mergeCell ref="P5:X5"/>
    <mergeCell ref="AB5:AF5"/>
    <mergeCell ref="A1:E1"/>
    <mergeCell ref="F1:AG1"/>
    <mergeCell ref="A2:C3"/>
    <mergeCell ref="E2:F2"/>
    <mergeCell ref="G2:H3"/>
    <mergeCell ref="I2:M3"/>
    <mergeCell ref="N2:P3"/>
    <mergeCell ref="Q2:V3"/>
    <mergeCell ref="W2:Y3"/>
    <mergeCell ref="Z2:AE3"/>
    <mergeCell ref="E3:F3"/>
  </mergeCells>
  <conditionalFormatting sqref="E31 E438:E439 E430:E431 E416:E420 E423:E428">
    <cfRule type="containsText" dxfId="9872" priority="8835" stopIfTrue="1" operator="containsText" text="2. Mecánico">
      <formula>NOT(ISERROR(SEARCH("2. Mecánico",E31)))</formula>
    </cfRule>
    <cfRule type="containsText" dxfId="9871" priority="8828" stopIfTrue="1" operator="containsText" text="Biológico">
      <formula>NOT(ISERROR(SEARCH("Biológico",E31)))</formula>
    </cfRule>
    <cfRule type="containsText" dxfId="9870" priority="8832" stopIfTrue="1" operator="containsText" text="Físico">
      <formula>NOT(ISERROR(SEARCH("Físico",E31)))</formula>
    </cfRule>
    <cfRule type="containsText" dxfId="9869" priority="8831" stopIfTrue="1" operator="containsText" text="Eléctrico">
      <formula>NOT(ISERROR(SEARCH("Eléctrico",E31)))</formula>
    </cfRule>
    <cfRule type="containsText" dxfId="9868" priority="8830" stopIfTrue="1" operator="containsText" text="Físico-químico">
      <formula>NOT(ISERROR(SEARCH("Físico-químico",E31)))</formula>
    </cfRule>
    <cfRule type="containsText" dxfId="9867" priority="8836" stopIfTrue="1" operator="containsText" text="1. Ergonómico">
      <formula>NOT(ISERROR(SEARCH("1. Ergonómico",E31)))</formula>
    </cfRule>
    <cfRule type="containsText" dxfId="9866" priority="8829" stopIfTrue="1" operator="containsText" text="Trabajo de alto riesgo">
      <formula>NOT(ISERROR(SEARCH("Trabajo de alto riesgo",E31)))</formula>
    </cfRule>
    <cfRule type="containsText" dxfId="9865" priority="8833" stopIfTrue="1" operator="containsText" text="4. Químico">
      <formula>NOT(ISERROR(SEARCH("4. Químico",E31)))</formula>
    </cfRule>
    <cfRule type="containsText" dxfId="9864" priority="8834" stopIfTrue="1" operator="containsText" text="3. Locativo">
      <formula>NOT(ISERROR(SEARCH("3. Locativo",E31)))</formula>
    </cfRule>
    <cfRule type="containsText" dxfId="9863" priority="8826" stopIfTrue="1" operator="containsText" text="Público">
      <formula>NOT(ISERROR(SEARCH("Público",E31)))</formula>
    </cfRule>
    <cfRule type="containsText" dxfId="9862" priority="8827" stopIfTrue="1" operator="containsText" text="Psicosocial">
      <formula>NOT(ISERROR(SEARCH("Psicosocial",E31)))</formula>
    </cfRule>
  </conditionalFormatting>
  <conditionalFormatting sqref="E98">
    <cfRule type="containsText" dxfId="9861" priority="8775" stopIfTrue="1" operator="containsText" text="Público">
      <formula>NOT(ISERROR(SEARCH("Público",E98)))</formula>
    </cfRule>
    <cfRule type="containsText" dxfId="9860" priority="8776" stopIfTrue="1" operator="containsText" text="Psicosocial">
      <formula>NOT(ISERROR(SEARCH("Psicosocial",E98)))</formula>
    </cfRule>
    <cfRule type="containsText" dxfId="9859" priority="8777" stopIfTrue="1" operator="containsText" text="Biológico">
      <formula>NOT(ISERROR(SEARCH("Biológico",E98)))</formula>
    </cfRule>
    <cfRule type="containsText" dxfId="9858" priority="8778" stopIfTrue="1" operator="containsText" text="Trabajo de alto riesgo">
      <formula>NOT(ISERROR(SEARCH("Trabajo de alto riesgo",E98)))</formula>
    </cfRule>
    <cfRule type="containsText" dxfId="9857" priority="8781" stopIfTrue="1" operator="containsText" text="Físico">
      <formula>NOT(ISERROR(SEARCH("Físico",E98)))</formula>
    </cfRule>
    <cfRule type="containsText" dxfId="9856" priority="8785" stopIfTrue="1" operator="containsText" text="1. Ergonómico">
      <formula>NOT(ISERROR(SEARCH("1. Ergonómico",E98)))</formula>
    </cfRule>
    <cfRule type="containsText" dxfId="9855" priority="8780" stopIfTrue="1" operator="containsText" text="Eléctrico">
      <formula>NOT(ISERROR(SEARCH("Eléctrico",E98)))</formula>
    </cfRule>
    <cfRule type="containsText" dxfId="9854" priority="8782" stopIfTrue="1" operator="containsText" text="4. Químico">
      <formula>NOT(ISERROR(SEARCH("4. Químico",E98)))</formula>
    </cfRule>
    <cfRule type="containsText" dxfId="9853" priority="8783" stopIfTrue="1" operator="containsText" text="3. Locativo">
      <formula>NOT(ISERROR(SEARCH("3. Locativo",E98)))</formula>
    </cfRule>
    <cfRule type="containsText" dxfId="9852" priority="8784" stopIfTrue="1" operator="containsText" text="2. Mecánico">
      <formula>NOT(ISERROR(SEARCH("2. Mecánico",E98)))</formula>
    </cfRule>
    <cfRule type="containsText" dxfId="9851" priority="8779" stopIfTrue="1" operator="containsText" text="Físico-químico">
      <formula>NOT(ISERROR(SEARCH("Físico-químico",E98)))</formula>
    </cfRule>
  </conditionalFormatting>
  <conditionalFormatting sqref="E118">
    <cfRule type="containsText" dxfId="9850" priority="8730" stopIfTrue="1" operator="containsText" text="Físico">
      <formula>NOT(ISERROR(SEARCH("Físico",E118)))</formula>
    </cfRule>
    <cfRule type="containsText" dxfId="9849" priority="8731" stopIfTrue="1" operator="containsText" text="4. Químico">
      <formula>NOT(ISERROR(SEARCH("4. Químico",E118)))</formula>
    </cfRule>
    <cfRule type="containsText" dxfId="9848" priority="8732" stopIfTrue="1" operator="containsText" text="3. Locativo">
      <formula>NOT(ISERROR(SEARCH("3. Locativo",E118)))</formula>
    </cfRule>
    <cfRule type="containsText" dxfId="9847" priority="8733" stopIfTrue="1" operator="containsText" text="2. Mecánico">
      <formula>NOT(ISERROR(SEARCH("2. Mecánico",E118)))</formula>
    </cfRule>
    <cfRule type="containsText" dxfId="9846" priority="8734" stopIfTrue="1" operator="containsText" text="1. Ergonómico">
      <formula>NOT(ISERROR(SEARCH("1. Ergonómico",E118)))</formula>
    </cfRule>
    <cfRule type="containsText" dxfId="9845" priority="8724" stopIfTrue="1" operator="containsText" text="Público">
      <formula>NOT(ISERROR(SEARCH("Público",E118)))</formula>
    </cfRule>
    <cfRule type="containsText" dxfId="9844" priority="8726" stopIfTrue="1" operator="containsText" text="Biológico">
      <formula>NOT(ISERROR(SEARCH("Biológico",E118)))</formula>
    </cfRule>
    <cfRule type="containsText" dxfId="9843" priority="8727" stopIfTrue="1" operator="containsText" text="Trabajo de alto riesgo">
      <formula>NOT(ISERROR(SEARCH("Trabajo de alto riesgo",E118)))</formula>
    </cfRule>
    <cfRule type="containsText" dxfId="9842" priority="8728" stopIfTrue="1" operator="containsText" text="Físico-químico">
      <formula>NOT(ISERROR(SEARCH("Físico-químico",E118)))</formula>
    </cfRule>
    <cfRule type="containsText" dxfId="9841" priority="8725" stopIfTrue="1" operator="containsText" text="Psicosocial">
      <formula>NOT(ISERROR(SEARCH("Psicosocial",E118)))</formula>
    </cfRule>
    <cfRule type="containsText" dxfId="9840" priority="8729" stopIfTrue="1" operator="containsText" text="Eléctrico">
      <formula>NOT(ISERROR(SEARCH("Eléctrico",E118)))</formula>
    </cfRule>
  </conditionalFormatting>
  <conditionalFormatting sqref="E173 E155 E136">
    <cfRule type="containsText" dxfId="9839" priority="8679" stopIfTrue="1" operator="containsText" text="Físico">
      <formula>NOT(ISERROR(SEARCH("Físico",E136)))</formula>
    </cfRule>
    <cfRule type="containsText" dxfId="9838" priority="8683" stopIfTrue="1" operator="containsText" text="1. Ergonómico">
      <formula>NOT(ISERROR(SEARCH("1. Ergonómico",E136)))</formula>
    </cfRule>
    <cfRule type="containsText" dxfId="9837" priority="8682" stopIfTrue="1" operator="containsText" text="2. Mecánico">
      <formula>NOT(ISERROR(SEARCH("2. Mecánico",E136)))</formula>
    </cfRule>
    <cfRule type="containsText" dxfId="9836" priority="8681" stopIfTrue="1" operator="containsText" text="3. Locativo">
      <formula>NOT(ISERROR(SEARCH("3. Locativo",E136)))</formula>
    </cfRule>
    <cfRule type="containsText" dxfId="9835" priority="8680" stopIfTrue="1" operator="containsText" text="4. Químico">
      <formula>NOT(ISERROR(SEARCH("4. Químico",E136)))</formula>
    </cfRule>
    <cfRule type="containsText" dxfId="9834" priority="8678" stopIfTrue="1" operator="containsText" text="Eléctrico">
      <formula>NOT(ISERROR(SEARCH("Eléctrico",E136)))</formula>
    </cfRule>
    <cfRule type="containsText" dxfId="9833" priority="8677" stopIfTrue="1" operator="containsText" text="Físico-químico">
      <formula>NOT(ISERROR(SEARCH("Físico-químico",E136)))</formula>
    </cfRule>
    <cfRule type="containsText" dxfId="9832" priority="8676" stopIfTrue="1" operator="containsText" text="Trabajo de alto riesgo">
      <formula>NOT(ISERROR(SEARCH("Trabajo de alto riesgo",E136)))</formula>
    </cfRule>
    <cfRule type="containsText" dxfId="9831" priority="8675" stopIfTrue="1" operator="containsText" text="Biológico">
      <formula>NOT(ISERROR(SEARCH("Biológico",E136)))</formula>
    </cfRule>
    <cfRule type="containsText" dxfId="9830" priority="8674" stopIfTrue="1" operator="containsText" text="Psicosocial">
      <formula>NOT(ISERROR(SEARCH("Psicosocial",E136)))</formula>
    </cfRule>
    <cfRule type="containsText" dxfId="9829" priority="8673" stopIfTrue="1" operator="containsText" text="Público">
      <formula>NOT(ISERROR(SEARCH("Público",E136)))</formula>
    </cfRule>
  </conditionalFormatting>
  <conditionalFormatting sqref="E199">
    <cfRule type="containsText" dxfId="9828" priority="8551" stopIfTrue="1" operator="containsText" text="Público">
      <formula>NOT(ISERROR(SEARCH("Público",E199)))</formula>
    </cfRule>
    <cfRule type="containsText" dxfId="9827" priority="8552" stopIfTrue="1" operator="containsText" text="Psicosocial">
      <formula>NOT(ISERROR(SEARCH("Psicosocial",E199)))</formula>
    </cfRule>
    <cfRule type="containsText" dxfId="9826" priority="8553" stopIfTrue="1" operator="containsText" text="Biológico">
      <formula>NOT(ISERROR(SEARCH("Biológico",E199)))</formula>
    </cfRule>
    <cfRule type="containsText" dxfId="9825" priority="8554" stopIfTrue="1" operator="containsText" text="Trabajo de alto riesgo">
      <formula>NOT(ISERROR(SEARCH("Trabajo de alto riesgo",E199)))</formula>
    </cfRule>
    <cfRule type="containsText" dxfId="9824" priority="8555" stopIfTrue="1" operator="containsText" text="Físico-químico">
      <formula>NOT(ISERROR(SEARCH("Físico-químico",E199)))</formula>
    </cfRule>
    <cfRule type="containsText" dxfId="9823" priority="8556" stopIfTrue="1" operator="containsText" text="Eléctrico">
      <formula>NOT(ISERROR(SEARCH("Eléctrico",E199)))</formula>
    </cfRule>
    <cfRule type="containsText" dxfId="9822" priority="8557" stopIfTrue="1" operator="containsText" text="Físico">
      <formula>NOT(ISERROR(SEARCH("Físico",E199)))</formula>
    </cfRule>
    <cfRule type="containsText" dxfId="9821" priority="8558" stopIfTrue="1" operator="containsText" text="4. Químico">
      <formula>NOT(ISERROR(SEARCH("4. Químico",E199)))</formula>
    </cfRule>
    <cfRule type="containsText" dxfId="9820" priority="8559" stopIfTrue="1" operator="containsText" text="3. Locativo">
      <formula>NOT(ISERROR(SEARCH("3. Locativo",E199)))</formula>
    </cfRule>
    <cfRule type="containsText" dxfId="9819" priority="8560" stopIfTrue="1" operator="containsText" text="2. Mecánico">
      <formula>NOT(ISERROR(SEARCH("2. Mecánico",E199)))</formula>
    </cfRule>
    <cfRule type="containsText" dxfId="9818" priority="8561" stopIfTrue="1" operator="containsText" text="1. Ergonómico">
      <formula>NOT(ISERROR(SEARCH("1. Ergonómico",E199)))</formula>
    </cfRule>
  </conditionalFormatting>
  <conditionalFormatting sqref="E200">
    <cfRule type="containsText" dxfId="9817" priority="8546" stopIfTrue="1" operator="containsText" text="1. Ergonómico">
      <formula>NOT(ISERROR(SEARCH("1. Ergonómico",E200)))</formula>
    </cfRule>
    <cfRule type="containsText" dxfId="9816" priority="8541" stopIfTrue="1" operator="containsText" text="Eléctrico">
      <formula>NOT(ISERROR(SEARCH("Eléctrico",E200)))</formula>
    </cfRule>
    <cfRule type="containsText" dxfId="9815" priority="8540" stopIfTrue="1" operator="containsText" text="Físico-químico">
      <formula>NOT(ISERROR(SEARCH("Físico-químico",E200)))</formula>
    </cfRule>
    <cfRule type="containsText" dxfId="9814" priority="8539" stopIfTrue="1" operator="containsText" text="Trabajo de alto riesgo">
      <formula>NOT(ISERROR(SEARCH("Trabajo de alto riesgo",E200)))</formula>
    </cfRule>
    <cfRule type="containsText" dxfId="9813" priority="8542" stopIfTrue="1" operator="containsText" text="Físico">
      <formula>NOT(ISERROR(SEARCH("Físico",E200)))</formula>
    </cfRule>
    <cfRule type="containsText" dxfId="9812" priority="8537" stopIfTrue="1" operator="containsText" text="Psicosocial">
      <formula>NOT(ISERROR(SEARCH("Psicosocial",E200)))</formula>
    </cfRule>
    <cfRule type="containsText" dxfId="9811" priority="8543" stopIfTrue="1" operator="containsText" text="4. Químico">
      <formula>NOT(ISERROR(SEARCH("4. Químico",E200)))</formula>
    </cfRule>
    <cfRule type="containsText" dxfId="9810" priority="8544" stopIfTrue="1" operator="containsText" text="3. Locativo">
      <formula>NOT(ISERROR(SEARCH("3. Locativo",E200)))</formula>
    </cfRule>
    <cfRule type="containsText" dxfId="9809" priority="8545" stopIfTrue="1" operator="containsText" text="2. Mecánico">
      <formula>NOT(ISERROR(SEARCH("2. Mecánico",E200)))</formula>
    </cfRule>
    <cfRule type="containsText" dxfId="9808" priority="8536" stopIfTrue="1" operator="containsText" text="Público">
      <formula>NOT(ISERROR(SEARCH("Público",E200)))</formula>
    </cfRule>
    <cfRule type="containsText" dxfId="9807" priority="8538" stopIfTrue="1" operator="containsText" text="Biológico">
      <formula>NOT(ISERROR(SEARCH("Biológico",E200)))</formula>
    </cfRule>
  </conditionalFormatting>
  <conditionalFormatting sqref="E203">
    <cfRule type="containsText" dxfId="9806" priority="8499" stopIfTrue="1" operator="containsText" text="1. Ergonómico">
      <formula>NOT(ISERROR(SEARCH("1. Ergonómico",E203)))</formula>
    </cfRule>
    <cfRule type="containsText" dxfId="9805" priority="8492" stopIfTrue="1" operator="containsText" text="Trabajo de alto riesgo">
      <formula>NOT(ISERROR(SEARCH("Trabajo de alto riesgo",E203)))</formula>
    </cfRule>
    <cfRule type="containsText" dxfId="9804" priority="8491" stopIfTrue="1" operator="containsText" text="Biológico">
      <formula>NOT(ISERROR(SEARCH("Biológico",E203)))</formula>
    </cfRule>
    <cfRule type="containsText" dxfId="9803" priority="8490" stopIfTrue="1" operator="containsText" text="Psicosocial">
      <formula>NOT(ISERROR(SEARCH("Psicosocial",E203)))</formula>
    </cfRule>
    <cfRule type="containsText" dxfId="9802" priority="8489" stopIfTrue="1" operator="containsText" text="Público">
      <formula>NOT(ISERROR(SEARCH("Público",E203)))</formula>
    </cfRule>
    <cfRule type="containsText" dxfId="9801" priority="8493" stopIfTrue="1" operator="containsText" text="Físico-químico">
      <formula>NOT(ISERROR(SEARCH("Físico-químico",E203)))</formula>
    </cfRule>
    <cfRule type="containsText" dxfId="9800" priority="8498" stopIfTrue="1" operator="containsText" text="2. Mecánico">
      <formula>NOT(ISERROR(SEARCH("2. Mecánico",E203)))</formula>
    </cfRule>
    <cfRule type="containsText" dxfId="9799" priority="8497" stopIfTrue="1" operator="containsText" text="3. Locativo">
      <formula>NOT(ISERROR(SEARCH("3. Locativo",E203)))</formula>
    </cfRule>
    <cfRule type="containsText" dxfId="9798" priority="8496" stopIfTrue="1" operator="containsText" text="4. Químico">
      <formula>NOT(ISERROR(SEARCH("4. Químico",E203)))</formula>
    </cfRule>
    <cfRule type="containsText" dxfId="9797" priority="8495" stopIfTrue="1" operator="containsText" text="Físico">
      <formula>NOT(ISERROR(SEARCH("Físico",E203)))</formula>
    </cfRule>
    <cfRule type="containsText" dxfId="9796" priority="8494" stopIfTrue="1" operator="containsText" text="Eléctrico">
      <formula>NOT(ISERROR(SEARCH("Eléctrico",E203)))</formula>
    </cfRule>
  </conditionalFormatting>
  <conditionalFormatting sqref="E204">
    <cfRule type="containsText" dxfId="9795" priority="8599" stopIfTrue="1" operator="containsText" text="Trabajo de alto riesgo">
      <formula>NOT(ISERROR(SEARCH("Trabajo de alto riesgo",E204)))</formula>
    </cfRule>
    <cfRule type="containsText" dxfId="9794" priority="8596" stopIfTrue="1" operator="containsText" text="Público">
      <formula>NOT(ISERROR(SEARCH("Público",E204)))</formula>
    </cfRule>
    <cfRule type="containsText" dxfId="9793" priority="8597" stopIfTrue="1" operator="containsText" text="Psicosocial">
      <formula>NOT(ISERROR(SEARCH("Psicosocial",E204)))</formula>
    </cfRule>
    <cfRule type="containsText" dxfId="9792" priority="8598" stopIfTrue="1" operator="containsText" text="Biológico">
      <formula>NOT(ISERROR(SEARCH("Biológico",E204)))</formula>
    </cfRule>
    <cfRule type="containsText" dxfId="9791" priority="8606" stopIfTrue="1" operator="containsText" text="1. Ergonómico">
      <formula>NOT(ISERROR(SEARCH("1. Ergonómico",E204)))</formula>
    </cfRule>
    <cfRule type="containsText" dxfId="9790" priority="8600" stopIfTrue="1" operator="containsText" text="Físico-químico">
      <formula>NOT(ISERROR(SEARCH("Físico-químico",E204)))</formula>
    </cfRule>
    <cfRule type="containsText" dxfId="9789" priority="8601" stopIfTrue="1" operator="containsText" text="Eléctrico">
      <formula>NOT(ISERROR(SEARCH("Eléctrico",E204)))</formula>
    </cfRule>
    <cfRule type="containsText" dxfId="9788" priority="8602" stopIfTrue="1" operator="containsText" text="Físico">
      <formula>NOT(ISERROR(SEARCH("Físico",E204)))</formula>
    </cfRule>
    <cfRule type="containsText" dxfId="9787" priority="8603" stopIfTrue="1" operator="containsText" text="4. Químico">
      <formula>NOT(ISERROR(SEARCH("4. Químico",E204)))</formula>
    </cfRule>
    <cfRule type="containsText" dxfId="9786" priority="8604" stopIfTrue="1" operator="containsText" text="3. Locativo">
      <formula>NOT(ISERROR(SEARCH("3. Locativo",E204)))</formula>
    </cfRule>
    <cfRule type="containsText" dxfId="9785" priority="8605" stopIfTrue="1" operator="containsText" text="2. Mecánico">
      <formula>NOT(ISERROR(SEARCH("2. Mecánico",E204)))</formula>
    </cfRule>
  </conditionalFormatting>
  <conditionalFormatting sqref="E205">
    <cfRule type="containsText" dxfId="9784" priority="8448" stopIfTrue="1" operator="containsText" text="Físico-químico">
      <formula>NOT(ISERROR(SEARCH("Físico-químico",E205)))</formula>
    </cfRule>
    <cfRule type="containsText" dxfId="9783" priority="8447" stopIfTrue="1" operator="containsText" text="Trabajo de alto riesgo">
      <formula>NOT(ISERROR(SEARCH("Trabajo de alto riesgo",E205)))</formula>
    </cfRule>
    <cfRule type="containsText" dxfId="9782" priority="8446" stopIfTrue="1" operator="containsText" text="Biológico">
      <formula>NOT(ISERROR(SEARCH("Biológico",E205)))</formula>
    </cfRule>
    <cfRule type="containsText" dxfId="9781" priority="8445" stopIfTrue="1" operator="containsText" text="Psicosocial">
      <formula>NOT(ISERROR(SEARCH("Psicosocial",E205)))</formula>
    </cfRule>
    <cfRule type="containsText" dxfId="9780" priority="8444" stopIfTrue="1" operator="containsText" text="Público">
      <formula>NOT(ISERROR(SEARCH("Público",E205)))</formula>
    </cfRule>
    <cfRule type="containsText" dxfId="9779" priority="8454" stopIfTrue="1" operator="containsText" text="1. Ergonómico">
      <formula>NOT(ISERROR(SEARCH("1. Ergonómico",E205)))</formula>
    </cfRule>
    <cfRule type="containsText" dxfId="9778" priority="8453" stopIfTrue="1" operator="containsText" text="2. Mecánico">
      <formula>NOT(ISERROR(SEARCH("2. Mecánico",E205)))</formula>
    </cfRule>
    <cfRule type="containsText" dxfId="9777" priority="8452" stopIfTrue="1" operator="containsText" text="3. Locativo">
      <formula>NOT(ISERROR(SEARCH("3. Locativo",E205)))</formula>
    </cfRule>
    <cfRule type="containsText" dxfId="9776" priority="8450" stopIfTrue="1" operator="containsText" text="Físico">
      <formula>NOT(ISERROR(SEARCH("Físico",E205)))</formula>
    </cfRule>
    <cfRule type="containsText" dxfId="9775" priority="8449" stopIfTrue="1" operator="containsText" text="Eléctrico">
      <formula>NOT(ISERROR(SEARCH("Eléctrico",E205)))</formula>
    </cfRule>
    <cfRule type="containsText" dxfId="9774" priority="8451" stopIfTrue="1" operator="containsText" text="4. Químico">
      <formula>NOT(ISERROR(SEARCH("4. Químico",E205)))</formula>
    </cfRule>
  </conditionalFormatting>
  <conditionalFormatting sqref="E206">
    <cfRule type="containsText" dxfId="9773" priority="8247" stopIfTrue="1" operator="containsText" text="Psicosocial">
      <formula>NOT(ISERROR(SEARCH("Psicosocial",E206)))</formula>
    </cfRule>
    <cfRule type="containsText" dxfId="9772" priority="8254" stopIfTrue="1" operator="containsText" text="3. Locativo">
      <formula>NOT(ISERROR(SEARCH("3. Locativo",E206)))</formula>
    </cfRule>
    <cfRule type="containsText" dxfId="9771" priority="8256" stopIfTrue="1" operator="containsText" text="1. Ergonómico">
      <formula>NOT(ISERROR(SEARCH("1. Ergonómico",E206)))</formula>
    </cfRule>
    <cfRule type="containsText" dxfId="9770" priority="8255" stopIfTrue="1" operator="containsText" text="2. Mecánico">
      <formula>NOT(ISERROR(SEARCH("2. Mecánico",E206)))</formula>
    </cfRule>
    <cfRule type="containsText" dxfId="9769" priority="8246" stopIfTrue="1" operator="containsText" text="Público">
      <formula>NOT(ISERROR(SEARCH("Público",E206)))</formula>
    </cfRule>
    <cfRule type="containsText" dxfId="9768" priority="8253" stopIfTrue="1" operator="containsText" text="4. Químico">
      <formula>NOT(ISERROR(SEARCH("4. Químico",E206)))</formula>
    </cfRule>
    <cfRule type="containsText" dxfId="9767" priority="8252" stopIfTrue="1" operator="containsText" text="Físico">
      <formula>NOT(ISERROR(SEARCH("Físico",E206)))</formula>
    </cfRule>
    <cfRule type="containsText" dxfId="9766" priority="8251" stopIfTrue="1" operator="containsText" text="Eléctrico">
      <formula>NOT(ISERROR(SEARCH("Eléctrico",E206)))</formula>
    </cfRule>
    <cfRule type="containsText" dxfId="9765" priority="8250" stopIfTrue="1" operator="containsText" text="Físico-químico">
      <formula>NOT(ISERROR(SEARCH("Físico-químico",E206)))</formula>
    </cfRule>
    <cfRule type="containsText" dxfId="9764" priority="8249" stopIfTrue="1" operator="containsText" text="Trabajo de alto riesgo">
      <formula>NOT(ISERROR(SEARCH("Trabajo de alto riesgo",E206)))</formula>
    </cfRule>
    <cfRule type="containsText" dxfId="9763" priority="8248" stopIfTrue="1" operator="containsText" text="Biológico">
      <formula>NOT(ISERROR(SEARCH("Biológico",E206)))</formula>
    </cfRule>
  </conditionalFormatting>
  <conditionalFormatting sqref="E207:E208">
    <cfRule type="containsText" dxfId="9762" priority="8290" stopIfTrue="1" operator="containsText" text="4. Químico">
      <formula>NOT(ISERROR(SEARCH("4. Químico",E207)))</formula>
    </cfRule>
    <cfRule type="containsText" dxfId="9761" priority="8284" stopIfTrue="1" operator="containsText" text="Psicosocial">
      <formula>NOT(ISERROR(SEARCH("Psicosocial",E207)))</formula>
    </cfRule>
    <cfRule type="containsText" dxfId="9760" priority="8285" stopIfTrue="1" operator="containsText" text="Biológico">
      <formula>NOT(ISERROR(SEARCH("Biológico",E207)))</formula>
    </cfRule>
    <cfRule type="containsText" dxfId="9759" priority="8293" stopIfTrue="1" operator="containsText" text="1. Ergonómico">
      <formula>NOT(ISERROR(SEARCH("1. Ergonómico",E207)))</formula>
    </cfRule>
    <cfRule type="containsText" dxfId="9758" priority="8292" stopIfTrue="1" operator="containsText" text="2. Mecánico">
      <formula>NOT(ISERROR(SEARCH("2. Mecánico",E207)))</formula>
    </cfRule>
    <cfRule type="containsText" dxfId="9757" priority="8291" stopIfTrue="1" operator="containsText" text="3. Locativo">
      <formula>NOT(ISERROR(SEARCH("3. Locativo",E207)))</formula>
    </cfRule>
    <cfRule type="containsText" dxfId="9756" priority="8283" stopIfTrue="1" operator="containsText" text="Público">
      <formula>NOT(ISERROR(SEARCH("Público",E207)))</formula>
    </cfRule>
    <cfRule type="containsText" dxfId="9755" priority="8289" stopIfTrue="1" operator="containsText" text="Físico">
      <formula>NOT(ISERROR(SEARCH("Físico",E207)))</formula>
    </cfRule>
    <cfRule type="containsText" dxfId="9754" priority="8288" stopIfTrue="1" operator="containsText" text="Eléctrico">
      <formula>NOT(ISERROR(SEARCH("Eléctrico",E207)))</formula>
    </cfRule>
    <cfRule type="containsText" dxfId="9753" priority="8287" stopIfTrue="1" operator="containsText" text="Físico-químico">
      <formula>NOT(ISERROR(SEARCH("Físico-químico",E207)))</formula>
    </cfRule>
    <cfRule type="containsText" dxfId="9752" priority="8286" stopIfTrue="1" operator="containsText" text="Trabajo de alto riesgo">
      <formula>NOT(ISERROR(SEARCH("Trabajo de alto riesgo",E207)))</formula>
    </cfRule>
  </conditionalFormatting>
  <conditionalFormatting sqref="E209">
    <cfRule type="containsText" dxfId="9751" priority="8365" stopIfTrue="1" operator="containsText" text="Físico">
      <formula>NOT(ISERROR(SEARCH("Físico",E209)))</formula>
    </cfRule>
    <cfRule type="containsText" dxfId="9750" priority="8360" stopIfTrue="1" operator="containsText" text="Psicosocial">
      <formula>NOT(ISERROR(SEARCH("Psicosocial",E209)))</formula>
    </cfRule>
    <cfRule type="containsText" dxfId="9749" priority="8369" stopIfTrue="1" operator="containsText" text="1. Ergonómico">
      <formula>NOT(ISERROR(SEARCH("1. Ergonómico",E209)))</formula>
    </cfRule>
    <cfRule type="containsText" dxfId="9748" priority="8364" stopIfTrue="1" operator="containsText" text="Eléctrico">
      <formula>NOT(ISERROR(SEARCH("Eléctrico",E209)))</formula>
    </cfRule>
    <cfRule type="containsText" dxfId="9747" priority="8363" stopIfTrue="1" operator="containsText" text="Físico-químico">
      <formula>NOT(ISERROR(SEARCH("Físico-químico",E209)))</formula>
    </cfRule>
    <cfRule type="containsText" dxfId="9746" priority="8359" stopIfTrue="1" operator="containsText" text="Público">
      <formula>NOT(ISERROR(SEARCH("Público",E209)))</formula>
    </cfRule>
    <cfRule type="containsText" dxfId="9745" priority="8367" stopIfTrue="1" operator="containsText" text="3. Locativo">
      <formula>NOT(ISERROR(SEARCH("3. Locativo",E209)))</formula>
    </cfRule>
    <cfRule type="containsText" dxfId="9744" priority="8361" stopIfTrue="1" operator="containsText" text="Biológico">
      <formula>NOT(ISERROR(SEARCH("Biológico",E209)))</formula>
    </cfRule>
    <cfRule type="containsText" dxfId="9743" priority="8362" stopIfTrue="1" operator="containsText" text="Trabajo de alto riesgo">
      <formula>NOT(ISERROR(SEARCH("Trabajo de alto riesgo",E209)))</formula>
    </cfRule>
    <cfRule type="containsText" dxfId="9742" priority="8366" stopIfTrue="1" operator="containsText" text="4. Químico">
      <formula>NOT(ISERROR(SEARCH("4. Químico",E209)))</formula>
    </cfRule>
    <cfRule type="containsText" dxfId="9741" priority="8368" stopIfTrue="1" operator="containsText" text="2. Mecánico">
      <formula>NOT(ISERROR(SEARCH("2. Mecánico",E209)))</formula>
    </cfRule>
  </conditionalFormatting>
  <conditionalFormatting sqref="E210">
    <cfRule type="containsText" dxfId="9740" priority="8303" stopIfTrue="1" operator="containsText" text="Psicosocial">
      <formula>NOT(ISERROR(SEARCH("Psicosocial",E210)))</formula>
    </cfRule>
    <cfRule type="containsText" dxfId="9739" priority="8302" stopIfTrue="1" operator="containsText" text="Público">
      <formula>NOT(ISERROR(SEARCH("Público",E210)))</formula>
    </cfRule>
    <cfRule type="containsText" dxfId="9738" priority="8310" stopIfTrue="1" operator="containsText" text="3. Locativo">
      <formula>NOT(ISERROR(SEARCH("3. Locativo",E210)))</formula>
    </cfRule>
    <cfRule type="containsText" dxfId="9737" priority="8308" stopIfTrue="1" operator="containsText" text="Físico">
      <formula>NOT(ISERROR(SEARCH("Físico",E210)))</formula>
    </cfRule>
    <cfRule type="containsText" dxfId="9736" priority="8307" stopIfTrue="1" operator="containsText" text="Eléctrico">
      <formula>NOT(ISERROR(SEARCH("Eléctrico",E210)))</formula>
    </cfRule>
    <cfRule type="containsText" dxfId="9735" priority="8309" stopIfTrue="1" operator="containsText" text="4. Químico">
      <formula>NOT(ISERROR(SEARCH("4. Químico",E210)))</formula>
    </cfRule>
    <cfRule type="containsText" dxfId="9734" priority="8306" stopIfTrue="1" operator="containsText" text="Físico-químico">
      <formula>NOT(ISERROR(SEARCH("Físico-químico",E210)))</formula>
    </cfRule>
    <cfRule type="containsText" dxfId="9733" priority="8305" stopIfTrue="1" operator="containsText" text="Trabajo de alto riesgo">
      <formula>NOT(ISERROR(SEARCH("Trabajo de alto riesgo",E210)))</formula>
    </cfRule>
    <cfRule type="containsText" dxfId="9732" priority="8304" stopIfTrue="1" operator="containsText" text="Biológico">
      <formula>NOT(ISERROR(SEARCH("Biológico",E210)))</formula>
    </cfRule>
    <cfRule type="containsText" dxfId="9731" priority="8312" stopIfTrue="1" operator="containsText" text="1. Ergonómico">
      <formula>NOT(ISERROR(SEARCH("1. Ergonómico",E210)))</formula>
    </cfRule>
    <cfRule type="containsText" dxfId="9730" priority="8311" stopIfTrue="1" operator="containsText" text="2. Mecánico">
      <formula>NOT(ISERROR(SEARCH("2. Mecánico",E210)))</formula>
    </cfRule>
  </conditionalFormatting>
  <conditionalFormatting sqref="E213">
    <cfRule type="containsText" dxfId="9729" priority="8020" stopIfTrue="1" operator="containsText" text="1. Ergonómico">
      <formula>NOT(ISERROR(SEARCH("1. Ergonómico",E213)))</formula>
    </cfRule>
    <cfRule type="containsText" dxfId="9728" priority="8019" stopIfTrue="1" operator="containsText" text="2. Mecánico">
      <formula>NOT(ISERROR(SEARCH("2. Mecánico",E213)))</formula>
    </cfRule>
    <cfRule type="containsText" dxfId="9727" priority="8018" stopIfTrue="1" operator="containsText" text="3. Locativo">
      <formula>NOT(ISERROR(SEARCH("3. Locativo",E213)))</formula>
    </cfRule>
    <cfRule type="containsText" dxfId="9726" priority="8017" stopIfTrue="1" operator="containsText" text="4. Químico">
      <formula>NOT(ISERROR(SEARCH("4. Químico",E213)))</formula>
    </cfRule>
    <cfRule type="containsText" dxfId="9725" priority="8016" stopIfTrue="1" operator="containsText" text="Físico">
      <formula>NOT(ISERROR(SEARCH("Físico",E213)))</formula>
    </cfRule>
    <cfRule type="containsText" dxfId="9724" priority="8015" stopIfTrue="1" operator="containsText" text="Eléctrico">
      <formula>NOT(ISERROR(SEARCH("Eléctrico",E213)))</formula>
    </cfRule>
    <cfRule type="containsText" dxfId="9723" priority="8014" stopIfTrue="1" operator="containsText" text="Físico-químico">
      <formula>NOT(ISERROR(SEARCH("Físico-químico",E213)))</formula>
    </cfRule>
    <cfRule type="containsText" dxfId="9722" priority="8013" stopIfTrue="1" operator="containsText" text="Trabajo de alto riesgo">
      <formula>NOT(ISERROR(SEARCH("Trabajo de alto riesgo",E213)))</formula>
    </cfRule>
    <cfRule type="containsText" dxfId="9721" priority="8012" stopIfTrue="1" operator="containsText" text="Biológico">
      <formula>NOT(ISERROR(SEARCH("Biológico",E213)))</formula>
    </cfRule>
    <cfRule type="containsText" dxfId="9720" priority="8011" stopIfTrue="1" operator="containsText" text="Psicosocial">
      <formula>NOT(ISERROR(SEARCH("Psicosocial",E213)))</formula>
    </cfRule>
    <cfRule type="containsText" dxfId="9719" priority="8010" stopIfTrue="1" operator="containsText" text="Público">
      <formula>NOT(ISERROR(SEARCH("Público",E213)))</formula>
    </cfRule>
  </conditionalFormatting>
  <conditionalFormatting sqref="E216">
    <cfRule type="containsText" dxfId="9718" priority="7964" stopIfTrue="1" operator="containsText" text="Psicosocial">
      <formula>NOT(ISERROR(SEARCH("Psicosocial",E216)))</formula>
    </cfRule>
    <cfRule type="containsText" dxfId="9717" priority="7963" stopIfTrue="1" operator="containsText" text="Público">
      <formula>NOT(ISERROR(SEARCH("Público",E216)))</formula>
    </cfRule>
    <cfRule type="containsText" dxfId="9716" priority="7968" stopIfTrue="1" operator="containsText" text="Eléctrico">
      <formula>NOT(ISERROR(SEARCH("Eléctrico",E216)))</formula>
    </cfRule>
    <cfRule type="containsText" dxfId="9715" priority="7967" stopIfTrue="1" operator="containsText" text="Físico-químico">
      <formula>NOT(ISERROR(SEARCH("Físico-químico",E216)))</formula>
    </cfRule>
    <cfRule type="containsText" dxfId="9714" priority="7966" stopIfTrue="1" operator="containsText" text="Trabajo de alto riesgo">
      <formula>NOT(ISERROR(SEARCH("Trabajo de alto riesgo",E216)))</formula>
    </cfRule>
    <cfRule type="containsText" dxfId="9713" priority="7965" stopIfTrue="1" operator="containsText" text="Biológico">
      <formula>NOT(ISERROR(SEARCH("Biológico",E216)))</formula>
    </cfRule>
    <cfRule type="containsText" dxfId="9712" priority="7970" stopIfTrue="1" operator="containsText" text="4. Químico">
      <formula>NOT(ISERROR(SEARCH("4. Químico",E216)))</formula>
    </cfRule>
    <cfRule type="containsText" dxfId="9711" priority="7972" stopIfTrue="1" operator="containsText" text="2. Mecánico">
      <formula>NOT(ISERROR(SEARCH("2. Mecánico",E216)))</formula>
    </cfRule>
    <cfRule type="containsText" dxfId="9710" priority="7973" stopIfTrue="1" operator="containsText" text="1. Ergonómico">
      <formula>NOT(ISERROR(SEARCH("1. Ergonómico",E216)))</formula>
    </cfRule>
    <cfRule type="containsText" dxfId="9709" priority="7971" stopIfTrue="1" operator="containsText" text="3. Locativo">
      <formula>NOT(ISERROR(SEARCH("3. Locativo",E216)))</formula>
    </cfRule>
    <cfRule type="containsText" dxfId="9708" priority="7969" stopIfTrue="1" operator="containsText" text="Físico">
      <formula>NOT(ISERROR(SEARCH("Físico",E216)))</formula>
    </cfRule>
  </conditionalFormatting>
  <conditionalFormatting sqref="E217">
    <cfRule type="containsText" dxfId="9707" priority="8058" stopIfTrue="1" operator="containsText" text="Trabajo de alto riesgo">
      <formula>NOT(ISERROR(SEARCH("Trabajo de alto riesgo",E217)))</formula>
    </cfRule>
    <cfRule type="containsText" dxfId="9706" priority="8055" stopIfTrue="1" operator="containsText" text="Público">
      <formula>NOT(ISERROR(SEARCH("Público",E217)))</formula>
    </cfRule>
    <cfRule type="containsText" dxfId="9705" priority="8056" stopIfTrue="1" operator="containsText" text="Psicosocial">
      <formula>NOT(ISERROR(SEARCH("Psicosocial",E217)))</formula>
    </cfRule>
    <cfRule type="containsText" dxfId="9704" priority="8057" stopIfTrue="1" operator="containsText" text="Biológico">
      <formula>NOT(ISERROR(SEARCH("Biológico",E217)))</formula>
    </cfRule>
    <cfRule type="containsText" dxfId="9703" priority="8059" stopIfTrue="1" operator="containsText" text="Físico-químico">
      <formula>NOT(ISERROR(SEARCH("Físico-químico",E217)))</formula>
    </cfRule>
    <cfRule type="containsText" dxfId="9702" priority="8060" stopIfTrue="1" operator="containsText" text="Eléctrico">
      <formula>NOT(ISERROR(SEARCH("Eléctrico",E217)))</formula>
    </cfRule>
    <cfRule type="containsText" dxfId="9701" priority="8061" stopIfTrue="1" operator="containsText" text="Físico">
      <formula>NOT(ISERROR(SEARCH("Físico",E217)))</formula>
    </cfRule>
    <cfRule type="containsText" dxfId="9700" priority="8062" stopIfTrue="1" operator="containsText" text="4. Químico">
      <formula>NOT(ISERROR(SEARCH("4. Químico",E217)))</formula>
    </cfRule>
    <cfRule type="containsText" dxfId="9699" priority="8063" stopIfTrue="1" operator="containsText" text="3. Locativo">
      <formula>NOT(ISERROR(SEARCH("3. Locativo",E217)))</formula>
    </cfRule>
    <cfRule type="containsText" dxfId="9698" priority="8064" stopIfTrue="1" operator="containsText" text="2. Mecánico">
      <formula>NOT(ISERROR(SEARCH("2. Mecánico",E217)))</formula>
    </cfRule>
    <cfRule type="containsText" dxfId="9697" priority="8065" stopIfTrue="1" operator="containsText" text="1. Ergonómico">
      <formula>NOT(ISERROR(SEARCH("1. Ergonómico",E217)))</formula>
    </cfRule>
  </conditionalFormatting>
  <conditionalFormatting sqref="E218">
    <cfRule type="containsText" dxfId="9696" priority="7925" stopIfTrue="1" operator="containsText" text="4. Químico">
      <formula>NOT(ISERROR(SEARCH("4. Químico",E218)))</formula>
    </cfRule>
    <cfRule type="containsText" dxfId="9695" priority="7922" stopIfTrue="1" operator="containsText" text="Físico-químico">
      <formula>NOT(ISERROR(SEARCH("Físico-químico",E218)))</formula>
    </cfRule>
    <cfRule type="containsText" dxfId="9694" priority="7921" stopIfTrue="1" operator="containsText" text="Trabajo de alto riesgo">
      <formula>NOT(ISERROR(SEARCH("Trabajo de alto riesgo",E218)))</formula>
    </cfRule>
    <cfRule type="containsText" dxfId="9693" priority="7928" stopIfTrue="1" operator="containsText" text="1. Ergonómico">
      <formula>NOT(ISERROR(SEARCH("1. Ergonómico",E218)))</formula>
    </cfRule>
    <cfRule type="containsText" dxfId="9692" priority="7927" stopIfTrue="1" operator="containsText" text="2. Mecánico">
      <formula>NOT(ISERROR(SEARCH("2. Mecánico",E218)))</formula>
    </cfRule>
    <cfRule type="containsText" dxfId="9691" priority="7926" stopIfTrue="1" operator="containsText" text="3. Locativo">
      <formula>NOT(ISERROR(SEARCH("3. Locativo",E218)))</formula>
    </cfRule>
    <cfRule type="containsText" dxfId="9690" priority="7924" stopIfTrue="1" operator="containsText" text="Físico">
      <formula>NOT(ISERROR(SEARCH("Físico",E218)))</formula>
    </cfRule>
    <cfRule type="containsText" dxfId="9689" priority="7923" stopIfTrue="1" operator="containsText" text="Eléctrico">
      <formula>NOT(ISERROR(SEARCH("Eléctrico",E218)))</formula>
    </cfRule>
    <cfRule type="containsText" dxfId="9688" priority="7918" stopIfTrue="1" operator="containsText" text="Público">
      <formula>NOT(ISERROR(SEARCH("Público",E218)))</formula>
    </cfRule>
    <cfRule type="containsText" dxfId="9687" priority="7919" stopIfTrue="1" operator="containsText" text="Psicosocial">
      <formula>NOT(ISERROR(SEARCH("Psicosocial",E218)))</formula>
    </cfRule>
    <cfRule type="containsText" dxfId="9686" priority="7920" stopIfTrue="1" operator="containsText" text="Biológico">
      <formula>NOT(ISERROR(SEARCH("Biológico",E218)))</formula>
    </cfRule>
  </conditionalFormatting>
  <conditionalFormatting sqref="E219">
    <cfRule type="containsText" dxfId="9685" priority="7696" stopIfTrue="1" operator="containsText" text="Público">
      <formula>NOT(ISERROR(SEARCH("Público",E219)))</formula>
    </cfRule>
    <cfRule type="containsText" dxfId="9684" priority="7705" stopIfTrue="1" operator="containsText" text="2. Mecánico">
      <formula>NOT(ISERROR(SEARCH("2. Mecánico",E219)))</formula>
    </cfRule>
    <cfRule type="containsText" dxfId="9683" priority="7698" stopIfTrue="1" operator="containsText" text="Biológico">
      <formula>NOT(ISERROR(SEARCH("Biológico",E219)))</formula>
    </cfRule>
    <cfRule type="containsText" dxfId="9682" priority="7706" stopIfTrue="1" operator="containsText" text="1. Ergonómico">
      <formula>NOT(ISERROR(SEARCH("1. Ergonómico",E219)))</formula>
    </cfRule>
    <cfRule type="containsText" dxfId="9681" priority="7704" stopIfTrue="1" operator="containsText" text="3. Locativo">
      <formula>NOT(ISERROR(SEARCH("3. Locativo",E219)))</formula>
    </cfRule>
    <cfRule type="containsText" dxfId="9680" priority="7703" stopIfTrue="1" operator="containsText" text="4. Químico">
      <formula>NOT(ISERROR(SEARCH("4. Químico",E219)))</formula>
    </cfRule>
    <cfRule type="containsText" dxfId="9679" priority="7702" stopIfTrue="1" operator="containsText" text="Físico">
      <formula>NOT(ISERROR(SEARCH("Físico",E219)))</formula>
    </cfRule>
    <cfRule type="containsText" dxfId="9678" priority="7700" stopIfTrue="1" operator="containsText" text="Físico-químico">
      <formula>NOT(ISERROR(SEARCH("Físico-químico",E219)))</formula>
    </cfRule>
    <cfRule type="containsText" dxfId="9677" priority="7699" stopIfTrue="1" operator="containsText" text="Trabajo de alto riesgo">
      <formula>NOT(ISERROR(SEARCH("Trabajo de alto riesgo",E219)))</formula>
    </cfRule>
    <cfRule type="containsText" dxfId="9676" priority="7701" stopIfTrue="1" operator="containsText" text="Eléctrico">
      <formula>NOT(ISERROR(SEARCH("Eléctrico",E219)))</formula>
    </cfRule>
    <cfRule type="containsText" dxfId="9675" priority="7697" stopIfTrue="1" operator="containsText" text="Psicosocial">
      <formula>NOT(ISERROR(SEARCH("Psicosocial",E219)))</formula>
    </cfRule>
  </conditionalFormatting>
  <conditionalFormatting sqref="E220:E221">
    <cfRule type="containsText" dxfId="9674" priority="7743" stopIfTrue="1" operator="containsText" text="Físico">
      <formula>NOT(ISERROR(SEARCH("Físico",E220)))</formula>
    </cfRule>
    <cfRule type="containsText" dxfId="9673" priority="7737" stopIfTrue="1" operator="containsText" text="Público">
      <formula>NOT(ISERROR(SEARCH("Público",E220)))</formula>
    </cfRule>
    <cfRule type="containsText" dxfId="9672" priority="7741" stopIfTrue="1" operator="containsText" text="Físico-químico">
      <formula>NOT(ISERROR(SEARCH("Físico-químico",E220)))</formula>
    </cfRule>
    <cfRule type="containsText" dxfId="9671" priority="7746" stopIfTrue="1" operator="containsText" text="2. Mecánico">
      <formula>NOT(ISERROR(SEARCH("2. Mecánico",E220)))</formula>
    </cfRule>
    <cfRule type="containsText" dxfId="9670" priority="7738" stopIfTrue="1" operator="containsText" text="Psicosocial">
      <formula>NOT(ISERROR(SEARCH("Psicosocial",E220)))</formula>
    </cfRule>
    <cfRule type="containsText" dxfId="9669" priority="7744" stopIfTrue="1" operator="containsText" text="4. Químico">
      <formula>NOT(ISERROR(SEARCH("4. Químico",E220)))</formula>
    </cfRule>
    <cfRule type="containsText" dxfId="9668" priority="7742" stopIfTrue="1" operator="containsText" text="Eléctrico">
      <formula>NOT(ISERROR(SEARCH("Eléctrico",E220)))</formula>
    </cfRule>
    <cfRule type="containsText" dxfId="9667" priority="7739" stopIfTrue="1" operator="containsText" text="Biológico">
      <formula>NOT(ISERROR(SEARCH("Biológico",E220)))</formula>
    </cfRule>
    <cfRule type="containsText" dxfId="9666" priority="7747" stopIfTrue="1" operator="containsText" text="1. Ergonómico">
      <formula>NOT(ISERROR(SEARCH("1. Ergonómico",E220)))</formula>
    </cfRule>
    <cfRule type="containsText" dxfId="9665" priority="7740" stopIfTrue="1" operator="containsText" text="Trabajo de alto riesgo">
      <formula>NOT(ISERROR(SEARCH("Trabajo de alto riesgo",E220)))</formula>
    </cfRule>
    <cfRule type="containsText" dxfId="9664" priority="7745" stopIfTrue="1" operator="containsText" text="3. Locativo">
      <formula>NOT(ISERROR(SEARCH("3. Locativo",E220)))</formula>
    </cfRule>
  </conditionalFormatting>
  <conditionalFormatting sqref="E222:E223">
    <cfRule type="containsText" dxfId="9663" priority="7834" stopIfTrue="1" operator="containsText" text="Psicosocial">
      <formula>NOT(ISERROR(SEARCH("Psicosocial",E222)))</formula>
    </cfRule>
    <cfRule type="containsText" dxfId="9662" priority="7835" stopIfTrue="1" operator="containsText" text="Biológico">
      <formula>NOT(ISERROR(SEARCH("Biológico",E222)))</formula>
    </cfRule>
    <cfRule type="containsText" dxfId="9661" priority="7839" stopIfTrue="1" operator="containsText" text="Físico">
      <formula>NOT(ISERROR(SEARCH("Físico",E222)))</formula>
    </cfRule>
    <cfRule type="containsText" dxfId="9660" priority="7833" stopIfTrue="1" operator="containsText" text="Público">
      <formula>NOT(ISERROR(SEARCH("Público",E222)))</formula>
    </cfRule>
    <cfRule type="containsText" dxfId="9659" priority="7836" stopIfTrue="1" operator="containsText" text="Trabajo de alto riesgo">
      <formula>NOT(ISERROR(SEARCH("Trabajo de alto riesgo",E222)))</formula>
    </cfRule>
    <cfRule type="containsText" dxfId="9658" priority="7837" stopIfTrue="1" operator="containsText" text="Físico-químico">
      <formula>NOT(ISERROR(SEARCH("Físico-químico",E222)))</formula>
    </cfRule>
    <cfRule type="containsText" dxfId="9657" priority="7838" stopIfTrue="1" operator="containsText" text="Eléctrico">
      <formula>NOT(ISERROR(SEARCH("Eléctrico",E222)))</formula>
    </cfRule>
    <cfRule type="containsText" dxfId="9656" priority="7843" stopIfTrue="1" operator="containsText" text="1. Ergonómico">
      <formula>NOT(ISERROR(SEARCH("1. Ergonómico",E222)))</formula>
    </cfRule>
    <cfRule type="containsText" dxfId="9655" priority="7842" stopIfTrue="1" operator="containsText" text="2. Mecánico">
      <formula>NOT(ISERROR(SEARCH("2. Mecánico",E222)))</formula>
    </cfRule>
    <cfRule type="containsText" dxfId="9654" priority="7841" stopIfTrue="1" operator="containsText" text="3. Locativo">
      <formula>NOT(ISERROR(SEARCH("3. Locativo",E222)))</formula>
    </cfRule>
    <cfRule type="containsText" dxfId="9653" priority="7840" stopIfTrue="1" operator="containsText" text="4. Químico">
      <formula>NOT(ISERROR(SEARCH("4. Químico",E222)))</formula>
    </cfRule>
  </conditionalFormatting>
  <conditionalFormatting sqref="E224">
    <cfRule type="containsText" dxfId="9652" priority="7779" stopIfTrue="1" operator="containsText" text="Trabajo de alto riesgo">
      <formula>NOT(ISERROR(SEARCH("Trabajo de alto riesgo",E224)))</formula>
    </cfRule>
    <cfRule type="containsText" dxfId="9651" priority="7780" stopIfTrue="1" operator="containsText" text="Físico-químico">
      <formula>NOT(ISERROR(SEARCH("Físico-químico",E224)))</formula>
    </cfRule>
    <cfRule type="containsText" dxfId="9650" priority="7778" stopIfTrue="1" operator="containsText" text="Biológico">
      <formula>NOT(ISERROR(SEARCH("Biológico",E224)))</formula>
    </cfRule>
    <cfRule type="containsText" dxfId="9649" priority="7777" stopIfTrue="1" operator="containsText" text="Psicosocial">
      <formula>NOT(ISERROR(SEARCH("Psicosocial",E224)))</formula>
    </cfRule>
    <cfRule type="containsText" dxfId="9648" priority="7776" stopIfTrue="1" operator="containsText" text="Público">
      <formula>NOT(ISERROR(SEARCH("Público",E224)))</formula>
    </cfRule>
    <cfRule type="containsText" dxfId="9647" priority="7785" stopIfTrue="1" operator="containsText" text="2. Mecánico">
      <formula>NOT(ISERROR(SEARCH("2. Mecánico",E224)))</formula>
    </cfRule>
    <cfRule type="containsText" dxfId="9646" priority="7786" stopIfTrue="1" operator="containsText" text="1. Ergonómico">
      <formula>NOT(ISERROR(SEARCH("1. Ergonómico",E224)))</formula>
    </cfRule>
    <cfRule type="containsText" dxfId="9645" priority="7784" stopIfTrue="1" operator="containsText" text="3. Locativo">
      <formula>NOT(ISERROR(SEARCH("3. Locativo",E224)))</formula>
    </cfRule>
    <cfRule type="containsText" dxfId="9644" priority="7783" stopIfTrue="1" operator="containsText" text="4. Químico">
      <formula>NOT(ISERROR(SEARCH("4. Químico",E224)))</formula>
    </cfRule>
    <cfRule type="containsText" dxfId="9643" priority="7782" stopIfTrue="1" operator="containsText" text="Físico">
      <formula>NOT(ISERROR(SEARCH("Físico",E224)))</formula>
    </cfRule>
    <cfRule type="containsText" dxfId="9642" priority="7781" stopIfTrue="1" operator="containsText" text="Eléctrico">
      <formula>NOT(ISERROR(SEARCH("Eléctrico",E224)))</formula>
    </cfRule>
  </conditionalFormatting>
  <conditionalFormatting sqref="E225">
    <cfRule type="containsText" dxfId="9641" priority="7596" stopIfTrue="1" operator="containsText" text="Eléctrico">
      <formula>NOT(ISERROR(SEARCH("Eléctrico",E225)))</formula>
    </cfRule>
    <cfRule type="containsText" dxfId="9640" priority="7593" stopIfTrue="1" operator="containsText" text="Biológico">
      <formula>NOT(ISERROR(SEARCH("Biológico",E225)))</formula>
    </cfRule>
    <cfRule type="containsText" dxfId="9639" priority="7594" stopIfTrue="1" operator="containsText" text="Trabajo de alto riesgo">
      <formula>NOT(ISERROR(SEARCH("Trabajo de alto riesgo",E225)))</formula>
    </cfRule>
    <cfRule type="containsText" dxfId="9638" priority="7601" stopIfTrue="1" operator="containsText" text="1. Ergonómico">
      <formula>NOT(ISERROR(SEARCH("1. Ergonómico",E225)))</formula>
    </cfRule>
    <cfRule type="containsText" dxfId="9637" priority="7600" stopIfTrue="1" operator="containsText" text="2. Mecánico">
      <formula>NOT(ISERROR(SEARCH("2. Mecánico",E225)))</formula>
    </cfRule>
    <cfRule type="containsText" dxfId="9636" priority="7598" stopIfTrue="1" operator="containsText" text="4. Químico">
      <formula>NOT(ISERROR(SEARCH("4. Químico",E225)))</formula>
    </cfRule>
    <cfRule type="containsText" dxfId="9635" priority="7597" stopIfTrue="1" operator="containsText" text="Físico">
      <formula>NOT(ISERROR(SEARCH("Físico",E225)))</formula>
    </cfRule>
    <cfRule type="containsText" dxfId="9634" priority="7595" stopIfTrue="1" operator="containsText" text="Físico-químico">
      <formula>NOT(ISERROR(SEARCH("Físico-químico",E225)))</formula>
    </cfRule>
    <cfRule type="containsText" dxfId="9633" priority="7592" stopIfTrue="1" operator="containsText" text="Psicosocial">
      <formula>NOT(ISERROR(SEARCH("Psicosocial",E225)))</formula>
    </cfRule>
    <cfRule type="containsText" dxfId="9632" priority="7591" stopIfTrue="1" operator="containsText" text="Público">
      <formula>NOT(ISERROR(SEARCH("Público",E225)))</formula>
    </cfRule>
    <cfRule type="containsText" dxfId="9631" priority="7599" stopIfTrue="1" operator="containsText" text="3. Locativo">
      <formula>NOT(ISERROR(SEARCH("3. Locativo",E225)))</formula>
    </cfRule>
  </conditionalFormatting>
  <conditionalFormatting sqref="E228">
    <cfRule type="containsText" dxfId="9630" priority="7428" stopIfTrue="1" operator="containsText" text="4. Químico">
      <formula>NOT(ISERROR(SEARCH("4. Químico",E228)))</formula>
    </cfRule>
    <cfRule type="containsText" dxfId="9629" priority="7424" stopIfTrue="1" operator="containsText" text="Trabajo de alto riesgo">
      <formula>NOT(ISERROR(SEARCH("Trabajo de alto riesgo",E228)))</formula>
    </cfRule>
    <cfRule type="containsText" dxfId="9628" priority="7427" stopIfTrue="1" operator="containsText" text="Físico">
      <formula>NOT(ISERROR(SEARCH("Físico",E228)))</formula>
    </cfRule>
    <cfRule type="containsText" dxfId="9627" priority="7430" stopIfTrue="1" operator="containsText" text="2. Mecánico">
      <formula>NOT(ISERROR(SEARCH("2. Mecánico",E228)))</formula>
    </cfRule>
    <cfRule type="containsText" dxfId="9626" priority="7426" stopIfTrue="1" operator="containsText" text="Eléctrico">
      <formula>NOT(ISERROR(SEARCH("Eléctrico",E228)))</formula>
    </cfRule>
    <cfRule type="containsText" dxfId="9625" priority="7425" stopIfTrue="1" operator="containsText" text="Físico-químico">
      <formula>NOT(ISERROR(SEARCH("Físico-químico",E228)))</formula>
    </cfRule>
    <cfRule type="containsText" dxfId="9624" priority="7421" stopIfTrue="1" operator="containsText" text="Público">
      <formula>NOT(ISERROR(SEARCH("Público",E228)))</formula>
    </cfRule>
    <cfRule type="containsText" dxfId="9623" priority="7422" stopIfTrue="1" operator="containsText" text="Psicosocial">
      <formula>NOT(ISERROR(SEARCH("Psicosocial",E228)))</formula>
    </cfRule>
    <cfRule type="containsText" dxfId="9622" priority="7423" stopIfTrue="1" operator="containsText" text="Biológico">
      <formula>NOT(ISERROR(SEARCH("Biológico",E228)))</formula>
    </cfRule>
    <cfRule type="containsText" dxfId="9621" priority="7431" stopIfTrue="1" operator="containsText" text="1. Ergonómico">
      <formula>NOT(ISERROR(SEARCH("1. Ergonómico",E228)))</formula>
    </cfRule>
    <cfRule type="containsText" dxfId="9620" priority="7429" stopIfTrue="1" operator="containsText" text="3. Locativo">
      <formula>NOT(ISERROR(SEARCH("3. Locativo",E228)))</formula>
    </cfRule>
  </conditionalFormatting>
  <conditionalFormatting sqref="E229">
    <cfRule type="containsText" dxfId="9619" priority="7406" stopIfTrue="1" operator="containsText" text="Público">
      <formula>NOT(ISERROR(SEARCH("Público",E229)))</formula>
    </cfRule>
    <cfRule type="containsText" dxfId="9618" priority="7413" stopIfTrue="1" operator="containsText" text="4. Químico">
      <formula>NOT(ISERROR(SEARCH("4. Químico",E229)))</formula>
    </cfRule>
    <cfRule type="containsText" dxfId="9617" priority="7415" stopIfTrue="1" operator="containsText" text="2. Mecánico">
      <formula>NOT(ISERROR(SEARCH("2. Mecánico",E229)))</formula>
    </cfRule>
    <cfRule type="containsText" dxfId="9616" priority="7414" stopIfTrue="1" operator="containsText" text="3. Locativo">
      <formula>NOT(ISERROR(SEARCH("3. Locativo",E229)))</formula>
    </cfRule>
    <cfRule type="containsText" dxfId="9615" priority="7416" stopIfTrue="1" operator="containsText" text="1. Ergonómico">
      <formula>NOT(ISERROR(SEARCH("1. Ergonómico",E229)))</formula>
    </cfRule>
    <cfRule type="containsText" dxfId="9614" priority="7408" stopIfTrue="1" operator="containsText" text="Biológico">
      <formula>NOT(ISERROR(SEARCH("Biológico",E229)))</formula>
    </cfRule>
    <cfRule type="containsText" dxfId="9613" priority="7409" stopIfTrue="1" operator="containsText" text="Trabajo de alto riesgo">
      <formula>NOT(ISERROR(SEARCH("Trabajo de alto riesgo",E229)))</formula>
    </cfRule>
    <cfRule type="containsText" dxfId="9612" priority="7410" stopIfTrue="1" operator="containsText" text="Físico-químico">
      <formula>NOT(ISERROR(SEARCH("Físico-químico",E229)))</formula>
    </cfRule>
    <cfRule type="containsText" dxfId="9611" priority="7411" stopIfTrue="1" operator="containsText" text="Eléctrico">
      <formula>NOT(ISERROR(SEARCH("Eléctrico",E229)))</formula>
    </cfRule>
    <cfRule type="containsText" dxfId="9610" priority="7407" stopIfTrue="1" operator="containsText" text="Psicosocial">
      <formula>NOT(ISERROR(SEARCH("Psicosocial",E229)))</formula>
    </cfRule>
    <cfRule type="containsText" dxfId="9609" priority="7412" stopIfTrue="1" operator="containsText" text="Físico">
      <formula>NOT(ISERROR(SEARCH("Físico",E229)))</formula>
    </cfRule>
  </conditionalFormatting>
  <conditionalFormatting sqref="E232">
    <cfRule type="containsText" dxfId="9608" priority="7363" stopIfTrue="1" operator="containsText" text="Físico-químico">
      <formula>NOT(ISERROR(SEARCH("Físico-químico",E232)))</formula>
    </cfRule>
    <cfRule type="containsText" dxfId="9607" priority="7362" stopIfTrue="1" operator="containsText" text="Trabajo de alto riesgo">
      <formula>NOT(ISERROR(SEARCH("Trabajo de alto riesgo",E232)))</formula>
    </cfRule>
    <cfRule type="containsText" dxfId="9606" priority="7361" stopIfTrue="1" operator="containsText" text="Biológico">
      <formula>NOT(ISERROR(SEARCH("Biológico",E232)))</formula>
    </cfRule>
    <cfRule type="containsText" dxfId="9605" priority="7360" stopIfTrue="1" operator="containsText" text="Psicosocial">
      <formula>NOT(ISERROR(SEARCH("Psicosocial",E232)))</formula>
    </cfRule>
    <cfRule type="containsText" dxfId="9604" priority="7359" stopIfTrue="1" operator="containsText" text="Público">
      <formula>NOT(ISERROR(SEARCH("Público",E232)))</formula>
    </cfRule>
    <cfRule type="containsText" dxfId="9603" priority="7365" stopIfTrue="1" operator="containsText" text="Físico">
      <formula>NOT(ISERROR(SEARCH("Físico",E232)))</formula>
    </cfRule>
    <cfRule type="containsText" dxfId="9602" priority="7369" stopIfTrue="1" operator="containsText" text="1. Ergonómico">
      <formula>NOT(ISERROR(SEARCH("1. Ergonómico",E232)))</formula>
    </cfRule>
    <cfRule type="containsText" dxfId="9601" priority="7368" stopIfTrue="1" operator="containsText" text="2. Mecánico">
      <formula>NOT(ISERROR(SEARCH("2. Mecánico",E232)))</formula>
    </cfRule>
    <cfRule type="containsText" dxfId="9600" priority="7367" stopIfTrue="1" operator="containsText" text="3. Locativo">
      <formula>NOT(ISERROR(SEARCH("3. Locativo",E232)))</formula>
    </cfRule>
    <cfRule type="containsText" dxfId="9599" priority="7366" stopIfTrue="1" operator="containsText" text="4. Químico">
      <formula>NOT(ISERROR(SEARCH("4. Químico",E232)))</formula>
    </cfRule>
    <cfRule type="containsText" dxfId="9598" priority="7364" stopIfTrue="1" operator="containsText" text="Eléctrico">
      <formula>NOT(ISERROR(SEARCH("Eléctrico",E232)))</formula>
    </cfRule>
  </conditionalFormatting>
  <conditionalFormatting sqref="E233">
    <cfRule type="containsText" dxfId="9597" priority="7466" stopIfTrue="1" operator="containsText" text="Público">
      <formula>NOT(ISERROR(SEARCH("Público",E233)))</formula>
    </cfRule>
    <cfRule type="containsText" dxfId="9596" priority="7473" stopIfTrue="1" operator="containsText" text="4. Químico">
      <formula>NOT(ISERROR(SEARCH("4. Químico",E233)))</formula>
    </cfRule>
    <cfRule type="containsText" dxfId="9595" priority="7476" stopIfTrue="1" operator="containsText" text="1. Ergonómico">
      <formula>NOT(ISERROR(SEARCH("1. Ergonómico",E233)))</formula>
    </cfRule>
    <cfRule type="containsText" dxfId="9594" priority="7475" stopIfTrue="1" operator="containsText" text="2. Mecánico">
      <formula>NOT(ISERROR(SEARCH("2. Mecánico",E233)))</formula>
    </cfRule>
    <cfRule type="containsText" dxfId="9593" priority="7471" stopIfTrue="1" operator="containsText" text="Eléctrico">
      <formula>NOT(ISERROR(SEARCH("Eléctrico",E233)))</formula>
    </cfRule>
    <cfRule type="containsText" dxfId="9592" priority="7468" stopIfTrue="1" operator="containsText" text="Biológico">
      <formula>NOT(ISERROR(SEARCH("Biológico",E233)))</formula>
    </cfRule>
    <cfRule type="containsText" dxfId="9591" priority="7467" stopIfTrue="1" operator="containsText" text="Psicosocial">
      <formula>NOT(ISERROR(SEARCH("Psicosocial",E233)))</formula>
    </cfRule>
    <cfRule type="containsText" dxfId="9590" priority="7474" stopIfTrue="1" operator="containsText" text="3. Locativo">
      <formula>NOT(ISERROR(SEARCH("3. Locativo",E233)))</formula>
    </cfRule>
    <cfRule type="containsText" dxfId="9589" priority="7472" stopIfTrue="1" operator="containsText" text="Físico">
      <formula>NOT(ISERROR(SEARCH("Físico",E233)))</formula>
    </cfRule>
    <cfRule type="containsText" dxfId="9588" priority="7470" stopIfTrue="1" operator="containsText" text="Físico-químico">
      <formula>NOT(ISERROR(SEARCH("Físico-químico",E233)))</formula>
    </cfRule>
    <cfRule type="containsText" dxfId="9587" priority="7469" stopIfTrue="1" operator="containsText" text="Trabajo de alto riesgo">
      <formula>NOT(ISERROR(SEARCH("Trabajo de alto riesgo",E233)))</formula>
    </cfRule>
  </conditionalFormatting>
  <conditionalFormatting sqref="E234">
    <cfRule type="containsText" dxfId="9586" priority="7321" stopIfTrue="1" operator="containsText" text="4. Químico">
      <formula>NOT(ISERROR(SEARCH("4. Químico",E234)))</formula>
    </cfRule>
    <cfRule type="containsText" dxfId="9585" priority="7315" stopIfTrue="1" operator="containsText" text="Psicosocial">
      <formula>NOT(ISERROR(SEARCH("Psicosocial",E234)))</formula>
    </cfRule>
    <cfRule type="containsText" dxfId="9584" priority="7324" stopIfTrue="1" operator="containsText" text="1. Ergonómico">
      <formula>NOT(ISERROR(SEARCH("1. Ergonómico",E234)))</formula>
    </cfRule>
    <cfRule type="containsText" dxfId="9583" priority="7323" stopIfTrue="1" operator="containsText" text="2. Mecánico">
      <formula>NOT(ISERROR(SEARCH("2. Mecánico",E234)))</formula>
    </cfRule>
    <cfRule type="containsText" dxfId="9582" priority="7316" stopIfTrue="1" operator="containsText" text="Biológico">
      <formula>NOT(ISERROR(SEARCH("Biológico",E234)))</formula>
    </cfRule>
    <cfRule type="containsText" dxfId="9581" priority="7317" stopIfTrue="1" operator="containsText" text="Trabajo de alto riesgo">
      <formula>NOT(ISERROR(SEARCH("Trabajo de alto riesgo",E234)))</formula>
    </cfRule>
    <cfRule type="containsText" dxfId="9580" priority="7318" stopIfTrue="1" operator="containsText" text="Físico-químico">
      <formula>NOT(ISERROR(SEARCH("Físico-químico",E234)))</formula>
    </cfRule>
    <cfRule type="containsText" dxfId="9579" priority="7320" stopIfTrue="1" operator="containsText" text="Físico">
      <formula>NOT(ISERROR(SEARCH("Físico",E234)))</formula>
    </cfRule>
    <cfRule type="containsText" dxfId="9578" priority="7319" stopIfTrue="1" operator="containsText" text="Eléctrico">
      <formula>NOT(ISERROR(SEARCH("Eléctrico",E234)))</formula>
    </cfRule>
    <cfRule type="containsText" dxfId="9577" priority="7314" stopIfTrue="1" operator="containsText" text="Público">
      <formula>NOT(ISERROR(SEARCH("Público",E234)))</formula>
    </cfRule>
    <cfRule type="containsText" dxfId="9576" priority="7322" stopIfTrue="1" operator="containsText" text="3. Locativo">
      <formula>NOT(ISERROR(SEARCH("3. Locativo",E234)))</formula>
    </cfRule>
  </conditionalFormatting>
  <conditionalFormatting sqref="E235">
    <cfRule type="containsText" dxfId="9575" priority="7100" stopIfTrue="1" operator="containsText" text="3. Locativo">
      <formula>NOT(ISERROR(SEARCH("3. Locativo",E235)))</formula>
    </cfRule>
    <cfRule type="containsText" dxfId="9574" priority="7092" stopIfTrue="1" operator="containsText" text="Público">
      <formula>NOT(ISERROR(SEARCH("Público",E235)))</formula>
    </cfRule>
    <cfRule type="containsText" dxfId="9573" priority="7093" stopIfTrue="1" operator="containsText" text="Psicosocial">
      <formula>NOT(ISERROR(SEARCH("Psicosocial",E235)))</formula>
    </cfRule>
    <cfRule type="containsText" dxfId="9572" priority="7094" stopIfTrue="1" operator="containsText" text="Biológico">
      <formula>NOT(ISERROR(SEARCH("Biológico",E235)))</formula>
    </cfRule>
    <cfRule type="containsText" dxfId="9571" priority="7095" stopIfTrue="1" operator="containsText" text="Trabajo de alto riesgo">
      <formula>NOT(ISERROR(SEARCH("Trabajo de alto riesgo",E235)))</formula>
    </cfRule>
    <cfRule type="containsText" dxfId="9570" priority="7096" stopIfTrue="1" operator="containsText" text="Físico-químico">
      <formula>NOT(ISERROR(SEARCH("Físico-químico",E235)))</formula>
    </cfRule>
    <cfRule type="containsText" dxfId="9569" priority="7097" stopIfTrue="1" operator="containsText" text="Eléctrico">
      <formula>NOT(ISERROR(SEARCH("Eléctrico",E235)))</formula>
    </cfRule>
    <cfRule type="containsText" dxfId="9568" priority="7098" stopIfTrue="1" operator="containsText" text="Físico">
      <formula>NOT(ISERROR(SEARCH("Físico",E235)))</formula>
    </cfRule>
    <cfRule type="containsText" dxfId="9567" priority="7099" stopIfTrue="1" operator="containsText" text="4. Químico">
      <formula>NOT(ISERROR(SEARCH("4. Químico",E235)))</formula>
    </cfRule>
    <cfRule type="containsText" dxfId="9566" priority="7101" stopIfTrue="1" operator="containsText" text="2. Mecánico">
      <formula>NOT(ISERROR(SEARCH("2. Mecánico",E235)))</formula>
    </cfRule>
    <cfRule type="containsText" dxfId="9565" priority="7102" stopIfTrue="1" operator="containsText" text="1. Ergonómico">
      <formula>NOT(ISERROR(SEARCH("1. Ergonómico",E235)))</formula>
    </cfRule>
  </conditionalFormatting>
  <conditionalFormatting sqref="E236:E237">
    <cfRule type="containsText" dxfId="9564" priority="7139" stopIfTrue="1" operator="containsText" text="Físico">
      <formula>NOT(ISERROR(SEARCH("Físico",E236)))</formula>
    </cfRule>
    <cfRule type="containsText" dxfId="9563" priority="7135" stopIfTrue="1" operator="containsText" text="Biológico">
      <formula>NOT(ISERROR(SEARCH("Biológico",E236)))</formula>
    </cfRule>
    <cfRule type="containsText" dxfId="9562" priority="7143" stopIfTrue="1" operator="containsText" text="1. Ergonómico">
      <formula>NOT(ISERROR(SEARCH("1. Ergonómico",E236)))</formula>
    </cfRule>
    <cfRule type="containsText" dxfId="9561" priority="7138" stopIfTrue="1" operator="containsText" text="Eléctrico">
      <formula>NOT(ISERROR(SEARCH("Eléctrico",E236)))</formula>
    </cfRule>
    <cfRule type="containsText" dxfId="9560" priority="7136" stopIfTrue="1" operator="containsText" text="Trabajo de alto riesgo">
      <formula>NOT(ISERROR(SEARCH("Trabajo de alto riesgo",E236)))</formula>
    </cfRule>
    <cfRule type="containsText" dxfId="9559" priority="7140" stopIfTrue="1" operator="containsText" text="4. Químico">
      <formula>NOT(ISERROR(SEARCH("4. Químico",E236)))</formula>
    </cfRule>
    <cfRule type="containsText" dxfId="9558" priority="7133" stopIfTrue="1" operator="containsText" text="Público">
      <formula>NOT(ISERROR(SEARCH("Público",E236)))</formula>
    </cfRule>
    <cfRule type="containsText" dxfId="9557" priority="7141" stopIfTrue="1" operator="containsText" text="3. Locativo">
      <formula>NOT(ISERROR(SEARCH("3. Locativo",E236)))</formula>
    </cfRule>
    <cfRule type="containsText" dxfId="9556" priority="7134" stopIfTrue="1" operator="containsText" text="Psicosocial">
      <formula>NOT(ISERROR(SEARCH("Psicosocial",E236)))</formula>
    </cfRule>
    <cfRule type="containsText" dxfId="9555" priority="7142" stopIfTrue="1" operator="containsText" text="2. Mecánico">
      <formula>NOT(ISERROR(SEARCH("2. Mecánico",E236)))</formula>
    </cfRule>
    <cfRule type="containsText" dxfId="9554" priority="7137" stopIfTrue="1" operator="containsText" text="Físico-químico">
      <formula>NOT(ISERROR(SEARCH("Físico-químico",E236)))</formula>
    </cfRule>
  </conditionalFormatting>
  <conditionalFormatting sqref="E238">
    <cfRule type="containsText" dxfId="9553" priority="7233" stopIfTrue="1" operator="containsText" text="Físico-químico">
      <formula>NOT(ISERROR(SEARCH("Físico-químico",E238)))</formula>
    </cfRule>
    <cfRule type="containsText" dxfId="9552" priority="7235" stopIfTrue="1" operator="containsText" text="Físico">
      <formula>NOT(ISERROR(SEARCH("Físico",E238)))</formula>
    </cfRule>
    <cfRule type="containsText" dxfId="9551" priority="7236" stopIfTrue="1" operator="containsText" text="4. Químico">
      <formula>NOT(ISERROR(SEARCH("4. Químico",E238)))</formula>
    </cfRule>
    <cfRule type="containsText" dxfId="9550" priority="7237" stopIfTrue="1" operator="containsText" text="3. Locativo">
      <formula>NOT(ISERROR(SEARCH("3. Locativo",E238)))</formula>
    </cfRule>
    <cfRule type="containsText" dxfId="9549" priority="7238" stopIfTrue="1" operator="containsText" text="2. Mecánico">
      <formula>NOT(ISERROR(SEARCH("2. Mecánico",E238)))</formula>
    </cfRule>
    <cfRule type="containsText" dxfId="9548" priority="7239" stopIfTrue="1" operator="containsText" text="1. Ergonómico">
      <formula>NOT(ISERROR(SEARCH("1. Ergonómico",E238)))</formula>
    </cfRule>
    <cfRule type="containsText" dxfId="9547" priority="7234" stopIfTrue="1" operator="containsText" text="Eléctrico">
      <formula>NOT(ISERROR(SEARCH("Eléctrico",E238)))</formula>
    </cfRule>
    <cfRule type="containsText" dxfId="9546" priority="7232" stopIfTrue="1" operator="containsText" text="Trabajo de alto riesgo">
      <formula>NOT(ISERROR(SEARCH("Trabajo de alto riesgo",E238)))</formula>
    </cfRule>
    <cfRule type="containsText" dxfId="9545" priority="7231" stopIfTrue="1" operator="containsText" text="Biológico">
      <formula>NOT(ISERROR(SEARCH("Biológico",E238)))</formula>
    </cfRule>
    <cfRule type="containsText" dxfId="9544" priority="7230" stopIfTrue="1" operator="containsText" text="Psicosocial">
      <formula>NOT(ISERROR(SEARCH("Psicosocial",E238)))</formula>
    </cfRule>
    <cfRule type="containsText" dxfId="9543" priority="7229" stopIfTrue="1" operator="containsText" text="Público">
      <formula>NOT(ISERROR(SEARCH("Público",E238)))</formula>
    </cfRule>
  </conditionalFormatting>
  <conditionalFormatting sqref="E239">
    <cfRule type="containsText" dxfId="9542" priority="7177" stopIfTrue="1" operator="containsText" text="Eléctrico">
      <formula>NOT(ISERROR(SEARCH("Eléctrico",E239)))</formula>
    </cfRule>
    <cfRule type="containsText" dxfId="9541" priority="7175" stopIfTrue="1" operator="containsText" text="Trabajo de alto riesgo">
      <formula>NOT(ISERROR(SEARCH("Trabajo de alto riesgo",E239)))</formula>
    </cfRule>
    <cfRule type="containsText" dxfId="9540" priority="7176" stopIfTrue="1" operator="containsText" text="Físico-químico">
      <formula>NOT(ISERROR(SEARCH("Físico-químico",E239)))</formula>
    </cfRule>
    <cfRule type="containsText" dxfId="9539" priority="7178" stopIfTrue="1" operator="containsText" text="Físico">
      <formula>NOT(ISERROR(SEARCH("Físico",E239)))</formula>
    </cfRule>
    <cfRule type="containsText" dxfId="9538" priority="7179" stopIfTrue="1" operator="containsText" text="4. Químico">
      <formula>NOT(ISERROR(SEARCH("4. Químico",E239)))</formula>
    </cfRule>
    <cfRule type="containsText" dxfId="9537" priority="7172" stopIfTrue="1" operator="containsText" text="Público">
      <formula>NOT(ISERROR(SEARCH("Público",E239)))</formula>
    </cfRule>
    <cfRule type="containsText" dxfId="9536" priority="7173" stopIfTrue="1" operator="containsText" text="Psicosocial">
      <formula>NOT(ISERROR(SEARCH("Psicosocial",E239)))</formula>
    </cfRule>
    <cfRule type="containsText" dxfId="9535" priority="7180" stopIfTrue="1" operator="containsText" text="3. Locativo">
      <formula>NOT(ISERROR(SEARCH("3. Locativo",E239)))</formula>
    </cfRule>
    <cfRule type="containsText" dxfId="9534" priority="7174" stopIfTrue="1" operator="containsText" text="Biológico">
      <formula>NOT(ISERROR(SEARCH("Biológico",E239)))</formula>
    </cfRule>
    <cfRule type="containsText" dxfId="9533" priority="7181" stopIfTrue="1" operator="containsText" text="2. Mecánico">
      <formula>NOT(ISERROR(SEARCH("2. Mecánico",E239)))</formula>
    </cfRule>
    <cfRule type="containsText" dxfId="9532" priority="7182" stopIfTrue="1" operator="containsText" text="1. Ergonómico">
      <formula>NOT(ISERROR(SEARCH("1. Ergonómico",E239)))</formula>
    </cfRule>
  </conditionalFormatting>
  <conditionalFormatting sqref="E240">
    <cfRule type="containsText" dxfId="9531" priority="6994" stopIfTrue="1" operator="containsText" text="4. Químico">
      <formula>NOT(ISERROR(SEARCH("4. Químico",E240)))</formula>
    </cfRule>
    <cfRule type="containsText" dxfId="9530" priority="6990" stopIfTrue="1" operator="containsText" text="Trabajo de alto riesgo">
      <formula>NOT(ISERROR(SEARCH("Trabajo de alto riesgo",E240)))</formula>
    </cfRule>
    <cfRule type="containsText" dxfId="9529" priority="6992" stopIfTrue="1" operator="containsText" text="Eléctrico">
      <formula>NOT(ISERROR(SEARCH("Eléctrico",E240)))</formula>
    </cfRule>
    <cfRule type="containsText" dxfId="9528" priority="6993" stopIfTrue="1" operator="containsText" text="Físico">
      <formula>NOT(ISERROR(SEARCH("Físico",E240)))</formula>
    </cfRule>
    <cfRule type="containsText" dxfId="9527" priority="6997" stopIfTrue="1" operator="containsText" text="1. Ergonómico">
      <formula>NOT(ISERROR(SEARCH("1. Ergonómico",E240)))</formula>
    </cfRule>
    <cfRule type="containsText" dxfId="9526" priority="6996" stopIfTrue="1" operator="containsText" text="2. Mecánico">
      <formula>NOT(ISERROR(SEARCH("2. Mecánico",E240)))</formula>
    </cfRule>
    <cfRule type="containsText" dxfId="9525" priority="6991" stopIfTrue="1" operator="containsText" text="Físico-químico">
      <formula>NOT(ISERROR(SEARCH("Físico-químico",E240)))</formula>
    </cfRule>
    <cfRule type="containsText" dxfId="9524" priority="6995" stopIfTrue="1" operator="containsText" text="3. Locativo">
      <formula>NOT(ISERROR(SEARCH("3. Locativo",E240)))</formula>
    </cfRule>
    <cfRule type="containsText" dxfId="9523" priority="6987" stopIfTrue="1" operator="containsText" text="Público">
      <formula>NOT(ISERROR(SEARCH("Público",E240)))</formula>
    </cfRule>
    <cfRule type="containsText" dxfId="9522" priority="6988" stopIfTrue="1" operator="containsText" text="Psicosocial">
      <formula>NOT(ISERROR(SEARCH("Psicosocial",E240)))</formula>
    </cfRule>
    <cfRule type="containsText" dxfId="9521" priority="6989" stopIfTrue="1" operator="containsText" text="Biológico">
      <formula>NOT(ISERROR(SEARCH("Biológico",E240)))</formula>
    </cfRule>
  </conditionalFormatting>
  <conditionalFormatting sqref="E243">
    <cfRule type="containsText" dxfId="9520" priority="6826" stopIfTrue="1" operator="containsText" text="2. Mecánico">
      <formula>NOT(ISERROR(SEARCH("2. Mecánico",E243)))</formula>
    </cfRule>
    <cfRule type="containsText" dxfId="9519" priority="6825" stopIfTrue="1" operator="containsText" text="3. Locativo">
      <formula>NOT(ISERROR(SEARCH("3. Locativo",E243)))</formula>
    </cfRule>
    <cfRule type="containsText" dxfId="9518" priority="6822" stopIfTrue="1" operator="containsText" text="Eléctrico">
      <formula>NOT(ISERROR(SEARCH("Eléctrico",E243)))</formula>
    </cfRule>
    <cfRule type="containsText" dxfId="9517" priority="6823" stopIfTrue="1" operator="containsText" text="Físico">
      <formula>NOT(ISERROR(SEARCH("Físico",E243)))</formula>
    </cfRule>
    <cfRule type="containsText" dxfId="9516" priority="6818" stopIfTrue="1" operator="containsText" text="Psicosocial">
      <formula>NOT(ISERROR(SEARCH("Psicosocial",E243)))</formula>
    </cfRule>
    <cfRule type="containsText" dxfId="9515" priority="6821" stopIfTrue="1" operator="containsText" text="Físico-químico">
      <formula>NOT(ISERROR(SEARCH("Físico-químico",E243)))</formula>
    </cfRule>
    <cfRule type="containsText" dxfId="9514" priority="6820" stopIfTrue="1" operator="containsText" text="Trabajo de alto riesgo">
      <formula>NOT(ISERROR(SEARCH("Trabajo de alto riesgo",E243)))</formula>
    </cfRule>
    <cfRule type="containsText" dxfId="9513" priority="6817" stopIfTrue="1" operator="containsText" text="Público">
      <formula>NOT(ISERROR(SEARCH("Público",E243)))</formula>
    </cfRule>
    <cfRule type="containsText" dxfId="9512" priority="6827" stopIfTrue="1" operator="containsText" text="1. Ergonómico">
      <formula>NOT(ISERROR(SEARCH("1. Ergonómico",E243)))</formula>
    </cfRule>
    <cfRule type="containsText" dxfId="9511" priority="6824" stopIfTrue="1" operator="containsText" text="4. Químico">
      <formula>NOT(ISERROR(SEARCH("4. Químico",E243)))</formula>
    </cfRule>
    <cfRule type="containsText" dxfId="9510" priority="6819" stopIfTrue="1" operator="containsText" text="Biológico">
      <formula>NOT(ISERROR(SEARCH("Biológico",E243)))</formula>
    </cfRule>
  </conditionalFormatting>
  <conditionalFormatting sqref="E244">
    <cfRule type="containsText" dxfId="9509" priority="6802" stopIfTrue="1" operator="containsText" text="Público">
      <formula>NOT(ISERROR(SEARCH("Público",E244)))</formula>
    </cfRule>
    <cfRule type="containsText" dxfId="9508" priority="6810" stopIfTrue="1" operator="containsText" text="3. Locativo">
      <formula>NOT(ISERROR(SEARCH("3. Locativo",E244)))</formula>
    </cfRule>
    <cfRule type="containsText" dxfId="9507" priority="6809" stopIfTrue="1" operator="containsText" text="4. Químico">
      <formula>NOT(ISERROR(SEARCH("4. Químico",E244)))</formula>
    </cfRule>
    <cfRule type="containsText" dxfId="9506" priority="6808" stopIfTrue="1" operator="containsText" text="Físico">
      <formula>NOT(ISERROR(SEARCH("Físico",E244)))</formula>
    </cfRule>
    <cfRule type="containsText" dxfId="9505" priority="6807" stopIfTrue="1" operator="containsText" text="Eléctrico">
      <formula>NOT(ISERROR(SEARCH("Eléctrico",E244)))</formula>
    </cfRule>
    <cfRule type="containsText" dxfId="9504" priority="6806" stopIfTrue="1" operator="containsText" text="Físico-químico">
      <formula>NOT(ISERROR(SEARCH("Físico-químico",E244)))</formula>
    </cfRule>
    <cfRule type="containsText" dxfId="9503" priority="6812" stopIfTrue="1" operator="containsText" text="1. Ergonómico">
      <formula>NOT(ISERROR(SEARCH("1. Ergonómico",E244)))</formula>
    </cfRule>
    <cfRule type="containsText" dxfId="9502" priority="6805" stopIfTrue="1" operator="containsText" text="Trabajo de alto riesgo">
      <formula>NOT(ISERROR(SEARCH("Trabajo de alto riesgo",E244)))</formula>
    </cfRule>
    <cfRule type="containsText" dxfId="9501" priority="6804" stopIfTrue="1" operator="containsText" text="Biológico">
      <formula>NOT(ISERROR(SEARCH("Biológico",E244)))</formula>
    </cfRule>
    <cfRule type="containsText" dxfId="9500" priority="6803" stopIfTrue="1" operator="containsText" text="Psicosocial">
      <formula>NOT(ISERROR(SEARCH("Psicosocial",E244)))</formula>
    </cfRule>
    <cfRule type="containsText" dxfId="9499" priority="6811" stopIfTrue="1" operator="containsText" text="2. Mecánico">
      <formula>NOT(ISERROR(SEARCH("2. Mecánico",E244)))</formula>
    </cfRule>
  </conditionalFormatting>
  <conditionalFormatting sqref="E247">
    <cfRule type="containsText" dxfId="9498" priority="6759" stopIfTrue="1" operator="containsText" text="Físico-químico">
      <formula>NOT(ISERROR(SEARCH("Físico-químico",E247)))</formula>
    </cfRule>
    <cfRule type="containsText" dxfId="9497" priority="6760" stopIfTrue="1" operator="containsText" text="Eléctrico">
      <formula>NOT(ISERROR(SEARCH("Eléctrico",E247)))</formula>
    </cfRule>
    <cfRule type="containsText" dxfId="9496" priority="6761" stopIfTrue="1" operator="containsText" text="Físico">
      <formula>NOT(ISERROR(SEARCH("Físico",E247)))</formula>
    </cfRule>
    <cfRule type="containsText" dxfId="9495" priority="6762" stopIfTrue="1" operator="containsText" text="4. Químico">
      <formula>NOT(ISERROR(SEARCH("4. Químico",E247)))</formula>
    </cfRule>
    <cfRule type="containsText" dxfId="9494" priority="6763" stopIfTrue="1" operator="containsText" text="3. Locativo">
      <formula>NOT(ISERROR(SEARCH("3. Locativo",E247)))</formula>
    </cfRule>
    <cfRule type="containsText" dxfId="9493" priority="6764" stopIfTrue="1" operator="containsText" text="2. Mecánico">
      <formula>NOT(ISERROR(SEARCH("2. Mecánico",E247)))</formula>
    </cfRule>
    <cfRule type="containsText" dxfId="9492" priority="6756" stopIfTrue="1" operator="containsText" text="Psicosocial">
      <formula>NOT(ISERROR(SEARCH("Psicosocial",E247)))</formula>
    </cfRule>
    <cfRule type="containsText" dxfId="9491" priority="6758" stopIfTrue="1" operator="containsText" text="Trabajo de alto riesgo">
      <formula>NOT(ISERROR(SEARCH("Trabajo de alto riesgo",E247)))</formula>
    </cfRule>
    <cfRule type="containsText" dxfId="9490" priority="6757" stopIfTrue="1" operator="containsText" text="Biológico">
      <formula>NOT(ISERROR(SEARCH("Biológico",E247)))</formula>
    </cfRule>
    <cfRule type="containsText" dxfId="9489" priority="6755" stopIfTrue="1" operator="containsText" text="Público">
      <formula>NOT(ISERROR(SEARCH("Público",E247)))</formula>
    </cfRule>
    <cfRule type="containsText" dxfId="9488" priority="6765" stopIfTrue="1" operator="containsText" text="1. Ergonómico">
      <formula>NOT(ISERROR(SEARCH("1. Ergonómico",E247)))</formula>
    </cfRule>
  </conditionalFormatting>
  <conditionalFormatting sqref="E248">
    <cfRule type="containsText" dxfId="9487" priority="6868" stopIfTrue="1" operator="containsText" text="Físico">
      <formula>NOT(ISERROR(SEARCH("Físico",E248)))</formula>
    </cfRule>
    <cfRule type="containsText" dxfId="9486" priority="6869" stopIfTrue="1" operator="containsText" text="4. Químico">
      <formula>NOT(ISERROR(SEARCH("4. Químico",E248)))</formula>
    </cfRule>
    <cfRule type="containsText" dxfId="9485" priority="6870" stopIfTrue="1" operator="containsText" text="3. Locativo">
      <formula>NOT(ISERROR(SEARCH("3. Locativo",E248)))</formula>
    </cfRule>
    <cfRule type="containsText" dxfId="9484" priority="6871" stopIfTrue="1" operator="containsText" text="2. Mecánico">
      <formula>NOT(ISERROR(SEARCH("2. Mecánico",E248)))</formula>
    </cfRule>
    <cfRule type="containsText" dxfId="9483" priority="6872" stopIfTrue="1" operator="containsText" text="1. Ergonómico">
      <formula>NOT(ISERROR(SEARCH("1. Ergonómico",E248)))</formula>
    </cfRule>
    <cfRule type="containsText" dxfId="9482" priority="6866" stopIfTrue="1" operator="containsText" text="Físico-químico">
      <formula>NOT(ISERROR(SEARCH("Físico-químico",E248)))</formula>
    </cfRule>
    <cfRule type="containsText" dxfId="9481" priority="6862" stopIfTrue="1" operator="containsText" text="Público">
      <formula>NOT(ISERROR(SEARCH("Público",E248)))</formula>
    </cfRule>
    <cfRule type="containsText" dxfId="9480" priority="6863" stopIfTrue="1" operator="containsText" text="Psicosocial">
      <formula>NOT(ISERROR(SEARCH("Psicosocial",E248)))</formula>
    </cfRule>
    <cfRule type="containsText" dxfId="9479" priority="6864" stopIfTrue="1" operator="containsText" text="Biológico">
      <formula>NOT(ISERROR(SEARCH("Biológico",E248)))</formula>
    </cfRule>
    <cfRule type="containsText" dxfId="9478" priority="6865" stopIfTrue="1" operator="containsText" text="Trabajo de alto riesgo">
      <formula>NOT(ISERROR(SEARCH("Trabajo de alto riesgo",E248)))</formula>
    </cfRule>
    <cfRule type="containsText" dxfId="9477" priority="6867" stopIfTrue="1" operator="containsText" text="Eléctrico">
      <formula>NOT(ISERROR(SEARCH("Eléctrico",E248)))</formula>
    </cfRule>
  </conditionalFormatting>
  <conditionalFormatting sqref="E249">
    <cfRule type="containsText" dxfId="9476" priority="6719" stopIfTrue="1" operator="containsText" text="2. Mecánico">
      <formula>NOT(ISERROR(SEARCH("2. Mecánico",E249)))</formula>
    </cfRule>
    <cfRule type="containsText" dxfId="9475" priority="6711" stopIfTrue="1" operator="containsText" text="Psicosocial">
      <formula>NOT(ISERROR(SEARCH("Psicosocial",E249)))</formula>
    </cfRule>
    <cfRule type="containsText" dxfId="9474" priority="6710" stopIfTrue="1" operator="containsText" text="Público">
      <formula>NOT(ISERROR(SEARCH("Público",E249)))</formula>
    </cfRule>
    <cfRule type="containsText" dxfId="9473" priority="6713" stopIfTrue="1" operator="containsText" text="Trabajo de alto riesgo">
      <formula>NOT(ISERROR(SEARCH("Trabajo de alto riesgo",E249)))</formula>
    </cfRule>
    <cfRule type="containsText" dxfId="9472" priority="6715" stopIfTrue="1" operator="containsText" text="Eléctrico">
      <formula>NOT(ISERROR(SEARCH("Eléctrico",E249)))</formula>
    </cfRule>
    <cfRule type="containsText" dxfId="9471" priority="6712" stopIfTrue="1" operator="containsText" text="Biológico">
      <formula>NOT(ISERROR(SEARCH("Biológico",E249)))</formula>
    </cfRule>
    <cfRule type="containsText" dxfId="9470" priority="6716" stopIfTrue="1" operator="containsText" text="Físico">
      <formula>NOT(ISERROR(SEARCH("Físico",E249)))</formula>
    </cfRule>
    <cfRule type="containsText" dxfId="9469" priority="6720" stopIfTrue="1" operator="containsText" text="1. Ergonómico">
      <formula>NOT(ISERROR(SEARCH("1. Ergonómico",E249)))</formula>
    </cfRule>
    <cfRule type="containsText" dxfId="9468" priority="6718" stopIfTrue="1" operator="containsText" text="3. Locativo">
      <formula>NOT(ISERROR(SEARCH("3. Locativo",E249)))</formula>
    </cfRule>
    <cfRule type="containsText" dxfId="9467" priority="6717" stopIfTrue="1" operator="containsText" text="4. Químico">
      <formula>NOT(ISERROR(SEARCH("4. Químico",E249)))</formula>
    </cfRule>
    <cfRule type="containsText" dxfId="9466" priority="6714" stopIfTrue="1" operator="containsText" text="Físico-químico">
      <formula>NOT(ISERROR(SEARCH("Físico-químico",E249)))</formula>
    </cfRule>
  </conditionalFormatting>
  <conditionalFormatting sqref="E250">
    <cfRule type="containsText" dxfId="9465" priority="6494" stopIfTrue="1" operator="containsText" text="Físico">
      <formula>NOT(ISERROR(SEARCH("Físico",E250)))</formula>
    </cfRule>
    <cfRule type="containsText" dxfId="9464" priority="6489" stopIfTrue="1" operator="containsText" text="Psicosocial">
      <formula>NOT(ISERROR(SEARCH("Psicosocial",E250)))</formula>
    </cfRule>
    <cfRule type="containsText" dxfId="9463" priority="6488" stopIfTrue="1" operator="containsText" text="Público">
      <formula>NOT(ISERROR(SEARCH("Público",E250)))</formula>
    </cfRule>
    <cfRule type="containsText" dxfId="9462" priority="6495" stopIfTrue="1" operator="containsText" text="4. Químico">
      <formula>NOT(ISERROR(SEARCH("4. Químico",E250)))</formula>
    </cfRule>
    <cfRule type="containsText" dxfId="9461" priority="6491" stopIfTrue="1" operator="containsText" text="Trabajo de alto riesgo">
      <formula>NOT(ISERROR(SEARCH("Trabajo de alto riesgo",E250)))</formula>
    </cfRule>
    <cfRule type="containsText" dxfId="9460" priority="6493" stopIfTrue="1" operator="containsText" text="Eléctrico">
      <formula>NOT(ISERROR(SEARCH("Eléctrico",E250)))</formula>
    </cfRule>
    <cfRule type="containsText" dxfId="9459" priority="6490" stopIfTrue="1" operator="containsText" text="Biológico">
      <formula>NOT(ISERROR(SEARCH("Biológico",E250)))</formula>
    </cfRule>
    <cfRule type="containsText" dxfId="9458" priority="6492" stopIfTrue="1" operator="containsText" text="Físico-químico">
      <formula>NOT(ISERROR(SEARCH("Físico-químico",E250)))</formula>
    </cfRule>
    <cfRule type="containsText" dxfId="9457" priority="6497" stopIfTrue="1" operator="containsText" text="2. Mecánico">
      <formula>NOT(ISERROR(SEARCH("2. Mecánico",E250)))</formula>
    </cfRule>
    <cfRule type="containsText" dxfId="9456" priority="6498" stopIfTrue="1" operator="containsText" text="1. Ergonómico">
      <formula>NOT(ISERROR(SEARCH("1. Ergonómico",E250)))</formula>
    </cfRule>
    <cfRule type="containsText" dxfId="9455" priority="6496" stopIfTrue="1" operator="containsText" text="3. Locativo">
      <formula>NOT(ISERROR(SEARCH("3. Locativo",E250)))</formula>
    </cfRule>
  </conditionalFormatting>
  <conditionalFormatting sqref="E251:E252">
    <cfRule type="containsText" dxfId="9454" priority="6532" stopIfTrue="1" operator="containsText" text="Trabajo de alto riesgo">
      <formula>NOT(ISERROR(SEARCH("Trabajo de alto riesgo",E251)))</formula>
    </cfRule>
    <cfRule type="containsText" dxfId="9453" priority="6534" stopIfTrue="1" operator="containsText" text="Eléctrico">
      <formula>NOT(ISERROR(SEARCH("Eléctrico",E251)))</formula>
    </cfRule>
    <cfRule type="containsText" dxfId="9452" priority="6533" stopIfTrue="1" operator="containsText" text="Físico-químico">
      <formula>NOT(ISERROR(SEARCH("Físico-químico",E251)))</formula>
    </cfRule>
    <cfRule type="containsText" dxfId="9451" priority="6535" stopIfTrue="1" operator="containsText" text="Físico">
      <formula>NOT(ISERROR(SEARCH("Físico",E251)))</formula>
    </cfRule>
    <cfRule type="containsText" dxfId="9450" priority="6536" stopIfTrue="1" operator="containsText" text="4. Químico">
      <formula>NOT(ISERROR(SEARCH("4. Químico",E251)))</formula>
    </cfRule>
    <cfRule type="containsText" dxfId="9449" priority="6531" stopIfTrue="1" operator="containsText" text="Biológico">
      <formula>NOT(ISERROR(SEARCH("Biológico",E251)))</formula>
    </cfRule>
    <cfRule type="containsText" dxfId="9448" priority="6530" stopIfTrue="1" operator="containsText" text="Psicosocial">
      <formula>NOT(ISERROR(SEARCH("Psicosocial",E251)))</formula>
    </cfRule>
    <cfRule type="containsText" dxfId="9447" priority="6529" stopIfTrue="1" operator="containsText" text="Público">
      <formula>NOT(ISERROR(SEARCH("Público",E251)))</formula>
    </cfRule>
    <cfRule type="containsText" dxfId="9446" priority="6537" stopIfTrue="1" operator="containsText" text="3. Locativo">
      <formula>NOT(ISERROR(SEARCH("3. Locativo",E251)))</formula>
    </cfRule>
    <cfRule type="containsText" dxfId="9445" priority="6538" stopIfTrue="1" operator="containsText" text="2. Mecánico">
      <formula>NOT(ISERROR(SEARCH("2. Mecánico",E251)))</formula>
    </cfRule>
    <cfRule type="containsText" dxfId="9444" priority="6539" stopIfTrue="1" operator="containsText" text="1. Ergonómico">
      <formula>NOT(ISERROR(SEARCH("1. Ergonómico",E251)))</formula>
    </cfRule>
  </conditionalFormatting>
  <conditionalFormatting sqref="E253">
    <cfRule type="containsText" dxfId="9443" priority="6627" stopIfTrue="1" operator="containsText" text="Biológico">
      <formula>NOT(ISERROR(SEARCH("Biológico",E253)))</formula>
    </cfRule>
    <cfRule type="containsText" dxfId="9442" priority="6634" stopIfTrue="1" operator="containsText" text="2. Mecánico">
      <formula>NOT(ISERROR(SEARCH("2. Mecánico",E253)))</formula>
    </cfRule>
    <cfRule type="containsText" dxfId="9441" priority="6632" stopIfTrue="1" operator="containsText" text="4. Químico">
      <formula>NOT(ISERROR(SEARCH("4. Químico",E253)))</formula>
    </cfRule>
    <cfRule type="containsText" dxfId="9440" priority="6635" stopIfTrue="1" operator="containsText" text="1. Ergonómico">
      <formula>NOT(ISERROR(SEARCH("1. Ergonómico",E253)))</formula>
    </cfRule>
    <cfRule type="containsText" dxfId="9439" priority="6633" stopIfTrue="1" operator="containsText" text="3. Locativo">
      <formula>NOT(ISERROR(SEARCH("3. Locativo",E253)))</formula>
    </cfRule>
    <cfRule type="containsText" dxfId="9438" priority="6631" stopIfTrue="1" operator="containsText" text="Físico">
      <formula>NOT(ISERROR(SEARCH("Físico",E253)))</formula>
    </cfRule>
    <cfRule type="containsText" dxfId="9437" priority="6629" stopIfTrue="1" operator="containsText" text="Físico-químico">
      <formula>NOT(ISERROR(SEARCH("Físico-químico",E253)))</formula>
    </cfRule>
    <cfRule type="containsText" dxfId="9436" priority="6625" stopIfTrue="1" operator="containsText" text="Público">
      <formula>NOT(ISERROR(SEARCH("Público",E253)))</formula>
    </cfRule>
    <cfRule type="containsText" dxfId="9435" priority="6626" stopIfTrue="1" operator="containsText" text="Psicosocial">
      <formula>NOT(ISERROR(SEARCH("Psicosocial",E253)))</formula>
    </cfRule>
    <cfRule type="containsText" dxfId="9434" priority="6630" stopIfTrue="1" operator="containsText" text="Eléctrico">
      <formula>NOT(ISERROR(SEARCH("Eléctrico",E253)))</formula>
    </cfRule>
    <cfRule type="containsText" dxfId="9433" priority="6628" stopIfTrue="1" operator="containsText" text="Trabajo de alto riesgo">
      <formula>NOT(ISERROR(SEARCH("Trabajo de alto riesgo",E253)))</formula>
    </cfRule>
  </conditionalFormatting>
  <conditionalFormatting sqref="E254">
    <cfRule type="containsText" dxfId="9432" priority="6573" stopIfTrue="1" operator="containsText" text="Eléctrico">
      <formula>NOT(ISERROR(SEARCH("Eléctrico",E254)))</formula>
    </cfRule>
    <cfRule type="containsText" dxfId="9431" priority="6574" stopIfTrue="1" operator="containsText" text="Físico">
      <formula>NOT(ISERROR(SEARCH("Físico",E254)))</formula>
    </cfRule>
    <cfRule type="containsText" dxfId="9430" priority="6575" stopIfTrue="1" operator="containsText" text="4. Químico">
      <formula>NOT(ISERROR(SEARCH("4. Químico",E254)))</formula>
    </cfRule>
    <cfRule type="containsText" dxfId="9429" priority="6576" stopIfTrue="1" operator="containsText" text="3. Locativo">
      <formula>NOT(ISERROR(SEARCH("3. Locativo",E254)))</formula>
    </cfRule>
    <cfRule type="containsText" dxfId="9428" priority="6578" stopIfTrue="1" operator="containsText" text="1. Ergonómico">
      <formula>NOT(ISERROR(SEARCH("1. Ergonómico",E254)))</formula>
    </cfRule>
    <cfRule type="containsText" dxfId="9427" priority="6577" stopIfTrue="1" operator="containsText" text="2. Mecánico">
      <formula>NOT(ISERROR(SEARCH("2. Mecánico",E254)))</formula>
    </cfRule>
    <cfRule type="containsText" dxfId="9426" priority="6568" stopIfTrue="1" operator="containsText" text="Público">
      <formula>NOT(ISERROR(SEARCH("Público",E254)))</formula>
    </cfRule>
    <cfRule type="containsText" dxfId="9425" priority="6569" stopIfTrue="1" operator="containsText" text="Psicosocial">
      <formula>NOT(ISERROR(SEARCH("Psicosocial",E254)))</formula>
    </cfRule>
    <cfRule type="containsText" dxfId="9424" priority="6570" stopIfTrue="1" operator="containsText" text="Biológico">
      <formula>NOT(ISERROR(SEARCH("Biológico",E254)))</formula>
    </cfRule>
    <cfRule type="containsText" dxfId="9423" priority="6571" stopIfTrue="1" operator="containsText" text="Trabajo de alto riesgo">
      <formula>NOT(ISERROR(SEARCH("Trabajo de alto riesgo",E254)))</formula>
    </cfRule>
    <cfRule type="containsText" dxfId="9422" priority="6572" stopIfTrue="1" operator="containsText" text="Físico-químico">
      <formula>NOT(ISERROR(SEARCH("Físico-químico",E254)))</formula>
    </cfRule>
  </conditionalFormatting>
  <conditionalFormatting sqref="E255">
    <cfRule type="containsText" dxfId="9421" priority="6388" stopIfTrue="1" operator="containsText" text="Eléctrico">
      <formula>NOT(ISERROR(SEARCH("Eléctrico",E255)))</formula>
    </cfRule>
    <cfRule type="containsText" dxfId="9420" priority="6389" stopIfTrue="1" operator="containsText" text="Físico">
      <formula>NOT(ISERROR(SEARCH("Físico",E255)))</formula>
    </cfRule>
    <cfRule type="containsText" dxfId="9419" priority="6386" stopIfTrue="1" operator="containsText" text="Trabajo de alto riesgo">
      <formula>NOT(ISERROR(SEARCH("Trabajo de alto riesgo",E255)))</formula>
    </cfRule>
    <cfRule type="containsText" dxfId="9418" priority="6391" stopIfTrue="1" operator="containsText" text="3. Locativo">
      <formula>NOT(ISERROR(SEARCH("3. Locativo",E255)))</formula>
    </cfRule>
    <cfRule type="containsText" dxfId="9417" priority="6392" stopIfTrue="1" operator="containsText" text="2. Mecánico">
      <formula>NOT(ISERROR(SEARCH("2. Mecánico",E255)))</formula>
    </cfRule>
    <cfRule type="containsText" dxfId="9416" priority="6384" stopIfTrue="1" operator="containsText" text="Psicosocial">
      <formula>NOT(ISERROR(SEARCH("Psicosocial",E255)))</formula>
    </cfRule>
    <cfRule type="containsText" dxfId="9415" priority="6390" stopIfTrue="1" operator="containsText" text="4. Químico">
      <formula>NOT(ISERROR(SEARCH("4. Químico",E255)))</formula>
    </cfRule>
    <cfRule type="containsText" dxfId="9414" priority="6387" stopIfTrue="1" operator="containsText" text="Físico-químico">
      <formula>NOT(ISERROR(SEARCH("Físico-químico",E255)))</formula>
    </cfRule>
    <cfRule type="containsText" dxfId="9413" priority="6393" stopIfTrue="1" operator="containsText" text="1. Ergonómico">
      <formula>NOT(ISERROR(SEARCH("1. Ergonómico",E255)))</formula>
    </cfRule>
    <cfRule type="containsText" dxfId="9412" priority="6383" stopIfTrue="1" operator="containsText" text="Público">
      <formula>NOT(ISERROR(SEARCH("Público",E255)))</formula>
    </cfRule>
    <cfRule type="containsText" dxfId="9411" priority="6385" stopIfTrue="1" operator="containsText" text="Biológico">
      <formula>NOT(ISERROR(SEARCH("Biológico",E255)))</formula>
    </cfRule>
  </conditionalFormatting>
  <conditionalFormatting sqref="E258">
    <cfRule type="containsText" dxfId="9410" priority="6229" stopIfTrue="1" operator="containsText" text="Trabajo de alto riesgo">
      <formula>NOT(ISERROR(SEARCH("Trabajo de alto riesgo",E258)))</formula>
    </cfRule>
    <cfRule type="containsText" dxfId="9409" priority="6230" stopIfTrue="1" operator="containsText" text="Físico-químico">
      <formula>NOT(ISERROR(SEARCH("Físico-químico",E258)))</formula>
    </cfRule>
    <cfRule type="containsText" dxfId="9408" priority="6236" stopIfTrue="1" operator="containsText" text="1. Ergonómico">
      <formula>NOT(ISERROR(SEARCH("1. Ergonómico",E258)))</formula>
    </cfRule>
    <cfRule type="containsText" dxfId="9407" priority="6235" stopIfTrue="1" operator="containsText" text="2. Mecánico">
      <formula>NOT(ISERROR(SEARCH("2. Mecánico",E258)))</formula>
    </cfRule>
    <cfRule type="containsText" dxfId="9406" priority="6226" stopIfTrue="1" operator="containsText" text="Público">
      <formula>NOT(ISERROR(SEARCH("Público",E258)))</formula>
    </cfRule>
    <cfRule type="containsText" dxfId="9405" priority="6232" stopIfTrue="1" operator="containsText" text="Físico">
      <formula>NOT(ISERROR(SEARCH("Físico",E258)))</formula>
    </cfRule>
    <cfRule type="containsText" dxfId="9404" priority="6233" stopIfTrue="1" operator="containsText" text="4. Químico">
      <formula>NOT(ISERROR(SEARCH("4. Químico",E258)))</formula>
    </cfRule>
    <cfRule type="containsText" dxfId="9403" priority="6231" stopIfTrue="1" operator="containsText" text="Eléctrico">
      <formula>NOT(ISERROR(SEARCH("Eléctrico",E258)))</formula>
    </cfRule>
    <cfRule type="containsText" dxfId="9402" priority="6234" stopIfTrue="1" operator="containsText" text="3. Locativo">
      <formula>NOT(ISERROR(SEARCH("3. Locativo",E258)))</formula>
    </cfRule>
    <cfRule type="containsText" dxfId="9401" priority="6228" stopIfTrue="1" operator="containsText" text="Biológico">
      <formula>NOT(ISERROR(SEARCH("Biológico",E258)))</formula>
    </cfRule>
    <cfRule type="containsText" dxfId="9400" priority="6227" stopIfTrue="1" operator="containsText" text="Psicosocial">
      <formula>NOT(ISERROR(SEARCH("Psicosocial",E258)))</formula>
    </cfRule>
  </conditionalFormatting>
  <conditionalFormatting sqref="E261">
    <cfRule type="containsText" dxfId="9399" priority="6186" stopIfTrue="1" operator="containsText" text="4. Químico">
      <formula>NOT(ISERROR(SEARCH("4. Químico",E261)))</formula>
    </cfRule>
    <cfRule type="containsText" dxfId="9398" priority="6189" stopIfTrue="1" operator="containsText" text="1. Ergonómico">
      <formula>NOT(ISERROR(SEARCH("1. Ergonómico",E261)))</formula>
    </cfRule>
    <cfRule type="containsText" dxfId="9397" priority="6188" stopIfTrue="1" operator="containsText" text="2. Mecánico">
      <formula>NOT(ISERROR(SEARCH("2. Mecánico",E261)))</formula>
    </cfRule>
    <cfRule type="containsText" dxfId="9396" priority="6187" stopIfTrue="1" operator="containsText" text="3. Locativo">
      <formula>NOT(ISERROR(SEARCH("3. Locativo",E261)))</formula>
    </cfRule>
    <cfRule type="containsText" dxfId="9395" priority="6184" stopIfTrue="1" operator="containsText" text="Eléctrico">
      <formula>NOT(ISERROR(SEARCH("Eléctrico",E261)))</formula>
    </cfRule>
    <cfRule type="containsText" dxfId="9394" priority="6183" stopIfTrue="1" operator="containsText" text="Físico-químico">
      <formula>NOT(ISERROR(SEARCH("Físico-químico",E261)))</formula>
    </cfRule>
    <cfRule type="containsText" dxfId="9393" priority="6182" stopIfTrue="1" operator="containsText" text="Trabajo de alto riesgo">
      <formula>NOT(ISERROR(SEARCH("Trabajo de alto riesgo",E261)))</formula>
    </cfRule>
    <cfRule type="containsText" dxfId="9392" priority="6181" stopIfTrue="1" operator="containsText" text="Biológico">
      <formula>NOT(ISERROR(SEARCH("Biológico",E261)))</formula>
    </cfRule>
    <cfRule type="containsText" dxfId="9391" priority="6185" stopIfTrue="1" operator="containsText" text="Físico">
      <formula>NOT(ISERROR(SEARCH("Físico",E261)))</formula>
    </cfRule>
    <cfRule type="containsText" dxfId="9390" priority="6180" stopIfTrue="1" operator="containsText" text="Psicosocial">
      <formula>NOT(ISERROR(SEARCH("Psicosocial",E261)))</formula>
    </cfRule>
    <cfRule type="containsText" dxfId="9389" priority="6179" stopIfTrue="1" operator="containsText" text="Público">
      <formula>NOT(ISERROR(SEARCH("Público",E261)))</formula>
    </cfRule>
  </conditionalFormatting>
  <conditionalFormatting sqref="E262">
    <cfRule type="containsText" dxfId="9388" priority="6272" stopIfTrue="1" operator="containsText" text="Psicosocial">
      <formula>NOT(ISERROR(SEARCH("Psicosocial",E262)))</formula>
    </cfRule>
    <cfRule type="containsText" dxfId="9387" priority="6274" stopIfTrue="1" operator="containsText" text="Trabajo de alto riesgo">
      <formula>NOT(ISERROR(SEARCH("Trabajo de alto riesgo",E262)))</formula>
    </cfRule>
    <cfRule type="containsText" dxfId="9386" priority="6279" stopIfTrue="1" operator="containsText" text="3. Locativo">
      <formula>NOT(ISERROR(SEARCH("3. Locativo",E262)))</formula>
    </cfRule>
    <cfRule type="containsText" dxfId="9385" priority="6278" stopIfTrue="1" operator="containsText" text="4. Químico">
      <formula>NOT(ISERROR(SEARCH("4. Químico",E262)))</formula>
    </cfRule>
    <cfRule type="containsText" dxfId="9384" priority="6277" stopIfTrue="1" operator="containsText" text="Físico">
      <formula>NOT(ISERROR(SEARCH("Físico",E262)))</formula>
    </cfRule>
    <cfRule type="containsText" dxfId="9383" priority="6275" stopIfTrue="1" operator="containsText" text="Físico-químico">
      <formula>NOT(ISERROR(SEARCH("Físico-químico",E262)))</formula>
    </cfRule>
    <cfRule type="containsText" dxfId="9382" priority="6281" stopIfTrue="1" operator="containsText" text="1. Ergonómico">
      <formula>NOT(ISERROR(SEARCH("1. Ergonómico",E262)))</formula>
    </cfRule>
    <cfRule type="containsText" dxfId="9381" priority="6271" stopIfTrue="1" operator="containsText" text="Público">
      <formula>NOT(ISERROR(SEARCH("Público",E262)))</formula>
    </cfRule>
    <cfRule type="containsText" dxfId="9380" priority="6276" stopIfTrue="1" operator="containsText" text="Eléctrico">
      <formula>NOT(ISERROR(SEARCH("Eléctrico",E262)))</formula>
    </cfRule>
    <cfRule type="containsText" dxfId="9379" priority="6273" stopIfTrue="1" operator="containsText" text="Biológico">
      <formula>NOT(ISERROR(SEARCH("Biológico",E262)))</formula>
    </cfRule>
    <cfRule type="containsText" dxfId="9378" priority="6280" stopIfTrue="1" operator="containsText" text="2. Mecánico">
      <formula>NOT(ISERROR(SEARCH("2. Mecánico",E262)))</formula>
    </cfRule>
  </conditionalFormatting>
  <conditionalFormatting sqref="E263">
    <cfRule type="containsText" dxfId="9377" priority="6139" stopIfTrue="1" operator="containsText" text="Eléctrico">
      <formula>NOT(ISERROR(SEARCH("Eléctrico",E263)))</formula>
    </cfRule>
    <cfRule type="containsText" dxfId="9376" priority="6134" stopIfTrue="1" operator="containsText" text="Público">
      <formula>NOT(ISERROR(SEARCH("Público",E263)))</formula>
    </cfRule>
    <cfRule type="containsText" dxfId="9375" priority="6144" stopIfTrue="1" operator="containsText" text="1. Ergonómico">
      <formula>NOT(ISERROR(SEARCH("1. Ergonómico",E263)))</formula>
    </cfRule>
    <cfRule type="containsText" dxfId="9374" priority="6142" stopIfTrue="1" operator="containsText" text="3. Locativo">
      <formula>NOT(ISERROR(SEARCH("3. Locativo",E263)))</formula>
    </cfRule>
    <cfRule type="containsText" dxfId="9373" priority="6140" stopIfTrue="1" operator="containsText" text="Físico">
      <formula>NOT(ISERROR(SEARCH("Físico",E263)))</formula>
    </cfRule>
    <cfRule type="containsText" dxfId="9372" priority="6137" stopIfTrue="1" operator="containsText" text="Trabajo de alto riesgo">
      <formula>NOT(ISERROR(SEARCH("Trabajo de alto riesgo",E263)))</formula>
    </cfRule>
    <cfRule type="containsText" dxfId="9371" priority="6136" stopIfTrue="1" operator="containsText" text="Biológico">
      <formula>NOT(ISERROR(SEARCH("Biológico",E263)))</formula>
    </cfRule>
    <cfRule type="containsText" dxfId="9370" priority="6143" stopIfTrue="1" operator="containsText" text="2. Mecánico">
      <formula>NOT(ISERROR(SEARCH("2. Mecánico",E263)))</formula>
    </cfRule>
    <cfRule type="containsText" dxfId="9369" priority="6135" stopIfTrue="1" operator="containsText" text="Psicosocial">
      <formula>NOT(ISERROR(SEARCH("Psicosocial",E263)))</formula>
    </cfRule>
    <cfRule type="containsText" dxfId="9368" priority="6141" stopIfTrue="1" operator="containsText" text="4. Químico">
      <formula>NOT(ISERROR(SEARCH("4. Químico",E263)))</formula>
    </cfRule>
    <cfRule type="containsText" dxfId="9367" priority="6138" stopIfTrue="1" operator="containsText" text="Físico-químico">
      <formula>NOT(ISERROR(SEARCH("Físico-químico",E263)))</formula>
    </cfRule>
  </conditionalFormatting>
  <conditionalFormatting sqref="E264">
    <cfRule type="containsText" dxfId="9366" priority="5959" stopIfTrue="1" operator="containsText" text="3. Locativo">
      <formula>NOT(ISERROR(SEARCH("3. Locativo",E264)))</formula>
    </cfRule>
    <cfRule type="containsText" dxfId="9365" priority="5953" stopIfTrue="1" operator="containsText" text="Biológico">
      <formula>NOT(ISERROR(SEARCH("Biológico",E264)))</formula>
    </cfRule>
    <cfRule type="containsText" dxfId="9364" priority="5961" stopIfTrue="1" operator="containsText" text="1. Ergonómico">
      <formula>NOT(ISERROR(SEARCH("1. Ergonómico",E264)))</formula>
    </cfRule>
    <cfRule type="containsText" dxfId="9363" priority="5951" stopIfTrue="1" operator="containsText" text="Público">
      <formula>NOT(ISERROR(SEARCH("Público",E264)))</formula>
    </cfRule>
    <cfRule type="containsText" dxfId="9362" priority="5954" stopIfTrue="1" operator="containsText" text="Trabajo de alto riesgo">
      <formula>NOT(ISERROR(SEARCH("Trabajo de alto riesgo",E264)))</formula>
    </cfRule>
    <cfRule type="containsText" dxfId="9361" priority="5960" stopIfTrue="1" operator="containsText" text="2. Mecánico">
      <formula>NOT(ISERROR(SEARCH("2. Mecánico",E264)))</formula>
    </cfRule>
    <cfRule type="containsText" dxfId="9360" priority="5955" stopIfTrue="1" operator="containsText" text="Físico-químico">
      <formula>NOT(ISERROR(SEARCH("Físico-químico",E264)))</formula>
    </cfRule>
    <cfRule type="containsText" dxfId="9359" priority="5958" stopIfTrue="1" operator="containsText" text="4. Químico">
      <formula>NOT(ISERROR(SEARCH("4. Químico",E264)))</formula>
    </cfRule>
    <cfRule type="containsText" dxfId="9358" priority="5956" stopIfTrue="1" operator="containsText" text="Eléctrico">
      <formula>NOT(ISERROR(SEARCH("Eléctrico",E264)))</formula>
    </cfRule>
    <cfRule type="containsText" dxfId="9357" priority="5952" stopIfTrue="1" operator="containsText" text="Psicosocial">
      <formula>NOT(ISERROR(SEARCH("Psicosocial",E264)))</formula>
    </cfRule>
    <cfRule type="containsText" dxfId="9356" priority="5957" stopIfTrue="1" operator="containsText" text="Físico">
      <formula>NOT(ISERROR(SEARCH("Físico",E264)))</formula>
    </cfRule>
  </conditionalFormatting>
  <conditionalFormatting sqref="E265">
    <cfRule type="containsText" dxfId="9355" priority="6290" stopIfTrue="1" operator="containsText" text="Físico-químico">
      <formula>NOT(ISERROR(SEARCH("Físico-químico",E265)))</formula>
    </cfRule>
    <cfRule type="containsText" dxfId="9354" priority="6291" stopIfTrue="1" operator="containsText" text="Eléctrico">
      <formula>NOT(ISERROR(SEARCH("Eléctrico",E265)))</formula>
    </cfRule>
    <cfRule type="containsText" dxfId="9353" priority="6292" stopIfTrue="1" operator="containsText" text="Físico">
      <formula>NOT(ISERROR(SEARCH("Físico",E265)))</formula>
    </cfRule>
    <cfRule type="containsText" dxfId="9352" priority="6293" stopIfTrue="1" operator="containsText" text="4. Químico">
      <formula>NOT(ISERROR(SEARCH("4. Químico",E265)))</formula>
    </cfRule>
    <cfRule type="containsText" dxfId="9351" priority="6294" stopIfTrue="1" operator="containsText" text="3. Locativo">
      <formula>NOT(ISERROR(SEARCH("3. Locativo",E265)))</formula>
    </cfRule>
    <cfRule type="containsText" dxfId="9350" priority="6295" stopIfTrue="1" operator="containsText" text="2. Mecánico">
      <formula>NOT(ISERROR(SEARCH("2. Mecánico",E265)))</formula>
    </cfRule>
    <cfRule type="containsText" dxfId="9349" priority="6296" stopIfTrue="1" operator="containsText" text="1. Ergonómico">
      <formula>NOT(ISERROR(SEARCH("1. Ergonómico",E265)))</formula>
    </cfRule>
    <cfRule type="containsText" dxfId="9348" priority="6286" stopIfTrue="1" operator="containsText" text="Público">
      <formula>NOT(ISERROR(SEARCH("Público",E265)))</formula>
    </cfRule>
    <cfRule type="containsText" dxfId="9347" priority="6287" stopIfTrue="1" operator="containsText" text="Psicosocial">
      <formula>NOT(ISERROR(SEARCH("Psicosocial",E265)))</formula>
    </cfRule>
    <cfRule type="containsText" dxfId="9346" priority="6288" stopIfTrue="1" operator="containsText" text="Biológico">
      <formula>NOT(ISERROR(SEARCH("Biológico",E265)))</formula>
    </cfRule>
    <cfRule type="containsText" dxfId="9345" priority="6289" stopIfTrue="1" operator="containsText" text="Trabajo de alto riesgo">
      <formula>NOT(ISERROR(SEARCH("Trabajo de alto riesgo",E265)))</formula>
    </cfRule>
  </conditionalFormatting>
  <conditionalFormatting sqref="E266">
    <cfRule type="containsText" dxfId="9344" priority="6059" stopIfTrue="1" operator="containsText" text="1. Ergonómico">
      <formula>NOT(ISERROR(SEARCH("1. Ergonómico",E266)))</formula>
    </cfRule>
    <cfRule type="containsText" dxfId="9343" priority="6050" stopIfTrue="1" operator="containsText" text="Psicosocial">
      <formula>NOT(ISERROR(SEARCH("Psicosocial",E266)))</formula>
    </cfRule>
    <cfRule type="containsText" dxfId="9342" priority="6058" stopIfTrue="1" operator="containsText" text="2. Mecánico">
      <formula>NOT(ISERROR(SEARCH("2. Mecánico",E266)))</formula>
    </cfRule>
    <cfRule type="containsText" dxfId="9341" priority="6056" stopIfTrue="1" operator="containsText" text="4. Químico">
      <formula>NOT(ISERROR(SEARCH("4. Químico",E266)))</formula>
    </cfRule>
    <cfRule type="containsText" dxfId="9340" priority="6055" stopIfTrue="1" operator="containsText" text="Físico">
      <formula>NOT(ISERROR(SEARCH("Físico",E266)))</formula>
    </cfRule>
    <cfRule type="containsText" dxfId="9339" priority="6051" stopIfTrue="1" operator="containsText" text="Biológico">
      <formula>NOT(ISERROR(SEARCH("Biológico",E266)))</formula>
    </cfRule>
    <cfRule type="containsText" dxfId="9338" priority="6052" stopIfTrue="1" operator="containsText" text="Trabajo de alto riesgo">
      <formula>NOT(ISERROR(SEARCH("Trabajo de alto riesgo",E266)))</formula>
    </cfRule>
    <cfRule type="containsText" dxfId="9337" priority="6053" stopIfTrue="1" operator="containsText" text="Físico-químico">
      <formula>NOT(ISERROR(SEARCH("Físico-químico",E266)))</formula>
    </cfRule>
    <cfRule type="containsText" dxfId="9336" priority="6054" stopIfTrue="1" operator="containsText" text="Eléctrico">
      <formula>NOT(ISERROR(SEARCH("Eléctrico",E266)))</formula>
    </cfRule>
    <cfRule type="containsText" dxfId="9335" priority="6057" stopIfTrue="1" operator="containsText" text="3. Locativo">
      <formula>NOT(ISERROR(SEARCH("3. Locativo",E266)))</formula>
    </cfRule>
    <cfRule type="containsText" dxfId="9334" priority="6049" stopIfTrue="1" operator="containsText" text="Público">
      <formula>NOT(ISERROR(SEARCH("Público",E266)))</formula>
    </cfRule>
  </conditionalFormatting>
  <conditionalFormatting sqref="E267">
    <cfRule type="containsText" dxfId="9333" priority="5998" stopIfTrue="1" operator="containsText" text="Físico">
      <formula>NOT(ISERROR(SEARCH("Físico",E267)))</formula>
    </cfRule>
    <cfRule type="containsText" dxfId="9332" priority="5999" stopIfTrue="1" operator="containsText" text="4. Químico">
      <formula>NOT(ISERROR(SEARCH("4. Químico",E267)))</formula>
    </cfRule>
    <cfRule type="containsText" dxfId="9331" priority="6000" stopIfTrue="1" operator="containsText" text="3. Locativo">
      <formula>NOT(ISERROR(SEARCH("3. Locativo",E267)))</formula>
    </cfRule>
    <cfRule type="containsText" dxfId="9330" priority="6001" stopIfTrue="1" operator="containsText" text="2. Mecánico">
      <formula>NOT(ISERROR(SEARCH("2. Mecánico",E267)))</formula>
    </cfRule>
    <cfRule type="containsText" dxfId="9329" priority="5997" stopIfTrue="1" operator="containsText" text="Eléctrico">
      <formula>NOT(ISERROR(SEARCH("Eléctrico",E267)))</formula>
    </cfRule>
    <cfRule type="containsText" dxfId="9328" priority="5996" stopIfTrue="1" operator="containsText" text="Físico-químico">
      <formula>NOT(ISERROR(SEARCH("Físico-químico",E267)))</formula>
    </cfRule>
    <cfRule type="containsText" dxfId="9327" priority="5992" stopIfTrue="1" operator="containsText" text="Público">
      <formula>NOT(ISERROR(SEARCH("Público",E267)))</formula>
    </cfRule>
    <cfRule type="containsText" dxfId="9326" priority="5993" stopIfTrue="1" operator="containsText" text="Psicosocial">
      <formula>NOT(ISERROR(SEARCH("Psicosocial",E267)))</formula>
    </cfRule>
    <cfRule type="containsText" dxfId="9325" priority="5994" stopIfTrue="1" operator="containsText" text="Biológico">
      <formula>NOT(ISERROR(SEARCH("Biológico",E267)))</formula>
    </cfRule>
    <cfRule type="containsText" dxfId="9324" priority="5995" stopIfTrue="1" operator="containsText" text="Trabajo de alto riesgo">
      <formula>NOT(ISERROR(SEARCH("Trabajo de alto riesgo",E267)))</formula>
    </cfRule>
    <cfRule type="containsText" dxfId="9323" priority="6002" stopIfTrue="1" operator="containsText" text="1. Ergonómico">
      <formula>NOT(ISERROR(SEARCH("1. Ergonómico",E267)))</formula>
    </cfRule>
  </conditionalFormatting>
  <conditionalFormatting sqref="E270">
    <cfRule type="containsText" dxfId="9322" priority="5749" stopIfTrue="1" operator="containsText" text="Biológico">
      <formula>NOT(ISERROR(SEARCH("Biológico",E270)))</formula>
    </cfRule>
    <cfRule type="containsText" dxfId="9321" priority="5750" stopIfTrue="1" operator="containsText" text="Trabajo de alto riesgo">
      <formula>NOT(ISERROR(SEARCH("Trabajo de alto riesgo",E270)))</formula>
    </cfRule>
    <cfRule type="containsText" dxfId="9320" priority="5751" stopIfTrue="1" operator="containsText" text="Físico-químico">
      <formula>NOT(ISERROR(SEARCH("Físico-químico",E270)))</formula>
    </cfRule>
    <cfRule type="containsText" dxfId="9319" priority="5755" stopIfTrue="1" operator="containsText" text="3. Locativo">
      <formula>NOT(ISERROR(SEARCH("3. Locativo",E270)))</formula>
    </cfRule>
    <cfRule type="containsText" dxfId="9318" priority="5752" stopIfTrue="1" operator="containsText" text="Eléctrico">
      <formula>NOT(ISERROR(SEARCH("Eléctrico",E270)))</formula>
    </cfRule>
    <cfRule type="containsText" dxfId="9317" priority="5757" stopIfTrue="1" operator="containsText" text="1. Ergonómico">
      <formula>NOT(ISERROR(SEARCH("1. Ergonómico",E270)))</formula>
    </cfRule>
    <cfRule type="containsText" dxfId="9316" priority="5754" stopIfTrue="1" operator="containsText" text="4. Químico">
      <formula>NOT(ISERROR(SEARCH("4. Químico",E270)))</formula>
    </cfRule>
    <cfRule type="containsText" dxfId="9315" priority="5748" stopIfTrue="1" operator="containsText" text="Psicosocial">
      <formula>NOT(ISERROR(SEARCH("Psicosocial",E270)))</formula>
    </cfRule>
    <cfRule type="containsText" dxfId="9314" priority="5747" stopIfTrue="1" operator="containsText" text="Público">
      <formula>NOT(ISERROR(SEARCH("Público",E270)))</formula>
    </cfRule>
    <cfRule type="containsText" dxfId="9313" priority="5756" stopIfTrue="1" operator="containsText" text="2. Mecánico">
      <formula>NOT(ISERROR(SEARCH("2. Mecánico",E270)))</formula>
    </cfRule>
    <cfRule type="containsText" dxfId="9312" priority="5753" stopIfTrue="1" operator="containsText" text="Físico">
      <formula>NOT(ISERROR(SEARCH("Físico",E270)))</formula>
    </cfRule>
  </conditionalFormatting>
  <conditionalFormatting sqref="E273">
    <cfRule type="containsText" dxfId="9311" priority="5700" stopIfTrue="1" operator="containsText" text="Público">
      <formula>NOT(ISERROR(SEARCH("Público",E273)))</formula>
    </cfRule>
    <cfRule type="containsText" dxfId="9310" priority="5701" stopIfTrue="1" operator="containsText" text="Psicosocial">
      <formula>NOT(ISERROR(SEARCH("Psicosocial",E273)))</formula>
    </cfRule>
    <cfRule type="containsText" dxfId="9309" priority="5702" stopIfTrue="1" operator="containsText" text="Biológico">
      <formula>NOT(ISERROR(SEARCH("Biológico",E273)))</formula>
    </cfRule>
    <cfRule type="containsText" dxfId="9308" priority="5707" stopIfTrue="1" operator="containsText" text="4. Químico">
      <formula>NOT(ISERROR(SEARCH("4. Químico",E273)))</formula>
    </cfRule>
    <cfRule type="containsText" dxfId="9307" priority="5708" stopIfTrue="1" operator="containsText" text="3. Locativo">
      <formula>NOT(ISERROR(SEARCH("3. Locativo",E273)))</formula>
    </cfRule>
    <cfRule type="containsText" dxfId="9306" priority="5705" stopIfTrue="1" operator="containsText" text="Eléctrico">
      <formula>NOT(ISERROR(SEARCH("Eléctrico",E273)))</formula>
    </cfRule>
    <cfRule type="containsText" dxfId="9305" priority="5706" stopIfTrue="1" operator="containsText" text="Físico">
      <formula>NOT(ISERROR(SEARCH("Físico",E273)))</formula>
    </cfRule>
    <cfRule type="containsText" dxfId="9304" priority="5709" stopIfTrue="1" operator="containsText" text="2. Mecánico">
      <formula>NOT(ISERROR(SEARCH("2. Mecánico",E273)))</formula>
    </cfRule>
    <cfRule type="containsText" dxfId="9303" priority="5710" stopIfTrue="1" operator="containsText" text="1. Ergonómico">
      <formula>NOT(ISERROR(SEARCH("1. Ergonómico",E273)))</formula>
    </cfRule>
    <cfRule type="containsText" dxfId="9302" priority="5704" stopIfTrue="1" operator="containsText" text="Físico-químico">
      <formula>NOT(ISERROR(SEARCH("Físico-químico",E273)))</formula>
    </cfRule>
    <cfRule type="containsText" dxfId="9301" priority="5703" stopIfTrue="1" operator="containsText" text="Trabajo de alto riesgo">
      <formula>NOT(ISERROR(SEARCH("Trabajo de alto riesgo",E273)))</formula>
    </cfRule>
  </conditionalFormatting>
  <conditionalFormatting sqref="E274">
    <cfRule type="containsText" dxfId="9300" priority="5796" stopIfTrue="1" operator="containsText" text="Físico-químico">
      <formula>NOT(ISERROR(SEARCH("Físico-químico",E274)))</formula>
    </cfRule>
    <cfRule type="containsText" dxfId="9299" priority="5793" stopIfTrue="1" operator="containsText" text="Psicosocial">
      <formula>NOT(ISERROR(SEARCH("Psicosocial",E274)))</formula>
    </cfRule>
    <cfRule type="containsText" dxfId="9298" priority="5795" stopIfTrue="1" operator="containsText" text="Trabajo de alto riesgo">
      <formula>NOT(ISERROR(SEARCH("Trabajo de alto riesgo",E274)))</formula>
    </cfRule>
    <cfRule type="containsText" dxfId="9297" priority="5794" stopIfTrue="1" operator="containsText" text="Biológico">
      <formula>NOT(ISERROR(SEARCH("Biológico",E274)))</formula>
    </cfRule>
    <cfRule type="containsText" dxfId="9296" priority="5798" stopIfTrue="1" operator="containsText" text="Físico">
      <formula>NOT(ISERROR(SEARCH("Físico",E274)))</formula>
    </cfRule>
    <cfRule type="containsText" dxfId="9295" priority="5792" stopIfTrue="1" operator="containsText" text="Público">
      <formula>NOT(ISERROR(SEARCH("Público",E274)))</formula>
    </cfRule>
    <cfRule type="containsText" dxfId="9294" priority="5802" stopIfTrue="1" operator="containsText" text="1. Ergonómico">
      <formula>NOT(ISERROR(SEARCH("1. Ergonómico",E274)))</formula>
    </cfRule>
    <cfRule type="containsText" dxfId="9293" priority="5801" stopIfTrue="1" operator="containsText" text="2. Mecánico">
      <formula>NOT(ISERROR(SEARCH("2. Mecánico",E274)))</formula>
    </cfRule>
    <cfRule type="containsText" dxfId="9292" priority="5800" stopIfTrue="1" operator="containsText" text="3. Locativo">
      <formula>NOT(ISERROR(SEARCH("3. Locativo",E274)))</formula>
    </cfRule>
    <cfRule type="containsText" dxfId="9291" priority="5799" stopIfTrue="1" operator="containsText" text="4. Químico">
      <formula>NOT(ISERROR(SEARCH("4. Químico",E274)))</formula>
    </cfRule>
    <cfRule type="containsText" dxfId="9290" priority="5797" stopIfTrue="1" operator="containsText" text="Eléctrico">
      <formula>NOT(ISERROR(SEARCH("Eléctrico",E274)))</formula>
    </cfRule>
  </conditionalFormatting>
  <conditionalFormatting sqref="E275">
    <cfRule type="containsText" dxfId="9289" priority="5659" stopIfTrue="1" operator="containsText" text="Físico-químico">
      <formula>NOT(ISERROR(SEARCH("Físico-químico",E275)))</formula>
    </cfRule>
    <cfRule type="containsText" dxfId="9288" priority="5658" stopIfTrue="1" operator="containsText" text="Trabajo de alto riesgo">
      <formula>NOT(ISERROR(SEARCH("Trabajo de alto riesgo",E275)))</formula>
    </cfRule>
    <cfRule type="containsText" dxfId="9287" priority="5657" stopIfTrue="1" operator="containsText" text="Biológico">
      <formula>NOT(ISERROR(SEARCH("Biológico",E275)))</formula>
    </cfRule>
    <cfRule type="containsText" dxfId="9286" priority="5656" stopIfTrue="1" operator="containsText" text="Psicosocial">
      <formula>NOT(ISERROR(SEARCH("Psicosocial",E275)))</formula>
    </cfRule>
    <cfRule type="containsText" dxfId="9285" priority="5655" stopIfTrue="1" operator="containsText" text="Público">
      <formula>NOT(ISERROR(SEARCH("Público",E275)))</formula>
    </cfRule>
    <cfRule type="containsText" dxfId="9284" priority="5660" stopIfTrue="1" operator="containsText" text="Eléctrico">
      <formula>NOT(ISERROR(SEARCH("Eléctrico",E275)))</formula>
    </cfRule>
    <cfRule type="containsText" dxfId="9283" priority="5665" stopIfTrue="1" operator="containsText" text="1. Ergonómico">
      <formula>NOT(ISERROR(SEARCH("1. Ergonómico",E275)))</formula>
    </cfRule>
    <cfRule type="containsText" dxfId="9282" priority="5664" stopIfTrue="1" operator="containsText" text="2. Mecánico">
      <formula>NOT(ISERROR(SEARCH("2. Mecánico",E275)))</formula>
    </cfRule>
    <cfRule type="containsText" dxfId="9281" priority="5663" stopIfTrue="1" operator="containsText" text="3. Locativo">
      <formula>NOT(ISERROR(SEARCH("3. Locativo",E275)))</formula>
    </cfRule>
    <cfRule type="containsText" dxfId="9280" priority="5662" stopIfTrue="1" operator="containsText" text="4. Químico">
      <formula>NOT(ISERROR(SEARCH("4. Químico",E275)))</formula>
    </cfRule>
    <cfRule type="containsText" dxfId="9279" priority="5661" stopIfTrue="1" operator="containsText" text="Físico">
      <formula>NOT(ISERROR(SEARCH("Físico",E275)))</formula>
    </cfRule>
  </conditionalFormatting>
  <conditionalFormatting sqref="E276">
    <cfRule type="containsText" dxfId="9278" priority="5435" stopIfTrue="1" operator="containsText" text="Biológico">
      <formula>NOT(ISERROR(SEARCH("Biológico",E276)))</formula>
    </cfRule>
    <cfRule type="containsText" dxfId="9277" priority="5439" stopIfTrue="1" operator="containsText" text="Físico">
      <formula>NOT(ISERROR(SEARCH("Físico",E276)))</formula>
    </cfRule>
    <cfRule type="containsText" dxfId="9276" priority="5443" stopIfTrue="1" operator="containsText" text="1. Ergonómico">
      <formula>NOT(ISERROR(SEARCH("1. Ergonómico",E276)))</formula>
    </cfRule>
    <cfRule type="containsText" dxfId="9275" priority="5436" stopIfTrue="1" operator="containsText" text="Trabajo de alto riesgo">
      <formula>NOT(ISERROR(SEARCH("Trabajo de alto riesgo",E276)))</formula>
    </cfRule>
    <cfRule type="containsText" dxfId="9274" priority="5437" stopIfTrue="1" operator="containsText" text="Físico-químico">
      <formula>NOT(ISERROR(SEARCH("Físico-químico",E276)))</formula>
    </cfRule>
    <cfRule type="containsText" dxfId="9273" priority="5442" stopIfTrue="1" operator="containsText" text="2. Mecánico">
      <formula>NOT(ISERROR(SEARCH("2. Mecánico",E276)))</formula>
    </cfRule>
    <cfRule type="containsText" dxfId="9272" priority="5433" stopIfTrue="1" operator="containsText" text="Público">
      <formula>NOT(ISERROR(SEARCH("Público",E276)))</formula>
    </cfRule>
    <cfRule type="containsText" dxfId="9271" priority="5434" stopIfTrue="1" operator="containsText" text="Psicosocial">
      <formula>NOT(ISERROR(SEARCH("Psicosocial",E276)))</formula>
    </cfRule>
    <cfRule type="containsText" dxfId="9270" priority="5441" stopIfTrue="1" operator="containsText" text="3. Locativo">
      <formula>NOT(ISERROR(SEARCH("3. Locativo",E276)))</formula>
    </cfRule>
    <cfRule type="containsText" dxfId="9269" priority="5438" stopIfTrue="1" operator="containsText" text="Eléctrico">
      <formula>NOT(ISERROR(SEARCH("Eléctrico",E276)))</formula>
    </cfRule>
    <cfRule type="containsText" dxfId="9268" priority="5440" stopIfTrue="1" operator="containsText" text="4. Químico">
      <formula>NOT(ISERROR(SEARCH("4. Químico",E276)))</formula>
    </cfRule>
  </conditionalFormatting>
  <conditionalFormatting sqref="E277:E278">
    <cfRule type="containsText" dxfId="9267" priority="5476" stopIfTrue="1" operator="containsText" text="Biológico">
      <formula>NOT(ISERROR(SEARCH("Biológico",E277)))</formula>
    </cfRule>
    <cfRule type="containsText" dxfId="9266" priority="5484" stopIfTrue="1" operator="containsText" text="1. Ergonómico">
      <formula>NOT(ISERROR(SEARCH("1. Ergonómico",E277)))</formula>
    </cfRule>
    <cfRule type="containsText" dxfId="9265" priority="5475" stopIfTrue="1" operator="containsText" text="Psicosocial">
      <formula>NOT(ISERROR(SEARCH("Psicosocial",E277)))</formula>
    </cfRule>
    <cfRule type="containsText" dxfId="9264" priority="5474" stopIfTrue="1" operator="containsText" text="Público">
      <formula>NOT(ISERROR(SEARCH("Público",E277)))</formula>
    </cfRule>
    <cfRule type="containsText" dxfId="9263" priority="5478" stopIfTrue="1" operator="containsText" text="Físico-químico">
      <formula>NOT(ISERROR(SEARCH("Físico-químico",E277)))</formula>
    </cfRule>
    <cfRule type="containsText" dxfId="9262" priority="5483" stopIfTrue="1" operator="containsText" text="2. Mecánico">
      <formula>NOT(ISERROR(SEARCH("2. Mecánico",E277)))</formula>
    </cfRule>
    <cfRule type="containsText" dxfId="9261" priority="5481" stopIfTrue="1" operator="containsText" text="4. Químico">
      <formula>NOT(ISERROR(SEARCH("4. Químico",E277)))</formula>
    </cfRule>
    <cfRule type="containsText" dxfId="9260" priority="5480" stopIfTrue="1" operator="containsText" text="Físico">
      <formula>NOT(ISERROR(SEARCH("Físico",E277)))</formula>
    </cfRule>
    <cfRule type="containsText" dxfId="9259" priority="5477" stopIfTrue="1" operator="containsText" text="Trabajo de alto riesgo">
      <formula>NOT(ISERROR(SEARCH("Trabajo de alto riesgo",E277)))</formula>
    </cfRule>
    <cfRule type="containsText" dxfId="9258" priority="5479" stopIfTrue="1" operator="containsText" text="Eléctrico">
      <formula>NOT(ISERROR(SEARCH("Eléctrico",E277)))</formula>
    </cfRule>
    <cfRule type="containsText" dxfId="9257" priority="5482" stopIfTrue="1" operator="containsText" text="3. Locativo">
      <formula>NOT(ISERROR(SEARCH("3. Locativo",E277)))</formula>
    </cfRule>
  </conditionalFormatting>
  <conditionalFormatting sqref="E279">
    <cfRule type="containsText" dxfId="9256" priority="5571" stopIfTrue="1" operator="containsText" text="Psicosocial">
      <formula>NOT(ISERROR(SEARCH("Psicosocial",E279)))</formula>
    </cfRule>
    <cfRule type="containsText" dxfId="9255" priority="5570" stopIfTrue="1" operator="containsText" text="Público">
      <formula>NOT(ISERROR(SEARCH("Público",E279)))</formula>
    </cfRule>
    <cfRule type="containsText" dxfId="9254" priority="5577" stopIfTrue="1" operator="containsText" text="4. Químico">
      <formula>NOT(ISERROR(SEARCH("4. Químico",E279)))</formula>
    </cfRule>
    <cfRule type="containsText" dxfId="9253" priority="5578" stopIfTrue="1" operator="containsText" text="3. Locativo">
      <formula>NOT(ISERROR(SEARCH("3. Locativo",E279)))</formula>
    </cfRule>
    <cfRule type="containsText" dxfId="9252" priority="5576" stopIfTrue="1" operator="containsText" text="Físico">
      <formula>NOT(ISERROR(SEARCH("Físico",E279)))</formula>
    </cfRule>
    <cfRule type="containsText" dxfId="9251" priority="5579" stopIfTrue="1" operator="containsText" text="2. Mecánico">
      <formula>NOT(ISERROR(SEARCH("2. Mecánico",E279)))</formula>
    </cfRule>
    <cfRule type="containsText" dxfId="9250" priority="5580" stopIfTrue="1" operator="containsText" text="1. Ergonómico">
      <formula>NOT(ISERROR(SEARCH("1. Ergonómico",E279)))</formula>
    </cfRule>
    <cfRule type="containsText" dxfId="9249" priority="5575" stopIfTrue="1" operator="containsText" text="Eléctrico">
      <formula>NOT(ISERROR(SEARCH("Eléctrico",E279)))</formula>
    </cfRule>
    <cfRule type="containsText" dxfId="9248" priority="5574" stopIfTrue="1" operator="containsText" text="Físico-químico">
      <formula>NOT(ISERROR(SEARCH("Físico-químico",E279)))</formula>
    </cfRule>
    <cfRule type="containsText" dxfId="9247" priority="5573" stopIfTrue="1" operator="containsText" text="Trabajo de alto riesgo">
      <formula>NOT(ISERROR(SEARCH("Trabajo de alto riesgo",E279)))</formula>
    </cfRule>
    <cfRule type="containsText" dxfId="9246" priority="5572" stopIfTrue="1" operator="containsText" text="Biológico">
      <formula>NOT(ISERROR(SEARCH("Biológico",E279)))</formula>
    </cfRule>
  </conditionalFormatting>
  <conditionalFormatting sqref="E280">
    <cfRule type="containsText" dxfId="9245" priority="5521" stopIfTrue="1" operator="containsText" text="3. Locativo">
      <formula>NOT(ISERROR(SEARCH("3. Locativo",E280)))</formula>
    </cfRule>
    <cfRule type="containsText" dxfId="9244" priority="5522" stopIfTrue="1" operator="containsText" text="2. Mecánico">
      <formula>NOT(ISERROR(SEARCH("2. Mecánico",E280)))</formula>
    </cfRule>
    <cfRule type="containsText" dxfId="9243" priority="5514" stopIfTrue="1" operator="containsText" text="Psicosocial">
      <formula>NOT(ISERROR(SEARCH("Psicosocial",E280)))</formula>
    </cfRule>
    <cfRule type="containsText" dxfId="9242" priority="5519" stopIfTrue="1" operator="containsText" text="Físico">
      <formula>NOT(ISERROR(SEARCH("Físico",E280)))</formula>
    </cfRule>
    <cfRule type="containsText" dxfId="9241" priority="5520" stopIfTrue="1" operator="containsText" text="4. Químico">
      <formula>NOT(ISERROR(SEARCH("4. Químico",E280)))</formula>
    </cfRule>
    <cfRule type="containsText" dxfId="9240" priority="5518" stopIfTrue="1" operator="containsText" text="Eléctrico">
      <formula>NOT(ISERROR(SEARCH("Eléctrico",E280)))</formula>
    </cfRule>
    <cfRule type="containsText" dxfId="9239" priority="5523" stopIfTrue="1" operator="containsText" text="1. Ergonómico">
      <formula>NOT(ISERROR(SEARCH("1. Ergonómico",E280)))</formula>
    </cfRule>
    <cfRule type="containsText" dxfId="9238" priority="5517" stopIfTrue="1" operator="containsText" text="Físico-químico">
      <formula>NOT(ISERROR(SEARCH("Físico-químico",E280)))</formula>
    </cfRule>
    <cfRule type="containsText" dxfId="9237" priority="5516" stopIfTrue="1" operator="containsText" text="Trabajo de alto riesgo">
      <formula>NOT(ISERROR(SEARCH("Trabajo de alto riesgo",E280)))</formula>
    </cfRule>
    <cfRule type="containsText" dxfId="9236" priority="5513" stopIfTrue="1" operator="containsText" text="Público">
      <formula>NOT(ISERROR(SEARCH("Público",E280)))</formula>
    </cfRule>
    <cfRule type="containsText" dxfId="9235" priority="5515" stopIfTrue="1" operator="containsText" text="Biológico">
      <formula>NOT(ISERROR(SEARCH("Biológico",E280)))</formula>
    </cfRule>
  </conditionalFormatting>
  <conditionalFormatting sqref="E281">
    <cfRule type="containsText" dxfId="9234" priority="5334" stopIfTrue="1" operator="containsText" text="Físico">
      <formula>NOT(ISERROR(SEARCH("Físico",E281)))</formula>
    </cfRule>
    <cfRule type="containsText" dxfId="9233" priority="5335" stopIfTrue="1" operator="containsText" text="4. Químico">
      <formula>NOT(ISERROR(SEARCH("4. Químico",E281)))</formula>
    </cfRule>
    <cfRule type="containsText" dxfId="9232" priority="5336" stopIfTrue="1" operator="containsText" text="3. Locativo">
      <formula>NOT(ISERROR(SEARCH("3. Locativo",E281)))</formula>
    </cfRule>
    <cfRule type="containsText" dxfId="9231" priority="5337" stopIfTrue="1" operator="containsText" text="2. Mecánico">
      <formula>NOT(ISERROR(SEARCH("2. Mecánico",E281)))</formula>
    </cfRule>
    <cfRule type="containsText" dxfId="9230" priority="5338" stopIfTrue="1" operator="containsText" text="1. Ergonómico">
      <formula>NOT(ISERROR(SEARCH("1. Ergonómico",E281)))</formula>
    </cfRule>
    <cfRule type="containsText" dxfId="9229" priority="5333" stopIfTrue="1" operator="containsText" text="Eléctrico">
      <formula>NOT(ISERROR(SEARCH("Eléctrico",E281)))</formula>
    </cfRule>
    <cfRule type="containsText" dxfId="9228" priority="5328" stopIfTrue="1" operator="containsText" text="Público">
      <formula>NOT(ISERROR(SEARCH("Público",E281)))</formula>
    </cfRule>
    <cfRule type="containsText" dxfId="9227" priority="5329" stopIfTrue="1" operator="containsText" text="Psicosocial">
      <formula>NOT(ISERROR(SEARCH("Psicosocial",E281)))</formula>
    </cfRule>
    <cfRule type="containsText" dxfId="9226" priority="5330" stopIfTrue="1" operator="containsText" text="Biológico">
      <formula>NOT(ISERROR(SEARCH("Biológico",E281)))</formula>
    </cfRule>
    <cfRule type="containsText" dxfId="9225" priority="5331" stopIfTrue="1" operator="containsText" text="Trabajo de alto riesgo">
      <formula>NOT(ISERROR(SEARCH("Trabajo de alto riesgo",E281)))</formula>
    </cfRule>
    <cfRule type="containsText" dxfId="9224" priority="5332" stopIfTrue="1" operator="containsText" text="Físico-químico">
      <formula>NOT(ISERROR(SEARCH("Físico-químico",E281)))</formula>
    </cfRule>
  </conditionalFormatting>
  <conditionalFormatting sqref="E284">
    <cfRule type="containsText" dxfId="9223" priority="5188" stopIfTrue="1" operator="containsText" text="Físico-químico">
      <formula>NOT(ISERROR(SEARCH("Físico-químico",E284)))</formula>
    </cfRule>
    <cfRule type="containsText" dxfId="9222" priority="5192" stopIfTrue="1" operator="containsText" text="3. Locativo">
      <formula>NOT(ISERROR(SEARCH("3. Locativo",E284)))</formula>
    </cfRule>
    <cfRule type="containsText" dxfId="9221" priority="5191" stopIfTrue="1" operator="containsText" text="4. Químico">
      <formula>NOT(ISERROR(SEARCH("4. Químico",E284)))</formula>
    </cfRule>
    <cfRule type="containsText" dxfId="9220" priority="5185" stopIfTrue="1" operator="containsText" text="Psicosocial">
      <formula>NOT(ISERROR(SEARCH("Psicosocial",E284)))</formula>
    </cfRule>
    <cfRule type="containsText" dxfId="9219" priority="5189" stopIfTrue="1" operator="containsText" text="Eléctrico">
      <formula>NOT(ISERROR(SEARCH("Eléctrico",E284)))</formula>
    </cfRule>
    <cfRule type="containsText" dxfId="9218" priority="5190" stopIfTrue="1" operator="containsText" text="Físico">
      <formula>NOT(ISERROR(SEARCH("Físico",E284)))</formula>
    </cfRule>
    <cfRule type="containsText" dxfId="9217" priority="5186" stopIfTrue="1" operator="containsText" text="Biológico">
      <formula>NOT(ISERROR(SEARCH("Biológico",E284)))</formula>
    </cfRule>
    <cfRule type="containsText" dxfId="9216" priority="5187" stopIfTrue="1" operator="containsText" text="Trabajo de alto riesgo">
      <formula>NOT(ISERROR(SEARCH("Trabajo de alto riesgo",E284)))</formula>
    </cfRule>
    <cfRule type="containsText" dxfId="9215" priority="5184" stopIfTrue="1" operator="containsText" text="Público">
      <formula>NOT(ISERROR(SEARCH("Público",E284)))</formula>
    </cfRule>
    <cfRule type="containsText" dxfId="9214" priority="5193" stopIfTrue="1" operator="containsText" text="2. Mecánico">
      <formula>NOT(ISERROR(SEARCH("2. Mecánico",E284)))</formula>
    </cfRule>
    <cfRule type="containsText" dxfId="9213" priority="5194" stopIfTrue="1" operator="containsText" text="1. Ergonómico">
      <formula>NOT(ISERROR(SEARCH("1. Ergonómico",E284)))</formula>
    </cfRule>
  </conditionalFormatting>
  <conditionalFormatting sqref="E287">
    <cfRule type="containsText" dxfId="9212" priority="5137" stopIfTrue="1" operator="containsText" text="Público">
      <formula>NOT(ISERROR(SEARCH("Público",E287)))</formula>
    </cfRule>
    <cfRule type="containsText" dxfId="9211" priority="5142" stopIfTrue="1" operator="containsText" text="Eléctrico">
      <formula>NOT(ISERROR(SEARCH("Eléctrico",E287)))</formula>
    </cfRule>
    <cfRule type="containsText" dxfId="9210" priority="5143" stopIfTrue="1" operator="containsText" text="Físico">
      <formula>NOT(ISERROR(SEARCH("Físico",E287)))</formula>
    </cfRule>
    <cfRule type="containsText" dxfId="9209" priority="5144" stopIfTrue="1" operator="containsText" text="4. Químico">
      <formula>NOT(ISERROR(SEARCH("4. Químico",E287)))</formula>
    </cfRule>
    <cfRule type="containsText" dxfId="9208" priority="5145" stopIfTrue="1" operator="containsText" text="3. Locativo">
      <formula>NOT(ISERROR(SEARCH("3. Locativo",E287)))</formula>
    </cfRule>
    <cfRule type="containsText" dxfId="9207" priority="5146" stopIfTrue="1" operator="containsText" text="2. Mecánico">
      <formula>NOT(ISERROR(SEARCH("2. Mecánico",E287)))</formula>
    </cfRule>
    <cfRule type="containsText" dxfId="9206" priority="5147" stopIfTrue="1" operator="containsText" text="1. Ergonómico">
      <formula>NOT(ISERROR(SEARCH("1. Ergonómico",E287)))</formula>
    </cfRule>
    <cfRule type="containsText" dxfId="9205" priority="5140" stopIfTrue="1" operator="containsText" text="Trabajo de alto riesgo">
      <formula>NOT(ISERROR(SEARCH("Trabajo de alto riesgo",E287)))</formula>
    </cfRule>
    <cfRule type="containsText" dxfId="9204" priority="5139" stopIfTrue="1" operator="containsText" text="Biológico">
      <formula>NOT(ISERROR(SEARCH("Biológico",E287)))</formula>
    </cfRule>
    <cfRule type="containsText" dxfId="9203" priority="5138" stopIfTrue="1" operator="containsText" text="Psicosocial">
      <formula>NOT(ISERROR(SEARCH("Psicosocial",E287)))</formula>
    </cfRule>
    <cfRule type="containsText" dxfId="9202" priority="5141" stopIfTrue="1" operator="containsText" text="Físico-químico">
      <formula>NOT(ISERROR(SEARCH("Físico-químico",E287)))</formula>
    </cfRule>
  </conditionalFormatting>
  <conditionalFormatting sqref="E288">
    <cfRule type="containsText" dxfId="9201" priority="5229" stopIfTrue="1" operator="containsText" text="Público">
      <formula>NOT(ISERROR(SEARCH("Público",E288)))</formula>
    </cfRule>
    <cfRule type="containsText" dxfId="9200" priority="5234" stopIfTrue="1" operator="containsText" text="Eléctrico">
      <formula>NOT(ISERROR(SEARCH("Eléctrico",E288)))</formula>
    </cfRule>
    <cfRule type="containsText" dxfId="9199" priority="5235" stopIfTrue="1" operator="containsText" text="Físico">
      <formula>NOT(ISERROR(SEARCH("Físico",E288)))</formula>
    </cfRule>
    <cfRule type="containsText" dxfId="9198" priority="5236" stopIfTrue="1" operator="containsText" text="4. Químico">
      <formula>NOT(ISERROR(SEARCH("4. Químico",E288)))</formula>
    </cfRule>
    <cfRule type="containsText" dxfId="9197" priority="5237" stopIfTrue="1" operator="containsText" text="3. Locativo">
      <formula>NOT(ISERROR(SEARCH("3. Locativo",E288)))</formula>
    </cfRule>
    <cfRule type="containsText" dxfId="9196" priority="5233" stopIfTrue="1" operator="containsText" text="Físico-químico">
      <formula>NOT(ISERROR(SEARCH("Físico-químico",E288)))</formula>
    </cfRule>
    <cfRule type="containsText" dxfId="9195" priority="5232" stopIfTrue="1" operator="containsText" text="Trabajo de alto riesgo">
      <formula>NOT(ISERROR(SEARCH("Trabajo de alto riesgo",E288)))</formula>
    </cfRule>
    <cfRule type="containsText" dxfId="9194" priority="5238" stopIfTrue="1" operator="containsText" text="2. Mecánico">
      <formula>NOT(ISERROR(SEARCH("2. Mecánico",E288)))</formula>
    </cfRule>
    <cfRule type="containsText" dxfId="9193" priority="5239" stopIfTrue="1" operator="containsText" text="1. Ergonómico">
      <formula>NOT(ISERROR(SEARCH("1. Ergonómico",E288)))</formula>
    </cfRule>
    <cfRule type="containsText" dxfId="9192" priority="5231" stopIfTrue="1" operator="containsText" text="Biológico">
      <formula>NOT(ISERROR(SEARCH("Biológico",E288)))</formula>
    </cfRule>
    <cfRule type="containsText" dxfId="9191" priority="5230" stopIfTrue="1" operator="containsText" text="Psicosocial">
      <formula>NOT(ISERROR(SEARCH("Psicosocial",E288)))</formula>
    </cfRule>
  </conditionalFormatting>
  <conditionalFormatting sqref="E289">
    <cfRule type="containsText" dxfId="9190" priority="5097" stopIfTrue="1" operator="containsText" text="Eléctrico">
      <formula>NOT(ISERROR(SEARCH("Eléctrico",E289)))</formula>
    </cfRule>
    <cfRule type="containsText" dxfId="9189" priority="5095" stopIfTrue="1" operator="containsText" text="Trabajo de alto riesgo">
      <formula>NOT(ISERROR(SEARCH("Trabajo de alto riesgo",E289)))</formula>
    </cfRule>
    <cfRule type="containsText" dxfId="9188" priority="5096" stopIfTrue="1" operator="containsText" text="Físico-químico">
      <formula>NOT(ISERROR(SEARCH("Físico-químico",E289)))</formula>
    </cfRule>
    <cfRule type="containsText" dxfId="9187" priority="5100" stopIfTrue="1" operator="containsText" text="3. Locativo">
      <formula>NOT(ISERROR(SEARCH("3. Locativo",E289)))</formula>
    </cfRule>
    <cfRule type="containsText" dxfId="9186" priority="5101" stopIfTrue="1" operator="containsText" text="2. Mecánico">
      <formula>NOT(ISERROR(SEARCH("2. Mecánico",E289)))</formula>
    </cfRule>
    <cfRule type="containsText" dxfId="9185" priority="5102" stopIfTrue="1" operator="containsText" text="1. Ergonómico">
      <formula>NOT(ISERROR(SEARCH("1. Ergonómico",E289)))</formula>
    </cfRule>
    <cfRule type="containsText" dxfId="9184" priority="5094" stopIfTrue="1" operator="containsText" text="Biológico">
      <formula>NOT(ISERROR(SEARCH("Biológico",E289)))</formula>
    </cfRule>
    <cfRule type="containsText" dxfId="9183" priority="5098" stopIfTrue="1" operator="containsText" text="Físico">
      <formula>NOT(ISERROR(SEARCH("Físico",E289)))</formula>
    </cfRule>
    <cfRule type="containsText" dxfId="9182" priority="5099" stopIfTrue="1" operator="containsText" text="4. Químico">
      <formula>NOT(ISERROR(SEARCH("4. Químico",E289)))</formula>
    </cfRule>
    <cfRule type="containsText" dxfId="9181" priority="5092" stopIfTrue="1" operator="containsText" text="Público">
      <formula>NOT(ISERROR(SEARCH("Público",E289)))</formula>
    </cfRule>
    <cfRule type="containsText" dxfId="9180" priority="5093" stopIfTrue="1" operator="containsText" text="Psicosocial">
      <formula>NOT(ISERROR(SEARCH("Psicosocial",E289)))</formula>
    </cfRule>
  </conditionalFormatting>
  <conditionalFormatting sqref="E290">
    <cfRule type="containsText" dxfId="9179" priority="4874" stopIfTrue="1" operator="containsText" text="Físico-químico">
      <formula>NOT(ISERROR(SEARCH("Físico-químico",E290)))</formula>
    </cfRule>
    <cfRule type="containsText" dxfId="9178" priority="4877" stopIfTrue="1" operator="containsText" text="4. Químico">
      <formula>NOT(ISERROR(SEARCH("4. Químico",E290)))</formula>
    </cfRule>
    <cfRule type="containsText" dxfId="9177" priority="4878" stopIfTrue="1" operator="containsText" text="3. Locativo">
      <formula>NOT(ISERROR(SEARCH("3. Locativo",E290)))</formula>
    </cfRule>
    <cfRule type="containsText" dxfId="9176" priority="4880" stopIfTrue="1" operator="containsText" text="1. Ergonómico">
      <formula>NOT(ISERROR(SEARCH("1. Ergonómico",E290)))</formula>
    </cfRule>
    <cfRule type="containsText" dxfId="9175" priority="4879" stopIfTrue="1" operator="containsText" text="2. Mecánico">
      <formula>NOT(ISERROR(SEARCH("2. Mecánico",E290)))</formula>
    </cfRule>
    <cfRule type="containsText" dxfId="9174" priority="4875" stopIfTrue="1" operator="containsText" text="Eléctrico">
      <formula>NOT(ISERROR(SEARCH("Eléctrico",E290)))</formula>
    </cfRule>
    <cfRule type="containsText" dxfId="9173" priority="4873" stopIfTrue="1" operator="containsText" text="Trabajo de alto riesgo">
      <formula>NOT(ISERROR(SEARCH("Trabajo de alto riesgo",E290)))</formula>
    </cfRule>
    <cfRule type="containsText" dxfId="9172" priority="4876" stopIfTrue="1" operator="containsText" text="Físico">
      <formula>NOT(ISERROR(SEARCH("Físico",E290)))</formula>
    </cfRule>
    <cfRule type="containsText" dxfId="9171" priority="4872" stopIfTrue="1" operator="containsText" text="Biológico">
      <formula>NOT(ISERROR(SEARCH("Biológico",E290)))</formula>
    </cfRule>
    <cfRule type="containsText" dxfId="9170" priority="4871" stopIfTrue="1" operator="containsText" text="Psicosocial">
      <formula>NOT(ISERROR(SEARCH("Psicosocial",E290)))</formula>
    </cfRule>
    <cfRule type="containsText" dxfId="9169" priority="4870" stopIfTrue="1" operator="containsText" text="Público">
      <formula>NOT(ISERROR(SEARCH("Público",E290)))</formula>
    </cfRule>
  </conditionalFormatting>
  <conditionalFormatting sqref="E291:E292">
    <cfRule type="containsText" dxfId="9168" priority="4918" stopIfTrue="1" operator="containsText" text="4. Químico">
      <formula>NOT(ISERROR(SEARCH("4. Químico",E291)))</formula>
    </cfRule>
    <cfRule type="containsText" dxfId="9167" priority="4919" stopIfTrue="1" operator="containsText" text="3. Locativo">
      <formula>NOT(ISERROR(SEARCH("3. Locativo",E291)))</formula>
    </cfRule>
    <cfRule type="containsText" dxfId="9166" priority="4921" stopIfTrue="1" operator="containsText" text="1. Ergonómico">
      <formula>NOT(ISERROR(SEARCH("1. Ergonómico",E291)))</formula>
    </cfRule>
    <cfRule type="containsText" dxfId="9165" priority="4911" stopIfTrue="1" operator="containsText" text="Público">
      <formula>NOT(ISERROR(SEARCH("Público",E291)))</formula>
    </cfRule>
    <cfRule type="containsText" dxfId="9164" priority="4912" stopIfTrue="1" operator="containsText" text="Psicosocial">
      <formula>NOT(ISERROR(SEARCH("Psicosocial",E291)))</formula>
    </cfRule>
    <cfRule type="containsText" dxfId="9163" priority="4913" stopIfTrue="1" operator="containsText" text="Biológico">
      <formula>NOT(ISERROR(SEARCH("Biológico",E291)))</formula>
    </cfRule>
    <cfRule type="containsText" dxfId="9162" priority="4914" stopIfTrue="1" operator="containsText" text="Trabajo de alto riesgo">
      <formula>NOT(ISERROR(SEARCH("Trabajo de alto riesgo",E291)))</formula>
    </cfRule>
    <cfRule type="containsText" dxfId="9161" priority="4920" stopIfTrue="1" operator="containsText" text="2. Mecánico">
      <formula>NOT(ISERROR(SEARCH("2. Mecánico",E291)))</formula>
    </cfRule>
    <cfRule type="containsText" dxfId="9160" priority="4915" stopIfTrue="1" operator="containsText" text="Físico-químico">
      <formula>NOT(ISERROR(SEARCH("Físico-químico",E291)))</formula>
    </cfRule>
    <cfRule type="containsText" dxfId="9159" priority="4916" stopIfTrue="1" operator="containsText" text="Eléctrico">
      <formula>NOT(ISERROR(SEARCH("Eléctrico",E291)))</formula>
    </cfRule>
    <cfRule type="containsText" dxfId="9158" priority="4917" stopIfTrue="1" operator="containsText" text="Físico">
      <formula>NOT(ISERROR(SEARCH("Físico",E291)))</formula>
    </cfRule>
  </conditionalFormatting>
  <conditionalFormatting sqref="E293">
    <cfRule type="containsText" dxfId="9157" priority="5011" stopIfTrue="1" operator="containsText" text="Físico-químico">
      <formula>NOT(ISERROR(SEARCH("Físico-químico",E293)))</formula>
    </cfRule>
    <cfRule type="containsText" dxfId="9156" priority="5010" stopIfTrue="1" operator="containsText" text="Trabajo de alto riesgo">
      <formula>NOT(ISERROR(SEARCH("Trabajo de alto riesgo",E293)))</formula>
    </cfRule>
    <cfRule type="containsText" dxfId="9155" priority="5009" stopIfTrue="1" operator="containsText" text="Biológico">
      <formula>NOT(ISERROR(SEARCH("Biológico",E293)))</formula>
    </cfRule>
    <cfRule type="containsText" dxfId="9154" priority="5008" stopIfTrue="1" operator="containsText" text="Psicosocial">
      <formula>NOT(ISERROR(SEARCH("Psicosocial",E293)))</formula>
    </cfRule>
    <cfRule type="containsText" dxfId="9153" priority="5007" stopIfTrue="1" operator="containsText" text="Público">
      <formula>NOT(ISERROR(SEARCH("Público",E293)))</formula>
    </cfRule>
    <cfRule type="containsText" dxfId="9152" priority="5014" stopIfTrue="1" operator="containsText" text="4. Químico">
      <formula>NOT(ISERROR(SEARCH("4. Químico",E293)))</formula>
    </cfRule>
    <cfRule type="containsText" dxfId="9151" priority="5017" stopIfTrue="1" operator="containsText" text="1. Ergonómico">
      <formula>NOT(ISERROR(SEARCH("1. Ergonómico",E293)))</formula>
    </cfRule>
    <cfRule type="containsText" dxfId="9150" priority="5016" stopIfTrue="1" operator="containsText" text="2. Mecánico">
      <formula>NOT(ISERROR(SEARCH("2. Mecánico",E293)))</formula>
    </cfRule>
    <cfRule type="containsText" dxfId="9149" priority="5015" stopIfTrue="1" operator="containsText" text="3. Locativo">
      <formula>NOT(ISERROR(SEARCH("3. Locativo",E293)))</formula>
    </cfRule>
    <cfRule type="containsText" dxfId="9148" priority="5013" stopIfTrue="1" operator="containsText" text="Físico">
      <formula>NOT(ISERROR(SEARCH("Físico",E293)))</formula>
    </cfRule>
    <cfRule type="containsText" dxfId="9147" priority="5012" stopIfTrue="1" operator="containsText" text="Eléctrico">
      <formula>NOT(ISERROR(SEARCH("Eléctrico",E293)))</formula>
    </cfRule>
  </conditionalFormatting>
  <conditionalFormatting sqref="E294">
    <cfRule type="containsText" dxfId="9146" priority="4951" stopIfTrue="1" operator="containsText" text="Psicosocial">
      <formula>NOT(ISERROR(SEARCH("Psicosocial",E294)))</formula>
    </cfRule>
    <cfRule type="containsText" dxfId="9145" priority="4952" stopIfTrue="1" operator="containsText" text="Biológico">
      <formula>NOT(ISERROR(SEARCH("Biológico",E294)))</formula>
    </cfRule>
    <cfRule type="containsText" dxfId="9144" priority="4953" stopIfTrue="1" operator="containsText" text="Trabajo de alto riesgo">
      <formula>NOT(ISERROR(SEARCH("Trabajo de alto riesgo",E294)))</formula>
    </cfRule>
    <cfRule type="containsText" dxfId="9143" priority="4954" stopIfTrue="1" operator="containsText" text="Físico-químico">
      <formula>NOT(ISERROR(SEARCH("Físico-químico",E294)))</formula>
    </cfRule>
    <cfRule type="containsText" dxfId="9142" priority="4955" stopIfTrue="1" operator="containsText" text="Eléctrico">
      <formula>NOT(ISERROR(SEARCH("Eléctrico",E294)))</formula>
    </cfRule>
    <cfRule type="containsText" dxfId="9141" priority="4960" stopIfTrue="1" operator="containsText" text="1. Ergonómico">
      <formula>NOT(ISERROR(SEARCH("1. Ergonómico",E294)))</formula>
    </cfRule>
    <cfRule type="containsText" dxfId="9140" priority="4957" stopIfTrue="1" operator="containsText" text="4. Químico">
      <formula>NOT(ISERROR(SEARCH("4. Químico",E294)))</formula>
    </cfRule>
    <cfRule type="containsText" dxfId="9139" priority="4958" stopIfTrue="1" operator="containsText" text="3. Locativo">
      <formula>NOT(ISERROR(SEARCH("3. Locativo",E294)))</formula>
    </cfRule>
    <cfRule type="containsText" dxfId="9138" priority="4959" stopIfTrue="1" operator="containsText" text="2. Mecánico">
      <formula>NOT(ISERROR(SEARCH("2. Mecánico",E294)))</formula>
    </cfRule>
    <cfRule type="containsText" dxfId="9137" priority="4956" stopIfTrue="1" operator="containsText" text="Físico">
      <formula>NOT(ISERROR(SEARCH("Físico",E294)))</formula>
    </cfRule>
    <cfRule type="containsText" dxfId="9136" priority="4950" stopIfTrue="1" operator="containsText" text="Público">
      <formula>NOT(ISERROR(SEARCH("Público",E294)))</formula>
    </cfRule>
  </conditionalFormatting>
  <conditionalFormatting sqref="E295">
    <cfRule type="containsText" dxfId="9135" priority="4770" stopIfTrue="1" operator="containsText" text="Eléctrico">
      <formula>NOT(ISERROR(SEARCH("Eléctrico",E295)))</formula>
    </cfRule>
    <cfRule type="containsText" dxfId="9134" priority="4771" stopIfTrue="1" operator="containsText" text="Físico">
      <formula>NOT(ISERROR(SEARCH("Físico",E295)))</formula>
    </cfRule>
    <cfRule type="containsText" dxfId="9133" priority="4772" stopIfTrue="1" operator="containsText" text="4. Químico">
      <formula>NOT(ISERROR(SEARCH("4. Químico",E295)))</formula>
    </cfRule>
    <cfRule type="containsText" dxfId="9132" priority="4773" stopIfTrue="1" operator="containsText" text="3. Locativo">
      <formula>NOT(ISERROR(SEARCH("3. Locativo",E295)))</formula>
    </cfRule>
    <cfRule type="containsText" dxfId="9131" priority="4774" stopIfTrue="1" operator="containsText" text="2. Mecánico">
      <formula>NOT(ISERROR(SEARCH("2. Mecánico",E295)))</formula>
    </cfRule>
    <cfRule type="containsText" dxfId="9130" priority="4775" stopIfTrue="1" operator="containsText" text="1. Ergonómico">
      <formula>NOT(ISERROR(SEARCH("1. Ergonómico",E295)))</formula>
    </cfRule>
    <cfRule type="containsText" dxfId="9129" priority="4765" stopIfTrue="1" operator="containsText" text="Público">
      <formula>NOT(ISERROR(SEARCH("Público",E295)))</formula>
    </cfRule>
    <cfRule type="containsText" dxfId="9128" priority="4766" stopIfTrue="1" operator="containsText" text="Psicosocial">
      <formula>NOT(ISERROR(SEARCH("Psicosocial",E295)))</formula>
    </cfRule>
    <cfRule type="containsText" dxfId="9127" priority="4767" stopIfTrue="1" operator="containsText" text="Biológico">
      <formula>NOT(ISERROR(SEARCH("Biológico",E295)))</formula>
    </cfRule>
    <cfRule type="containsText" dxfId="9126" priority="4768" stopIfTrue="1" operator="containsText" text="Trabajo de alto riesgo">
      <formula>NOT(ISERROR(SEARCH("Trabajo de alto riesgo",E295)))</formula>
    </cfRule>
    <cfRule type="containsText" dxfId="9125" priority="4769" stopIfTrue="1" operator="containsText" text="Físico-químico">
      <formula>NOT(ISERROR(SEARCH("Físico-químico",E295)))</formula>
    </cfRule>
  </conditionalFormatting>
  <conditionalFormatting sqref="E298">
    <cfRule type="containsText" dxfId="9124" priority="4629" stopIfTrue="1" operator="containsText" text="3. Locativo">
      <formula>NOT(ISERROR(SEARCH("3. Locativo",E298)))</formula>
    </cfRule>
    <cfRule type="containsText" dxfId="9123" priority="4631" stopIfTrue="1" operator="containsText" text="1. Ergonómico">
      <formula>NOT(ISERROR(SEARCH("1. Ergonómico",E298)))</formula>
    </cfRule>
    <cfRule type="containsText" dxfId="9122" priority="4624" stopIfTrue="1" operator="containsText" text="Trabajo de alto riesgo">
      <formula>NOT(ISERROR(SEARCH("Trabajo de alto riesgo",E298)))</formula>
    </cfRule>
    <cfRule type="containsText" dxfId="9121" priority="4625" stopIfTrue="1" operator="containsText" text="Físico-químico">
      <formula>NOT(ISERROR(SEARCH("Físico-químico",E298)))</formula>
    </cfRule>
    <cfRule type="containsText" dxfId="9120" priority="4630" stopIfTrue="1" operator="containsText" text="2. Mecánico">
      <formula>NOT(ISERROR(SEARCH("2. Mecánico",E298)))</formula>
    </cfRule>
    <cfRule type="containsText" dxfId="9119" priority="4623" stopIfTrue="1" operator="containsText" text="Biológico">
      <formula>NOT(ISERROR(SEARCH("Biológico",E298)))</formula>
    </cfRule>
    <cfRule type="containsText" dxfId="9118" priority="4622" stopIfTrue="1" operator="containsText" text="Psicosocial">
      <formula>NOT(ISERROR(SEARCH("Psicosocial",E298)))</formula>
    </cfRule>
    <cfRule type="containsText" dxfId="9117" priority="4628" stopIfTrue="1" operator="containsText" text="4. Químico">
      <formula>NOT(ISERROR(SEARCH("4. Químico",E298)))</formula>
    </cfRule>
    <cfRule type="containsText" dxfId="9116" priority="4627" stopIfTrue="1" operator="containsText" text="Físico">
      <formula>NOT(ISERROR(SEARCH("Físico",E298)))</formula>
    </cfRule>
    <cfRule type="containsText" dxfId="9115" priority="4626" stopIfTrue="1" operator="containsText" text="Eléctrico">
      <formula>NOT(ISERROR(SEARCH("Eléctrico",E298)))</formula>
    </cfRule>
    <cfRule type="containsText" dxfId="9114" priority="4621" stopIfTrue="1" operator="containsText" text="Público">
      <formula>NOT(ISERROR(SEARCH("Público",E298)))</formula>
    </cfRule>
  </conditionalFormatting>
  <conditionalFormatting sqref="E301">
    <cfRule type="containsText" dxfId="9113" priority="4580" stopIfTrue="1" operator="containsText" text="Físico">
      <formula>NOT(ISERROR(SEARCH("Físico",E301)))</formula>
    </cfRule>
    <cfRule type="containsText" dxfId="9112" priority="4581" stopIfTrue="1" operator="containsText" text="4. Químico">
      <formula>NOT(ISERROR(SEARCH("4. Químico",E301)))</formula>
    </cfRule>
    <cfRule type="containsText" dxfId="9111" priority="4578" stopIfTrue="1" operator="containsText" text="Físico-químico">
      <formula>NOT(ISERROR(SEARCH("Físico-químico",E301)))</formula>
    </cfRule>
    <cfRule type="containsText" dxfId="9110" priority="4577" stopIfTrue="1" operator="containsText" text="Trabajo de alto riesgo">
      <formula>NOT(ISERROR(SEARCH("Trabajo de alto riesgo",E301)))</formula>
    </cfRule>
    <cfRule type="containsText" dxfId="9109" priority="4574" stopIfTrue="1" operator="containsText" text="Público">
      <formula>NOT(ISERROR(SEARCH("Público",E301)))</formula>
    </cfRule>
    <cfRule type="containsText" dxfId="9108" priority="4582" stopIfTrue="1" operator="containsText" text="3. Locativo">
      <formula>NOT(ISERROR(SEARCH("3. Locativo",E301)))</formula>
    </cfRule>
    <cfRule type="containsText" dxfId="9107" priority="4584" stopIfTrue="1" operator="containsText" text="1. Ergonómico">
      <formula>NOT(ISERROR(SEARCH("1. Ergonómico",E301)))</formula>
    </cfRule>
    <cfRule type="containsText" dxfId="9106" priority="4579" stopIfTrue="1" operator="containsText" text="Eléctrico">
      <formula>NOT(ISERROR(SEARCH("Eléctrico",E301)))</formula>
    </cfRule>
    <cfRule type="containsText" dxfId="9105" priority="4575" stopIfTrue="1" operator="containsText" text="Psicosocial">
      <formula>NOT(ISERROR(SEARCH("Psicosocial",E301)))</formula>
    </cfRule>
    <cfRule type="containsText" dxfId="9104" priority="4583" stopIfTrue="1" operator="containsText" text="2. Mecánico">
      <formula>NOT(ISERROR(SEARCH("2. Mecánico",E301)))</formula>
    </cfRule>
    <cfRule type="containsText" dxfId="9103" priority="4576" stopIfTrue="1" operator="containsText" text="Biológico">
      <formula>NOT(ISERROR(SEARCH("Biológico",E301)))</formula>
    </cfRule>
  </conditionalFormatting>
  <conditionalFormatting sqref="E302">
    <cfRule type="containsText" dxfId="9102" priority="4676" stopIfTrue="1" operator="containsText" text="1. Ergonómico">
      <formula>NOT(ISERROR(SEARCH("1. Ergonómico",E302)))</formula>
    </cfRule>
    <cfRule type="containsText" dxfId="9101" priority="4675" stopIfTrue="1" operator="containsText" text="2. Mecánico">
      <formula>NOT(ISERROR(SEARCH("2. Mecánico",E302)))</formula>
    </cfRule>
    <cfRule type="containsText" dxfId="9100" priority="4666" stopIfTrue="1" operator="containsText" text="Público">
      <formula>NOT(ISERROR(SEARCH("Público",E302)))</formula>
    </cfRule>
    <cfRule type="containsText" dxfId="9099" priority="4667" stopIfTrue="1" operator="containsText" text="Psicosocial">
      <formula>NOT(ISERROR(SEARCH("Psicosocial",E302)))</formula>
    </cfRule>
    <cfRule type="containsText" dxfId="9098" priority="4668" stopIfTrue="1" operator="containsText" text="Biológico">
      <formula>NOT(ISERROR(SEARCH("Biológico",E302)))</formula>
    </cfRule>
    <cfRule type="containsText" dxfId="9097" priority="4669" stopIfTrue="1" operator="containsText" text="Trabajo de alto riesgo">
      <formula>NOT(ISERROR(SEARCH("Trabajo de alto riesgo",E302)))</formula>
    </cfRule>
    <cfRule type="containsText" dxfId="9096" priority="4670" stopIfTrue="1" operator="containsText" text="Físico-químico">
      <formula>NOT(ISERROR(SEARCH("Físico-químico",E302)))</formula>
    </cfRule>
    <cfRule type="containsText" dxfId="9095" priority="4671" stopIfTrue="1" operator="containsText" text="Eléctrico">
      <formula>NOT(ISERROR(SEARCH("Eléctrico",E302)))</formula>
    </cfRule>
    <cfRule type="containsText" dxfId="9094" priority="4672" stopIfTrue="1" operator="containsText" text="Físico">
      <formula>NOT(ISERROR(SEARCH("Físico",E302)))</formula>
    </cfRule>
    <cfRule type="containsText" dxfId="9093" priority="4673" stopIfTrue="1" operator="containsText" text="4. Químico">
      <formula>NOT(ISERROR(SEARCH("4. Químico",E302)))</formula>
    </cfRule>
    <cfRule type="containsText" dxfId="9092" priority="4674" stopIfTrue="1" operator="containsText" text="3. Locativo">
      <formula>NOT(ISERROR(SEARCH("3. Locativo",E302)))</formula>
    </cfRule>
  </conditionalFormatting>
  <conditionalFormatting sqref="E303">
    <cfRule type="containsText" dxfId="9091" priority="4537" stopIfTrue="1" operator="containsText" text="3. Locativo">
      <formula>NOT(ISERROR(SEARCH("3. Locativo",E303)))</formula>
    </cfRule>
    <cfRule type="containsText" dxfId="9090" priority="4532" stopIfTrue="1" operator="containsText" text="Trabajo de alto riesgo">
      <formula>NOT(ISERROR(SEARCH("Trabajo de alto riesgo",E303)))</formula>
    </cfRule>
    <cfRule type="containsText" dxfId="9089" priority="4536" stopIfTrue="1" operator="containsText" text="4. Químico">
      <formula>NOT(ISERROR(SEARCH("4. Químico",E303)))</formula>
    </cfRule>
    <cfRule type="containsText" dxfId="9088" priority="4529" stopIfTrue="1" operator="containsText" text="Público">
      <formula>NOT(ISERROR(SEARCH("Público",E303)))</formula>
    </cfRule>
    <cfRule type="containsText" dxfId="9087" priority="4538" stopIfTrue="1" operator="containsText" text="2. Mecánico">
      <formula>NOT(ISERROR(SEARCH("2. Mecánico",E303)))</formula>
    </cfRule>
    <cfRule type="containsText" dxfId="9086" priority="4534" stopIfTrue="1" operator="containsText" text="Eléctrico">
      <formula>NOT(ISERROR(SEARCH("Eléctrico",E303)))</formula>
    </cfRule>
    <cfRule type="containsText" dxfId="9085" priority="4535" stopIfTrue="1" operator="containsText" text="Físico">
      <formula>NOT(ISERROR(SEARCH("Físico",E303)))</formula>
    </cfRule>
    <cfRule type="containsText" dxfId="9084" priority="4539" stopIfTrue="1" operator="containsText" text="1. Ergonómico">
      <formula>NOT(ISERROR(SEARCH("1. Ergonómico",E303)))</formula>
    </cfRule>
    <cfRule type="containsText" dxfId="9083" priority="4530" stopIfTrue="1" operator="containsText" text="Psicosocial">
      <formula>NOT(ISERROR(SEARCH("Psicosocial",E303)))</formula>
    </cfRule>
    <cfRule type="containsText" dxfId="9082" priority="4531" stopIfTrue="1" operator="containsText" text="Biológico">
      <formula>NOT(ISERROR(SEARCH("Biológico",E303)))</formula>
    </cfRule>
    <cfRule type="containsText" dxfId="9081" priority="4533" stopIfTrue="1" operator="containsText" text="Físico-químico">
      <formula>NOT(ISERROR(SEARCH("Físico-químico",E303)))</formula>
    </cfRule>
  </conditionalFormatting>
  <conditionalFormatting sqref="E304">
    <cfRule type="containsText" dxfId="9080" priority="4316" stopIfTrue="1" operator="containsText" text="2. Mecánico">
      <formula>NOT(ISERROR(SEARCH("2. Mecánico",E304)))</formula>
    </cfRule>
    <cfRule type="containsText" dxfId="9079" priority="4313" stopIfTrue="1" operator="containsText" text="Físico">
      <formula>NOT(ISERROR(SEARCH("Físico",E304)))</formula>
    </cfRule>
    <cfRule type="containsText" dxfId="9078" priority="4314" stopIfTrue="1" operator="containsText" text="4. Químico">
      <formula>NOT(ISERROR(SEARCH("4. Químico",E304)))</formula>
    </cfRule>
    <cfRule type="containsText" dxfId="9077" priority="4315" stopIfTrue="1" operator="containsText" text="3. Locativo">
      <formula>NOT(ISERROR(SEARCH("3. Locativo",E304)))</formula>
    </cfRule>
    <cfRule type="containsText" dxfId="9076" priority="4317" stopIfTrue="1" operator="containsText" text="1. Ergonómico">
      <formula>NOT(ISERROR(SEARCH("1. Ergonómico",E304)))</formula>
    </cfRule>
    <cfRule type="containsText" dxfId="9075" priority="4307" stopIfTrue="1" operator="containsText" text="Público">
      <formula>NOT(ISERROR(SEARCH("Público",E304)))</formula>
    </cfRule>
    <cfRule type="containsText" dxfId="9074" priority="4308" stopIfTrue="1" operator="containsText" text="Psicosocial">
      <formula>NOT(ISERROR(SEARCH("Psicosocial",E304)))</formula>
    </cfRule>
    <cfRule type="containsText" dxfId="9073" priority="4309" stopIfTrue="1" operator="containsText" text="Biológico">
      <formula>NOT(ISERROR(SEARCH("Biológico",E304)))</formula>
    </cfRule>
    <cfRule type="containsText" dxfId="9072" priority="4310" stopIfTrue="1" operator="containsText" text="Trabajo de alto riesgo">
      <formula>NOT(ISERROR(SEARCH("Trabajo de alto riesgo",E304)))</formula>
    </cfRule>
    <cfRule type="containsText" dxfId="9071" priority="4311" stopIfTrue="1" operator="containsText" text="Físico-químico">
      <formula>NOT(ISERROR(SEARCH("Físico-químico",E304)))</formula>
    </cfRule>
    <cfRule type="containsText" dxfId="9070" priority="4312" stopIfTrue="1" operator="containsText" text="Eléctrico">
      <formula>NOT(ISERROR(SEARCH("Eléctrico",E304)))</formula>
    </cfRule>
  </conditionalFormatting>
  <conditionalFormatting sqref="E305:E306">
    <cfRule type="containsText" dxfId="9069" priority="4352" stopIfTrue="1" operator="containsText" text="Físico-químico">
      <formula>NOT(ISERROR(SEARCH("Físico-químico",E305)))</formula>
    </cfRule>
    <cfRule type="containsText" dxfId="9068" priority="4358" stopIfTrue="1" operator="containsText" text="1. Ergonómico">
      <formula>NOT(ISERROR(SEARCH("1. Ergonómico",E305)))</formula>
    </cfRule>
    <cfRule type="containsText" dxfId="9067" priority="4355" stopIfTrue="1" operator="containsText" text="4. Químico">
      <formula>NOT(ISERROR(SEARCH("4. Químico",E305)))</formula>
    </cfRule>
    <cfRule type="containsText" dxfId="9066" priority="4349" stopIfTrue="1" operator="containsText" text="Psicosocial">
      <formula>NOT(ISERROR(SEARCH("Psicosocial",E305)))</formula>
    </cfRule>
    <cfRule type="containsText" dxfId="9065" priority="4353" stopIfTrue="1" operator="containsText" text="Eléctrico">
      <formula>NOT(ISERROR(SEARCH("Eléctrico",E305)))</formula>
    </cfRule>
    <cfRule type="containsText" dxfId="9064" priority="4350" stopIfTrue="1" operator="containsText" text="Biológico">
      <formula>NOT(ISERROR(SEARCH("Biológico",E305)))</formula>
    </cfRule>
    <cfRule type="containsText" dxfId="9063" priority="4357" stopIfTrue="1" operator="containsText" text="2. Mecánico">
      <formula>NOT(ISERROR(SEARCH("2. Mecánico",E305)))</formula>
    </cfRule>
    <cfRule type="containsText" dxfId="9062" priority="4356" stopIfTrue="1" operator="containsText" text="3. Locativo">
      <formula>NOT(ISERROR(SEARCH("3. Locativo",E305)))</formula>
    </cfRule>
    <cfRule type="containsText" dxfId="9061" priority="4354" stopIfTrue="1" operator="containsText" text="Físico">
      <formula>NOT(ISERROR(SEARCH("Físico",E305)))</formula>
    </cfRule>
    <cfRule type="containsText" dxfId="9060" priority="4351" stopIfTrue="1" operator="containsText" text="Trabajo de alto riesgo">
      <formula>NOT(ISERROR(SEARCH("Trabajo de alto riesgo",E305)))</formula>
    </cfRule>
    <cfRule type="containsText" dxfId="9059" priority="4348" stopIfTrue="1" operator="containsText" text="Público">
      <formula>NOT(ISERROR(SEARCH("Público",E305)))</formula>
    </cfRule>
  </conditionalFormatting>
  <conditionalFormatting sqref="E307">
    <cfRule type="containsText" dxfId="9058" priority="4453" stopIfTrue="1" operator="containsText" text="2. Mecánico">
      <formula>NOT(ISERROR(SEARCH("2. Mecánico",E307)))</formula>
    </cfRule>
    <cfRule type="containsText" dxfId="9057" priority="4454" stopIfTrue="1" operator="containsText" text="1. Ergonómico">
      <formula>NOT(ISERROR(SEARCH("1. Ergonómico",E307)))</formula>
    </cfRule>
    <cfRule type="containsText" dxfId="9056" priority="4449" stopIfTrue="1" operator="containsText" text="Eléctrico">
      <formula>NOT(ISERROR(SEARCH("Eléctrico",E307)))</formula>
    </cfRule>
    <cfRule type="containsText" dxfId="9055" priority="4448" stopIfTrue="1" operator="containsText" text="Físico-químico">
      <formula>NOT(ISERROR(SEARCH("Físico-químico",E307)))</formula>
    </cfRule>
    <cfRule type="containsText" dxfId="9054" priority="4447" stopIfTrue="1" operator="containsText" text="Trabajo de alto riesgo">
      <formula>NOT(ISERROR(SEARCH("Trabajo de alto riesgo",E307)))</formula>
    </cfRule>
    <cfRule type="containsText" dxfId="9053" priority="4446" stopIfTrue="1" operator="containsText" text="Biológico">
      <formula>NOT(ISERROR(SEARCH("Biológico",E307)))</formula>
    </cfRule>
    <cfRule type="containsText" dxfId="9052" priority="4452" stopIfTrue="1" operator="containsText" text="3. Locativo">
      <formula>NOT(ISERROR(SEARCH("3. Locativo",E307)))</formula>
    </cfRule>
    <cfRule type="containsText" dxfId="9051" priority="4445" stopIfTrue="1" operator="containsText" text="Psicosocial">
      <formula>NOT(ISERROR(SEARCH("Psicosocial",E307)))</formula>
    </cfRule>
    <cfRule type="containsText" dxfId="9050" priority="4444" stopIfTrue="1" operator="containsText" text="Público">
      <formula>NOT(ISERROR(SEARCH("Público",E307)))</formula>
    </cfRule>
    <cfRule type="containsText" dxfId="9049" priority="4451" stopIfTrue="1" operator="containsText" text="4. Químico">
      <formula>NOT(ISERROR(SEARCH("4. Químico",E307)))</formula>
    </cfRule>
    <cfRule type="containsText" dxfId="9048" priority="4450" stopIfTrue="1" operator="containsText" text="Físico">
      <formula>NOT(ISERROR(SEARCH("Físico",E307)))</formula>
    </cfRule>
  </conditionalFormatting>
  <conditionalFormatting sqref="E308">
    <cfRule type="containsText" dxfId="9047" priority="4387" stopIfTrue="1" operator="containsText" text="Público">
      <formula>NOT(ISERROR(SEARCH("Público",E308)))</formula>
    </cfRule>
    <cfRule type="containsText" dxfId="9046" priority="4388" stopIfTrue="1" operator="containsText" text="Psicosocial">
      <formula>NOT(ISERROR(SEARCH("Psicosocial",E308)))</formula>
    </cfRule>
    <cfRule type="containsText" dxfId="9045" priority="4389" stopIfTrue="1" operator="containsText" text="Biológico">
      <formula>NOT(ISERROR(SEARCH("Biológico",E308)))</formula>
    </cfRule>
    <cfRule type="containsText" dxfId="9044" priority="4391" stopIfTrue="1" operator="containsText" text="Físico-químico">
      <formula>NOT(ISERROR(SEARCH("Físico-químico",E308)))</formula>
    </cfRule>
    <cfRule type="containsText" dxfId="9043" priority="4392" stopIfTrue="1" operator="containsText" text="Eléctrico">
      <formula>NOT(ISERROR(SEARCH("Eléctrico",E308)))</formula>
    </cfRule>
    <cfRule type="containsText" dxfId="9042" priority="4393" stopIfTrue="1" operator="containsText" text="Físico">
      <formula>NOT(ISERROR(SEARCH("Físico",E308)))</formula>
    </cfRule>
    <cfRule type="containsText" dxfId="9041" priority="4394" stopIfTrue="1" operator="containsText" text="4. Químico">
      <formula>NOT(ISERROR(SEARCH("4. Químico",E308)))</formula>
    </cfRule>
    <cfRule type="containsText" dxfId="9040" priority="4395" stopIfTrue="1" operator="containsText" text="3. Locativo">
      <formula>NOT(ISERROR(SEARCH("3. Locativo",E308)))</formula>
    </cfRule>
    <cfRule type="containsText" dxfId="9039" priority="4396" stopIfTrue="1" operator="containsText" text="2. Mecánico">
      <formula>NOT(ISERROR(SEARCH("2. Mecánico",E308)))</formula>
    </cfRule>
    <cfRule type="containsText" dxfId="9038" priority="4397" stopIfTrue="1" operator="containsText" text="1. Ergonómico">
      <formula>NOT(ISERROR(SEARCH("1. Ergonómico",E308)))</formula>
    </cfRule>
    <cfRule type="containsText" dxfId="9037" priority="4390" stopIfTrue="1" operator="containsText" text="Trabajo de alto riesgo">
      <formula>NOT(ISERROR(SEARCH("Trabajo de alto riesgo",E308)))</formula>
    </cfRule>
  </conditionalFormatting>
  <conditionalFormatting sqref="E309">
    <cfRule type="containsText" dxfId="9036" priority="4210" stopIfTrue="1" operator="containsText" text="3. Locativo">
      <formula>NOT(ISERROR(SEARCH("3. Locativo",E309)))</formula>
    </cfRule>
    <cfRule type="containsText" dxfId="9035" priority="4202" stopIfTrue="1" operator="containsText" text="Público">
      <formula>NOT(ISERROR(SEARCH("Público",E309)))</formula>
    </cfRule>
    <cfRule type="containsText" dxfId="9034" priority="4203" stopIfTrue="1" operator="containsText" text="Psicosocial">
      <formula>NOT(ISERROR(SEARCH("Psicosocial",E309)))</formula>
    </cfRule>
    <cfRule type="containsText" dxfId="9033" priority="4205" stopIfTrue="1" operator="containsText" text="Trabajo de alto riesgo">
      <formula>NOT(ISERROR(SEARCH("Trabajo de alto riesgo",E309)))</formula>
    </cfRule>
    <cfRule type="containsText" dxfId="9032" priority="4208" stopIfTrue="1" operator="containsText" text="Físico">
      <formula>NOT(ISERROR(SEARCH("Físico",E309)))</formula>
    </cfRule>
    <cfRule type="containsText" dxfId="9031" priority="4209" stopIfTrue="1" operator="containsText" text="4. Químico">
      <formula>NOT(ISERROR(SEARCH("4. Químico",E309)))</formula>
    </cfRule>
    <cfRule type="containsText" dxfId="9030" priority="4204" stopIfTrue="1" operator="containsText" text="Biológico">
      <formula>NOT(ISERROR(SEARCH("Biológico",E309)))</formula>
    </cfRule>
    <cfRule type="containsText" dxfId="9029" priority="4212" stopIfTrue="1" operator="containsText" text="1. Ergonómico">
      <formula>NOT(ISERROR(SEARCH("1. Ergonómico",E309)))</formula>
    </cfRule>
    <cfRule type="containsText" dxfId="9028" priority="4206" stopIfTrue="1" operator="containsText" text="Físico-químico">
      <formula>NOT(ISERROR(SEARCH("Físico-químico",E309)))</formula>
    </cfRule>
    <cfRule type="containsText" dxfId="9027" priority="4207" stopIfTrue="1" operator="containsText" text="Eléctrico">
      <formula>NOT(ISERROR(SEARCH("Eléctrico",E309)))</formula>
    </cfRule>
    <cfRule type="containsText" dxfId="9026" priority="4211" stopIfTrue="1" operator="containsText" text="2. Mecánico">
      <formula>NOT(ISERROR(SEARCH("2. Mecánico",E309)))</formula>
    </cfRule>
  </conditionalFormatting>
  <conditionalFormatting sqref="E312">
    <cfRule type="containsText" dxfId="9025" priority="4054" stopIfTrue="1" operator="containsText" text="Eléctrico">
      <formula>NOT(ISERROR(SEARCH("Eléctrico",E312)))</formula>
    </cfRule>
    <cfRule type="containsText" dxfId="9024" priority="4053" stopIfTrue="1" operator="containsText" text="Físico-químico">
      <formula>NOT(ISERROR(SEARCH("Físico-químico",E312)))</formula>
    </cfRule>
    <cfRule type="containsText" dxfId="9023" priority="4051" stopIfTrue="1" operator="containsText" text="Biológico">
      <formula>NOT(ISERROR(SEARCH("Biológico",E312)))</formula>
    </cfRule>
    <cfRule type="containsText" dxfId="9022" priority="4050" stopIfTrue="1" operator="containsText" text="Psicosocial">
      <formula>NOT(ISERROR(SEARCH("Psicosocial",E312)))</formula>
    </cfRule>
    <cfRule type="containsText" dxfId="9021" priority="4049" stopIfTrue="1" operator="containsText" text="Público">
      <formula>NOT(ISERROR(SEARCH("Público",E312)))</formula>
    </cfRule>
    <cfRule type="containsText" dxfId="9020" priority="4052" stopIfTrue="1" operator="containsText" text="Trabajo de alto riesgo">
      <formula>NOT(ISERROR(SEARCH("Trabajo de alto riesgo",E312)))</formula>
    </cfRule>
    <cfRule type="containsText" dxfId="9019" priority="4059" stopIfTrue="1" operator="containsText" text="1. Ergonómico">
      <formula>NOT(ISERROR(SEARCH("1. Ergonómico",E312)))</formula>
    </cfRule>
    <cfRule type="containsText" dxfId="9018" priority="4058" stopIfTrue="1" operator="containsText" text="2. Mecánico">
      <formula>NOT(ISERROR(SEARCH("2. Mecánico",E312)))</formula>
    </cfRule>
    <cfRule type="containsText" dxfId="9017" priority="4057" stopIfTrue="1" operator="containsText" text="3. Locativo">
      <formula>NOT(ISERROR(SEARCH("3. Locativo",E312)))</formula>
    </cfRule>
    <cfRule type="containsText" dxfId="9016" priority="4056" stopIfTrue="1" operator="containsText" text="4. Químico">
      <formula>NOT(ISERROR(SEARCH("4. Químico",E312)))</formula>
    </cfRule>
    <cfRule type="containsText" dxfId="9015" priority="4055" stopIfTrue="1" operator="containsText" text="Físico">
      <formula>NOT(ISERROR(SEARCH("Físico",E312)))</formula>
    </cfRule>
  </conditionalFormatting>
  <conditionalFormatting sqref="E315">
    <cfRule type="containsText" dxfId="9014" priority="4013" stopIfTrue="1" operator="containsText" text="4. Químico">
      <formula>NOT(ISERROR(SEARCH("4. Químico",E315)))</formula>
    </cfRule>
    <cfRule type="containsText" dxfId="9013" priority="4012" stopIfTrue="1" operator="containsText" text="Físico">
      <formula>NOT(ISERROR(SEARCH("Físico",E315)))</formula>
    </cfRule>
    <cfRule type="containsText" dxfId="9012" priority="4011" stopIfTrue="1" operator="containsText" text="Eléctrico">
      <formula>NOT(ISERROR(SEARCH("Eléctrico",E315)))</formula>
    </cfRule>
    <cfRule type="containsText" dxfId="9011" priority="4010" stopIfTrue="1" operator="containsText" text="Físico-químico">
      <formula>NOT(ISERROR(SEARCH("Físico-químico",E315)))</formula>
    </cfRule>
    <cfRule type="containsText" dxfId="9010" priority="4006" stopIfTrue="1" operator="containsText" text="Público">
      <formula>NOT(ISERROR(SEARCH("Público",E315)))</formula>
    </cfRule>
    <cfRule type="containsText" dxfId="9009" priority="4007" stopIfTrue="1" operator="containsText" text="Psicosocial">
      <formula>NOT(ISERROR(SEARCH("Psicosocial",E315)))</formula>
    </cfRule>
    <cfRule type="containsText" dxfId="9008" priority="4009" stopIfTrue="1" operator="containsText" text="Trabajo de alto riesgo">
      <formula>NOT(ISERROR(SEARCH("Trabajo de alto riesgo",E315)))</formula>
    </cfRule>
    <cfRule type="containsText" dxfId="9007" priority="4008" stopIfTrue="1" operator="containsText" text="Biológico">
      <formula>NOT(ISERROR(SEARCH("Biológico",E315)))</formula>
    </cfRule>
    <cfRule type="containsText" dxfId="9006" priority="4016" stopIfTrue="1" operator="containsText" text="1. Ergonómico">
      <formula>NOT(ISERROR(SEARCH("1. Ergonómico",E315)))</formula>
    </cfRule>
    <cfRule type="containsText" dxfId="9005" priority="4015" stopIfTrue="1" operator="containsText" text="2. Mecánico">
      <formula>NOT(ISERROR(SEARCH("2. Mecánico",E315)))</formula>
    </cfRule>
    <cfRule type="containsText" dxfId="9004" priority="4014" stopIfTrue="1" operator="containsText" text="3. Locativo">
      <formula>NOT(ISERROR(SEARCH("3. Locativo",E315)))</formula>
    </cfRule>
  </conditionalFormatting>
  <conditionalFormatting sqref="E316">
    <cfRule type="containsText" dxfId="9003" priority="4100" stopIfTrue="1" operator="containsText" text="1. Ergonómico">
      <formula>NOT(ISERROR(SEARCH("1. Ergonómico",E316)))</formula>
    </cfRule>
    <cfRule type="containsText" dxfId="9002" priority="4091" stopIfTrue="1" operator="containsText" text="Psicosocial">
      <formula>NOT(ISERROR(SEARCH("Psicosocial",E316)))</formula>
    </cfRule>
    <cfRule type="containsText" dxfId="9001" priority="4093" stopIfTrue="1" operator="containsText" text="Trabajo de alto riesgo">
      <formula>NOT(ISERROR(SEARCH("Trabajo de alto riesgo",E316)))</formula>
    </cfRule>
    <cfRule type="containsText" dxfId="9000" priority="4092" stopIfTrue="1" operator="containsText" text="Biológico">
      <formula>NOT(ISERROR(SEARCH("Biológico",E316)))</formula>
    </cfRule>
    <cfRule type="containsText" dxfId="8999" priority="4099" stopIfTrue="1" operator="containsText" text="2. Mecánico">
      <formula>NOT(ISERROR(SEARCH("2. Mecánico",E316)))</formula>
    </cfRule>
    <cfRule type="containsText" dxfId="8998" priority="4094" stopIfTrue="1" operator="containsText" text="Físico-químico">
      <formula>NOT(ISERROR(SEARCH("Físico-químico",E316)))</formula>
    </cfRule>
    <cfRule type="containsText" dxfId="8997" priority="4095" stopIfTrue="1" operator="containsText" text="Eléctrico">
      <formula>NOT(ISERROR(SEARCH("Eléctrico",E316)))</formula>
    </cfRule>
    <cfRule type="containsText" dxfId="8996" priority="4096" stopIfTrue="1" operator="containsText" text="Físico">
      <formula>NOT(ISERROR(SEARCH("Físico",E316)))</formula>
    </cfRule>
    <cfRule type="containsText" dxfId="8995" priority="4097" stopIfTrue="1" operator="containsText" text="4. Químico">
      <formula>NOT(ISERROR(SEARCH("4. Químico",E316)))</formula>
    </cfRule>
    <cfRule type="containsText" dxfId="8994" priority="4098" stopIfTrue="1" operator="containsText" text="3. Locativo">
      <formula>NOT(ISERROR(SEARCH("3. Locativo",E316)))</formula>
    </cfRule>
    <cfRule type="containsText" dxfId="8993" priority="4090" stopIfTrue="1" operator="containsText" text="Público">
      <formula>NOT(ISERROR(SEARCH("Público",E316)))</formula>
    </cfRule>
  </conditionalFormatting>
  <conditionalFormatting sqref="E317">
    <cfRule type="containsText" dxfId="8992" priority="3971" stopIfTrue="1" operator="containsText" text="Físico">
      <formula>NOT(ISERROR(SEARCH("Físico",E317)))</formula>
    </cfRule>
    <cfRule type="containsText" dxfId="8991" priority="3972" stopIfTrue="1" operator="containsText" text="4. Químico">
      <formula>NOT(ISERROR(SEARCH("4. Químico",E317)))</formula>
    </cfRule>
    <cfRule type="containsText" dxfId="8990" priority="3973" stopIfTrue="1" operator="containsText" text="3. Locativo">
      <formula>NOT(ISERROR(SEARCH("3. Locativo",E317)))</formula>
    </cfRule>
    <cfRule type="containsText" dxfId="8989" priority="3974" stopIfTrue="1" operator="containsText" text="2. Mecánico">
      <formula>NOT(ISERROR(SEARCH("2. Mecánico",E317)))</formula>
    </cfRule>
    <cfRule type="containsText" dxfId="8988" priority="3975" stopIfTrue="1" operator="containsText" text="1. Ergonómico">
      <formula>NOT(ISERROR(SEARCH("1. Ergonómico",E317)))</formula>
    </cfRule>
    <cfRule type="containsText" dxfId="8987" priority="3968" stopIfTrue="1" operator="containsText" text="Trabajo de alto riesgo">
      <formula>NOT(ISERROR(SEARCH("Trabajo de alto riesgo",E317)))</formula>
    </cfRule>
    <cfRule type="containsText" dxfId="8986" priority="3967" stopIfTrue="1" operator="containsText" text="Biológico">
      <formula>NOT(ISERROR(SEARCH("Biológico",E317)))</formula>
    </cfRule>
    <cfRule type="containsText" dxfId="8985" priority="3969" stopIfTrue="1" operator="containsText" text="Físico-químico">
      <formula>NOT(ISERROR(SEARCH("Físico-químico",E317)))</formula>
    </cfRule>
    <cfRule type="containsText" dxfId="8984" priority="3970" stopIfTrue="1" operator="containsText" text="Eléctrico">
      <formula>NOT(ISERROR(SEARCH("Eléctrico",E317)))</formula>
    </cfRule>
    <cfRule type="containsText" dxfId="8983" priority="3966" stopIfTrue="1" operator="containsText" text="Psicosocial">
      <formula>NOT(ISERROR(SEARCH("Psicosocial",E317)))</formula>
    </cfRule>
    <cfRule type="containsText" dxfId="8982" priority="3965" stopIfTrue="1" operator="containsText" text="Público">
      <formula>NOT(ISERROR(SEARCH("Público",E317)))</formula>
    </cfRule>
  </conditionalFormatting>
  <conditionalFormatting sqref="E318">
    <cfRule type="containsText" dxfId="8981" priority="3796" stopIfTrue="1" operator="containsText" text="Biológico">
      <formula>NOT(ISERROR(SEARCH("Biológico",E318)))</formula>
    </cfRule>
    <cfRule type="containsText" dxfId="8980" priority="3804" stopIfTrue="1" operator="containsText" text="1. Ergonómico">
      <formula>NOT(ISERROR(SEARCH("1. Ergonómico",E318)))</formula>
    </cfRule>
    <cfRule type="containsText" dxfId="8979" priority="3803" stopIfTrue="1" operator="containsText" text="2. Mecánico">
      <formula>NOT(ISERROR(SEARCH("2. Mecánico",E318)))</formula>
    </cfRule>
    <cfRule type="containsText" dxfId="8978" priority="3802" stopIfTrue="1" operator="containsText" text="3. Locativo">
      <formula>NOT(ISERROR(SEARCH("3. Locativo",E318)))</formula>
    </cfRule>
    <cfRule type="containsText" dxfId="8977" priority="3801" stopIfTrue="1" operator="containsText" text="4. Químico">
      <formula>NOT(ISERROR(SEARCH("4. Químico",E318)))</formula>
    </cfRule>
    <cfRule type="containsText" dxfId="8976" priority="3800" stopIfTrue="1" operator="containsText" text="Físico">
      <formula>NOT(ISERROR(SEARCH("Físico",E318)))</formula>
    </cfRule>
    <cfRule type="containsText" dxfId="8975" priority="3798" stopIfTrue="1" operator="containsText" text="Físico-químico">
      <formula>NOT(ISERROR(SEARCH("Físico-químico",E318)))</formula>
    </cfRule>
    <cfRule type="containsText" dxfId="8974" priority="3797" stopIfTrue="1" operator="containsText" text="Trabajo de alto riesgo">
      <formula>NOT(ISERROR(SEARCH("Trabajo de alto riesgo",E318)))</formula>
    </cfRule>
    <cfRule type="containsText" dxfId="8973" priority="3795" stopIfTrue="1" operator="containsText" text="Psicosocial">
      <formula>NOT(ISERROR(SEARCH("Psicosocial",E318)))</formula>
    </cfRule>
    <cfRule type="containsText" dxfId="8972" priority="3794" stopIfTrue="1" operator="containsText" text="Público">
      <formula>NOT(ISERROR(SEARCH("Público",E318)))</formula>
    </cfRule>
    <cfRule type="containsText" dxfId="8971" priority="3799" stopIfTrue="1" operator="containsText" text="Eléctrico">
      <formula>NOT(ISERROR(SEARCH("Eléctrico",E318)))</formula>
    </cfRule>
  </conditionalFormatting>
  <conditionalFormatting sqref="E319">
    <cfRule type="containsText" dxfId="8970" priority="4109" stopIfTrue="1" operator="containsText" text="Físico-químico">
      <formula>NOT(ISERROR(SEARCH("Físico-químico",E319)))</formula>
    </cfRule>
    <cfRule type="containsText" dxfId="8969" priority="4110" stopIfTrue="1" operator="containsText" text="Eléctrico">
      <formula>NOT(ISERROR(SEARCH("Eléctrico",E319)))</formula>
    </cfRule>
    <cfRule type="containsText" dxfId="8968" priority="4111" stopIfTrue="1" operator="containsText" text="Físico">
      <formula>NOT(ISERROR(SEARCH("Físico",E319)))</formula>
    </cfRule>
    <cfRule type="containsText" dxfId="8967" priority="4112" stopIfTrue="1" operator="containsText" text="4. Químico">
      <formula>NOT(ISERROR(SEARCH("4. Químico",E319)))</formula>
    </cfRule>
    <cfRule type="containsText" dxfId="8966" priority="4113" stopIfTrue="1" operator="containsText" text="3. Locativo">
      <formula>NOT(ISERROR(SEARCH("3. Locativo",E319)))</formula>
    </cfRule>
    <cfRule type="containsText" dxfId="8965" priority="4114" stopIfTrue="1" operator="containsText" text="2. Mecánico">
      <formula>NOT(ISERROR(SEARCH("2. Mecánico",E319)))</formula>
    </cfRule>
    <cfRule type="containsText" dxfId="8964" priority="4115" stopIfTrue="1" operator="containsText" text="1. Ergonómico">
      <formula>NOT(ISERROR(SEARCH("1. Ergonómico",E319)))</formula>
    </cfRule>
    <cfRule type="containsText" dxfId="8963" priority="4105" stopIfTrue="1" operator="containsText" text="Público">
      <formula>NOT(ISERROR(SEARCH("Público",E319)))</formula>
    </cfRule>
    <cfRule type="containsText" dxfId="8962" priority="4106" stopIfTrue="1" operator="containsText" text="Psicosocial">
      <formula>NOT(ISERROR(SEARCH("Psicosocial",E319)))</formula>
    </cfRule>
    <cfRule type="containsText" dxfId="8961" priority="4107" stopIfTrue="1" operator="containsText" text="Biológico">
      <formula>NOT(ISERROR(SEARCH("Biológico",E319)))</formula>
    </cfRule>
    <cfRule type="containsText" dxfId="8960" priority="4108" stopIfTrue="1" operator="containsText" text="Trabajo de alto riesgo">
      <formula>NOT(ISERROR(SEARCH("Trabajo de alto riesgo",E319)))</formula>
    </cfRule>
  </conditionalFormatting>
  <conditionalFormatting sqref="E320">
    <cfRule type="containsText" dxfId="8959" priority="3897" stopIfTrue="1" operator="containsText" text="Eléctrico">
      <formula>NOT(ISERROR(SEARCH("Eléctrico",E320)))</formula>
    </cfRule>
    <cfRule type="containsText" dxfId="8958" priority="3895" stopIfTrue="1" operator="containsText" text="Trabajo de alto riesgo">
      <formula>NOT(ISERROR(SEARCH("Trabajo de alto riesgo",E320)))</formula>
    </cfRule>
    <cfRule type="containsText" dxfId="8957" priority="3894" stopIfTrue="1" operator="containsText" text="Biológico">
      <formula>NOT(ISERROR(SEARCH("Biológico",E320)))</formula>
    </cfRule>
    <cfRule type="containsText" dxfId="8956" priority="3893" stopIfTrue="1" operator="containsText" text="Psicosocial">
      <formula>NOT(ISERROR(SEARCH("Psicosocial",E320)))</formula>
    </cfRule>
    <cfRule type="containsText" dxfId="8955" priority="3892" stopIfTrue="1" operator="containsText" text="Público">
      <formula>NOT(ISERROR(SEARCH("Público",E320)))</formula>
    </cfRule>
    <cfRule type="containsText" dxfId="8954" priority="3896" stopIfTrue="1" operator="containsText" text="Físico-químico">
      <formula>NOT(ISERROR(SEARCH("Físico-químico",E320)))</formula>
    </cfRule>
    <cfRule type="containsText" dxfId="8953" priority="3902" stopIfTrue="1" operator="containsText" text="1. Ergonómico">
      <formula>NOT(ISERROR(SEARCH("1. Ergonómico",E320)))</formula>
    </cfRule>
    <cfRule type="containsText" dxfId="8952" priority="3901" stopIfTrue="1" operator="containsText" text="2. Mecánico">
      <formula>NOT(ISERROR(SEARCH("2. Mecánico",E320)))</formula>
    </cfRule>
    <cfRule type="containsText" dxfId="8951" priority="3900" stopIfTrue="1" operator="containsText" text="3. Locativo">
      <formula>NOT(ISERROR(SEARCH("3. Locativo",E320)))</formula>
    </cfRule>
    <cfRule type="containsText" dxfId="8950" priority="3899" stopIfTrue="1" operator="containsText" text="4. Químico">
      <formula>NOT(ISERROR(SEARCH("4. Químico",E320)))</formula>
    </cfRule>
    <cfRule type="containsText" dxfId="8949" priority="3898" stopIfTrue="1" operator="containsText" text="Físico">
      <formula>NOT(ISERROR(SEARCH("Físico",E320)))</formula>
    </cfRule>
  </conditionalFormatting>
  <conditionalFormatting sqref="E321">
    <cfRule type="containsText" dxfId="8948" priority="3844" stopIfTrue="1" operator="containsText" text="2. Mecánico">
      <formula>NOT(ISERROR(SEARCH("2. Mecánico",E321)))</formula>
    </cfRule>
    <cfRule type="containsText" dxfId="8947" priority="3843" stopIfTrue="1" operator="containsText" text="3. Locativo">
      <formula>NOT(ISERROR(SEARCH("3. Locativo",E321)))</formula>
    </cfRule>
    <cfRule type="containsText" dxfId="8946" priority="3842" stopIfTrue="1" operator="containsText" text="4. Químico">
      <formula>NOT(ISERROR(SEARCH("4. Químico",E321)))</formula>
    </cfRule>
    <cfRule type="containsText" dxfId="8945" priority="3841" stopIfTrue="1" operator="containsText" text="Físico">
      <formula>NOT(ISERROR(SEARCH("Físico",E321)))</formula>
    </cfRule>
    <cfRule type="containsText" dxfId="8944" priority="3840" stopIfTrue="1" operator="containsText" text="Eléctrico">
      <formula>NOT(ISERROR(SEARCH("Eléctrico",E321)))</formula>
    </cfRule>
    <cfRule type="containsText" dxfId="8943" priority="3839" stopIfTrue="1" operator="containsText" text="Físico-químico">
      <formula>NOT(ISERROR(SEARCH("Físico-químico",E321)))</formula>
    </cfRule>
    <cfRule type="containsText" dxfId="8942" priority="3838" stopIfTrue="1" operator="containsText" text="Trabajo de alto riesgo">
      <formula>NOT(ISERROR(SEARCH("Trabajo de alto riesgo",E321)))</formula>
    </cfRule>
    <cfRule type="containsText" dxfId="8941" priority="3835" stopIfTrue="1" operator="containsText" text="Público">
      <formula>NOT(ISERROR(SEARCH("Público",E321)))</formula>
    </cfRule>
    <cfRule type="containsText" dxfId="8940" priority="3836" stopIfTrue="1" operator="containsText" text="Psicosocial">
      <formula>NOT(ISERROR(SEARCH("Psicosocial",E321)))</formula>
    </cfRule>
    <cfRule type="containsText" dxfId="8939" priority="3845" stopIfTrue="1" operator="containsText" text="1. Ergonómico">
      <formula>NOT(ISERROR(SEARCH("1. Ergonómico",E321)))</formula>
    </cfRule>
    <cfRule type="containsText" dxfId="8938" priority="3837" stopIfTrue="1" operator="containsText" text="Biológico">
      <formula>NOT(ISERROR(SEARCH("Biológico",E321)))</formula>
    </cfRule>
  </conditionalFormatting>
  <conditionalFormatting sqref="E324">
    <cfRule type="containsText" dxfId="8937" priority="3611" stopIfTrue="1" operator="containsText" text="Psicosocial">
      <formula>NOT(ISERROR(SEARCH("Psicosocial",E324)))</formula>
    </cfRule>
    <cfRule type="containsText" dxfId="8936" priority="3620" stopIfTrue="1" operator="containsText" text="1. Ergonómico">
      <formula>NOT(ISERROR(SEARCH("1. Ergonómico",E324)))</formula>
    </cfRule>
    <cfRule type="containsText" dxfId="8935" priority="3610" stopIfTrue="1" operator="containsText" text="Público">
      <formula>NOT(ISERROR(SEARCH("Público",E324)))</formula>
    </cfRule>
    <cfRule type="containsText" dxfId="8934" priority="3616" stopIfTrue="1" operator="containsText" text="Físico">
      <formula>NOT(ISERROR(SEARCH("Físico",E324)))</formula>
    </cfRule>
    <cfRule type="containsText" dxfId="8933" priority="3614" stopIfTrue="1" operator="containsText" text="Físico-químico">
      <formula>NOT(ISERROR(SEARCH("Físico-químico",E324)))</formula>
    </cfRule>
    <cfRule type="containsText" dxfId="8932" priority="3613" stopIfTrue="1" operator="containsText" text="Trabajo de alto riesgo">
      <formula>NOT(ISERROR(SEARCH("Trabajo de alto riesgo",E324)))</formula>
    </cfRule>
    <cfRule type="containsText" dxfId="8931" priority="3612" stopIfTrue="1" operator="containsText" text="Biológico">
      <formula>NOT(ISERROR(SEARCH("Biológico",E324)))</formula>
    </cfRule>
    <cfRule type="containsText" dxfId="8930" priority="3615" stopIfTrue="1" operator="containsText" text="Eléctrico">
      <formula>NOT(ISERROR(SEARCH("Eléctrico",E324)))</formula>
    </cfRule>
    <cfRule type="containsText" dxfId="8929" priority="3617" stopIfTrue="1" operator="containsText" text="4. Químico">
      <formula>NOT(ISERROR(SEARCH("4. Químico",E324)))</formula>
    </cfRule>
    <cfRule type="containsText" dxfId="8928" priority="3618" stopIfTrue="1" operator="containsText" text="3. Locativo">
      <formula>NOT(ISERROR(SEARCH("3. Locativo",E324)))</formula>
    </cfRule>
    <cfRule type="containsText" dxfId="8927" priority="3619" stopIfTrue="1" operator="containsText" text="2. Mecánico">
      <formula>NOT(ISERROR(SEARCH("2. Mecánico",E324)))</formula>
    </cfRule>
  </conditionalFormatting>
  <conditionalFormatting sqref="E327">
    <cfRule type="containsText" dxfId="8926" priority="3572" stopIfTrue="1" operator="containsText" text="2. Mecánico">
      <formula>NOT(ISERROR(SEARCH("2. Mecánico",E327)))</formula>
    </cfRule>
    <cfRule type="containsText" dxfId="8925" priority="3565" stopIfTrue="1" operator="containsText" text="Biológico">
      <formula>NOT(ISERROR(SEARCH("Biológico",E327)))</formula>
    </cfRule>
    <cfRule type="containsText" dxfId="8924" priority="3563" stopIfTrue="1" operator="containsText" text="Público">
      <formula>NOT(ISERROR(SEARCH("Público",E327)))</formula>
    </cfRule>
    <cfRule type="containsText" dxfId="8923" priority="3573" stopIfTrue="1" operator="containsText" text="1. Ergonómico">
      <formula>NOT(ISERROR(SEARCH("1. Ergonómico",E327)))</formula>
    </cfRule>
    <cfRule type="containsText" dxfId="8922" priority="3571" stopIfTrue="1" operator="containsText" text="3. Locativo">
      <formula>NOT(ISERROR(SEARCH("3. Locativo",E327)))</formula>
    </cfRule>
    <cfRule type="containsText" dxfId="8921" priority="3570" stopIfTrue="1" operator="containsText" text="4. Químico">
      <formula>NOT(ISERROR(SEARCH("4. Químico",E327)))</formula>
    </cfRule>
    <cfRule type="containsText" dxfId="8920" priority="3564" stopIfTrue="1" operator="containsText" text="Psicosocial">
      <formula>NOT(ISERROR(SEARCH("Psicosocial",E327)))</formula>
    </cfRule>
    <cfRule type="containsText" dxfId="8919" priority="3568" stopIfTrue="1" operator="containsText" text="Eléctrico">
      <formula>NOT(ISERROR(SEARCH("Eléctrico",E327)))</formula>
    </cfRule>
    <cfRule type="containsText" dxfId="8918" priority="3567" stopIfTrue="1" operator="containsText" text="Físico-químico">
      <formula>NOT(ISERROR(SEARCH("Físico-químico",E327)))</formula>
    </cfRule>
    <cfRule type="containsText" dxfId="8917" priority="3566" stopIfTrue="1" operator="containsText" text="Trabajo de alto riesgo">
      <formula>NOT(ISERROR(SEARCH("Trabajo de alto riesgo",E327)))</formula>
    </cfRule>
    <cfRule type="containsText" dxfId="8916" priority="3569" stopIfTrue="1" operator="containsText" text="Físico">
      <formula>NOT(ISERROR(SEARCH("Físico",E327)))</formula>
    </cfRule>
  </conditionalFormatting>
  <conditionalFormatting sqref="E328">
    <cfRule type="containsText" dxfId="8915" priority="3655" stopIfTrue="1" operator="containsText" text="Público">
      <formula>NOT(ISERROR(SEARCH("Público",E328)))</formula>
    </cfRule>
    <cfRule type="containsText" dxfId="8914" priority="3656" stopIfTrue="1" operator="containsText" text="Psicosocial">
      <formula>NOT(ISERROR(SEARCH("Psicosocial",E328)))</formula>
    </cfRule>
    <cfRule type="containsText" dxfId="8913" priority="3657" stopIfTrue="1" operator="containsText" text="Biológico">
      <formula>NOT(ISERROR(SEARCH("Biológico",E328)))</formula>
    </cfRule>
    <cfRule type="containsText" dxfId="8912" priority="3658" stopIfTrue="1" operator="containsText" text="Trabajo de alto riesgo">
      <formula>NOT(ISERROR(SEARCH("Trabajo de alto riesgo",E328)))</formula>
    </cfRule>
    <cfRule type="containsText" dxfId="8911" priority="3659" stopIfTrue="1" operator="containsText" text="Físico-químico">
      <formula>NOT(ISERROR(SEARCH("Físico-químico",E328)))</formula>
    </cfRule>
    <cfRule type="containsText" dxfId="8910" priority="3660" stopIfTrue="1" operator="containsText" text="Eléctrico">
      <formula>NOT(ISERROR(SEARCH("Eléctrico",E328)))</formula>
    </cfRule>
    <cfRule type="containsText" dxfId="8909" priority="3665" stopIfTrue="1" operator="containsText" text="1. Ergonómico">
      <formula>NOT(ISERROR(SEARCH("1. Ergonómico",E328)))</formula>
    </cfRule>
    <cfRule type="containsText" dxfId="8908" priority="3664" stopIfTrue="1" operator="containsText" text="2. Mecánico">
      <formula>NOT(ISERROR(SEARCH("2. Mecánico",E328)))</formula>
    </cfRule>
    <cfRule type="containsText" dxfId="8907" priority="3663" stopIfTrue="1" operator="containsText" text="3. Locativo">
      <formula>NOT(ISERROR(SEARCH("3. Locativo",E328)))</formula>
    </cfRule>
    <cfRule type="containsText" dxfId="8906" priority="3662" stopIfTrue="1" operator="containsText" text="4. Químico">
      <formula>NOT(ISERROR(SEARCH("4. Químico",E328)))</formula>
    </cfRule>
    <cfRule type="containsText" dxfId="8905" priority="3661" stopIfTrue="1" operator="containsText" text="Físico">
      <formula>NOT(ISERROR(SEARCH("Físico",E328)))</formula>
    </cfRule>
  </conditionalFormatting>
  <conditionalFormatting sqref="E329">
    <cfRule type="containsText" dxfId="8904" priority="3519" stopIfTrue="1" operator="containsText" text="Psicosocial">
      <formula>NOT(ISERROR(SEARCH("Psicosocial",E329)))</formula>
    </cfRule>
    <cfRule type="containsText" dxfId="8903" priority="3520" stopIfTrue="1" operator="containsText" text="Biológico">
      <formula>NOT(ISERROR(SEARCH("Biológico",E329)))</formula>
    </cfRule>
    <cfRule type="containsText" dxfId="8902" priority="3521" stopIfTrue="1" operator="containsText" text="Trabajo de alto riesgo">
      <formula>NOT(ISERROR(SEARCH("Trabajo de alto riesgo",E329)))</formula>
    </cfRule>
    <cfRule type="containsText" dxfId="8901" priority="3522" stopIfTrue="1" operator="containsText" text="Físico-químico">
      <formula>NOT(ISERROR(SEARCH("Físico-químico",E329)))</formula>
    </cfRule>
    <cfRule type="containsText" dxfId="8900" priority="3523" stopIfTrue="1" operator="containsText" text="Eléctrico">
      <formula>NOT(ISERROR(SEARCH("Eléctrico",E329)))</formula>
    </cfRule>
    <cfRule type="containsText" dxfId="8899" priority="3518" stopIfTrue="1" operator="containsText" text="Público">
      <formula>NOT(ISERROR(SEARCH("Público",E329)))</formula>
    </cfRule>
    <cfRule type="containsText" dxfId="8898" priority="3524" stopIfTrue="1" operator="containsText" text="Físico">
      <formula>NOT(ISERROR(SEARCH("Físico",E329)))</formula>
    </cfRule>
    <cfRule type="containsText" dxfId="8897" priority="3525" stopIfTrue="1" operator="containsText" text="4. Químico">
      <formula>NOT(ISERROR(SEARCH("4. Químico",E329)))</formula>
    </cfRule>
    <cfRule type="containsText" dxfId="8896" priority="3526" stopIfTrue="1" operator="containsText" text="3. Locativo">
      <formula>NOT(ISERROR(SEARCH("3. Locativo",E329)))</formula>
    </cfRule>
    <cfRule type="containsText" dxfId="8895" priority="3527" stopIfTrue="1" operator="containsText" text="2. Mecánico">
      <formula>NOT(ISERROR(SEARCH("2. Mecánico",E329)))</formula>
    </cfRule>
    <cfRule type="containsText" dxfId="8894" priority="3528" stopIfTrue="1" operator="containsText" text="1. Ergonómico">
      <formula>NOT(ISERROR(SEARCH("1. Ergonómico",E329)))</formula>
    </cfRule>
  </conditionalFormatting>
  <conditionalFormatting sqref="E330">
    <cfRule type="containsText" dxfId="8893" priority="3304" stopIfTrue="1" operator="containsText" text="3. Locativo">
      <formula>NOT(ISERROR(SEARCH("3. Locativo",E330)))</formula>
    </cfRule>
    <cfRule type="containsText" dxfId="8892" priority="3305" stopIfTrue="1" operator="containsText" text="2. Mecánico">
      <formula>NOT(ISERROR(SEARCH("2. Mecánico",E330)))</formula>
    </cfRule>
    <cfRule type="containsText" dxfId="8891" priority="3296" stopIfTrue="1" operator="containsText" text="Público">
      <formula>NOT(ISERROR(SEARCH("Público",E330)))</formula>
    </cfRule>
    <cfRule type="containsText" dxfId="8890" priority="3301" stopIfTrue="1" operator="containsText" text="Eléctrico">
      <formula>NOT(ISERROR(SEARCH("Eléctrico",E330)))</formula>
    </cfRule>
    <cfRule type="containsText" dxfId="8889" priority="3299" stopIfTrue="1" operator="containsText" text="Trabajo de alto riesgo">
      <formula>NOT(ISERROR(SEARCH("Trabajo de alto riesgo",E330)))</formula>
    </cfRule>
    <cfRule type="containsText" dxfId="8888" priority="3302" stopIfTrue="1" operator="containsText" text="Físico">
      <formula>NOT(ISERROR(SEARCH("Físico",E330)))</formula>
    </cfRule>
    <cfRule type="containsText" dxfId="8887" priority="3298" stopIfTrue="1" operator="containsText" text="Biológico">
      <formula>NOT(ISERROR(SEARCH("Biológico",E330)))</formula>
    </cfRule>
    <cfRule type="containsText" dxfId="8886" priority="3297" stopIfTrue="1" operator="containsText" text="Psicosocial">
      <formula>NOT(ISERROR(SEARCH("Psicosocial",E330)))</formula>
    </cfRule>
    <cfRule type="containsText" dxfId="8885" priority="3303" stopIfTrue="1" operator="containsText" text="4. Químico">
      <formula>NOT(ISERROR(SEARCH("4. Químico",E330)))</formula>
    </cfRule>
    <cfRule type="containsText" dxfId="8884" priority="3306" stopIfTrue="1" operator="containsText" text="1. Ergonómico">
      <formula>NOT(ISERROR(SEARCH("1. Ergonómico",E330)))</formula>
    </cfRule>
    <cfRule type="containsText" dxfId="8883" priority="3300" stopIfTrue="1" operator="containsText" text="Físico-químico">
      <formula>NOT(ISERROR(SEARCH("Físico-químico",E330)))</formula>
    </cfRule>
  </conditionalFormatting>
  <conditionalFormatting sqref="E331:E332">
    <cfRule type="containsText" dxfId="8882" priority="3347" stopIfTrue="1" operator="containsText" text="1. Ergonómico">
      <formula>NOT(ISERROR(SEARCH("1. Ergonómico",E331)))</formula>
    </cfRule>
    <cfRule type="containsText" dxfId="8881" priority="3340" stopIfTrue="1" operator="containsText" text="Trabajo de alto riesgo">
      <formula>NOT(ISERROR(SEARCH("Trabajo de alto riesgo",E331)))</formula>
    </cfRule>
    <cfRule type="containsText" dxfId="8880" priority="3339" stopIfTrue="1" operator="containsText" text="Biológico">
      <formula>NOT(ISERROR(SEARCH("Biológico",E331)))</formula>
    </cfRule>
    <cfRule type="containsText" dxfId="8879" priority="3337" stopIfTrue="1" operator="containsText" text="Público">
      <formula>NOT(ISERROR(SEARCH("Público",E331)))</formula>
    </cfRule>
    <cfRule type="containsText" dxfId="8878" priority="3338" stopIfTrue="1" operator="containsText" text="Psicosocial">
      <formula>NOT(ISERROR(SEARCH("Psicosocial",E331)))</formula>
    </cfRule>
    <cfRule type="containsText" dxfId="8877" priority="3344" stopIfTrue="1" operator="containsText" text="4. Químico">
      <formula>NOT(ISERROR(SEARCH("4. Químico",E331)))</formula>
    </cfRule>
    <cfRule type="containsText" dxfId="8876" priority="3345" stopIfTrue="1" operator="containsText" text="3. Locativo">
      <formula>NOT(ISERROR(SEARCH("3. Locativo",E331)))</formula>
    </cfRule>
    <cfRule type="containsText" dxfId="8875" priority="3346" stopIfTrue="1" operator="containsText" text="2. Mecánico">
      <formula>NOT(ISERROR(SEARCH("2. Mecánico",E331)))</formula>
    </cfRule>
    <cfRule type="containsText" dxfId="8874" priority="3343" stopIfTrue="1" operator="containsText" text="Físico">
      <formula>NOT(ISERROR(SEARCH("Físico",E331)))</formula>
    </cfRule>
    <cfRule type="containsText" dxfId="8873" priority="3342" stopIfTrue="1" operator="containsText" text="Eléctrico">
      <formula>NOT(ISERROR(SEARCH("Eléctrico",E331)))</formula>
    </cfRule>
    <cfRule type="containsText" dxfId="8872" priority="3341" stopIfTrue="1" operator="containsText" text="Físico-químico">
      <formula>NOT(ISERROR(SEARCH("Físico-químico",E331)))</formula>
    </cfRule>
  </conditionalFormatting>
  <conditionalFormatting sqref="E333">
    <cfRule type="containsText" dxfId="8871" priority="3435" stopIfTrue="1" operator="containsText" text="Biológico">
      <formula>NOT(ISERROR(SEARCH("Biológico",E333)))</formula>
    </cfRule>
    <cfRule type="containsText" dxfId="8870" priority="3440" stopIfTrue="1" operator="containsText" text="4. Químico">
      <formula>NOT(ISERROR(SEARCH("4. Químico",E333)))</formula>
    </cfRule>
    <cfRule type="containsText" dxfId="8869" priority="3434" stopIfTrue="1" operator="containsText" text="Psicosocial">
      <formula>NOT(ISERROR(SEARCH("Psicosocial",E333)))</formula>
    </cfRule>
    <cfRule type="containsText" dxfId="8868" priority="3433" stopIfTrue="1" operator="containsText" text="Público">
      <formula>NOT(ISERROR(SEARCH("Público",E333)))</formula>
    </cfRule>
    <cfRule type="containsText" dxfId="8867" priority="3442" stopIfTrue="1" operator="containsText" text="2. Mecánico">
      <formula>NOT(ISERROR(SEARCH("2. Mecánico",E333)))</formula>
    </cfRule>
    <cfRule type="containsText" dxfId="8866" priority="3441" stopIfTrue="1" operator="containsText" text="3. Locativo">
      <formula>NOT(ISERROR(SEARCH("3. Locativo",E333)))</formula>
    </cfRule>
    <cfRule type="containsText" dxfId="8865" priority="3439" stopIfTrue="1" operator="containsText" text="Físico">
      <formula>NOT(ISERROR(SEARCH("Físico",E333)))</formula>
    </cfRule>
    <cfRule type="containsText" dxfId="8864" priority="3438" stopIfTrue="1" operator="containsText" text="Eléctrico">
      <formula>NOT(ISERROR(SEARCH("Eléctrico",E333)))</formula>
    </cfRule>
    <cfRule type="containsText" dxfId="8863" priority="3437" stopIfTrue="1" operator="containsText" text="Físico-químico">
      <formula>NOT(ISERROR(SEARCH("Físico-químico",E333)))</formula>
    </cfRule>
    <cfRule type="containsText" dxfId="8862" priority="3436" stopIfTrue="1" operator="containsText" text="Trabajo de alto riesgo">
      <formula>NOT(ISERROR(SEARCH("Trabajo de alto riesgo",E333)))</formula>
    </cfRule>
    <cfRule type="containsText" dxfId="8861" priority="3443" stopIfTrue="1" operator="containsText" text="1. Ergonómico">
      <formula>NOT(ISERROR(SEARCH("1. Ergonómico",E333)))</formula>
    </cfRule>
  </conditionalFormatting>
  <conditionalFormatting sqref="E334">
    <cfRule type="containsText" dxfId="8860" priority="3377" stopIfTrue="1" operator="containsText" text="Psicosocial">
      <formula>NOT(ISERROR(SEARCH("Psicosocial",E334)))</formula>
    </cfRule>
    <cfRule type="containsText" dxfId="8859" priority="3376" stopIfTrue="1" operator="containsText" text="Público">
      <formula>NOT(ISERROR(SEARCH("Público",E334)))</formula>
    </cfRule>
    <cfRule type="containsText" dxfId="8858" priority="3381" stopIfTrue="1" operator="containsText" text="Eléctrico">
      <formula>NOT(ISERROR(SEARCH("Eléctrico",E334)))</formula>
    </cfRule>
    <cfRule type="containsText" dxfId="8857" priority="3378" stopIfTrue="1" operator="containsText" text="Biológico">
      <formula>NOT(ISERROR(SEARCH("Biológico",E334)))</formula>
    </cfRule>
    <cfRule type="containsText" dxfId="8856" priority="3379" stopIfTrue="1" operator="containsText" text="Trabajo de alto riesgo">
      <formula>NOT(ISERROR(SEARCH("Trabajo de alto riesgo",E334)))</formula>
    </cfRule>
    <cfRule type="containsText" dxfId="8855" priority="3384" stopIfTrue="1" operator="containsText" text="3. Locativo">
      <formula>NOT(ISERROR(SEARCH("3. Locativo",E334)))</formula>
    </cfRule>
    <cfRule type="containsText" dxfId="8854" priority="3383" stopIfTrue="1" operator="containsText" text="4. Químico">
      <formula>NOT(ISERROR(SEARCH("4. Químico",E334)))</formula>
    </cfRule>
    <cfRule type="containsText" dxfId="8853" priority="3382" stopIfTrue="1" operator="containsText" text="Físico">
      <formula>NOT(ISERROR(SEARCH("Físico",E334)))</formula>
    </cfRule>
    <cfRule type="containsText" dxfId="8852" priority="3380" stopIfTrue="1" operator="containsText" text="Físico-químico">
      <formula>NOT(ISERROR(SEARCH("Físico-químico",E334)))</formula>
    </cfRule>
    <cfRule type="containsText" dxfId="8851" priority="3385" stopIfTrue="1" operator="containsText" text="2. Mecánico">
      <formula>NOT(ISERROR(SEARCH("2. Mecánico",E334)))</formula>
    </cfRule>
    <cfRule type="containsText" dxfId="8850" priority="3386" stopIfTrue="1" operator="containsText" text="1. Ergonómico">
      <formula>NOT(ISERROR(SEARCH("1. Ergonómico",E334)))</formula>
    </cfRule>
  </conditionalFormatting>
  <conditionalFormatting sqref="E335">
    <cfRule type="containsText" dxfId="8849" priority="3195" stopIfTrue="1" operator="containsText" text="Físico-químico">
      <formula>NOT(ISERROR(SEARCH("Físico-químico",E335)))</formula>
    </cfRule>
    <cfRule type="containsText" dxfId="8848" priority="3200" stopIfTrue="1" operator="containsText" text="2. Mecánico">
      <formula>NOT(ISERROR(SEARCH("2. Mecánico",E335)))</formula>
    </cfRule>
    <cfRule type="containsText" dxfId="8847" priority="3201" stopIfTrue="1" operator="containsText" text="1. Ergonómico">
      <formula>NOT(ISERROR(SEARCH("1. Ergonómico",E335)))</formula>
    </cfRule>
    <cfRule type="containsText" dxfId="8846" priority="3191" stopIfTrue="1" operator="containsText" text="Público">
      <formula>NOT(ISERROR(SEARCH("Público",E335)))</formula>
    </cfRule>
    <cfRule type="containsText" dxfId="8845" priority="3197" stopIfTrue="1" operator="containsText" text="Físico">
      <formula>NOT(ISERROR(SEARCH("Físico",E335)))</formula>
    </cfRule>
    <cfRule type="containsText" dxfId="8844" priority="3198" stopIfTrue="1" operator="containsText" text="4. Químico">
      <formula>NOT(ISERROR(SEARCH("4. Químico",E335)))</formula>
    </cfRule>
    <cfRule type="containsText" dxfId="8843" priority="3192" stopIfTrue="1" operator="containsText" text="Psicosocial">
      <formula>NOT(ISERROR(SEARCH("Psicosocial",E335)))</formula>
    </cfRule>
    <cfRule type="containsText" dxfId="8842" priority="3193" stopIfTrue="1" operator="containsText" text="Biológico">
      <formula>NOT(ISERROR(SEARCH("Biológico",E335)))</formula>
    </cfRule>
    <cfRule type="containsText" dxfId="8841" priority="3196" stopIfTrue="1" operator="containsText" text="Eléctrico">
      <formula>NOT(ISERROR(SEARCH("Eléctrico",E335)))</formula>
    </cfRule>
    <cfRule type="containsText" dxfId="8840" priority="3199" stopIfTrue="1" operator="containsText" text="3. Locativo">
      <formula>NOT(ISERROR(SEARCH("3. Locativo",E335)))</formula>
    </cfRule>
    <cfRule type="containsText" dxfId="8839" priority="3194" stopIfTrue="1" operator="containsText" text="Trabajo de alto riesgo">
      <formula>NOT(ISERROR(SEARCH("Trabajo de alto riesgo",E335)))</formula>
    </cfRule>
  </conditionalFormatting>
  <conditionalFormatting sqref="E338">
    <cfRule type="containsText" dxfId="8838" priority="3055" stopIfTrue="1" operator="containsText" text="3. Locativo">
      <formula>NOT(ISERROR(SEARCH("3. Locativo",E338)))</formula>
    </cfRule>
    <cfRule type="containsText" dxfId="8837" priority="3054" stopIfTrue="1" operator="containsText" text="4. Químico">
      <formula>NOT(ISERROR(SEARCH("4. Químico",E338)))</formula>
    </cfRule>
    <cfRule type="containsText" dxfId="8836" priority="3053" stopIfTrue="1" operator="containsText" text="Físico">
      <formula>NOT(ISERROR(SEARCH("Físico",E338)))</formula>
    </cfRule>
    <cfRule type="containsText" dxfId="8835" priority="3052" stopIfTrue="1" operator="containsText" text="Eléctrico">
      <formula>NOT(ISERROR(SEARCH("Eléctrico",E338)))</formula>
    </cfRule>
    <cfRule type="containsText" dxfId="8834" priority="3047" stopIfTrue="1" operator="containsText" text="Público">
      <formula>NOT(ISERROR(SEARCH("Público",E338)))</formula>
    </cfRule>
    <cfRule type="containsText" dxfId="8833" priority="3048" stopIfTrue="1" operator="containsText" text="Psicosocial">
      <formula>NOT(ISERROR(SEARCH("Psicosocial",E338)))</formula>
    </cfRule>
    <cfRule type="containsText" dxfId="8832" priority="3051" stopIfTrue="1" operator="containsText" text="Físico-químico">
      <formula>NOT(ISERROR(SEARCH("Físico-químico",E338)))</formula>
    </cfRule>
    <cfRule type="containsText" dxfId="8831" priority="3049" stopIfTrue="1" operator="containsText" text="Biológico">
      <formula>NOT(ISERROR(SEARCH("Biológico",E338)))</formula>
    </cfRule>
    <cfRule type="containsText" dxfId="8830" priority="3050" stopIfTrue="1" operator="containsText" text="Trabajo de alto riesgo">
      <formula>NOT(ISERROR(SEARCH("Trabajo de alto riesgo",E338)))</formula>
    </cfRule>
    <cfRule type="containsText" dxfId="8829" priority="3057" stopIfTrue="1" operator="containsText" text="1. Ergonómico">
      <formula>NOT(ISERROR(SEARCH("1. Ergonómico",E338)))</formula>
    </cfRule>
    <cfRule type="containsText" dxfId="8828" priority="3056" stopIfTrue="1" operator="containsText" text="2. Mecánico">
      <formula>NOT(ISERROR(SEARCH("2. Mecánico",E338)))</formula>
    </cfRule>
  </conditionalFormatting>
  <conditionalFormatting sqref="E341">
    <cfRule type="containsText" dxfId="8827" priority="3004" stopIfTrue="1" operator="containsText" text="Físico-químico">
      <formula>NOT(ISERROR(SEARCH("Físico-químico",E341)))</formula>
    </cfRule>
    <cfRule type="containsText" dxfId="8826" priority="3005" stopIfTrue="1" operator="containsText" text="Eléctrico">
      <formula>NOT(ISERROR(SEARCH("Eléctrico",E341)))</formula>
    </cfRule>
    <cfRule type="containsText" dxfId="8825" priority="3000" stopIfTrue="1" operator="containsText" text="Público">
      <formula>NOT(ISERROR(SEARCH("Público",E341)))</formula>
    </cfRule>
    <cfRule type="containsText" dxfId="8824" priority="3002" stopIfTrue="1" operator="containsText" text="Biológico">
      <formula>NOT(ISERROR(SEARCH("Biológico",E341)))</formula>
    </cfRule>
    <cfRule type="containsText" dxfId="8823" priority="3006" stopIfTrue="1" operator="containsText" text="Físico">
      <formula>NOT(ISERROR(SEARCH("Físico",E341)))</formula>
    </cfRule>
    <cfRule type="containsText" dxfId="8822" priority="3003" stopIfTrue="1" operator="containsText" text="Trabajo de alto riesgo">
      <formula>NOT(ISERROR(SEARCH("Trabajo de alto riesgo",E341)))</formula>
    </cfRule>
    <cfRule type="containsText" dxfId="8821" priority="3001" stopIfTrue="1" operator="containsText" text="Psicosocial">
      <formula>NOT(ISERROR(SEARCH("Psicosocial",E341)))</formula>
    </cfRule>
    <cfRule type="containsText" dxfId="8820" priority="3007" stopIfTrue="1" operator="containsText" text="4. Químico">
      <formula>NOT(ISERROR(SEARCH("4. Químico",E341)))</formula>
    </cfRule>
    <cfRule type="containsText" dxfId="8819" priority="3010" stopIfTrue="1" operator="containsText" text="1. Ergonómico">
      <formula>NOT(ISERROR(SEARCH("1. Ergonómico",E341)))</formula>
    </cfRule>
    <cfRule type="containsText" dxfId="8818" priority="3009" stopIfTrue="1" operator="containsText" text="2. Mecánico">
      <formula>NOT(ISERROR(SEARCH("2. Mecánico",E341)))</formula>
    </cfRule>
    <cfRule type="containsText" dxfId="8817" priority="3008" stopIfTrue="1" operator="containsText" text="3. Locativo">
      <formula>NOT(ISERROR(SEARCH("3. Locativo",E341)))</formula>
    </cfRule>
  </conditionalFormatting>
  <conditionalFormatting sqref="E342">
    <cfRule type="containsText" dxfId="8816" priority="3094" stopIfTrue="1" operator="containsText" text="Biológico">
      <formula>NOT(ISERROR(SEARCH("Biológico",E342)))</formula>
    </cfRule>
    <cfRule type="containsText" dxfId="8815" priority="3093" stopIfTrue="1" operator="containsText" text="Psicosocial">
      <formula>NOT(ISERROR(SEARCH("Psicosocial",E342)))</formula>
    </cfRule>
    <cfRule type="containsText" dxfId="8814" priority="3092" stopIfTrue="1" operator="containsText" text="Público">
      <formula>NOT(ISERROR(SEARCH("Público",E342)))</formula>
    </cfRule>
    <cfRule type="containsText" dxfId="8813" priority="3096" stopIfTrue="1" operator="containsText" text="Físico-químico">
      <formula>NOT(ISERROR(SEARCH("Físico-químico",E342)))</formula>
    </cfRule>
    <cfRule type="containsText" dxfId="8812" priority="3098" stopIfTrue="1" operator="containsText" text="Físico">
      <formula>NOT(ISERROR(SEARCH("Físico",E342)))</formula>
    </cfRule>
    <cfRule type="containsText" dxfId="8811" priority="3100" stopIfTrue="1" operator="containsText" text="3. Locativo">
      <formula>NOT(ISERROR(SEARCH("3. Locativo",E342)))</formula>
    </cfRule>
    <cfRule type="containsText" dxfId="8810" priority="3101" stopIfTrue="1" operator="containsText" text="2. Mecánico">
      <formula>NOT(ISERROR(SEARCH("2. Mecánico",E342)))</formula>
    </cfRule>
    <cfRule type="containsText" dxfId="8809" priority="3097" stopIfTrue="1" operator="containsText" text="Eléctrico">
      <formula>NOT(ISERROR(SEARCH("Eléctrico",E342)))</formula>
    </cfRule>
    <cfRule type="containsText" dxfId="8808" priority="3102" stopIfTrue="1" operator="containsText" text="1. Ergonómico">
      <formula>NOT(ISERROR(SEARCH("1. Ergonómico",E342)))</formula>
    </cfRule>
    <cfRule type="containsText" dxfId="8807" priority="3095" stopIfTrue="1" operator="containsText" text="Trabajo de alto riesgo">
      <formula>NOT(ISERROR(SEARCH("Trabajo de alto riesgo",E342)))</formula>
    </cfRule>
    <cfRule type="containsText" dxfId="8806" priority="3099" stopIfTrue="1" operator="containsText" text="4. Químico">
      <formula>NOT(ISERROR(SEARCH("4. Químico",E342)))</formula>
    </cfRule>
  </conditionalFormatting>
  <conditionalFormatting sqref="E343">
    <cfRule type="containsText" dxfId="8805" priority="2960" stopIfTrue="1" operator="containsText" text="Eléctrico">
      <formula>NOT(ISERROR(SEARCH("Eléctrico",E343)))</formula>
    </cfRule>
    <cfRule type="containsText" dxfId="8804" priority="2961" stopIfTrue="1" operator="containsText" text="Físico">
      <formula>NOT(ISERROR(SEARCH("Físico",E343)))</formula>
    </cfRule>
    <cfRule type="containsText" dxfId="8803" priority="2962" stopIfTrue="1" operator="containsText" text="4. Químico">
      <formula>NOT(ISERROR(SEARCH("4. Químico",E343)))</formula>
    </cfRule>
    <cfRule type="containsText" dxfId="8802" priority="2963" stopIfTrue="1" operator="containsText" text="3. Locativo">
      <formula>NOT(ISERROR(SEARCH("3. Locativo",E343)))</formula>
    </cfRule>
    <cfRule type="containsText" dxfId="8801" priority="2964" stopIfTrue="1" operator="containsText" text="2. Mecánico">
      <formula>NOT(ISERROR(SEARCH("2. Mecánico",E343)))</formula>
    </cfRule>
    <cfRule type="containsText" dxfId="8800" priority="2965" stopIfTrue="1" operator="containsText" text="1. Ergonómico">
      <formula>NOT(ISERROR(SEARCH("1. Ergonómico",E343)))</formula>
    </cfRule>
    <cfRule type="containsText" dxfId="8799" priority="2955" stopIfTrue="1" operator="containsText" text="Público">
      <formula>NOT(ISERROR(SEARCH("Público",E343)))</formula>
    </cfRule>
    <cfRule type="containsText" dxfId="8798" priority="2956" stopIfTrue="1" operator="containsText" text="Psicosocial">
      <formula>NOT(ISERROR(SEARCH("Psicosocial",E343)))</formula>
    </cfRule>
    <cfRule type="containsText" dxfId="8797" priority="2957" stopIfTrue="1" operator="containsText" text="Biológico">
      <formula>NOT(ISERROR(SEARCH("Biológico",E343)))</formula>
    </cfRule>
    <cfRule type="containsText" dxfId="8796" priority="2958" stopIfTrue="1" operator="containsText" text="Trabajo de alto riesgo">
      <formula>NOT(ISERROR(SEARCH("Trabajo de alto riesgo",E343)))</formula>
    </cfRule>
    <cfRule type="containsText" dxfId="8795" priority="2959" stopIfTrue="1" operator="containsText" text="Físico-químico">
      <formula>NOT(ISERROR(SEARCH("Físico-químico",E343)))</formula>
    </cfRule>
  </conditionalFormatting>
  <conditionalFormatting sqref="E344">
    <cfRule type="containsText" dxfId="8794" priority="2739" stopIfTrue="1" operator="containsText" text="Físico">
      <formula>NOT(ISERROR(SEARCH("Físico",E344)))</formula>
    </cfRule>
    <cfRule type="containsText" dxfId="8793" priority="2733" stopIfTrue="1" operator="containsText" text="Público">
      <formula>NOT(ISERROR(SEARCH("Público",E344)))</formula>
    </cfRule>
    <cfRule type="containsText" dxfId="8792" priority="2740" stopIfTrue="1" operator="containsText" text="4. Químico">
      <formula>NOT(ISERROR(SEARCH("4. Químico",E344)))</formula>
    </cfRule>
    <cfRule type="containsText" dxfId="8791" priority="2734" stopIfTrue="1" operator="containsText" text="Psicosocial">
      <formula>NOT(ISERROR(SEARCH("Psicosocial",E344)))</formula>
    </cfRule>
    <cfRule type="containsText" dxfId="8790" priority="2735" stopIfTrue="1" operator="containsText" text="Biológico">
      <formula>NOT(ISERROR(SEARCH("Biológico",E344)))</formula>
    </cfRule>
    <cfRule type="containsText" dxfId="8789" priority="2743" stopIfTrue="1" operator="containsText" text="1. Ergonómico">
      <formula>NOT(ISERROR(SEARCH("1. Ergonómico",E344)))</formula>
    </cfRule>
    <cfRule type="containsText" dxfId="8788" priority="2742" stopIfTrue="1" operator="containsText" text="2. Mecánico">
      <formula>NOT(ISERROR(SEARCH("2. Mecánico",E344)))</formula>
    </cfRule>
    <cfRule type="containsText" dxfId="8787" priority="2741" stopIfTrue="1" operator="containsText" text="3. Locativo">
      <formula>NOT(ISERROR(SEARCH("3. Locativo",E344)))</formula>
    </cfRule>
    <cfRule type="containsText" dxfId="8786" priority="2736" stopIfTrue="1" operator="containsText" text="Trabajo de alto riesgo">
      <formula>NOT(ISERROR(SEARCH("Trabajo de alto riesgo",E344)))</formula>
    </cfRule>
    <cfRule type="containsText" dxfId="8785" priority="2737" stopIfTrue="1" operator="containsText" text="Físico-químico">
      <formula>NOT(ISERROR(SEARCH("Físico-químico",E344)))</formula>
    </cfRule>
    <cfRule type="containsText" dxfId="8784" priority="2738" stopIfTrue="1" operator="containsText" text="Eléctrico">
      <formula>NOT(ISERROR(SEARCH("Eléctrico",E344)))</formula>
    </cfRule>
  </conditionalFormatting>
  <conditionalFormatting sqref="E345:E346">
    <cfRule type="containsText" dxfId="8783" priority="2778" stopIfTrue="1" operator="containsText" text="Físico-químico">
      <formula>NOT(ISERROR(SEARCH("Físico-químico",E345)))</formula>
    </cfRule>
    <cfRule type="containsText" dxfId="8782" priority="2777" stopIfTrue="1" operator="containsText" text="Trabajo de alto riesgo">
      <formula>NOT(ISERROR(SEARCH("Trabajo de alto riesgo",E345)))</formula>
    </cfRule>
    <cfRule type="containsText" dxfId="8781" priority="2776" stopIfTrue="1" operator="containsText" text="Biológico">
      <formula>NOT(ISERROR(SEARCH("Biológico",E345)))</formula>
    </cfRule>
    <cfRule type="containsText" dxfId="8780" priority="2775" stopIfTrue="1" operator="containsText" text="Psicosocial">
      <formula>NOT(ISERROR(SEARCH("Psicosocial",E345)))</formula>
    </cfRule>
    <cfRule type="containsText" dxfId="8779" priority="2774" stopIfTrue="1" operator="containsText" text="Público">
      <formula>NOT(ISERROR(SEARCH("Público",E345)))</formula>
    </cfRule>
    <cfRule type="containsText" dxfId="8778" priority="2784" stopIfTrue="1" operator="containsText" text="1. Ergonómico">
      <formula>NOT(ISERROR(SEARCH("1. Ergonómico",E345)))</formula>
    </cfRule>
    <cfRule type="containsText" dxfId="8777" priority="2779" stopIfTrue="1" operator="containsText" text="Eléctrico">
      <formula>NOT(ISERROR(SEARCH("Eléctrico",E345)))</formula>
    </cfRule>
    <cfRule type="containsText" dxfId="8776" priority="2780" stopIfTrue="1" operator="containsText" text="Físico">
      <formula>NOT(ISERROR(SEARCH("Físico",E345)))</formula>
    </cfRule>
    <cfRule type="containsText" dxfId="8775" priority="2781" stopIfTrue="1" operator="containsText" text="4. Químico">
      <formula>NOT(ISERROR(SEARCH("4. Químico",E345)))</formula>
    </cfRule>
    <cfRule type="containsText" dxfId="8774" priority="2782" stopIfTrue="1" operator="containsText" text="3. Locativo">
      <formula>NOT(ISERROR(SEARCH("3. Locativo",E345)))</formula>
    </cfRule>
    <cfRule type="containsText" dxfId="8773" priority="2783" stopIfTrue="1" operator="containsText" text="2. Mecánico">
      <formula>NOT(ISERROR(SEARCH("2. Mecánico",E345)))</formula>
    </cfRule>
  </conditionalFormatting>
  <conditionalFormatting sqref="E347">
    <cfRule type="containsText" dxfId="8772" priority="2872" stopIfTrue="1" operator="containsText" text="Biológico">
      <formula>NOT(ISERROR(SEARCH("Biológico",E347)))</formula>
    </cfRule>
    <cfRule type="containsText" dxfId="8771" priority="2873" stopIfTrue="1" operator="containsText" text="Trabajo de alto riesgo">
      <formula>NOT(ISERROR(SEARCH("Trabajo de alto riesgo",E347)))</formula>
    </cfRule>
    <cfRule type="containsText" dxfId="8770" priority="2874" stopIfTrue="1" operator="containsText" text="Físico-químico">
      <formula>NOT(ISERROR(SEARCH("Físico-químico",E347)))</formula>
    </cfRule>
    <cfRule type="containsText" dxfId="8769" priority="2876" stopIfTrue="1" operator="containsText" text="Físico">
      <formula>NOT(ISERROR(SEARCH("Físico",E347)))</formula>
    </cfRule>
    <cfRule type="containsText" dxfId="8768" priority="2875" stopIfTrue="1" operator="containsText" text="Eléctrico">
      <formula>NOT(ISERROR(SEARCH("Eléctrico",E347)))</formula>
    </cfRule>
    <cfRule type="containsText" dxfId="8767" priority="2870" stopIfTrue="1" operator="containsText" text="Público">
      <formula>NOT(ISERROR(SEARCH("Público",E347)))</formula>
    </cfRule>
    <cfRule type="containsText" dxfId="8766" priority="2879" stopIfTrue="1" operator="containsText" text="2. Mecánico">
      <formula>NOT(ISERROR(SEARCH("2. Mecánico",E347)))</formula>
    </cfRule>
    <cfRule type="containsText" dxfId="8765" priority="2880" stopIfTrue="1" operator="containsText" text="1. Ergonómico">
      <formula>NOT(ISERROR(SEARCH("1. Ergonómico",E347)))</formula>
    </cfRule>
    <cfRule type="containsText" dxfId="8764" priority="2878" stopIfTrue="1" operator="containsText" text="3. Locativo">
      <formula>NOT(ISERROR(SEARCH("3. Locativo",E347)))</formula>
    </cfRule>
    <cfRule type="containsText" dxfId="8763" priority="2877" stopIfTrue="1" operator="containsText" text="4. Químico">
      <formula>NOT(ISERROR(SEARCH("4. Químico",E347)))</formula>
    </cfRule>
    <cfRule type="containsText" dxfId="8762" priority="2871" stopIfTrue="1" operator="containsText" text="Psicosocial">
      <formula>NOT(ISERROR(SEARCH("Psicosocial",E347)))</formula>
    </cfRule>
  </conditionalFormatting>
  <conditionalFormatting sqref="E348">
    <cfRule type="containsText" dxfId="8761" priority="2823" stopIfTrue="1" operator="containsText" text="1. Ergonómico">
      <formula>NOT(ISERROR(SEARCH("1. Ergonómico",E348)))</formula>
    </cfRule>
    <cfRule type="containsText" dxfId="8760" priority="2821" stopIfTrue="1" operator="containsText" text="3. Locativo">
      <formula>NOT(ISERROR(SEARCH("3. Locativo",E348)))</formula>
    </cfRule>
    <cfRule type="containsText" dxfId="8759" priority="2820" stopIfTrue="1" operator="containsText" text="4. Químico">
      <formula>NOT(ISERROR(SEARCH("4. Químico",E348)))</formula>
    </cfRule>
    <cfRule type="containsText" dxfId="8758" priority="2819" stopIfTrue="1" operator="containsText" text="Físico">
      <formula>NOT(ISERROR(SEARCH("Físico",E348)))</formula>
    </cfRule>
    <cfRule type="containsText" dxfId="8757" priority="2818" stopIfTrue="1" operator="containsText" text="Eléctrico">
      <formula>NOT(ISERROR(SEARCH("Eléctrico",E348)))</formula>
    </cfRule>
    <cfRule type="containsText" dxfId="8756" priority="2817" stopIfTrue="1" operator="containsText" text="Físico-químico">
      <formula>NOT(ISERROR(SEARCH("Físico-químico",E348)))</formula>
    </cfRule>
    <cfRule type="containsText" dxfId="8755" priority="2816" stopIfTrue="1" operator="containsText" text="Trabajo de alto riesgo">
      <formula>NOT(ISERROR(SEARCH("Trabajo de alto riesgo",E348)))</formula>
    </cfRule>
    <cfRule type="containsText" dxfId="8754" priority="2815" stopIfTrue="1" operator="containsText" text="Biológico">
      <formula>NOT(ISERROR(SEARCH("Biológico",E348)))</formula>
    </cfRule>
    <cfRule type="containsText" dxfId="8753" priority="2814" stopIfTrue="1" operator="containsText" text="Psicosocial">
      <formula>NOT(ISERROR(SEARCH("Psicosocial",E348)))</formula>
    </cfRule>
    <cfRule type="containsText" dxfId="8752" priority="2813" stopIfTrue="1" operator="containsText" text="Público">
      <formula>NOT(ISERROR(SEARCH("Público",E348)))</formula>
    </cfRule>
    <cfRule type="containsText" dxfId="8751" priority="2822" stopIfTrue="1" operator="containsText" text="2. Mecánico">
      <formula>NOT(ISERROR(SEARCH("2. Mecánico",E348)))</formula>
    </cfRule>
  </conditionalFormatting>
  <conditionalFormatting sqref="E349">
    <cfRule type="containsText" dxfId="8750" priority="2638" stopIfTrue="1" operator="containsText" text="1. Ergonómico">
      <formula>NOT(ISERROR(SEARCH("1. Ergonómico",E349)))</formula>
    </cfRule>
    <cfRule type="containsText" dxfId="8749" priority="2637" stopIfTrue="1" operator="containsText" text="2. Mecánico">
      <formula>NOT(ISERROR(SEARCH("2. Mecánico",E349)))</formula>
    </cfRule>
    <cfRule type="containsText" dxfId="8748" priority="2636" stopIfTrue="1" operator="containsText" text="3. Locativo">
      <formula>NOT(ISERROR(SEARCH("3. Locativo",E349)))</formula>
    </cfRule>
    <cfRule type="containsText" dxfId="8747" priority="2635" stopIfTrue="1" operator="containsText" text="4. Químico">
      <formula>NOT(ISERROR(SEARCH("4. Químico",E349)))</formula>
    </cfRule>
    <cfRule type="containsText" dxfId="8746" priority="2634" stopIfTrue="1" operator="containsText" text="Físico">
      <formula>NOT(ISERROR(SEARCH("Físico",E349)))</formula>
    </cfRule>
    <cfRule type="containsText" dxfId="8745" priority="2633" stopIfTrue="1" operator="containsText" text="Eléctrico">
      <formula>NOT(ISERROR(SEARCH("Eléctrico",E349)))</formula>
    </cfRule>
    <cfRule type="containsText" dxfId="8744" priority="2628" stopIfTrue="1" operator="containsText" text="Público">
      <formula>NOT(ISERROR(SEARCH("Público",E349)))</formula>
    </cfRule>
    <cfRule type="containsText" dxfId="8743" priority="2629" stopIfTrue="1" operator="containsText" text="Psicosocial">
      <formula>NOT(ISERROR(SEARCH("Psicosocial",E349)))</formula>
    </cfRule>
    <cfRule type="containsText" dxfId="8742" priority="2630" stopIfTrue="1" operator="containsText" text="Biológico">
      <formula>NOT(ISERROR(SEARCH("Biológico",E349)))</formula>
    </cfRule>
    <cfRule type="containsText" dxfId="8741" priority="2631" stopIfTrue="1" operator="containsText" text="Trabajo de alto riesgo">
      <formula>NOT(ISERROR(SEARCH("Trabajo de alto riesgo",E349)))</formula>
    </cfRule>
    <cfRule type="containsText" dxfId="8740" priority="2632" stopIfTrue="1" operator="containsText" text="Físico-químico">
      <formula>NOT(ISERROR(SEARCH("Físico-químico",E349)))</formula>
    </cfRule>
  </conditionalFormatting>
  <conditionalFormatting sqref="E352:E353">
    <cfRule type="containsText" dxfId="8739" priority="2472" stopIfTrue="1" operator="containsText" text="Eléctrico">
      <formula>NOT(ISERROR(SEARCH("Eléctrico",E352)))</formula>
    </cfRule>
    <cfRule type="containsText" dxfId="8738" priority="2471" stopIfTrue="1" operator="containsText" text="Físico-químico">
      <formula>NOT(ISERROR(SEARCH("Físico-químico",E352)))</formula>
    </cfRule>
    <cfRule type="containsText" dxfId="8737" priority="2477" stopIfTrue="1" operator="containsText" text="1. Ergonómico">
      <formula>NOT(ISERROR(SEARCH("1. Ergonómico",E352)))</formula>
    </cfRule>
    <cfRule type="containsText" dxfId="8736" priority="2476" stopIfTrue="1" operator="containsText" text="2. Mecánico">
      <formula>NOT(ISERROR(SEARCH("2. Mecánico",E352)))</formula>
    </cfRule>
    <cfRule type="containsText" dxfId="8735" priority="2475" stopIfTrue="1" operator="containsText" text="3. Locativo">
      <formula>NOT(ISERROR(SEARCH("3. Locativo",E352)))</formula>
    </cfRule>
    <cfRule type="containsText" dxfId="8734" priority="2474" stopIfTrue="1" operator="containsText" text="4. Químico">
      <formula>NOT(ISERROR(SEARCH("4. Químico",E352)))</formula>
    </cfRule>
    <cfRule type="containsText" dxfId="8733" priority="2473" stopIfTrue="1" operator="containsText" text="Físico">
      <formula>NOT(ISERROR(SEARCH("Físico",E352)))</formula>
    </cfRule>
    <cfRule type="containsText" dxfId="8732" priority="2470" stopIfTrue="1" operator="containsText" text="Trabajo de alto riesgo">
      <formula>NOT(ISERROR(SEARCH("Trabajo de alto riesgo",E352)))</formula>
    </cfRule>
    <cfRule type="containsText" dxfId="8731" priority="2469" stopIfTrue="1" operator="containsText" text="Biológico">
      <formula>NOT(ISERROR(SEARCH("Biológico",E352)))</formula>
    </cfRule>
    <cfRule type="containsText" dxfId="8730" priority="2468" stopIfTrue="1" operator="containsText" text="Psicosocial">
      <formula>NOT(ISERROR(SEARCH("Psicosocial",E352)))</formula>
    </cfRule>
    <cfRule type="containsText" dxfId="8729" priority="2467" stopIfTrue="1" operator="containsText" text="Público">
      <formula>NOT(ISERROR(SEARCH("Público",E352)))</formula>
    </cfRule>
  </conditionalFormatting>
  <conditionalFormatting sqref="E356">
    <cfRule type="containsText" dxfId="8728" priority="2420" stopIfTrue="1" operator="containsText" text="Público">
      <formula>NOT(ISERROR(SEARCH("Público",E356)))</formula>
    </cfRule>
    <cfRule type="containsText" dxfId="8727" priority="2430" stopIfTrue="1" operator="containsText" text="1. Ergonómico">
      <formula>NOT(ISERROR(SEARCH("1. Ergonómico",E356)))</formula>
    </cfRule>
    <cfRule type="containsText" dxfId="8726" priority="2421" stopIfTrue="1" operator="containsText" text="Psicosocial">
      <formula>NOT(ISERROR(SEARCH("Psicosocial",E356)))</formula>
    </cfRule>
    <cfRule type="containsText" dxfId="8725" priority="2429" stopIfTrue="1" operator="containsText" text="2. Mecánico">
      <formula>NOT(ISERROR(SEARCH("2. Mecánico",E356)))</formula>
    </cfRule>
    <cfRule type="containsText" dxfId="8724" priority="2428" stopIfTrue="1" operator="containsText" text="3. Locativo">
      <formula>NOT(ISERROR(SEARCH("3. Locativo",E356)))</formula>
    </cfRule>
    <cfRule type="containsText" dxfId="8723" priority="2427" stopIfTrue="1" operator="containsText" text="4. Químico">
      <formula>NOT(ISERROR(SEARCH("4. Químico",E356)))</formula>
    </cfRule>
    <cfRule type="containsText" dxfId="8722" priority="2423" stopIfTrue="1" operator="containsText" text="Trabajo de alto riesgo">
      <formula>NOT(ISERROR(SEARCH("Trabajo de alto riesgo",E356)))</formula>
    </cfRule>
    <cfRule type="containsText" dxfId="8721" priority="2426" stopIfTrue="1" operator="containsText" text="Físico">
      <formula>NOT(ISERROR(SEARCH("Físico",E356)))</formula>
    </cfRule>
    <cfRule type="containsText" dxfId="8720" priority="2425" stopIfTrue="1" operator="containsText" text="Eléctrico">
      <formula>NOT(ISERROR(SEARCH("Eléctrico",E356)))</formula>
    </cfRule>
    <cfRule type="containsText" dxfId="8719" priority="2424" stopIfTrue="1" operator="containsText" text="Físico-químico">
      <formula>NOT(ISERROR(SEARCH("Físico-químico",E356)))</formula>
    </cfRule>
    <cfRule type="containsText" dxfId="8718" priority="2422" stopIfTrue="1" operator="containsText" text="Biológico">
      <formula>NOT(ISERROR(SEARCH("Biológico",E356)))</formula>
    </cfRule>
  </conditionalFormatting>
  <conditionalFormatting sqref="E357">
    <cfRule type="containsText" dxfId="8717" priority="2519" stopIfTrue="1" operator="containsText" text="4. Químico">
      <formula>NOT(ISERROR(SEARCH("4. Químico",E357)))</formula>
    </cfRule>
    <cfRule type="containsText" dxfId="8716" priority="2520" stopIfTrue="1" operator="containsText" text="3. Locativo">
      <formula>NOT(ISERROR(SEARCH("3. Locativo",E357)))</formula>
    </cfRule>
    <cfRule type="containsText" dxfId="8715" priority="2521" stopIfTrue="1" operator="containsText" text="2. Mecánico">
      <formula>NOT(ISERROR(SEARCH("2. Mecánico",E357)))</formula>
    </cfRule>
    <cfRule type="containsText" dxfId="8714" priority="2513" stopIfTrue="1" operator="containsText" text="Psicosocial">
      <formula>NOT(ISERROR(SEARCH("Psicosocial",E357)))</formula>
    </cfRule>
    <cfRule type="containsText" dxfId="8713" priority="2512" stopIfTrue="1" operator="containsText" text="Público">
      <formula>NOT(ISERROR(SEARCH("Público",E357)))</formula>
    </cfRule>
    <cfRule type="containsText" dxfId="8712" priority="2514" stopIfTrue="1" operator="containsText" text="Biológico">
      <formula>NOT(ISERROR(SEARCH("Biológico",E357)))</formula>
    </cfRule>
    <cfRule type="containsText" dxfId="8711" priority="2515" stopIfTrue="1" operator="containsText" text="Trabajo de alto riesgo">
      <formula>NOT(ISERROR(SEARCH("Trabajo de alto riesgo",E357)))</formula>
    </cfRule>
    <cfRule type="containsText" dxfId="8710" priority="2522" stopIfTrue="1" operator="containsText" text="1. Ergonómico">
      <formula>NOT(ISERROR(SEARCH("1. Ergonómico",E357)))</formula>
    </cfRule>
    <cfRule type="containsText" dxfId="8709" priority="2516" stopIfTrue="1" operator="containsText" text="Físico-químico">
      <formula>NOT(ISERROR(SEARCH("Físico-químico",E357)))</formula>
    </cfRule>
    <cfRule type="containsText" dxfId="8708" priority="2517" stopIfTrue="1" operator="containsText" text="Eléctrico">
      <formula>NOT(ISERROR(SEARCH("Eléctrico",E357)))</formula>
    </cfRule>
    <cfRule type="containsText" dxfId="8707" priority="2518" stopIfTrue="1" operator="containsText" text="Físico">
      <formula>NOT(ISERROR(SEARCH("Físico",E357)))</formula>
    </cfRule>
  </conditionalFormatting>
  <conditionalFormatting sqref="E358">
    <cfRule type="containsText" dxfId="8706" priority="2376" stopIfTrue="1" operator="containsText" text="Psicosocial">
      <formula>NOT(ISERROR(SEARCH("Psicosocial",E358)))</formula>
    </cfRule>
    <cfRule type="containsText" dxfId="8705" priority="2375" stopIfTrue="1" operator="containsText" text="Público">
      <formula>NOT(ISERROR(SEARCH("Público",E358)))</formula>
    </cfRule>
    <cfRule type="containsText" dxfId="8704" priority="2383" stopIfTrue="1" operator="containsText" text="3. Locativo">
      <formula>NOT(ISERROR(SEARCH("3. Locativo",E358)))</formula>
    </cfRule>
    <cfRule type="containsText" dxfId="8703" priority="2381" stopIfTrue="1" operator="containsText" text="Físico">
      <formula>NOT(ISERROR(SEARCH("Físico",E358)))</formula>
    </cfRule>
    <cfRule type="containsText" dxfId="8702" priority="2384" stopIfTrue="1" operator="containsText" text="2. Mecánico">
      <formula>NOT(ISERROR(SEARCH("2. Mecánico",E358)))</formula>
    </cfRule>
    <cfRule type="containsText" dxfId="8701" priority="2382" stopIfTrue="1" operator="containsText" text="4. Químico">
      <formula>NOT(ISERROR(SEARCH("4. Químico",E358)))</formula>
    </cfRule>
    <cfRule type="containsText" dxfId="8700" priority="2380" stopIfTrue="1" operator="containsText" text="Eléctrico">
      <formula>NOT(ISERROR(SEARCH("Eléctrico",E358)))</formula>
    </cfRule>
    <cfRule type="containsText" dxfId="8699" priority="2385" stopIfTrue="1" operator="containsText" text="1. Ergonómico">
      <formula>NOT(ISERROR(SEARCH("1. Ergonómico",E358)))</formula>
    </cfRule>
    <cfRule type="containsText" dxfId="8698" priority="2379" stopIfTrue="1" operator="containsText" text="Físico-químico">
      <formula>NOT(ISERROR(SEARCH("Físico-químico",E358)))</formula>
    </cfRule>
    <cfRule type="containsText" dxfId="8697" priority="2378" stopIfTrue="1" operator="containsText" text="Trabajo de alto riesgo">
      <formula>NOT(ISERROR(SEARCH("Trabajo de alto riesgo",E358)))</formula>
    </cfRule>
    <cfRule type="containsText" dxfId="8696" priority="2377" stopIfTrue="1" operator="containsText" text="Biológico">
      <formula>NOT(ISERROR(SEARCH("Biológico",E358)))</formula>
    </cfRule>
  </conditionalFormatting>
  <conditionalFormatting sqref="E359">
    <cfRule type="containsText" dxfId="8695" priority="2534" stopIfTrue="1" operator="containsText" text="Trabajo de alto riesgo">
      <formula>NOT(ISERROR(SEARCH("Trabajo de alto riesgo",E359)))</formula>
    </cfRule>
    <cfRule type="containsText" dxfId="8694" priority="2540" stopIfTrue="1" operator="containsText" text="2. Mecánico">
      <formula>NOT(ISERROR(SEARCH("2. Mecánico",E359)))</formula>
    </cfRule>
    <cfRule type="containsText" dxfId="8693" priority="2535" stopIfTrue="1" operator="containsText" text="Físico-químico">
      <formula>NOT(ISERROR(SEARCH("Físico-químico",E359)))</formula>
    </cfRule>
    <cfRule type="containsText" dxfId="8692" priority="2536" stopIfTrue="1" operator="containsText" text="Eléctrico">
      <formula>NOT(ISERROR(SEARCH("Eléctrico",E359)))</formula>
    </cfRule>
    <cfRule type="containsText" dxfId="8691" priority="2537" stopIfTrue="1" operator="containsText" text="Físico">
      <formula>NOT(ISERROR(SEARCH("Físico",E359)))</formula>
    </cfRule>
    <cfRule type="containsText" dxfId="8690" priority="2538" stopIfTrue="1" operator="containsText" text="4. Químico">
      <formula>NOT(ISERROR(SEARCH("4. Químico",E359)))</formula>
    </cfRule>
    <cfRule type="containsText" dxfId="8689" priority="2539" stopIfTrue="1" operator="containsText" text="3. Locativo">
      <formula>NOT(ISERROR(SEARCH("3. Locativo",E359)))</formula>
    </cfRule>
    <cfRule type="containsText" dxfId="8688" priority="2541" stopIfTrue="1" operator="containsText" text="1. Ergonómico">
      <formula>NOT(ISERROR(SEARCH("1. Ergonómico",E359)))</formula>
    </cfRule>
    <cfRule type="containsText" dxfId="8687" priority="2531" stopIfTrue="1" operator="containsText" text="Público">
      <formula>NOT(ISERROR(SEARCH("Público",E359)))</formula>
    </cfRule>
    <cfRule type="containsText" dxfId="8686" priority="2532" stopIfTrue="1" operator="containsText" text="Psicosocial">
      <formula>NOT(ISERROR(SEARCH("Psicosocial",E359)))</formula>
    </cfRule>
    <cfRule type="containsText" dxfId="8685" priority="2533" stopIfTrue="1" operator="containsText" text="Biológico">
      <formula>NOT(ISERROR(SEARCH("Biológico",E359)))</formula>
    </cfRule>
  </conditionalFormatting>
  <conditionalFormatting sqref="E360:E361">
    <cfRule type="containsText" dxfId="8684" priority="2296" stopIfTrue="1" operator="containsText" text="Físico">
      <formula>NOT(ISERROR(SEARCH("Físico",E360)))</formula>
    </cfRule>
    <cfRule type="containsText" dxfId="8683" priority="2295" stopIfTrue="1" operator="containsText" text="Eléctrico">
      <formula>NOT(ISERROR(SEARCH("Eléctrico",E360)))</formula>
    </cfRule>
    <cfRule type="containsText" dxfId="8682" priority="2294" stopIfTrue="1" operator="containsText" text="Físico-químico">
      <formula>NOT(ISERROR(SEARCH("Físico-químico",E360)))</formula>
    </cfRule>
    <cfRule type="containsText" dxfId="8681" priority="2293" stopIfTrue="1" operator="containsText" text="Trabajo de alto riesgo">
      <formula>NOT(ISERROR(SEARCH("Trabajo de alto riesgo",E360)))</formula>
    </cfRule>
    <cfRule type="containsText" dxfId="8680" priority="2291" stopIfTrue="1" operator="containsText" text="Psicosocial">
      <formula>NOT(ISERROR(SEARCH("Psicosocial",E360)))</formula>
    </cfRule>
    <cfRule type="containsText" dxfId="8679" priority="2299" stopIfTrue="1" operator="containsText" text="2. Mecánico">
      <formula>NOT(ISERROR(SEARCH("2. Mecánico",E360)))</formula>
    </cfRule>
    <cfRule type="containsText" dxfId="8678" priority="2292" stopIfTrue="1" operator="containsText" text="Biológico">
      <formula>NOT(ISERROR(SEARCH("Biológico",E360)))</formula>
    </cfRule>
    <cfRule type="containsText" dxfId="8677" priority="2290" stopIfTrue="1" operator="containsText" text="Público">
      <formula>NOT(ISERROR(SEARCH("Público",E360)))</formula>
    </cfRule>
    <cfRule type="containsText" dxfId="8676" priority="2297" stopIfTrue="1" operator="containsText" text="4. Químico">
      <formula>NOT(ISERROR(SEARCH("4. Químico",E360)))</formula>
    </cfRule>
    <cfRule type="containsText" dxfId="8675" priority="2300" stopIfTrue="1" operator="containsText" text="1. Ergonómico">
      <formula>NOT(ISERROR(SEARCH("1. Ergonómico",E360)))</formula>
    </cfRule>
    <cfRule type="containsText" dxfId="8674" priority="2298" stopIfTrue="1" operator="containsText" text="3. Locativo">
      <formula>NOT(ISERROR(SEARCH("3. Locativo",E360)))</formula>
    </cfRule>
  </conditionalFormatting>
  <conditionalFormatting sqref="E362">
    <cfRule type="containsText" dxfId="8673" priority="2241" stopIfTrue="1" operator="containsText" text="3. Locativo">
      <formula>NOT(ISERROR(SEARCH("3. Locativo",E362)))</formula>
    </cfRule>
    <cfRule type="containsText" dxfId="8672" priority="2242" stopIfTrue="1" operator="containsText" text="2. Mecánico">
      <formula>NOT(ISERROR(SEARCH("2. Mecánico",E362)))</formula>
    </cfRule>
    <cfRule type="containsText" dxfId="8671" priority="2243" stopIfTrue="1" operator="containsText" text="1. Ergonómico">
      <formula>NOT(ISERROR(SEARCH("1. Ergonómico",E362)))</formula>
    </cfRule>
    <cfRule type="containsText" dxfId="8670" priority="2236" stopIfTrue="1" operator="containsText" text="Trabajo de alto riesgo">
      <formula>NOT(ISERROR(SEARCH("Trabajo de alto riesgo",E362)))</formula>
    </cfRule>
    <cfRule type="containsText" dxfId="8669" priority="2234" stopIfTrue="1" operator="containsText" text="Psicosocial">
      <formula>NOT(ISERROR(SEARCH("Psicosocial",E362)))</formula>
    </cfRule>
    <cfRule type="containsText" dxfId="8668" priority="2233" stopIfTrue="1" operator="containsText" text="Público">
      <formula>NOT(ISERROR(SEARCH("Público",E362)))</formula>
    </cfRule>
    <cfRule type="containsText" dxfId="8667" priority="2237" stopIfTrue="1" operator="containsText" text="Físico-químico">
      <formula>NOT(ISERROR(SEARCH("Físico-químico",E362)))</formula>
    </cfRule>
    <cfRule type="containsText" dxfId="8666" priority="2240" stopIfTrue="1" operator="containsText" text="4. Químico">
      <formula>NOT(ISERROR(SEARCH("4. Químico",E362)))</formula>
    </cfRule>
    <cfRule type="containsText" dxfId="8665" priority="2235" stopIfTrue="1" operator="containsText" text="Biológico">
      <formula>NOT(ISERROR(SEARCH("Biológico",E362)))</formula>
    </cfRule>
    <cfRule type="containsText" dxfId="8664" priority="2238" stopIfTrue="1" operator="containsText" text="Eléctrico">
      <formula>NOT(ISERROR(SEARCH("Eléctrico",E362)))</formula>
    </cfRule>
    <cfRule type="containsText" dxfId="8663" priority="2239" stopIfTrue="1" operator="containsText" text="Físico">
      <formula>NOT(ISERROR(SEARCH("Físico",E362)))</formula>
    </cfRule>
  </conditionalFormatting>
  <conditionalFormatting sqref="E366">
    <cfRule type="containsText" dxfId="8662" priority="1945" stopIfTrue="1" operator="containsText" text="4. Químico">
      <formula>NOT(ISERROR(SEARCH("4. Químico",E366)))</formula>
    </cfRule>
    <cfRule type="containsText" dxfId="8661" priority="1946" stopIfTrue="1" operator="containsText" text="3. Locativo">
      <formula>NOT(ISERROR(SEARCH("3. Locativo",E366)))</formula>
    </cfRule>
    <cfRule type="containsText" dxfId="8660" priority="1948" stopIfTrue="1" operator="containsText" text="1. Ergonómico">
      <formula>NOT(ISERROR(SEARCH("1. Ergonómico",E366)))</formula>
    </cfRule>
    <cfRule type="containsText" dxfId="8659" priority="1947" stopIfTrue="1" operator="containsText" text="2. Mecánico">
      <formula>NOT(ISERROR(SEARCH("2. Mecánico",E366)))</formula>
    </cfRule>
    <cfRule type="containsText" dxfId="8658" priority="1939" stopIfTrue="1" operator="containsText" text="Psicosocial">
      <formula>NOT(ISERROR(SEARCH("Psicosocial",E366)))</formula>
    </cfRule>
    <cfRule type="containsText" dxfId="8657" priority="1940" stopIfTrue="1" operator="containsText" text="Biológico">
      <formula>NOT(ISERROR(SEARCH("Biológico",E366)))</formula>
    </cfRule>
    <cfRule type="containsText" dxfId="8656" priority="1942" stopIfTrue="1" operator="containsText" text="Físico-químico">
      <formula>NOT(ISERROR(SEARCH("Físico-químico",E366)))</formula>
    </cfRule>
    <cfRule type="containsText" dxfId="8655" priority="1943" stopIfTrue="1" operator="containsText" text="Eléctrico">
      <formula>NOT(ISERROR(SEARCH("Eléctrico",E366)))</formula>
    </cfRule>
    <cfRule type="containsText" dxfId="8654" priority="1938" stopIfTrue="1" operator="containsText" text="Público">
      <formula>NOT(ISERROR(SEARCH("Público",E366)))</formula>
    </cfRule>
    <cfRule type="containsText" dxfId="8653" priority="1944" stopIfTrue="1" operator="containsText" text="Físico">
      <formula>NOT(ISERROR(SEARCH("Físico",E366)))</formula>
    </cfRule>
    <cfRule type="containsText" dxfId="8652" priority="1941" stopIfTrue="1" operator="containsText" text="Trabajo de alto riesgo">
      <formula>NOT(ISERROR(SEARCH("Trabajo de alto riesgo",E366)))</formula>
    </cfRule>
  </conditionalFormatting>
  <conditionalFormatting sqref="E369">
    <cfRule type="containsText" dxfId="8651" priority="1894" stopIfTrue="1" operator="containsText" text="Trabajo de alto riesgo">
      <formula>NOT(ISERROR(SEARCH("Trabajo de alto riesgo",E369)))</formula>
    </cfRule>
    <cfRule type="containsText" dxfId="8650" priority="1893" stopIfTrue="1" operator="containsText" text="Biológico">
      <formula>NOT(ISERROR(SEARCH("Biológico",E369)))</formula>
    </cfRule>
    <cfRule type="containsText" dxfId="8649" priority="1891" stopIfTrue="1" operator="containsText" text="Público">
      <formula>NOT(ISERROR(SEARCH("Público",E369)))</formula>
    </cfRule>
    <cfRule type="containsText" dxfId="8648" priority="1900" stopIfTrue="1" operator="containsText" text="2. Mecánico">
      <formula>NOT(ISERROR(SEARCH("2. Mecánico",E369)))</formula>
    </cfRule>
    <cfRule type="containsText" dxfId="8647" priority="1895" stopIfTrue="1" operator="containsText" text="Físico-químico">
      <formula>NOT(ISERROR(SEARCH("Físico-químico",E369)))</formula>
    </cfRule>
    <cfRule type="containsText" dxfId="8646" priority="1896" stopIfTrue="1" operator="containsText" text="Eléctrico">
      <formula>NOT(ISERROR(SEARCH("Eléctrico",E369)))</formula>
    </cfRule>
    <cfRule type="containsText" dxfId="8645" priority="1897" stopIfTrue="1" operator="containsText" text="Físico">
      <formula>NOT(ISERROR(SEARCH("Físico",E369)))</formula>
    </cfRule>
    <cfRule type="containsText" dxfId="8644" priority="1898" stopIfTrue="1" operator="containsText" text="4. Químico">
      <formula>NOT(ISERROR(SEARCH("4. Químico",E369)))</formula>
    </cfRule>
    <cfRule type="containsText" dxfId="8643" priority="1899" stopIfTrue="1" operator="containsText" text="3. Locativo">
      <formula>NOT(ISERROR(SEARCH("3. Locativo",E369)))</formula>
    </cfRule>
    <cfRule type="containsText" dxfId="8642" priority="1901" stopIfTrue="1" operator="containsText" text="1. Ergonómico">
      <formula>NOT(ISERROR(SEARCH("1. Ergonómico",E369)))</formula>
    </cfRule>
    <cfRule type="containsText" dxfId="8641" priority="1892" stopIfTrue="1" operator="containsText" text="Psicosocial">
      <formula>NOT(ISERROR(SEARCH("Psicosocial",E369)))</formula>
    </cfRule>
  </conditionalFormatting>
  <conditionalFormatting sqref="E370">
    <cfRule type="containsText" dxfId="8640" priority="1988" stopIfTrue="1" operator="containsText" text="Eléctrico">
      <formula>NOT(ISERROR(SEARCH("Eléctrico",E370)))</formula>
    </cfRule>
    <cfRule type="containsText" dxfId="8639" priority="1993" stopIfTrue="1" operator="containsText" text="1. Ergonómico">
      <formula>NOT(ISERROR(SEARCH("1. Ergonómico",E370)))</formula>
    </cfRule>
    <cfRule type="containsText" dxfId="8638" priority="1992" stopIfTrue="1" operator="containsText" text="2. Mecánico">
      <formula>NOT(ISERROR(SEARCH("2. Mecánico",E370)))</formula>
    </cfRule>
    <cfRule type="containsText" dxfId="8637" priority="1983" stopIfTrue="1" operator="containsText" text="Público">
      <formula>NOT(ISERROR(SEARCH("Público",E370)))</formula>
    </cfRule>
    <cfRule type="containsText" dxfId="8636" priority="1984" stopIfTrue="1" operator="containsText" text="Psicosocial">
      <formula>NOT(ISERROR(SEARCH("Psicosocial",E370)))</formula>
    </cfRule>
    <cfRule type="containsText" dxfId="8635" priority="1989" stopIfTrue="1" operator="containsText" text="Físico">
      <formula>NOT(ISERROR(SEARCH("Físico",E370)))</formula>
    </cfRule>
    <cfRule type="containsText" dxfId="8634" priority="1990" stopIfTrue="1" operator="containsText" text="4. Químico">
      <formula>NOT(ISERROR(SEARCH("4. Químico",E370)))</formula>
    </cfRule>
    <cfRule type="containsText" dxfId="8633" priority="1991" stopIfTrue="1" operator="containsText" text="3. Locativo">
      <formula>NOT(ISERROR(SEARCH("3. Locativo",E370)))</formula>
    </cfRule>
    <cfRule type="containsText" dxfId="8632" priority="1986" stopIfTrue="1" operator="containsText" text="Trabajo de alto riesgo">
      <formula>NOT(ISERROR(SEARCH("Trabajo de alto riesgo",E370)))</formula>
    </cfRule>
    <cfRule type="containsText" dxfId="8631" priority="1985" stopIfTrue="1" operator="containsText" text="Biológico">
      <formula>NOT(ISERROR(SEARCH("Biológico",E370)))</formula>
    </cfRule>
    <cfRule type="containsText" dxfId="8630" priority="1987" stopIfTrue="1" operator="containsText" text="Físico-químico">
      <formula>NOT(ISERROR(SEARCH("Físico-químico",E370)))</formula>
    </cfRule>
  </conditionalFormatting>
  <conditionalFormatting sqref="E371">
    <cfRule type="containsText" dxfId="8629" priority="1856" stopIfTrue="1" operator="containsText" text="1. Ergonómico">
      <formula>NOT(ISERROR(SEARCH("1. Ergonómico",E371)))</formula>
    </cfRule>
    <cfRule type="containsText" dxfId="8628" priority="1855" stopIfTrue="1" operator="containsText" text="2. Mecánico">
      <formula>NOT(ISERROR(SEARCH("2. Mecánico",E371)))</formula>
    </cfRule>
    <cfRule type="containsText" dxfId="8627" priority="1854" stopIfTrue="1" operator="containsText" text="3. Locativo">
      <formula>NOT(ISERROR(SEARCH("3. Locativo",E371)))</formula>
    </cfRule>
    <cfRule type="containsText" dxfId="8626" priority="1853" stopIfTrue="1" operator="containsText" text="4. Químico">
      <formula>NOT(ISERROR(SEARCH("4. Químico",E371)))</formula>
    </cfRule>
    <cfRule type="containsText" dxfId="8625" priority="1852" stopIfTrue="1" operator="containsText" text="Físico">
      <formula>NOT(ISERROR(SEARCH("Físico",E371)))</formula>
    </cfRule>
    <cfRule type="containsText" dxfId="8624" priority="1851" stopIfTrue="1" operator="containsText" text="Eléctrico">
      <formula>NOT(ISERROR(SEARCH("Eléctrico",E371)))</formula>
    </cfRule>
    <cfRule type="containsText" dxfId="8623" priority="1850" stopIfTrue="1" operator="containsText" text="Físico-químico">
      <formula>NOT(ISERROR(SEARCH("Físico-químico",E371)))</formula>
    </cfRule>
    <cfRule type="containsText" dxfId="8622" priority="1849" stopIfTrue="1" operator="containsText" text="Trabajo de alto riesgo">
      <formula>NOT(ISERROR(SEARCH("Trabajo de alto riesgo",E371)))</formula>
    </cfRule>
    <cfRule type="containsText" dxfId="8621" priority="1848" stopIfTrue="1" operator="containsText" text="Biológico">
      <formula>NOT(ISERROR(SEARCH("Biológico",E371)))</formula>
    </cfRule>
    <cfRule type="containsText" dxfId="8620" priority="1847" stopIfTrue="1" operator="containsText" text="Psicosocial">
      <formula>NOT(ISERROR(SEARCH("Psicosocial",E371)))</formula>
    </cfRule>
    <cfRule type="containsText" dxfId="8619" priority="1846" stopIfTrue="1" operator="containsText" text="Público">
      <formula>NOT(ISERROR(SEARCH("Público",E371)))</formula>
    </cfRule>
  </conditionalFormatting>
  <conditionalFormatting sqref="E372">
    <cfRule type="containsText" dxfId="8618" priority="1670" stopIfTrue="1" operator="containsText" text="4. Químico">
      <formula>NOT(ISERROR(SEARCH("4. Químico",E372)))</formula>
    </cfRule>
    <cfRule type="containsText" dxfId="8617" priority="1669" stopIfTrue="1" operator="containsText" text="Físico">
      <formula>NOT(ISERROR(SEARCH("Físico",E372)))</formula>
    </cfRule>
    <cfRule type="containsText" dxfId="8616" priority="1668" stopIfTrue="1" operator="containsText" text="Eléctrico">
      <formula>NOT(ISERROR(SEARCH("Eléctrico",E372)))</formula>
    </cfRule>
    <cfRule type="containsText" dxfId="8615" priority="1667" stopIfTrue="1" operator="containsText" text="Físico-químico">
      <formula>NOT(ISERROR(SEARCH("Físico-químico",E372)))</formula>
    </cfRule>
    <cfRule type="containsText" dxfId="8614" priority="1664" stopIfTrue="1" operator="containsText" text="Psicosocial">
      <formula>NOT(ISERROR(SEARCH("Psicosocial",E372)))</formula>
    </cfRule>
    <cfRule type="containsText" dxfId="8613" priority="1665" stopIfTrue="1" operator="containsText" text="Biológico">
      <formula>NOT(ISERROR(SEARCH("Biológico",E372)))</formula>
    </cfRule>
    <cfRule type="containsText" dxfId="8612" priority="1666" stopIfTrue="1" operator="containsText" text="Trabajo de alto riesgo">
      <formula>NOT(ISERROR(SEARCH("Trabajo de alto riesgo",E372)))</formula>
    </cfRule>
    <cfRule type="containsText" dxfId="8611" priority="1673" stopIfTrue="1" operator="containsText" text="1. Ergonómico">
      <formula>NOT(ISERROR(SEARCH("1. Ergonómico",E372)))</formula>
    </cfRule>
    <cfRule type="containsText" dxfId="8610" priority="1663" stopIfTrue="1" operator="containsText" text="Público">
      <formula>NOT(ISERROR(SEARCH("Público",E372)))</formula>
    </cfRule>
    <cfRule type="containsText" dxfId="8609" priority="1672" stopIfTrue="1" operator="containsText" text="2. Mecánico">
      <formula>NOT(ISERROR(SEARCH("2. Mecánico",E372)))</formula>
    </cfRule>
    <cfRule type="containsText" dxfId="8608" priority="1671" stopIfTrue="1" operator="containsText" text="3. Locativo">
      <formula>NOT(ISERROR(SEARCH("3. Locativo",E372)))</formula>
    </cfRule>
  </conditionalFormatting>
  <conditionalFormatting sqref="E373">
    <cfRule type="containsText" dxfId="8607" priority="2004" stopIfTrue="1" operator="containsText" text="Físico">
      <formula>NOT(ISERROR(SEARCH("Físico",E373)))</formula>
    </cfRule>
    <cfRule type="containsText" dxfId="8606" priority="2007" stopIfTrue="1" operator="containsText" text="2. Mecánico">
      <formula>NOT(ISERROR(SEARCH("2. Mecánico",E373)))</formula>
    </cfRule>
    <cfRule type="containsText" dxfId="8605" priority="2008" stopIfTrue="1" operator="containsText" text="1. Ergonómico">
      <formula>NOT(ISERROR(SEARCH("1. Ergonómico",E373)))</formula>
    </cfRule>
    <cfRule type="containsText" dxfId="8604" priority="1998" stopIfTrue="1" operator="containsText" text="Público">
      <formula>NOT(ISERROR(SEARCH("Público",E373)))</formula>
    </cfRule>
    <cfRule type="containsText" dxfId="8603" priority="1999" stopIfTrue="1" operator="containsText" text="Psicosocial">
      <formula>NOT(ISERROR(SEARCH("Psicosocial",E373)))</formula>
    </cfRule>
    <cfRule type="containsText" dxfId="8602" priority="2001" stopIfTrue="1" operator="containsText" text="Trabajo de alto riesgo">
      <formula>NOT(ISERROR(SEARCH("Trabajo de alto riesgo",E373)))</formula>
    </cfRule>
    <cfRule type="containsText" dxfId="8601" priority="2003" stopIfTrue="1" operator="containsText" text="Eléctrico">
      <formula>NOT(ISERROR(SEARCH("Eléctrico",E373)))</formula>
    </cfRule>
    <cfRule type="containsText" dxfId="8600" priority="2002" stopIfTrue="1" operator="containsText" text="Físico-químico">
      <formula>NOT(ISERROR(SEARCH("Físico-químico",E373)))</formula>
    </cfRule>
    <cfRule type="containsText" dxfId="8599" priority="2000" stopIfTrue="1" operator="containsText" text="Biológico">
      <formula>NOT(ISERROR(SEARCH("Biológico",E373)))</formula>
    </cfRule>
    <cfRule type="containsText" dxfId="8598" priority="2006" stopIfTrue="1" operator="containsText" text="3. Locativo">
      <formula>NOT(ISERROR(SEARCH("3. Locativo",E373)))</formula>
    </cfRule>
    <cfRule type="containsText" dxfId="8597" priority="2005" stopIfTrue="1" operator="containsText" text="4. Químico">
      <formula>NOT(ISERROR(SEARCH("4. Químico",E373)))</formula>
    </cfRule>
  </conditionalFormatting>
  <conditionalFormatting sqref="E374">
    <cfRule type="containsText" dxfId="8596" priority="1766" stopIfTrue="1" operator="containsText" text="Eléctrico">
      <formula>NOT(ISERROR(SEARCH("Eléctrico",E374)))</formula>
    </cfRule>
    <cfRule type="containsText" dxfId="8595" priority="1771" stopIfTrue="1" operator="containsText" text="1. Ergonómico">
      <formula>NOT(ISERROR(SEARCH("1. Ergonómico",E374)))</formula>
    </cfRule>
    <cfRule type="containsText" dxfId="8594" priority="1765" stopIfTrue="1" operator="containsText" text="Físico-químico">
      <formula>NOT(ISERROR(SEARCH("Físico-químico",E374)))</formula>
    </cfRule>
    <cfRule type="containsText" dxfId="8593" priority="1764" stopIfTrue="1" operator="containsText" text="Trabajo de alto riesgo">
      <formula>NOT(ISERROR(SEARCH("Trabajo de alto riesgo",E374)))</formula>
    </cfRule>
    <cfRule type="containsText" dxfId="8592" priority="1763" stopIfTrue="1" operator="containsText" text="Biológico">
      <formula>NOT(ISERROR(SEARCH("Biológico",E374)))</formula>
    </cfRule>
    <cfRule type="containsText" dxfId="8591" priority="1762" stopIfTrue="1" operator="containsText" text="Psicosocial">
      <formula>NOT(ISERROR(SEARCH("Psicosocial",E374)))</formula>
    </cfRule>
    <cfRule type="containsText" dxfId="8590" priority="1761" stopIfTrue="1" operator="containsText" text="Público">
      <formula>NOT(ISERROR(SEARCH("Público",E374)))</formula>
    </cfRule>
    <cfRule type="containsText" dxfId="8589" priority="1770" stopIfTrue="1" operator="containsText" text="2. Mecánico">
      <formula>NOT(ISERROR(SEARCH("2. Mecánico",E374)))</formula>
    </cfRule>
    <cfRule type="containsText" dxfId="8588" priority="1769" stopIfTrue="1" operator="containsText" text="3. Locativo">
      <formula>NOT(ISERROR(SEARCH("3. Locativo",E374)))</formula>
    </cfRule>
    <cfRule type="containsText" dxfId="8587" priority="1767" stopIfTrue="1" operator="containsText" text="Físico">
      <formula>NOT(ISERROR(SEARCH("Físico",E374)))</formula>
    </cfRule>
    <cfRule type="containsText" dxfId="8586" priority="1768" stopIfTrue="1" operator="containsText" text="4. Químico">
      <formula>NOT(ISERROR(SEARCH("4. Químico",E374)))</formula>
    </cfRule>
  </conditionalFormatting>
  <conditionalFormatting sqref="E375">
    <cfRule type="containsText" dxfId="8585" priority="1712" stopIfTrue="1" operator="containsText" text="3. Locativo">
      <formula>NOT(ISERROR(SEARCH("3. Locativo",E375)))</formula>
    </cfRule>
    <cfRule type="containsText" dxfId="8584" priority="1713" stopIfTrue="1" operator="containsText" text="2. Mecánico">
      <formula>NOT(ISERROR(SEARCH("2. Mecánico",E375)))</formula>
    </cfRule>
    <cfRule type="containsText" dxfId="8583" priority="1714" stopIfTrue="1" operator="containsText" text="1. Ergonómico">
      <formula>NOT(ISERROR(SEARCH("1. Ergonómico",E375)))</formula>
    </cfRule>
    <cfRule type="containsText" dxfId="8582" priority="1704" stopIfTrue="1" operator="containsText" text="Público">
      <formula>NOT(ISERROR(SEARCH("Público",E375)))</formula>
    </cfRule>
    <cfRule type="containsText" dxfId="8581" priority="1705" stopIfTrue="1" operator="containsText" text="Psicosocial">
      <formula>NOT(ISERROR(SEARCH("Psicosocial",E375)))</formula>
    </cfRule>
    <cfRule type="containsText" dxfId="8580" priority="1711" stopIfTrue="1" operator="containsText" text="4. Químico">
      <formula>NOT(ISERROR(SEARCH("4. Químico",E375)))</formula>
    </cfRule>
    <cfRule type="containsText" dxfId="8579" priority="1706" stopIfTrue="1" operator="containsText" text="Biológico">
      <formula>NOT(ISERROR(SEARCH("Biológico",E375)))</formula>
    </cfRule>
    <cfRule type="containsText" dxfId="8578" priority="1707" stopIfTrue="1" operator="containsText" text="Trabajo de alto riesgo">
      <formula>NOT(ISERROR(SEARCH("Trabajo de alto riesgo",E375)))</formula>
    </cfRule>
    <cfRule type="containsText" dxfId="8577" priority="1708" stopIfTrue="1" operator="containsText" text="Físico-químico">
      <formula>NOT(ISERROR(SEARCH("Físico-químico",E375)))</formula>
    </cfRule>
    <cfRule type="containsText" dxfId="8576" priority="1709" stopIfTrue="1" operator="containsText" text="Eléctrico">
      <formula>NOT(ISERROR(SEARCH("Eléctrico",E375)))</formula>
    </cfRule>
    <cfRule type="containsText" dxfId="8575" priority="1710" stopIfTrue="1" operator="containsText" text="Físico">
      <formula>NOT(ISERROR(SEARCH("Físico",E375)))</formula>
    </cfRule>
  </conditionalFormatting>
  <conditionalFormatting sqref="E380">
    <cfRule type="containsText" dxfId="8574" priority="1457" stopIfTrue="1" operator="containsText" text="Biológico">
      <formula>NOT(ISERROR(SEARCH("Biológico",E380)))</formula>
    </cfRule>
    <cfRule type="containsText" dxfId="8573" priority="1463" stopIfTrue="1" operator="containsText" text="3. Locativo">
      <formula>NOT(ISERROR(SEARCH("3. Locativo",E380)))</formula>
    </cfRule>
    <cfRule type="containsText" dxfId="8572" priority="1456" stopIfTrue="1" operator="containsText" text="Psicosocial">
      <formula>NOT(ISERROR(SEARCH("Psicosocial",E380)))</formula>
    </cfRule>
    <cfRule type="containsText" dxfId="8571" priority="1465" stopIfTrue="1" operator="containsText" text="1. Ergonómico">
      <formula>NOT(ISERROR(SEARCH("1. Ergonómico",E380)))</formula>
    </cfRule>
    <cfRule type="containsText" dxfId="8570" priority="1455" stopIfTrue="1" operator="containsText" text="Público">
      <formula>NOT(ISERROR(SEARCH("Público",E380)))</formula>
    </cfRule>
    <cfRule type="containsText" dxfId="8569" priority="1464" stopIfTrue="1" operator="containsText" text="2. Mecánico">
      <formula>NOT(ISERROR(SEARCH("2. Mecánico",E380)))</formula>
    </cfRule>
    <cfRule type="containsText" dxfId="8568" priority="1462" stopIfTrue="1" operator="containsText" text="4. Químico">
      <formula>NOT(ISERROR(SEARCH("4. Químico",E380)))</formula>
    </cfRule>
    <cfRule type="containsText" dxfId="8567" priority="1461" stopIfTrue="1" operator="containsText" text="Físico">
      <formula>NOT(ISERROR(SEARCH("Físico",E380)))</formula>
    </cfRule>
    <cfRule type="containsText" dxfId="8566" priority="1459" stopIfTrue="1" operator="containsText" text="Físico-químico">
      <formula>NOT(ISERROR(SEARCH("Físico-químico",E380)))</formula>
    </cfRule>
    <cfRule type="containsText" dxfId="8565" priority="1458" stopIfTrue="1" operator="containsText" text="Trabajo de alto riesgo">
      <formula>NOT(ISERROR(SEARCH("Trabajo de alto riesgo",E380)))</formula>
    </cfRule>
    <cfRule type="containsText" dxfId="8564" priority="1460" stopIfTrue="1" operator="containsText" text="Eléctrico">
      <formula>NOT(ISERROR(SEARCH("Eléctrico",E380)))</formula>
    </cfRule>
  </conditionalFormatting>
  <conditionalFormatting sqref="E381">
    <cfRule type="containsText" dxfId="8563" priority="1505" stopIfTrue="1" operator="containsText" text="Eléctrico">
      <formula>NOT(ISERROR(SEARCH("Eléctrico",E381)))</formula>
    </cfRule>
    <cfRule type="containsText" dxfId="8562" priority="1507" stopIfTrue="1" operator="containsText" text="4. Químico">
      <formula>NOT(ISERROR(SEARCH("4. Químico",E381)))</formula>
    </cfRule>
    <cfRule type="containsText" dxfId="8561" priority="1500" stopIfTrue="1" operator="containsText" text="Público">
      <formula>NOT(ISERROR(SEARCH("Público",E381)))</formula>
    </cfRule>
    <cfRule type="containsText" dxfId="8560" priority="1506" stopIfTrue="1" operator="containsText" text="Físico">
      <formula>NOT(ISERROR(SEARCH("Físico",E381)))</formula>
    </cfRule>
    <cfRule type="containsText" dxfId="8559" priority="1501" stopIfTrue="1" operator="containsText" text="Psicosocial">
      <formula>NOT(ISERROR(SEARCH("Psicosocial",E381)))</formula>
    </cfRule>
    <cfRule type="containsText" dxfId="8558" priority="1504" stopIfTrue="1" operator="containsText" text="Físico-químico">
      <formula>NOT(ISERROR(SEARCH("Físico-químico",E381)))</formula>
    </cfRule>
    <cfRule type="containsText" dxfId="8557" priority="1503" stopIfTrue="1" operator="containsText" text="Trabajo de alto riesgo">
      <formula>NOT(ISERROR(SEARCH("Trabajo de alto riesgo",E381)))</formula>
    </cfRule>
    <cfRule type="containsText" dxfId="8556" priority="1502" stopIfTrue="1" operator="containsText" text="Biológico">
      <formula>NOT(ISERROR(SEARCH("Biológico",E381)))</formula>
    </cfRule>
    <cfRule type="containsText" dxfId="8555" priority="1510" stopIfTrue="1" operator="containsText" text="1. Ergonómico">
      <formula>NOT(ISERROR(SEARCH("1. Ergonómico",E381)))</formula>
    </cfRule>
    <cfRule type="containsText" dxfId="8554" priority="1509" stopIfTrue="1" operator="containsText" text="2. Mecánico">
      <formula>NOT(ISERROR(SEARCH("2. Mecánico",E381)))</formula>
    </cfRule>
    <cfRule type="containsText" dxfId="8553" priority="1508" stopIfTrue="1" operator="containsText" text="3. Locativo">
      <formula>NOT(ISERROR(SEARCH("3. Locativo",E381)))</formula>
    </cfRule>
  </conditionalFormatting>
  <conditionalFormatting sqref="E382:E383">
    <cfRule type="containsText" dxfId="8552" priority="1278" stopIfTrue="1" operator="containsText" text="Físico-químico">
      <formula>NOT(ISERROR(SEARCH("Físico-químico",E382)))</formula>
    </cfRule>
    <cfRule type="containsText" dxfId="8551" priority="1284" stopIfTrue="1" operator="containsText" text="1. Ergonómico">
      <formula>NOT(ISERROR(SEARCH("1. Ergonómico",E382)))</formula>
    </cfRule>
    <cfRule type="containsText" dxfId="8550" priority="1283" stopIfTrue="1" operator="containsText" text="2. Mecánico">
      <formula>NOT(ISERROR(SEARCH("2. Mecánico",E382)))</formula>
    </cfRule>
    <cfRule type="containsText" dxfId="8549" priority="1282" stopIfTrue="1" operator="containsText" text="3. Locativo">
      <formula>NOT(ISERROR(SEARCH("3. Locativo",E382)))</formula>
    </cfRule>
    <cfRule type="containsText" dxfId="8548" priority="1276" stopIfTrue="1" operator="containsText" text="Biológico">
      <formula>NOT(ISERROR(SEARCH("Biológico",E382)))</formula>
    </cfRule>
    <cfRule type="containsText" dxfId="8547" priority="1281" stopIfTrue="1" operator="containsText" text="4. Químico">
      <formula>NOT(ISERROR(SEARCH("4. Químico",E382)))</formula>
    </cfRule>
    <cfRule type="containsText" dxfId="8546" priority="1274" stopIfTrue="1" operator="containsText" text="Público">
      <formula>NOT(ISERROR(SEARCH("Público",E382)))</formula>
    </cfRule>
    <cfRule type="containsText" dxfId="8545" priority="1280" stopIfTrue="1" operator="containsText" text="Físico">
      <formula>NOT(ISERROR(SEARCH("Físico",E382)))</formula>
    </cfRule>
    <cfRule type="containsText" dxfId="8544" priority="1275" stopIfTrue="1" operator="containsText" text="Psicosocial">
      <formula>NOT(ISERROR(SEARCH("Psicosocial",E382)))</formula>
    </cfRule>
    <cfRule type="containsText" dxfId="8543" priority="1279" stopIfTrue="1" operator="containsText" text="Eléctrico">
      <formula>NOT(ISERROR(SEARCH("Eléctrico",E382)))</formula>
    </cfRule>
    <cfRule type="containsText" dxfId="8542" priority="1277" stopIfTrue="1" operator="containsText" text="Trabajo de alto riesgo">
      <formula>NOT(ISERROR(SEARCH("Trabajo de alto riesgo",E382)))</formula>
    </cfRule>
  </conditionalFormatting>
  <conditionalFormatting sqref="E384">
    <cfRule type="containsText" dxfId="8541" priority="1374" stopIfTrue="1" operator="containsText" text="Físico-químico">
      <formula>NOT(ISERROR(SEARCH("Físico-químico",E384)))</formula>
    </cfRule>
    <cfRule type="containsText" dxfId="8540" priority="1375" stopIfTrue="1" operator="containsText" text="Eléctrico">
      <formula>NOT(ISERROR(SEARCH("Eléctrico",E384)))</formula>
    </cfRule>
    <cfRule type="containsText" dxfId="8539" priority="1376" stopIfTrue="1" operator="containsText" text="Físico">
      <formula>NOT(ISERROR(SEARCH("Físico",E384)))</formula>
    </cfRule>
    <cfRule type="containsText" dxfId="8538" priority="1377" stopIfTrue="1" operator="containsText" text="4. Químico">
      <formula>NOT(ISERROR(SEARCH("4. Químico",E384)))</formula>
    </cfRule>
    <cfRule type="containsText" dxfId="8537" priority="1373" stopIfTrue="1" operator="containsText" text="Trabajo de alto riesgo">
      <formula>NOT(ISERROR(SEARCH("Trabajo de alto riesgo",E384)))</formula>
    </cfRule>
    <cfRule type="containsText" dxfId="8536" priority="1380" stopIfTrue="1" operator="containsText" text="1. Ergonómico">
      <formula>NOT(ISERROR(SEARCH("1. Ergonómico",E384)))</formula>
    </cfRule>
    <cfRule type="containsText" dxfId="8535" priority="1379" stopIfTrue="1" operator="containsText" text="2. Mecánico">
      <formula>NOT(ISERROR(SEARCH("2. Mecánico",E384)))</formula>
    </cfRule>
    <cfRule type="containsText" dxfId="8534" priority="1372" stopIfTrue="1" operator="containsText" text="Biológico">
      <formula>NOT(ISERROR(SEARCH("Biológico",E384)))</formula>
    </cfRule>
    <cfRule type="containsText" dxfId="8533" priority="1378" stopIfTrue="1" operator="containsText" text="3. Locativo">
      <formula>NOT(ISERROR(SEARCH("3. Locativo",E384)))</formula>
    </cfRule>
    <cfRule type="containsText" dxfId="8532" priority="1370" stopIfTrue="1" operator="containsText" text="Público">
      <formula>NOT(ISERROR(SEARCH("Público",E384)))</formula>
    </cfRule>
    <cfRule type="containsText" dxfId="8531" priority="1371" stopIfTrue="1" operator="containsText" text="Psicosocial">
      <formula>NOT(ISERROR(SEARCH("Psicosocial",E384)))</formula>
    </cfRule>
  </conditionalFormatting>
  <conditionalFormatting sqref="E385">
    <cfRule type="containsText" dxfId="8530" priority="1323" stopIfTrue="1" operator="containsText" text="1. Ergonómico">
      <formula>NOT(ISERROR(SEARCH("1. Ergonómico",E385)))</formula>
    </cfRule>
    <cfRule type="containsText" dxfId="8529" priority="1321" stopIfTrue="1" operator="containsText" text="3. Locativo">
      <formula>NOT(ISERROR(SEARCH("3. Locativo",E385)))</formula>
    </cfRule>
    <cfRule type="containsText" dxfId="8528" priority="1320" stopIfTrue="1" operator="containsText" text="4. Químico">
      <formula>NOT(ISERROR(SEARCH("4. Químico",E385)))</formula>
    </cfRule>
    <cfRule type="containsText" dxfId="8527" priority="1319" stopIfTrue="1" operator="containsText" text="Físico">
      <formula>NOT(ISERROR(SEARCH("Físico",E385)))</formula>
    </cfRule>
    <cfRule type="containsText" dxfId="8526" priority="1316" stopIfTrue="1" operator="containsText" text="Trabajo de alto riesgo">
      <formula>NOT(ISERROR(SEARCH("Trabajo de alto riesgo",E385)))</formula>
    </cfRule>
    <cfRule type="containsText" dxfId="8525" priority="1317" stopIfTrue="1" operator="containsText" text="Físico-químico">
      <formula>NOT(ISERROR(SEARCH("Físico-químico",E385)))</formula>
    </cfRule>
    <cfRule type="containsText" dxfId="8524" priority="1318" stopIfTrue="1" operator="containsText" text="Eléctrico">
      <formula>NOT(ISERROR(SEARCH("Eléctrico",E385)))</formula>
    </cfRule>
    <cfRule type="containsText" dxfId="8523" priority="1322" stopIfTrue="1" operator="containsText" text="2. Mecánico">
      <formula>NOT(ISERROR(SEARCH("2. Mecánico",E385)))</formula>
    </cfRule>
    <cfRule type="containsText" dxfId="8522" priority="1314" stopIfTrue="1" operator="containsText" text="Psicosocial">
      <formula>NOT(ISERROR(SEARCH("Psicosocial",E385)))</formula>
    </cfRule>
    <cfRule type="containsText" dxfId="8521" priority="1313" stopIfTrue="1" operator="containsText" text="Público">
      <formula>NOT(ISERROR(SEARCH("Público",E385)))</formula>
    </cfRule>
    <cfRule type="containsText" dxfId="8520" priority="1315" stopIfTrue="1" operator="containsText" text="Biológico">
      <formula>NOT(ISERROR(SEARCH("Biológico",E385)))</formula>
    </cfRule>
  </conditionalFormatting>
  <conditionalFormatting sqref="E388">
    <cfRule type="containsText" dxfId="8519" priority="1054" stopIfTrue="1" operator="containsText" text="Psicosocial">
      <formula>NOT(ISERROR(SEARCH("Psicosocial",E388)))</formula>
    </cfRule>
    <cfRule type="containsText" dxfId="8518" priority="1057" stopIfTrue="1" operator="containsText" text="Físico-químico">
      <formula>NOT(ISERROR(SEARCH("Físico-químico",E388)))</formula>
    </cfRule>
    <cfRule type="containsText" dxfId="8517" priority="1058" stopIfTrue="1" operator="containsText" text="Eléctrico">
      <formula>NOT(ISERROR(SEARCH("Eléctrico",E388)))</formula>
    </cfRule>
    <cfRule type="containsText" dxfId="8516" priority="1053" stopIfTrue="1" operator="containsText" text="Público">
      <formula>NOT(ISERROR(SEARCH("Público",E388)))</formula>
    </cfRule>
    <cfRule type="containsText" dxfId="8515" priority="1059" stopIfTrue="1" operator="containsText" text="Físico">
      <formula>NOT(ISERROR(SEARCH("Físico",E388)))</formula>
    </cfRule>
    <cfRule type="containsText" dxfId="8514" priority="1056" stopIfTrue="1" operator="containsText" text="Trabajo de alto riesgo">
      <formula>NOT(ISERROR(SEARCH("Trabajo de alto riesgo",E388)))</formula>
    </cfRule>
    <cfRule type="containsText" dxfId="8513" priority="1060" stopIfTrue="1" operator="containsText" text="4. Químico">
      <formula>NOT(ISERROR(SEARCH("4. Químico",E388)))</formula>
    </cfRule>
    <cfRule type="containsText" dxfId="8512" priority="1061" stopIfTrue="1" operator="containsText" text="3. Locativo">
      <formula>NOT(ISERROR(SEARCH("3. Locativo",E388)))</formula>
    </cfRule>
    <cfRule type="containsText" dxfId="8511" priority="1062" stopIfTrue="1" operator="containsText" text="2. Mecánico">
      <formula>NOT(ISERROR(SEARCH("2. Mecánico",E388)))</formula>
    </cfRule>
    <cfRule type="containsText" dxfId="8510" priority="1063" stopIfTrue="1" operator="containsText" text="1. Ergonómico">
      <formula>NOT(ISERROR(SEARCH("1. Ergonómico",E388)))</formula>
    </cfRule>
    <cfRule type="containsText" dxfId="8509" priority="1055" stopIfTrue="1" operator="containsText" text="Biológico">
      <formula>NOT(ISERROR(SEARCH("Biológico",E388)))</formula>
    </cfRule>
  </conditionalFormatting>
  <conditionalFormatting sqref="E391">
    <cfRule type="containsText" dxfId="8508" priority="1006" stopIfTrue="1" operator="containsText" text="Público">
      <formula>NOT(ISERROR(SEARCH("Público",E391)))</formula>
    </cfRule>
    <cfRule type="containsText" dxfId="8507" priority="1008" stopIfTrue="1" operator="containsText" text="Biológico">
      <formula>NOT(ISERROR(SEARCH("Biológico",E391)))</formula>
    </cfRule>
    <cfRule type="containsText" dxfId="8506" priority="1010" stopIfTrue="1" operator="containsText" text="Físico-químico">
      <formula>NOT(ISERROR(SEARCH("Físico-químico",E391)))</formula>
    </cfRule>
    <cfRule type="containsText" dxfId="8505" priority="1011" stopIfTrue="1" operator="containsText" text="Eléctrico">
      <formula>NOT(ISERROR(SEARCH("Eléctrico",E391)))</formula>
    </cfRule>
    <cfRule type="containsText" dxfId="8504" priority="1012" stopIfTrue="1" operator="containsText" text="Físico">
      <formula>NOT(ISERROR(SEARCH("Físico",E391)))</formula>
    </cfRule>
    <cfRule type="containsText" dxfId="8503" priority="1013" stopIfTrue="1" operator="containsText" text="4. Químico">
      <formula>NOT(ISERROR(SEARCH("4. Químico",E391)))</formula>
    </cfRule>
    <cfRule type="containsText" dxfId="8502" priority="1014" stopIfTrue="1" operator="containsText" text="3. Locativo">
      <formula>NOT(ISERROR(SEARCH("3. Locativo",E391)))</formula>
    </cfRule>
    <cfRule type="containsText" dxfId="8501" priority="1015" stopIfTrue="1" operator="containsText" text="2. Mecánico">
      <formula>NOT(ISERROR(SEARCH("2. Mecánico",E391)))</formula>
    </cfRule>
    <cfRule type="containsText" dxfId="8500" priority="1016" stopIfTrue="1" operator="containsText" text="1. Ergonómico">
      <formula>NOT(ISERROR(SEARCH("1. Ergonómico",E391)))</formula>
    </cfRule>
    <cfRule type="containsText" dxfId="8499" priority="1007" stopIfTrue="1" operator="containsText" text="Psicosocial">
      <formula>NOT(ISERROR(SEARCH("Psicosocial",E391)))</formula>
    </cfRule>
    <cfRule type="containsText" dxfId="8498" priority="1009" stopIfTrue="1" operator="containsText" text="Trabajo de alto riesgo">
      <formula>NOT(ISERROR(SEARCH("Trabajo de alto riesgo",E391)))</formula>
    </cfRule>
  </conditionalFormatting>
  <conditionalFormatting sqref="E392">
    <cfRule type="containsText" dxfId="8497" priority="1103" stopIfTrue="1" operator="containsText" text="Eléctrico">
      <formula>NOT(ISERROR(SEARCH("Eléctrico",E392)))</formula>
    </cfRule>
    <cfRule type="containsText" dxfId="8496" priority="1102" stopIfTrue="1" operator="containsText" text="Físico-químico">
      <formula>NOT(ISERROR(SEARCH("Físico-químico",E392)))</formula>
    </cfRule>
    <cfRule type="containsText" dxfId="8495" priority="1101" stopIfTrue="1" operator="containsText" text="Trabajo de alto riesgo">
      <formula>NOT(ISERROR(SEARCH("Trabajo de alto riesgo",E392)))</formula>
    </cfRule>
    <cfRule type="containsText" dxfId="8494" priority="1099" stopIfTrue="1" operator="containsText" text="Psicosocial">
      <formula>NOT(ISERROR(SEARCH("Psicosocial",E392)))</formula>
    </cfRule>
    <cfRule type="containsText" dxfId="8493" priority="1098" stopIfTrue="1" operator="containsText" text="Público">
      <formula>NOT(ISERROR(SEARCH("Público",E392)))</formula>
    </cfRule>
    <cfRule type="containsText" dxfId="8492" priority="1100" stopIfTrue="1" operator="containsText" text="Biológico">
      <formula>NOT(ISERROR(SEARCH("Biológico",E392)))</formula>
    </cfRule>
    <cfRule type="containsText" dxfId="8491" priority="1108" stopIfTrue="1" operator="containsText" text="1. Ergonómico">
      <formula>NOT(ISERROR(SEARCH("1. Ergonómico",E392)))</formula>
    </cfRule>
    <cfRule type="containsText" dxfId="8490" priority="1107" stopIfTrue="1" operator="containsText" text="2. Mecánico">
      <formula>NOT(ISERROR(SEARCH("2. Mecánico",E392)))</formula>
    </cfRule>
    <cfRule type="containsText" dxfId="8489" priority="1106" stopIfTrue="1" operator="containsText" text="3. Locativo">
      <formula>NOT(ISERROR(SEARCH("3. Locativo",E392)))</formula>
    </cfRule>
    <cfRule type="containsText" dxfId="8488" priority="1105" stopIfTrue="1" operator="containsText" text="4. Químico">
      <formula>NOT(ISERROR(SEARCH("4. Químico",E392)))</formula>
    </cfRule>
    <cfRule type="containsText" dxfId="8487" priority="1104" stopIfTrue="1" operator="containsText" text="Físico">
      <formula>NOT(ISERROR(SEARCH("Físico",E392)))</formula>
    </cfRule>
  </conditionalFormatting>
  <conditionalFormatting sqref="E393">
    <cfRule type="containsText" dxfId="8486" priority="962" stopIfTrue="1" operator="containsText" text="Psicosocial">
      <formula>NOT(ISERROR(SEARCH("Psicosocial",E393)))</formula>
    </cfRule>
    <cfRule type="containsText" dxfId="8485" priority="966" stopIfTrue="1" operator="containsText" text="Eléctrico">
      <formula>NOT(ISERROR(SEARCH("Eléctrico",E393)))</formula>
    </cfRule>
    <cfRule type="containsText" dxfId="8484" priority="968" stopIfTrue="1" operator="containsText" text="4. Químico">
      <formula>NOT(ISERROR(SEARCH("4. Químico",E393)))</formula>
    </cfRule>
    <cfRule type="containsText" dxfId="8483" priority="969" stopIfTrue="1" operator="containsText" text="3. Locativo">
      <formula>NOT(ISERROR(SEARCH("3. Locativo",E393)))</formula>
    </cfRule>
    <cfRule type="containsText" dxfId="8482" priority="970" stopIfTrue="1" operator="containsText" text="2. Mecánico">
      <formula>NOT(ISERROR(SEARCH("2. Mecánico",E393)))</formula>
    </cfRule>
    <cfRule type="containsText" dxfId="8481" priority="967" stopIfTrue="1" operator="containsText" text="Físico">
      <formula>NOT(ISERROR(SEARCH("Físico",E393)))</formula>
    </cfRule>
    <cfRule type="containsText" dxfId="8480" priority="964" stopIfTrue="1" operator="containsText" text="Trabajo de alto riesgo">
      <formula>NOT(ISERROR(SEARCH("Trabajo de alto riesgo",E393)))</formula>
    </cfRule>
    <cfRule type="containsText" dxfId="8479" priority="965" stopIfTrue="1" operator="containsText" text="Físico-químico">
      <formula>NOT(ISERROR(SEARCH("Físico-químico",E393)))</formula>
    </cfRule>
    <cfRule type="containsText" dxfId="8478" priority="971" stopIfTrue="1" operator="containsText" text="1. Ergonómico">
      <formula>NOT(ISERROR(SEARCH("1. Ergonómico",E393)))</formula>
    </cfRule>
    <cfRule type="containsText" dxfId="8477" priority="961" stopIfTrue="1" operator="containsText" text="Público">
      <formula>NOT(ISERROR(SEARCH("Público",E393)))</formula>
    </cfRule>
    <cfRule type="containsText" dxfId="8476" priority="963" stopIfTrue="1" operator="containsText" text="Biológico">
      <formula>NOT(ISERROR(SEARCH("Biológico",E393)))</formula>
    </cfRule>
  </conditionalFormatting>
  <conditionalFormatting sqref="E394">
    <cfRule type="containsText" dxfId="8475" priority="781" stopIfTrue="1" operator="containsText" text="Trabajo de alto riesgo">
      <formula>NOT(ISERROR(SEARCH("Trabajo de alto riesgo",E394)))</formula>
    </cfRule>
    <cfRule type="containsText" dxfId="8474" priority="787" stopIfTrue="1" operator="containsText" text="2. Mecánico">
      <formula>NOT(ISERROR(SEARCH("2. Mecánico",E394)))</formula>
    </cfRule>
    <cfRule type="containsText" dxfId="8473" priority="778" stopIfTrue="1" operator="containsText" text="Público">
      <formula>NOT(ISERROR(SEARCH("Público",E394)))</formula>
    </cfRule>
    <cfRule type="containsText" dxfId="8472" priority="779" stopIfTrue="1" operator="containsText" text="Psicosocial">
      <formula>NOT(ISERROR(SEARCH("Psicosocial",E394)))</formula>
    </cfRule>
    <cfRule type="containsText" dxfId="8471" priority="780" stopIfTrue="1" operator="containsText" text="Biológico">
      <formula>NOT(ISERROR(SEARCH("Biológico",E394)))</formula>
    </cfRule>
    <cfRule type="containsText" dxfId="8470" priority="788" stopIfTrue="1" operator="containsText" text="1. Ergonómico">
      <formula>NOT(ISERROR(SEARCH("1. Ergonómico",E394)))</formula>
    </cfRule>
    <cfRule type="containsText" dxfId="8469" priority="785" stopIfTrue="1" operator="containsText" text="4. Químico">
      <formula>NOT(ISERROR(SEARCH("4. Químico",E394)))</formula>
    </cfRule>
    <cfRule type="containsText" dxfId="8468" priority="784" stopIfTrue="1" operator="containsText" text="Físico">
      <formula>NOT(ISERROR(SEARCH("Físico",E394)))</formula>
    </cfRule>
    <cfRule type="containsText" dxfId="8467" priority="783" stopIfTrue="1" operator="containsText" text="Eléctrico">
      <formula>NOT(ISERROR(SEARCH("Eléctrico",E394)))</formula>
    </cfRule>
    <cfRule type="containsText" dxfId="8466" priority="786" stopIfTrue="1" operator="containsText" text="3. Locativo">
      <formula>NOT(ISERROR(SEARCH("3. Locativo",E394)))</formula>
    </cfRule>
    <cfRule type="containsText" dxfId="8465" priority="782" stopIfTrue="1" operator="containsText" text="Físico-químico">
      <formula>NOT(ISERROR(SEARCH("Físico-químico",E394)))</formula>
    </cfRule>
  </conditionalFormatting>
  <conditionalFormatting sqref="E395">
    <cfRule type="containsText" dxfId="8464" priority="1119" stopIfTrue="1" operator="containsText" text="Físico">
      <formula>NOT(ISERROR(SEARCH("Físico",E395)))</formula>
    </cfRule>
    <cfRule type="containsText" dxfId="8463" priority="1116" stopIfTrue="1" operator="containsText" text="Trabajo de alto riesgo">
      <formula>NOT(ISERROR(SEARCH("Trabajo de alto riesgo",E395)))</formula>
    </cfRule>
    <cfRule type="containsText" dxfId="8462" priority="1115" stopIfTrue="1" operator="containsText" text="Biológico">
      <formula>NOT(ISERROR(SEARCH("Biológico",E395)))</formula>
    </cfRule>
    <cfRule type="containsText" dxfId="8461" priority="1114" stopIfTrue="1" operator="containsText" text="Psicosocial">
      <formula>NOT(ISERROR(SEARCH("Psicosocial",E395)))</formula>
    </cfRule>
    <cfRule type="containsText" dxfId="8460" priority="1113" stopIfTrue="1" operator="containsText" text="Público">
      <formula>NOT(ISERROR(SEARCH("Público",E395)))</formula>
    </cfRule>
    <cfRule type="containsText" dxfId="8459" priority="1117" stopIfTrue="1" operator="containsText" text="Físico-químico">
      <formula>NOT(ISERROR(SEARCH("Físico-químico",E395)))</formula>
    </cfRule>
    <cfRule type="containsText" dxfId="8458" priority="1120" stopIfTrue="1" operator="containsText" text="4. Químico">
      <formula>NOT(ISERROR(SEARCH("4. Químico",E395)))</formula>
    </cfRule>
    <cfRule type="containsText" dxfId="8457" priority="1118" stopIfTrue="1" operator="containsText" text="Eléctrico">
      <formula>NOT(ISERROR(SEARCH("Eléctrico",E395)))</formula>
    </cfRule>
    <cfRule type="containsText" dxfId="8456" priority="1122" stopIfTrue="1" operator="containsText" text="2. Mecánico">
      <formula>NOT(ISERROR(SEARCH("2. Mecánico",E395)))</formula>
    </cfRule>
    <cfRule type="containsText" dxfId="8455" priority="1123" stopIfTrue="1" operator="containsText" text="1. Ergonómico">
      <formula>NOT(ISERROR(SEARCH("1. Ergonómico",E395)))</formula>
    </cfRule>
    <cfRule type="containsText" dxfId="8454" priority="1121" stopIfTrue="1" operator="containsText" text="3. Locativo">
      <formula>NOT(ISERROR(SEARCH("3. Locativo",E395)))</formula>
    </cfRule>
  </conditionalFormatting>
  <conditionalFormatting sqref="E396">
    <cfRule type="containsText" dxfId="8453" priority="877" stopIfTrue="1" operator="containsText" text="Psicosocial">
      <formula>NOT(ISERROR(SEARCH("Psicosocial",E396)))</formula>
    </cfRule>
    <cfRule type="containsText" dxfId="8452" priority="878" stopIfTrue="1" operator="containsText" text="Biológico">
      <formula>NOT(ISERROR(SEARCH("Biológico",E396)))</formula>
    </cfRule>
    <cfRule type="containsText" dxfId="8451" priority="879" stopIfTrue="1" operator="containsText" text="Trabajo de alto riesgo">
      <formula>NOT(ISERROR(SEARCH("Trabajo de alto riesgo",E396)))</formula>
    </cfRule>
    <cfRule type="containsText" dxfId="8450" priority="881" stopIfTrue="1" operator="containsText" text="Eléctrico">
      <formula>NOT(ISERROR(SEARCH("Eléctrico",E396)))</formula>
    </cfRule>
    <cfRule type="containsText" dxfId="8449" priority="885" stopIfTrue="1" operator="containsText" text="2. Mecánico">
      <formula>NOT(ISERROR(SEARCH("2. Mecánico",E396)))</formula>
    </cfRule>
    <cfRule type="containsText" dxfId="8448" priority="883" stopIfTrue="1" operator="containsText" text="4. Químico">
      <formula>NOT(ISERROR(SEARCH("4. Químico",E396)))</formula>
    </cfRule>
    <cfRule type="containsText" dxfId="8447" priority="880" stopIfTrue="1" operator="containsText" text="Físico-químico">
      <formula>NOT(ISERROR(SEARCH("Físico-químico",E396)))</formula>
    </cfRule>
    <cfRule type="containsText" dxfId="8446" priority="886" stopIfTrue="1" operator="containsText" text="1. Ergonómico">
      <formula>NOT(ISERROR(SEARCH("1. Ergonómico",E396)))</formula>
    </cfRule>
    <cfRule type="containsText" dxfId="8445" priority="884" stopIfTrue="1" operator="containsText" text="3. Locativo">
      <formula>NOT(ISERROR(SEARCH("3. Locativo",E396)))</formula>
    </cfRule>
    <cfRule type="containsText" dxfId="8444" priority="876" stopIfTrue="1" operator="containsText" text="Público">
      <formula>NOT(ISERROR(SEARCH("Público",E396)))</formula>
    </cfRule>
    <cfRule type="containsText" dxfId="8443" priority="882" stopIfTrue="1" operator="containsText" text="Físico">
      <formula>NOT(ISERROR(SEARCH("Físico",E396)))</formula>
    </cfRule>
  </conditionalFormatting>
  <conditionalFormatting sqref="E397">
    <cfRule type="containsText" dxfId="8442" priority="828" stopIfTrue="1" operator="containsText" text="2. Mecánico">
      <formula>NOT(ISERROR(SEARCH("2. Mecánico",E397)))</formula>
    </cfRule>
    <cfRule type="containsText" dxfId="8441" priority="825" stopIfTrue="1" operator="containsText" text="Físico">
      <formula>NOT(ISERROR(SEARCH("Físico",E397)))</formula>
    </cfRule>
    <cfRule type="containsText" dxfId="8440" priority="824" stopIfTrue="1" operator="containsText" text="Eléctrico">
      <formula>NOT(ISERROR(SEARCH("Eléctrico",E397)))</formula>
    </cfRule>
    <cfRule type="containsText" dxfId="8439" priority="823" stopIfTrue="1" operator="containsText" text="Físico-químico">
      <formula>NOT(ISERROR(SEARCH("Físico-químico",E397)))</formula>
    </cfRule>
    <cfRule type="containsText" dxfId="8438" priority="827" stopIfTrue="1" operator="containsText" text="3. Locativo">
      <formula>NOT(ISERROR(SEARCH("3. Locativo",E397)))</formula>
    </cfRule>
    <cfRule type="containsText" dxfId="8437" priority="826" stopIfTrue="1" operator="containsText" text="4. Químico">
      <formula>NOT(ISERROR(SEARCH("4. Químico",E397)))</formula>
    </cfRule>
    <cfRule type="containsText" dxfId="8436" priority="822" stopIfTrue="1" operator="containsText" text="Trabajo de alto riesgo">
      <formula>NOT(ISERROR(SEARCH("Trabajo de alto riesgo",E397)))</formula>
    </cfRule>
    <cfRule type="containsText" dxfId="8435" priority="821" stopIfTrue="1" operator="containsText" text="Biológico">
      <formula>NOT(ISERROR(SEARCH("Biológico",E397)))</formula>
    </cfRule>
    <cfRule type="containsText" dxfId="8434" priority="820" stopIfTrue="1" operator="containsText" text="Psicosocial">
      <formula>NOT(ISERROR(SEARCH("Psicosocial",E397)))</formula>
    </cfRule>
    <cfRule type="containsText" dxfId="8433" priority="819" stopIfTrue="1" operator="containsText" text="Público">
      <formula>NOT(ISERROR(SEARCH("Público",E397)))</formula>
    </cfRule>
    <cfRule type="containsText" dxfId="8432" priority="829" stopIfTrue="1" operator="containsText" text="1. Ergonómico">
      <formula>NOT(ISERROR(SEARCH("1. Ergonómico",E397)))</formula>
    </cfRule>
  </conditionalFormatting>
  <conditionalFormatting sqref="E401">
    <cfRule type="containsText" dxfId="8431" priority="529" stopIfTrue="1" operator="containsText" text="Físico">
      <formula>NOT(ISERROR(SEARCH("Físico",E401)))</formula>
    </cfRule>
    <cfRule type="containsText" dxfId="8430" priority="528" stopIfTrue="1" operator="containsText" text="Eléctrico">
      <formula>NOT(ISERROR(SEARCH("Eléctrico",E401)))</formula>
    </cfRule>
    <cfRule type="containsText" dxfId="8429" priority="525" stopIfTrue="1" operator="containsText" text="Biológico">
      <formula>NOT(ISERROR(SEARCH("Biológico",E401)))</formula>
    </cfRule>
    <cfRule type="containsText" dxfId="8428" priority="524" stopIfTrue="1" operator="containsText" text="Psicosocial">
      <formula>NOT(ISERROR(SEARCH("Psicosocial",E401)))</formula>
    </cfRule>
    <cfRule type="containsText" dxfId="8427" priority="523" stopIfTrue="1" operator="containsText" text="Público">
      <formula>NOT(ISERROR(SEARCH("Público",E401)))</formula>
    </cfRule>
    <cfRule type="containsText" dxfId="8426" priority="527" stopIfTrue="1" operator="containsText" text="Físico-químico">
      <formula>NOT(ISERROR(SEARCH("Físico-químico",E401)))</formula>
    </cfRule>
    <cfRule type="containsText" dxfId="8425" priority="526" stopIfTrue="1" operator="containsText" text="Trabajo de alto riesgo">
      <formula>NOT(ISERROR(SEARCH("Trabajo de alto riesgo",E401)))</formula>
    </cfRule>
    <cfRule type="containsText" dxfId="8424" priority="533" stopIfTrue="1" operator="containsText" text="1. Ergonómico">
      <formula>NOT(ISERROR(SEARCH("1. Ergonómico",E401)))</formula>
    </cfRule>
    <cfRule type="containsText" dxfId="8423" priority="532" stopIfTrue="1" operator="containsText" text="2. Mecánico">
      <formula>NOT(ISERROR(SEARCH("2. Mecánico",E401)))</formula>
    </cfRule>
    <cfRule type="containsText" dxfId="8422" priority="531" stopIfTrue="1" operator="containsText" text="3. Locativo">
      <formula>NOT(ISERROR(SEARCH("3. Locativo",E401)))</formula>
    </cfRule>
    <cfRule type="containsText" dxfId="8421" priority="530" stopIfTrue="1" operator="containsText" text="4. Químico">
      <formula>NOT(ISERROR(SEARCH("4. Químico",E401)))</formula>
    </cfRule>
  </conditionalFormatting>
  <conditionalFormatting sqref="E404">
    <cfRule type="containsText" dxfId="8420" priority="480" stopIfTrue="1" operator="containsText" text="Físico-químico">
      <formula>NOT(ISERROR(SEARCH("Físico-químico",E404)))</formula>
    </cfRule>
    <cfRule type="containsText" dxfId="8419" priority="481" stopIfTrue="1" operator="containsText" text="Eléctrico">
      <formula>NOT(ISERROR(SEARCH("Eléctrico",E404)))</formula>
    </cfRule>
    <cfRule type="containsText" dxfId="8418" priority="486" stopIfTrue="1" operator="containsText" text="1. Ergonómico">
      <formula>NOT(ISERROR(SEARCH("1. Ergonómico",E404)))</formula>
    </cfRule>
    <cfRule type="containsText" dxfId="8417" priority="485" stopIfTrue="1" operator="containsText" text="2. Mecánico">
      <formula>NOT(ISERROR(SEARCH("2. Mecánico",E404)))</formula>
    </cfRule>
    <cfRule type="containsText" dxfId="8416" priority="484" stopIfTrue="1" operator="containsText" text="3. Locativo">
      <formula>NOT(ISERROR(SEARCH("3. Locativo",E404)))</formula>
    </cfRule>
    <cfRule type="containsText" dxfId="8415" priority="479" stopIfTrue="1" operator="containsText" text="Trabajo de alto riesgo">
      <formula>NOT(ISERROR(SEARCH("Trabajo de alto riesgo",E404)))</formula>
    </cfRule>
    <cfRule type="containsText" dxfId="8414" priority="483" stopIfTrue="1" operator="containsText" text="4. Químico">
      <formula>NOT(ISERROR(SEARCH("4. Químico",E404)))</formula>
    </cfRule>
    <cfRule type="containsText" dxfId="8413" priority="476" stopIfTrue="1" operator="containsText" text="Público">
      <formula>NOT(ISERROR(SEARCH("Público",E404)))</formula>
    </cfRule>
    <cfRule type="containsText" dxfId="8412" priority="477" stopIfTrue="1" operator="containsText" text="Psicosocial">
      <formula>NOT(ISERROR(SEARCH("Psicosocial",E404)))</formula>
    </cfRule>
    <cfRule type="containsText" dxfId="8411" priority="482" stopIfTrue="1" operator="containsText" text="Físico">
      <formula>NOT(ISERROR(SEARCH("Físico",E404)))</formula>
    </cfRule>
    <cfRule type="containsText" dxfId="8410" priority="478" stopIfTrue="1" operator="containsText" text="Biológico">
      <formula>NOT(ISERROR(SEARCH("Biológico",E404)))</formula>
    </cfRule>
  </conditionalFormatting>
  <conditionalFormatting sqref="E405">
    <cfRule type="containsText" dxfId="8409" priority="572" stopIfTrue="1" operator="containsText" text="Físico-químico">
      <formula>NOT(ISERROR(SEARCH("Físico-químico",E405)))</formula>
    </cfRule>
    <cfRule type="containsText" dxfId="8408" priority="573" stopIfTrue="1" operator="containsText" text="Eléctrico">
      <formula>NOT(ISERROR(SEARCH("Eléctrico",E405)))</formula>
    </cfRule>
    <cfRule type="containsText" dxfId="8407" priority="574" stopIfTrue="1" operator="containsText" text="Físico">
      <formula>NOT(ISERROR(SEARCH("Físico",E405)))</formula>
    </cfRule>
    <cfRule type="containsText" dxfId="8406" priority="575" stopIfTrue="1" operator="containsText" text="4. Químico">
      <formula>NOT(ISERROR(SEARCH("4. Químico",E405)))</formula>
    </cfRule>
    <cfRule type="containsText" dxfId="8405" priority="576" stopIfTrue="1" operator="containsText" text="3. Locativo">
      <formula>NOT(ISERROR(SEARCH("3. Locativo",E405)))</formula>
    </cfRule>
    <cfRule type="containsText" dxfId="8404" priority="577" stopIfTrue="1" operator="containsText" text="2. Mecánico">
      <formula>NOT(ISERROR(SEARCH("2. Mecánico",E405)))</formula>
    </cfRule>
    <cfRule type="containsText" dxfId="8403" priority="578" stopIfTrue="1" operator="containsText" text="1. Ergonómico">
      <formula>NOT(ISERROR(SEARCH("1. Ergonómico",E405)))</formula>
    </cfRule>
    <cfRule type="containsText" dxfId="8402" priority="568" stopIfTrue="1" operator="containsText" text="Público">
      <formula>NOT(ISERROR(SEARCH("Público",E405)))</formula>
    </cfRule>
    <cfRule type="containsText" dxfId="8401" priority="569" stopIfTrue="1" operator="containsText" text="Psicosocial">
      <formula>NOT(ISERROR(SEARCH("Psicosocial",E405)))</formula>
    </cfRule>
    <cfRule type="containsText" dxfId="8400" priority="570" stopIfTrue="1" operator="containsText" text="Biológico">
      <formula>NOT(ISERROR(SEARCH("Biológico",E405)))</formula>
    </cfRule>
    <cfRule type="containsText" dxfId="8399" priority="571" stopIfTrue="1" operator="containsText" text="Trabajo de alto riesgo">
      <formula>NOT(ISERROR(SEARCH("Trabajo de alto riesgo",E405)))</formula>
    </cfRule>
  </conditionalFormatting>
  <conditionalFormatting sqref="E406">
    <cfRule type="containsText" dxfId="8398" priority="438" stopIfTrue="1" operator="containsText" text="4. Químico">
      <formula>NOT(ISERROR(SEARCH("4. Químico",E406)))</formula>
    </cfRule>
    <cfRule type="containsText" dxfId="8397" priority="439" stopIfTrue="1" operator="containsText" text="3. Locativo">
      <formula>NOT(ISERROR(SEARCH("3. Locativo",E406)))</formula>
    </cfRule>
    <cfRule type="containsText" dxfId="8396" priority="441" stopIfTrue="1" operator="containsText" text="1. Ergonómico">
      <formula>NOT(ISERROR(SEARCH("1. Ergonómico",E406)))</formula>
    </cfRule>
    <cfRule type="containsText" dxfId="8395" priority="431" stopIfTrue="1" operator="containsText" text="Público">
      <formula>NOT(ISERROR(SEARCH("Público",E406)))</formula>
    </cfRule>
    <cfRule type="containsText" dxfId="8394" priority="432" stopIfTrue="1" operator="containsText" text="Psicosocial">
      <formula>NOT(ISERROR(SEARCH("Psicosocial",E406)))</formula>
    </cfRule>
    <cfRule type="containsText" dxfId="8393" priority="433" stopIfTrue="1" operator="containsText" text="Biológico">
      <formula>NOT(ISERROR(SEARCH("Biológico",E406)))</formula>
    </cfRule>
    <cfRule type="containsText" dxfId="8392" priority="434" stopIfTrue="1" operator="containsText" text="Trabajo de alto riesgo">
      <formula>NOT(ISERROR(SEARCH("Trabajo de alto riesgo",E406)))</formula>
    </cfRule>
    <cfRule type="containsText" dxfId="8391" priority="435" stopIfTrue="1" operator="containsText" text="Físico-químico">
      <formula>NOT(ISERROR(SEARCH("Físico-químico",E406)))</formula>
    </cfRule>
    <cfRule type="containsText" dxfId="8390" priority="440" stopIfTrue="1" operator="containsText" text="2. Mecánico">
      <formula>NOT(ISERROR(SEARCH("2. Mecánico",E406)))</formula>
    </cfRule>
    <cfRule type="containsText" dxfId="8389" priority="436" stopIfTrue="1" operator="containsText" text="Eléctrico">
      <formula>NOT(ISERROR(SEARCH("Eléctrico",E406)))</formula>
    </cfRule>
    <cfRule type="containsText" dxfId="8388" priority="437" stopIfTrue="1" operator="containsText" text="Físico">
      <formula>NOT(ISERROR(SEARCH("Físico",E406)))</formula>
    </cfRule>
  </conditionalFormatting>
  <conditionalFormatting sqref="E407">
    <cfRule type="containsText" dxfId="8387" priority="258" stopIfTrue="1" operator="containsText" text="1. Ergonómico">
      <formula>NOT(ISERROR(SEARCH("1. Ergonómico",E407)))</formula>
    </cfRule>
    <cfRule type="containsText" dxfId="8386" priority="252" stopIfTrue="1" operator="containsText" text="Físico-químico">
      <formula>NOT(ISERROR(SEARCH("Físico-químico",E407)))</formula>
    </cfRule>
    <cfRule type="containsText" dxfId="8385" priority="257" stopIfTrue="1" operator="containsText" text="2. Mecánico">
      <formula>NOT(ISERROR(SEARCH("2. Mecánico",E407)))</formula>
    </cfRule>
    <cfRule type="containsText" dxfId="8384" priority="253" stopIfTrue="1" operator="containsText" text="Eléctrico">
      <formula>NOT(ISERROR(SEARCH("Eléctrico",E407)))</formula>
    </cfRule>
    <cfRule type="containsText" dxfId="8383" priority="254" stopIfTrue="1" operator="containsText" text="Físico">
      <formula>NOT(ISERROR(SEARCH("Físico",E407)))</formula>
    </cfRule>
    <cfRule type="containsText" dxfId="8382" priority="255" stopIfTrue="1" operator="containsText" text="4. Químico">
      <formula>NOT(ISERROR(SEARCH("4. Químico",E407)))</formula>
    </cfRule>
    <cfRule type="containsText" dxfId="8381" priority="248" stopIfTrue="1" operator="containsText" text="Público">
      <formula>NOT(ISERROR(SEARCH("Público",E407)))</formula>
    </cfRule>
    <cfRule type="containsText" dxfId="8380" priority="256" stopIfTrue="1" operator="containsText" text="3. Locativo">
      <formula>NOT(ISERROR(SEARCH("3. Locativo",E407)))</formula>
    </cfRule>
    <cfRule type="containsText" dxfId="8379" priority="249" stopIfTrue="1" operator="containsText" text="Psicosocial">
      <formula>NOT(ISERROR(SEARCH("Psicosocial",E407)))</formula>
    </cfRule>
    <cfRule type="containsText" dxfId="8378" priority="250" stopIfTrue="1" operator="containsText" text="Biológico">
      <formula>NOT(ISERROR(SEARCH("Biológico",E407)))</formula>
    </cfRule>
    <cfRule type="containsText" dxfId="8377" priority="251" stopIfTrue="1" operator="containsText" text="Trabajo de alto riesgo">
      <formula>NOT(ISERROR(SEARCH("Trabajo de alto riesgo",E407)))</formula>
    </cfRule>
  </conditionalFormatting>
  <conditionalFormatting sqref="E408">
    <cfRule type="containsText" dxfId="8376" priority="586" stopIfTrue="1" operator="containsText" text="Trabajo de alto riesgo">
      <formula>NOT(ISERROR(SEARCH("Trabajo de alto riesgo",E408)))</formula>
    </cfRule>
    <cfRule type="containsText" dxfId="8375" priority="584" stopIfTrue="1" operator="containsText" text="Psicosocial">
      <formula>NOT(ISERROR(SEARCH("Psicosocial",E408)))</formula>
    </cfRule>
    <cfRule type="containsText" dxfId="8374" priority="589" stopIfTrue="1" operator="containsText" text="Físico">
      <formula>NOT(ISERROR(SEARCH("Físico",E408)))</formula>
    </cfRule>
    <cfRule type="containsText" dxfId="8373" priority="590" stopIfTrue="1" operator="containsText" text="4. Químico">
      <formula>NOT(ISERROR(SEARCH("4. Químico",E408)))</formula>
    </cfRule>
    <cfRule type="containsText" dxfId="8372" priority="583" stopIfTrue="1" operator="containsText" text="Público">
      <formula>NOT(ISERROR(SEARCH("Público",E408)))</formula>
    </cfRule>
    <cfRule type="containsText" dxfId="8371" priority="593" stopIfTrue="1" operator="containsText" text="1. Ergonómico">
      <formula>NOT(ISERROR(SEARCH("1. Ergonómico",E408)))</formula>
    </cfRule>
    <cfRule type="containsText" dxfId="8370" priority="591" stopIfTrue="1" operator="containsText" text="3. Locativo">
      <formula>NOT(ISERROR(SEARCH("3. Locativo",E408)))</formula>
    </cfRule>
    <cfRule type="containsText" dxfId="8369" priority="585" stopIfTrue="1" operator="containsText" text="Biológico">
      <formula>NOT(ISERROR(SEARCH("Biológico",E408)))</formula>
    </cfRule>
    <cfRule type="containsText" dxfId="8368" priority="592" stopIfTrue="1" operator="containsText" text="2. Mecánico">
      <formula>NOT(ISERROR(SEARCH("2. Mecánico",E408)))</formula>
    </cfRule>
    <cfRule type="containsText" dxfId="8367" priority="587" stopIfTrue="1" operator="containsText" text="Físico-químico">
      <formula>NOT(ISERROR(SEARCH("Físico-químico",E408)))</formula>
    </cfRule>
    <cfRule type="containsText" dxfId="8366" priority="588" stopIfTrue="1" operator="containsText" text="Eléctrico">
      <formula>NOT(ISERROR(SEARCH("Eléctrico",E408)))</formula>
    </cfRule>
  </conditionalFormatting>
  <conditionalFormatting sqref="E409">
    <cfRule type="containsText" dxfId="8365" priority="346" stopIfTrue="1" operator="containsText" text="Público">
      <formula>NOT(ISERROR(SEARCH("Público",E409)))</formula>
    </cfRule>
    <cfRule type="containsText" dxfId="8364" priority="352" stopIfTrue="1" operator="containsText" text="Físico">
      <formula>NOT(ISERROR(SEARCH("Físico",E409)))</formula>
    </cfRule>
    <cfRule type="containsText" dxfId="8363" priority="354" stopIfTrue="1" operator="containsText" text="3. Locativo">
      <formula>NOT(ISERROR(SEARCH("3. Locativo",E409)))</formula>
    </cfRule>
    <cfRule type="containsText" dxfId="8362" priority="347" stopIfTrue="1" operator="containsText" text="Psicosocial">
      <formula>NOT(ISERROR(SEARCH("Psicosocial",E409)))</formula>
    </cfRule>
    <cfRule type="containsText" dxfId="8361" priority="355" stopIfTrue="1" operator="containsText" text="2. Mecánico">
      <formula>NOT(ISERROR(SEARCH("2. Mecánico",E409)))</formula>
    </cfRule>
    <cfRule type="containsText" dxfId="8360" priority="351" stopIfTrue="1" operator="containsText" text="Eléctrico">
      <formula>NOT(ISERROR(SEARCH("Eléctrico",E409)))</formula>
    </cfRule>
    <cfRule type="containsText" dxfId="8359" priority="350" stopIfTrue="1" operator="containsText" text="Físico-químico">
      <formula>NOT(ISERROR(SEARCH("Físico-químico",E409)))</formula>
    </cfRule>
    <cfRule type="containsText" dxfId="8358" priority="348" stopIfTrue="1" operator="containsText" text="Biológico">
      <formula>NOT(ISERROR(SEARCH("Biológico",E409)))</formula>
    </cfRule>
    <cfRule type="containsText" dxfId="8357" priority="356" stopIfTrue="1" operator="containsText" text="1. Ergonómico">
      <formula>NOT(ISERROR(SEARCH("1. Ergonómico",E409)))</formula>
    </cfRule>
    <cfRule type="containsText" dxfId="8356" priority="349" stopIfTrue="1" operator="containsText" text="Trabajo de alto riesgo">
      <formula>NOT(ISERROR(SEARCH("Trabajo de alto riesgo",E409)))</formula>
    </cfRule>
    <cfRule type="containsText" dxfId="8355" priority="353" stopIfTrue="1" operator="containsText" text="4. Químico">
      <formula>NOT(ISERROR(SEARCH("4. Químico",E409)))</formula>
    </cfRule>
  </conditionalFormatting>
  <conditionalFormatting sqref="E410">
    <cfRule type="containsText" dxfId="8354" priority="293" stopIfTrue="1" operator="containsText" text="Físico-químico">
      <formula>NOT(ISERROR(SEARCH("Físico-químico",E410)))</formula>
    </cfRule>
    <cfRule type="containsText" dxfId="8353" priority="294" stopIfTrue="1" operator="containsText" text="Eléctrico">
      <formula>NOT(ISERROR(SEARCH("Eléctrico",E410)))</formula>
    </cfRule>
    <cfRule type="containsText" dxfId="8352" priority="295" stopIfTrue="1" operator="containsText" text="Físico">
      <formula>NOT(ISERROR(SEARCH("Físico",E410)))</formula>
    </cfRule>
    <cfRule type="containsText" dxfId="8351" priority="296" stopIfTrue="1" operator="containsText" text="4. Químico">
      <formula>NOT(ISERROR(SEARCH("4. Químico",E410)))</formula>
    </cfRule>
    <cfRule type="containsText" dxfId="8350" priority="297" stopIfTrue="1" operator="containsText" text="3. Locativo">
      <formula>NOT(ISERROR(SEARCH("3. Locativo",E410)))</formula>
    </cfRule>
    <cfRule type="containsText" dxfId="8349" priority="298" stopIfTrue="1" operator="containsText" text="2. Mecánico">
      <formula>NOT(ISERROR(SEARCH("2. Mecánico",E410)))</formula>
    </cfRule>
    <cfRule type="containsText" dxfId="8348" priority="291" stopIfTrue="1" operator="containsText" text="Biológico">
      <formula>NOT(ISERROR(SEARCH("Biológico",E410)))</formula>
    </cfRule>
    <cfRule type="containsText" dxfId="8347" priority="292" stopIfTrue="1" operator="containsText" text="Trabajo de alto riesgo">
      <formula>NOT(ISERROR(SEARCH("Trabajo de alto riesgo",E410)))</formula>
    </cfRule>
    <cfRule type="containsText" dxfId="8346" priority="289" stopIfTrue="1" operator="containsText" text="Público">
      <formula>NOT(ISERROR(SEARCH("Público",E410)))</formula>
    </cfRule>
    <cfRule type="containsText" dxfId="8345" priority="290" stopIfTrue="1" operator="containsText" text="Psicosocial">
      <formula>NOT(ISERROR(SEARCH("Psicosocial",E410)))</formula>
    </cfRule>
    <cfRule type="containsText" dxfId="8344" priority="299" stopIfTrue="1" operator="containsText" text="1. Ergonómico">
      <formula>NOT(ISERROR(SEARCH("1. Ergonómico",E410)))</formula>
    </cfRule>
  </conditionalFormatting>
  <conditionalFormatting sqref="I31">
    <cfRule type="containsText" dxfId="8343" priority="8824" stopIfTrue="1" operator="containsText" text="Potencial">
      <formula>NOT(ISERROR(SEARCH("Potencial",I31)))</formula>
    </cfRule>
    <cfRule type="containsText" dxfId="8342" priority="8825" stopIfTrue="1" operator="containsText" text="Expresado">
      <formula>NOT(ISERROR(SEARCH("Expresado",I31)))</formula>
    </cfRule>
  </conditionalFormatting>
  <conditionalFormatting sqref="I47:I50">
    <cfRule type="containsText" dxfId="8341" priority="13962" stopIfTrue="1" operator="containsText" text="Expresado">
      <formula>NOT(ISERROR(SEARCH("Expresado",I47)))</formula>
    </cfRule>
    <cfRule type="containsText" dxfId="8340" priority="13961" stopIfTrue="1" operator="containsText" text="Potencial">
      <formula>NOT(ISERROR(SEARCH("Potencial",I47)))</formula>
    </cfRule>
  </conditionalFormatting>
  <conditionalFormatting sqref="I69:I74 K73:L74">
    <cfRule type="containsText" dxfId="8339" priority="13813" stopIfTrue="1" operator="containsText" text="Expresado">
      <formula>NOT(ISERROR(SEARCH("Expresado",I69)))</formula>
    </cfRule>
    <cfRule type="containsText" dxfId="8338" priority="13812" stopIfTrue="1" operator="containsText" text="Potencial">
      <formula>NOT(ISERROR(SEARCH("Potencial",I69)))</formula>
    </cfRule>
  </conditionalFormatting>
  <conditionalFormatting sqref="I76">
    <cfRule type="containsText" dxfId="8337" priority="13693" stopIfTrue="1" operator="containsText" text="Potencial">
      <formula>NOT(ISERROR(SEARCH("Potencial",I76)))</formula>
    </cfRule>
    <cfRule type="containsText" dxfId="8336" priority="13694" stopIfTrue="1" operator="containsText" text="Expresado">
      <formula>NOT(ISERROR(SEARCH("Expresado",I76)))</formula>
    </cfRule>
  </conditionalFormatting>
  <conditionalFormatting sqref="I77">
    <cfRule type="containsText" dxfId="8335" priority="13650" stopIfTrue="1" operator="containsText" text="Potencial">
      <formula>NOT(ISERROR(SEARCH("Potencial",I77)))</formula>
    </cfRule>
    <cfRule type="containsText" dxfId="8334" priority="13651" stopIfTrue="1" operator="containsText" text="Expresado">
      <formula>NOT(ISERROR(SEARCH("Expresado",I77)))</formula>
    </cfRule>
  </conditionalFormatting>
  <conditionalFormatting sqref="I92">
    <cfRule type="containsText" dxfId="8333" priority="13170" stopIfTrue="1" operator="containsText" text="Potencial">
      <formula>NOT(ISERROR(SEARCH("Potencial",I92)))</formula>
    </cfRule>
    <cfRule type="containsText" dxfId="8332" priority="13171" stopIfTrue="1" operator="containsText" text="Expresado">
      <formula>NOT(ISERROR(SEARCH("Expresado",I92)))</formula>
    </cfRule>
  </conditionalFormatting>
  <conditionalFormatting sqref="I93:I94">
    <cfRule type="containsText" dxfId="8331" priority="13132" stopIfTrue="1" operator="containsText" text="Expresado">
      <formula>NOT(ISERROR(SEARCH("Expresado",I93)))</formula>
    </cfRule>
    <cfRule type="containsText" dxfId="8330" priority="13131" stopIfTrue="1" operator="containsText" text="Potencial">
      <formula>NOT(ISERROR(SEARCH("Potencial",I93)))</formula>
    </cfRule>
  </conditionalFormatting>
  <conditionalFormatting sqref="I98">
    <cfRule type="containsText" dxfId="8329" priority="8773" stopIfTrue="1" operator="containsText" text="Potencial">
      <formula>NOT(ISERROR(SEARCH("Potencial",I98)))</formula>
    </cfRule>
    <cfRule type="containsText" dxfId="8328" priority="8774" stopIfTrue="1" operator="containsText" text="Expresado">
      <formula>NOT(ISERROR(SEARCH("Expresado",I98)))</formula>
    </cfRule>
  </conditionalFormatting>
  <conditionalFormatting sqref="I99">
    <cfRule type="containsText" dxfId="8327" priority="12861" stopIfTrue="1" operator="containsText" text="Potencial">
      <formula>NOT(ISERROR(SEARCH("Potencial",I99)))</formula>
    </cfRule>
    <cfRule type="containsText" dxfId="8326" priority="12862" stopIfTrue="1" operator="containsText" text="Expresado">
      <formula>NOT(ISERROR(SEARCH("Expresado",I99)))</formula>
    </cfRule>
  </conditionalFormatting>
  <conditionalFormatting sqref="I100">
    <cfRule type="containsText" dxfId="8325" priority="12813" stopIfTrue="1" operator="containsText" text="Expresado">
      <formula>NOT(ISERROR(SEARCH("Expresado",I100)))</formula>
    </cfRule>
    <cfRule type="containsText" dxfId="8324" priority="12812" stopIfTrue="1" operator="containsText" text="Potencial">
      <formula>NOT(ISERROR(SEARCH("Potencial",I100)))</formula>
    </cfRule>
  </conditionalFormatting>
  <conditionalFormatting sqref="I101">
    <cfRule type="containsText" dxfId="8323" priority="12969" stopIfTrue="1" operator="containsText" text="Expresado">
      <formula>NOT(ISERROR(SEARCH("Expresado",I101)))</formula>
    </cfRule>
    <cfRule type="containsText" dxfId="8322" priority="12968" stopIfTrue="1" operator="containsText" text="Potencial">
      <formula>NOT(ISERROR(SEARCH("Potencial",I101)))</formula>
    </cfRule>
  </conditionalFormatting>
  <conditionalFormatting sqref="I102">
    <cfRule type="containsText" dxfId="8321" priority="12772" stopIfTrue="1" operator="containsText" text="Expresado">
      <formula>NOT(ISERROR(SEARCH("Expresado",I102)))</formula>
    </cfRule>
    <cfRule type="containsText" dxfId="8320" priority="12771" stopIfTrue="1" operator="containsText" text="Potencial">
      <formula>NOT(ISERROR(SEARCH("Potencial",I102)))</formula>
    </cfRule>
  </conditionalFormatting>
  <conditionalFormatting sqref="I103">
    <cfRule type="containsText" dxfId="8319" priority="12722" stopIfTrue="1" operator="containsText" text="Potencial">
      <formula>NOT(ISERROR(SEARCH("Potencial",I103)))</formula>
    </cfRule>
    <cfRule type="containsText" dxfId="8318" priority="12723" stopIfTrue="1" operator="containsText" text="Expresado">
      <formula>NOT(ISERROR(SEARCH("Expresado",I103)))</formula>
    </cfRule>
  </conditionalFormatting>
  <conditionalFormatting sqref="I107">
    <cfRule type="containsText" dxfId="8317" priority="12546" stopIfTrue="1" operator="containsText" text="Expresado">
      <formula>NOT(ISERROR(SEARCH("Expresado",I107)))</formula>
    </cfRule>
    <cfRule type="containsText" dxfId="8316" priority="12545" stopIfTrue="1" operator="containsText" text="Potencial">
      <formula>NOT(ISERROR(SEARCH("Potencial",I107)))</formula>
    </cfRule>
  </conditionalFormatting>
  <conditionalFormatting sqref="I108">
    <cfRule type="containsText" dxfId="8315" priority="12663" stopIfTrue="1" operator="containsText" text="Expresado">
      <formula>NOT(ISERROR(SEARCH("Expresado",I108)))</formula>
    </cfRule>
    <cfRule type="containsText" dxfId="8314" priority="12662" stopIfTrue="1" operator="containsText" text="Potencial">
      <formula>NOT(ISERROR(SEARCH("Potencial",I108)))</formula>
    </cfRule>
  </conditionalFormatting>
  <conditionalFormatting sqref="I109">
    <cfRule type="containsText" dxfId="8313" priority="12635" stopIfTrue="1" operator="containsText" text="Expresado">
      <formula>NOT(ISERROR(SEARCH("Expresado",I109)))</formula>
    </cfRule>
    <cfRule type="containsText" dxfId="8312" priority="12634" stopIfTrue="1" operator="containsText" text="Potencial">
      <formula>NOT(ISERROR(SEARCH("Potencial",I109)))</formula>
    </cfRule>
  </conditionalFormatting>
  <conditionalFormatting sqref="I110">
    <cfRule type="containsText" dxfId="8311" priority="12590" stopIfTrue="1" operator="containsText" text="Expresado">
      <formula>NOT(ISERROR(SEARCH("Expresado",I110)))</formula>
    </cfRule>
    <cfRule type="containsText" dxfId="8310" priority="12589" stopIfTrue="1" operator="containsText" text="Potencial">
      <formula>NOT(ISERROR(SEARCH("Potencial",I110)))</formula>
    </cfRule>
  </conditionalFormatting>
  <conditionalFormatting sqref="I111 K111:L111">
    <cfRule type="containsText" dxfId="8309" priority="12383" stopIfTrue="1" operator="containsText" text="Expresado">
      <formula>NOT(ISERROR(SEARCH("Expresado",I111)))</formula>
    </cfRule>
    <cfRule type="containsText" dxfId="8308" priority="12382" stopIfTrue="1" operator="containsText" text="Potencial">
      <formula>NOT(ISERROR(SEARCH("Potencial",I111)))</formula>
    </cfRule>
  </conditionalFormatting>
  <conditionalFormatting sqref="I112 K112:L112">
    <cfRule type="containsText" dxfId="8307" priority="12421" stopIfTrue="1" operator="containsText" text="Potencial">
      <formula>NOT(ISERROR(SEARCH("Potencial",I112)))</formula>
    </cfRule>
    <cfRule type="containsText" dxfId="8306" priority="12422" stopIfTrue="1" operator="containsText" text="Expresado">
      <formula>NOT(ISERROR(SEARCH("Expresado",I112)))</formula>
    </cfRule>
  </conditionalFormatting>
  <conditionalFormatting sqref="I116">
    <cfRule type="containsText" dxfId="8305" priority="12230" stopIfTrue="1" operator="containsText" text="Potencial">
      <formula>NOT(ISERROR(SEARCH("Potencial",I116)))</formula>
    </cfRule>
    <cfRule type="containsText" dxfId="8304" priority="12231" stopIfTrue="1" operator="containsText" text="Expresado">
      <formula>NOT(ISERROR(SEARCH("Expresado",I116)))</formula>
    </cfRule>
  </conditionalFormatting>
  <conditionalFormatting sqref="I118">
    <cfRule type="containsText" dxfId="8303" priority="8722" stopIfTrue="1" operator="containsText" text="Potencial">
      <formula>NOT(ISERROR(SEARCH("Potencial",I118)))</formula>
    </cfRule>
    <cfRule type="containsText" dxfId="8302" priority="8723" stopIfTrue="1" operator="containsText" text="Expresado">
      <formula>NOT(ISERROR(SEARCH("Expresado",I118)))</formula>
    </cfRule>
  </conditionalFormatting>
  <conditionalFormatting sqref="I119">
    <cfRule type="containsText" dxfId="8301" priority="12061" stopIfTrue="1" operator="containsText" text="Expresado">
      <formula>NOT(ISERROR(SEARCH("Expresado",I119)))</formula>
    </cfRule>
    <cfRule type="containsText" dxfId="8300" priority="12060" stopIfTrue="1" operator="containsText" text="Potencial">
      <formula>NOT(ISERROR(SEARCH("Potencial",I119)))</formula>
    </cfRule>
  </conditionalFormatting>
  <conditionalFormatting sqref="I120">
    <cfRule type="containsText" dxfId="8299" priority="12012" stopIfTrue="1" operator="containsText" text="Expresado">
      <formula>NOT(ISERROR(SEARCH("Expresado",I120)))</formula>
    </cfRule>
    <cfRule type="containsText" dxfId="8298" priority="12011" stopIfTrue="1" operator="containsText" text="Potencial">
      <formula>NOT(ISERROR(SEARCH("Potencial",I120)))</formula>
    </cfRule>
  </conditionalFormatting>
  <conditionalFormatting sqref="I121">
    <cfRule type="containsText" dxfId="8297" priority="12168" stopIfTrue="1" operator="containsText" text="Expresado">
      <formula>NOT(ISERROR(SEARCH("Expresado",I121)))</formula>
    </cfRule>
    <cfRule type="containsText" dxfId="8296" priority="12167" stopIfTrue="1" operator="containsText" text="Potencial">
      <formula>NOT(ISERROR(SEARCH("Potencial",I121)))</formula>
    </cfRule>
  </conditionalFormatting>
  <conditionalFormatting sqref="I122">
    <cfRule type="containsText" dxfId="8295" priority="11971" stopIfTrue="1" operator="containsText" text="Expresado">
      <formula>NOT(ISERROR(SEARCH("Expresado",I122)))</formula>
    </cfRule>
    <cfRule type="containsText" dxfId="8294" priority="11970" stopIfTrue="1" operator="containsText" text="Potencial">
      <formula>NOT(ISERROR(SEARCH("Potencial",I122)))</formula>
    </cfRule>
  </conditionalFormatting>
  <conditionalFormatting sqref="I123">
    <cfRule type="containsText" dxfId="8293" priority="11922" stopIfTrue="1" operator="containsText" text="Expresado">
      <formula>NOT(ISERROR(SEARCH("Expresado",I123)))</formula>
    </cfRule>
    <cfRule type="containsText" dxfId="8292" priority="11921" stopIfTrue="1" operator="containsText" text="Potencial">
      <formula>NOT(ISERROR(SEARCH("Potencial",I123)))</formula>
    </cfRule>
  </conditionalFormatting>
  <conditionalFormatting sqref="I127">
    <cfRule type="containsText" dxfId="8291" priority="11745" stopIfTrue="1" operator="containsText" text="Expresado">
      <formula>NOT(ISERROR(SEARCH("Expresado",I127)))</formula>
    </cfRule>
    <cfRule type="containsText" dxfId="8290" priority="11744" stopIfTrue="1" operator="containsText" text="Potencial">
      <formula>NOT(ISERROR(SEARCH("Potencial",I127)))</formula>
    </cfRule>
  </conditionalFormatting>
  <conditionalFormatting sqref="I128">
    <cfRule type="containsText" dxfId="8289" priority="11861" stopIfTrue="1" operator="containsText" text="Potencial">
      <formula>NOT(ISERROR(SEARCH("Potencial",I128)))</formula>
    </cfRule>
    <cfRule type="containsText" dxfId="8288" priority="11862" stopIfTrue="1" operator="containsText" text="Expresado">
      <formula>NOT(ISERROR(SEARCH("Expresado",I128)))</formula>
    </cfRule>
  </conditionalFormatting>
  <conditionalFormatting sqref="I129">
    <cfRule type="containsText" dxfId="8287" priority="11833" stopIfTrue="1" operator="containsText" text="Potencial">
      <formula>NOT(ISERROR(SEARCH("Potencial",I129)))</formula>
    </cfRule>
    <cfRule type="containsText" dxfId="8286" priority="11834" stopIfTrue="1" operator="containsText" text="Expresado">
      <formula>NOT(ISERROR(SEARCH("Expresado",I129)))</formula>
    </cfRule>
  </conditionalFormatting>
  <conditionalFormatting sqref="I130">
    <cfRule type="containsText" dxfId="8285" priority="11789" stopIfTrue="1" operator="containsText" text="Expresado">
      <formula>NOT(ISERROR(SEARCH("Expresado",I130)))</formula>
    </cfRule>
    <cfRule type="containsText" dxfId="8284" priority="11788" stopIfTrue="1" operator="containsText" text="Potencial">
      <formula>NOT(ISERROR(SEARCH("Potencial",I130)))</formula>
    </cfRule>
  </conditionalFormatting>
  <conditionalFormatting sqref="I131 K131:L131">
    <cfRule type="containsText" dxfId="8283" priority="11665" stopIfTrue="1" operator="containsText" text="Potencial">
      <formula>NOT(ISERROR(SEARCH("Potencial",I131)))</formula>
    </cfRule>
    <cfRule type="containsText" dxfId="8282" priority="11666" stopIfTrue="1" operator="containsText" text="Expresado">
      <formula>NOT(ISERROR(SEARCH("Expresado",I131)))</formula>
    </cfRule>
  </conditionalFormatting>
  <conditionalFormatting sqref="I137">
    <cfRule type="containsText" dxfId="8281" priority="11288" stopIfTrue="1" operator="containsText" text="Potencial">
      <formula>NOT(ISERROR(SEARCH("Potencial",I137)))</formula>
    </cfRule>
    <cfRule type="containsText" dxfId="8280" priority="11289" stopIfTrue="1" operator="containsText" text="Expresado">
      <formula>NOT(ISERROR(SEARCH("Expresado",I137)))</formula>
    </cfRule>
  </conditionalFormatting>
  <conditionalFormatting sqref="I138">
    <cfRule type="containsText" dxfId="8279" priority="11444" stopIfTrue="1" operator="containsText" text="Potencial">
      <formula>NOT(ISERROR(SEARCH("Potencial",I138)))</formula>
    </cfRule>
    <cfRule type="containsText" dxfId="8278" priority="11445" stopIfTrue="1" operator="containsText" text="Expresado">
      <formula>NOT(ISERROR(SEARCH("Expresado",I138)))</formula>
    </cfRule>
  </conditionalFormatting>
  <conditionalFormatting sqref="I139">
    <cfRule type="containsText" dxfId="8277" priority="11248" stopIfTrue="1" operator="containsText" text="Expresado">
      <formula>NOT(ISERROR(SEARCH("Expresado",I139)))</formula>
    </cfRule>
    <cfRule type="containsText" dxfId="8276" priority="11247" stopIfTrue="1" operator="containsText" text="Potencial">
      <formula>NOT(ISERROR(SEARCH("Potencial",I139)))</formula>
    </cfRule>
  </conditionalFormatting>
  <conditionalFormatting sqref="I140">
    <cfRule type="containsText" dxfId="8275" priority="11199" stopIfTrue="1" operator="containsText" text="Expresado">
      <formula>NOT(ISERROR(SEARCH("Expresado",I140)))</formula>
    </cfRule>
    <cfRule type="containsText" dxfId="8274" priority="11198" stopIfTrue="1" operator="containsText" text="Potencial">
      <formula>NOT(ISERROR(SEARCH("Potencial",I140)))</formula>
    </cfRule>
  </conditionalFormatting>
  <conditionalFormatting sqref="I144">
    <cfRule type="containsText" dxfId="8273" priority="11021" stopIfTrue="1" operator="containsText" text="Potencial">
      <formula>NOT(ISERROR(SEARCH("Potencial",I144)))</formula>
    </cfRule>
    <cfRule type="containsText" dxfId="8272" priority="11022" stopIfTrue="1" operator="containsText" text="Expresado">
      <formula>NOT(ISERROR(SEARCH("Expresado",I144)))</formula>
    </cfRule>
  </conditionalFormatting>
  <conditionalFormatting sqref="I145">
    <cfRule type="containsText" dxfId="8271" priority="11139" stopIfTrue="1" operator="containsText" text="Expresado">
      <formula>NOT(ISERROR(SEARCH("Expresado",I145)))</formula>
    </cfRule>
    <cfRule type="containsText" dxfId="8270" priority="11138" stopIfTrue="1" operator="containsText" text="Potencial">
      <formula>NOT(ISERROR(SEARCH("Potencial",I145)))</formula>
    </cfRule>
  </conditionalFormatting>
  <conditionalFormatting sqref="I146">
    <cfRule type="containsText" dxfId="8269" priority="11110" stopIfTrue="1" operator="containsText" text="Potencial">
      <formula>NOT(ISERROR(SEARCH("Potencial",I146)))</formula>
    </cfRule>
    <cfRule type="containsText" dxfId="8268" priority="11111" stopIfTrue="1" operator="containsText" text="Expresado">
      <formula>NOT(ISERROR(SEARCH("Expresado",I146)))</formula>
    </cfRule>
  </conditionalFormatting>
  <conditionalFormatting sqref="I147">
    <cfRule type="containsText" dxfId="8267" priority="11066" stopIfTrue="1" operator="containsText" text="Expresado">
      <formula>NOT(ISERROR(SEARCH("Expresado",I147)))</formula>
    </cfRule>
    <cfRule type="containsText" dxfId="8266" priority="11065" stopIfTrue="1" operator="containsText" text="Potencial">
      <formula>NOT(ISERROR(SEARCH("Potencial",I147)))</formula>
    </cfRule>
  </conditionalFormatting>
  <conditionalFormatting sqref="I148 K148:L148">
    <cfRule type="containsText" dxfId="8265" priority="10862" stopIfTrue="1" operator="containsText" text="Potencial">
      <formula>NOT(ISERROR(SEARCH("Potencial",I148)))</formula>
    </cfRule>
    <cfRule type="containsText" dxfId="8264" priority="10863" stopIfTrue="1" operator="containsText" text="Expresado">
      <formula>NOT(ISERROR(SEARCH("Expresado",I148)))</formula>
    </cfRule>
  </conditionalFormatting>
  <conditionalFormatting sqref="I149 K149:L149">
    <cfRule type="containsText" dxfId="8263" priority="10902" stopIfTrue="1" operator="containsText" text="Expresado">
      <formula>NOT(ISERROR(SEARCH("Expresado",I149)))</formula>
    </cfRule>
    <cfRule type="containsText" dxfId="8262" priority="10901" stopIfTrue="1" operator="containsText" text="Potencial">
      <formula>NOT(ISERROR(SEARCH("Potencial",I149)))</formula>
    </cfRule>
  </conditionalFormatting>
  <conditionalFormatting sqref="I153">
    <cfRule type="containsText" dxfId="8261" priority="10719" stopIfTrue="1" operator="containsText" text="Expresado">
      <formula>NOT(ISERROR(SEARCH("Expresado",I153)))</formula>
    </cfRule>
    <cfRule type="containsText" dxfId="8260" priority="10718" stopIfTrue="1" operator="containsText" text="Potencial">
      <formula>NOT(ISERROR(SEARCH("Potencial",I153)))</formula>
    </cfRule>
  </conditionalFormatting>
  <conditionalFormatting sqref="I156">
    <cfRule type="containsText" dxfId="8259" priority="10545" stopIfTrue="1" operator="containsText" text="Expresado">
      <formula>NOT(ISERROR(SEARCH("Expresado",I156)))</formula>
    </cfRule>
    <cfRule type="containsText" dxfId="8258" priority="10544" stopIfTrue="1" operator="containsText" text="Potencial">
      <formula>NOT(ISERROR(SEARCH("Potencial",I156)))</formula>
    </cfRule>
  </conditionalFormatting>
  <conditionalFormatting sqref="I157">
    <cfRule type="containsText" dxfId="8257" priority="10496" stopIfTrue="1" operator="containsText" text="Expresado">
      <formula>NOT(ISERROR(SEARCH("Expresado",I157)))</formula>
    </cfRule>
    <cfRule type="containsText" dxfId="8256" priority="10495" stopIfTrue="1" operator="containsText" text="Potencial">
      <formula>NOT(ISERROR(SEARCH("Potencial",I157)))</formula>
    </cfRule>
  </conditionalFormatting>
  <conditionalFormatting sqref="I158">
    <cfRule type="containsText" dxfId="8255" priority="10652" stopIfTrue="1" operator="containsText" text="Expresado">
      <formula>NOT(ISERROR(SEARCH("Expresado",I158)))</formula>
    </cfRule>
    <cfRule type="containsText" dxfId="8254" priority="10651" stopIfTrue="1" operator="containsText" text="Potencial">
      <formula>NOT(ISERROR(SEARCH("Potencial",I158)))</formula>
    </cfRule>
  </conditionalFormatting>
  <conditionalFormatting sqref="I159">
    <cfRule type="containsText" dxfId="8253" priority="10454" stopIfTrue="1" operator="containsText" text="Potencial">
      <formula>NOT(ISERROR(SEARCH("Potencial",I159)))</formula>
    </cfRule>
    <cfRule type="containsText" dxfId="8252" priority="10455" stopIfTrue="1" operator="containsText" text="Expresado">
      <formula>NOT(ISERROR(SEARCH("Expresado",I159)))</formula>
    </cfRule>
  </conditionalFormatting>
  <conditionalFormatting sqref="I160">
    <cfRule type="containsText" dxfId="8251" priority="10405" stopIfTrue="1" operator="containsText" text="Potencial">
      <formula>NOT(ISERROR(SEARCH("Potencial",I160)))</formula>
    </cfRule>
    <cfRule type="containsText" dxfId="8250" priority="10406" stopIfTrue="1" operator="containsText" text="Expresado">
      <formula>NOT(ISERROR(SEARCH("Expresado",I160)))</formula>
    </cfRule>
  </conditionalFormatting>
  <conditionalFormatting sqref="I164">
    <cfRule type="containsText" dxfId="8249" priority="10229" stopIfTrue="1" operator="containsText" text="Expresado">
      <formula>NOT(ISERROR(SEARCH("Expresado",I164)))</formula>
    </cfRule>
    <cfRule type="containsText" dxfId="8248" priority="10228" stopIfTrue="1" operator="containsText" text="Potencial">
      <formula>NOT(ISERROR(SEARCH("Potencial",I164)))</formula>
    </cfRule>
  </conditionalFormatting>
  <conditionalFormatting sqref="I165">
    <cfRule type="containsText" dxfId="8247" priority="10346" stopIfTrue="1" operator="containsText" text="Expresado">
      <formula>NOT(ISERROR(SEARCH("Expresado",I165)))</formula>
    </cfRule>
    <cfRule type="containsText" dxfId="8246" priority="10345" stopIfTrue="1" operator="containsText" text="Potencial">
      <formula>NOT(ISERROR(SEARCH("Potencial",I165)))</formula>
    </cfRule>
  </conditionalFormatting>
  <conditionalFormatting sqref="I166">
    <cfRule type="containsText" dxfId="8245" priority="10317" stopIfTrue="1" operator="containsText" text="Potencial">
      <formula>NOT(ISERROR(SEARCH("Potencial",I166)))</formula>
    </cfRule>
    <cfRule type="containsText" dxfId="8244" priority="10318" stopIfTrue="1" operator="containsText" text="Expresado">
      <formula>NOT(ISERROR(SEARCH("Expresado",I166)))</formula>
    </cfRule>
  </conditionalFormatting>
  <conditionalFormatting sqref="I167">
    <cfRule type="containsText" dxfId="8243" priority="10273" stopIfTrue="1" operator="containsText" text="Expresado">
      <formula>NOT(ISERROR(SEARCH("Expresado",I167)))</formula>
    </cfRule>
    <cfRule type="containsText" dxfId="8242" priority="10272" stopIfTrue="1" operator="containsText" text="Potencial">
      <formula>NOT(ISERROR(SEARCH("Potencial",I167)))</formula>
    </cfRule>
  </conditionalFormatting>
  <conditionalFormatting sqref="I168 K168:L168">
    <cfRule type="containsText" dxfId="8241" priority="9864" stopIfTrue="1" operator="containsText" text="Potencial">
      <formula>NOT(ISERROR(SEARCH("Potencial",I168)))</formula>
    </cfRule>
    <cfRule type="containsText" dxfId="8240" priority="9865" stopIfTrue="1" operator="containsText" text="Expresado">
      <formula>NOT(ISERROR(SEARCH("Expresado",I168)))</formula>
    </cfRule>
  </conditionalFormatting>
  <conditionalFormatting sqref="I173 I155 I136">
    <cfRule type="containsText" dxfId="8239" priority="8672" stopIfTrue="1" operator="containsText" text="Expresado">
      <formula>NOT(ISERROR(SEARCH("Expresado",I136)))</formula>
    </cfRule>
    <cfRule type="containsText" dxfId="8238" priority="8671" stopIfTrue="1" operator="containsText" text="Potencial">
      <formula>NOT(ISERROR(SEARCH("Potencial",I136)))</formula>
    </cfRule>
  </conditionalFormatting>
  <conditionalFormatting sqref="I174">
    <cfRule type="containsText" dxfId="8237" priority="9704" stopIfTrue="1" operator="containsText" text="Potencial">
      <formula>NOT(ISERROR(SEARCH("Potencial",I174)))</formula>
    </cfRule>
    <cfRule type="containsText" dxfId="8236" priority="9705" stopIfTrue="1" operator="containsText" text="Expresado">
      <formula>NOT(ISERROR(SEARCH("Expresado",I174)))</formula>
    </cfRule>
  </conditionalFormatting>
  <conditionalFormatting sqref="I175">
    <cfRule type="containsText" dxfId="8235" priority="9656" stopIfTrue="1" operator="containsText" text="Expresado">
      <formula>NOT(ISERROR(SEARCH("Expresado",I175)))</formula>
    </cfRule>
    <cfRule type="containsText" dxfId="8234" priority="9655" stopIfTrue="1" operator="containsText" text="Potencial">
      <formula>NOT(ISERROR(SEARCH("Potencial",I175)))</formula>
    </cfRule>
  </conditionalFormatting>
  <conditionalFormatting sqref="I176">
    <cfRule type="containsText" dxfId="8233" priority="9811" stopIfTrue="1" operator="containsText" text="Potencial">
      <formula>NOT(ISERROR(SEARCH("Potencial",I176)))</formula>
    </cfRule>
    <cfRule type="containsText" dxfId="8232" priority="9812" stopIfTrue="1" operator="containsText" text="Expresado">
      <formula>NOT(ISERROR(SEARCH("Expresado",I176)))</formula>
    </cfRule>
  </conditionalFormatting>
  <conditionalFormatting sqref="I177">
    <cfRule type="containsText" dxfId="8231" priority="9615" stopIfTrue="1" operator="containsText" text="Expresado">
      <formula>NOT(ISERROR(SEARCH("Expresado",I177)))</formula>
    </cfRule>
    <cfRule type="containsText" dxfId="8230" priority="9614" stopIfTrue="1" operator="containsText" text="Potencial">
      <formula>NOT(ISERROR(SEARCH("Potencial",I177)))</formula>
    </cfRule>
  </conditionalFormatting>
  <conditionalFormatting sqref="I178">
    <cfRule type="containsText" dxfId="8229" priority="9566" stopIfTrue="1" operator="containsText" text="Expresado">
      <formula>NOT(ISERROR(SEARCH("Expresado",I178)))</formula>
    </cfRule>
    <cfRule type="containsText" dxfId="8228" priority="9565" stopIfTrue="1" operator="containsText" text="Potencial">
      <formula>NOT(ISERROR(SEARCH("Potencial",I178)))</formula>
    </cfRule>
  </conditionalFormatting>
  <conditionalFormatting sqref="I182">
    <cfRule type="containsText" dxfId="8227" priority="9388" stopIfTrue="1" operator="containsText" text="Potencial">
      <formula>NOT(ISERROR(SEARCH("Potencial",I182)))</formula>
    </cfRule>
    <cfRule type="containsText" dxfId="8226" priority="9389" stopIfTrue="1" operator="containsText" text="Expresado">
      <formula>NOT(ISERROR(SEARCH("Expresado",I182)))</formula>
    </cfRule>
  </conditionalFormatting>
  <conditionalFormatting sqref="I183">
    <cfRule type="containsText" dxfId="8225" priority="9505" stopIfTrue="1" operator="containsText" text="Potencial">
      <formula>NOT(ISERROR(SEARCH("Potencial",I183)))</formula>
    </cfRule>
    <cfRule type="containsText" dxfId="8224" priority="9506" stopIfTrue="1" operator="containsText" text="Expresado">
      <formula>NOT(ISERROR(SEARCH("Expresado",I183)))</formula>
    </cfRule>
  </conditionalFormatting>
  <conditionalFormatting sqref="I184">
    <cfRule type="containsText" dxfId="8223" priority="9478" stopIfTrue="1" operator="containsText" text="Expresado">
      <formula>NOT(ISERROR(SEARCH("Expresado",I184)))</formula>
    </cfRule>
    <cfRule type="containsText" dxfId="8222" priority="9477" stopIfTrue="1" operator="containsText" text="Potencial">
      <formula>NOT(ISERROR(SEARCH("Potencial",I184)))</formula>
    </cfRule>
  </conditionalFormatting>
  <conditionalFormatting sqref="I185">
    <cfRule type="containsText" dxfId="8221" priority="9433" stopIfTrue="1" operator="containsText" text="Expresado">
      <formula>NOT(ISERROR(SEARCH("Expresado",I185)))</formula>
    </cfRule>
    <cfRule type="containsText" dxfId="8220" priority="9432" stopIfTrue="1" operator="containsText" text="Potencial">
      <formula>NOT(ISERROR(SEARCH("Potencial",I185)))</formula>
    </cfRule>
  </conditionalFormatting>
  <conditionalFormatting sqref="I186 K186:L186">
    <cfRule type="containsText" dxfId="8219" priority="9150" stopIfTrue="1" operator="containsText" text="Expresado">
      <formula>NOT(ISERROR(SEARCH("Expresado",I186)))</formula>
    </cfRule>
    <cfRule type="containsText" dxfId="8218" priority="9149" stopIfTrue="1" operator="containsText" text="Potencial">
      <formula>NOT(ISERROR(SEARCH("Potencial",I186)))</formula>
    </cfRule>
  </conditionalFormatting>
  <conditionalFormatting sqref="I190">
    <cfRule type="containsText" dxfId="8217" priority="9130" stopIfTrue="1" operator="containsText" text="Potencial">
      <formula>NOT(ISERROR(SEARCH("Potencial",I190)))</formula>
    </cfRule>
    <cfRule type="containsText" dxfId="8216" priority="9131" stopIfTrue="1" operator="containsText" text="Expresado">
      <formula>NOT(ISERROR(SEARCH("Expresado",I190)))</formula>
    </cfRule>
  </conditionalFormatting>
  <conditionalFormatting sqref="I200">
    <cfRule type="containsText" dxfId="8215" priority="8535" stopIfTrue="1" operator="containsText" text="Expresado">
      <formula>NOT(ISERROR(SEARCH("Expresado",I200)))</formula>
    </cfRule>
    <cfRule type="containsText" dxfId="8214" priority="8534" stopIfTrue="1" operator="containsText" text="Potencial">
      <formula>NOT(ISERROR(SEARCH("Potencial",I200)))</formula>
    </cfRule>
  </conditionalFormatting>
  <conditionalFormatting sqref="I201">
    <cfRule type="containsText" dxfId="8213" priority="8130" stopIfTrue="1" operator="containsText" text="Potencial">
      <formula>NOT(ISERROR(SEARCH("Potencial",I201)))</formula>
    </cfRule>
    <cfRule type="containsText" dxfId="8212" priority="8131" stopIfTrue="1" operator="containsText" text="Expresado">
      <formula>NOT(ISERROR(SEARCH("Expresado",I201)))</formula>
    </cfRule>
  </conditionalFormatting>
  <conditionalFormatting sqref="I202">
    <cfRule type="containsText" dxfId="8211" priority="8095" stopIfTrue="1" operator="containsText" text="Expresado">
      <formula>NOT(ISERROR(SEARCH("Expresado",I202)))</formula>
    </cfRule>
    <cfRule type="containsText" dxfId="8210" priority="8094" stopIfTrue="1" operator="containsText" text="Potencial">
      <formula>NOT(ISERROR(SEARCH("Potencial",I202)))</formula>
    </cfRule>
  </conditionalFormatting>
  <conditionalFormatting sqref="I203">
    <cfRule type="containsText" dxfId="8209" priority="8487" stopIfTrue="1" operator="containsText" text="Potencial">
      <formula>NOT(ISERROR(SEARCH("Potencial",I203)))</formula>
    </cfRule>
    <cfRule type="containsText" dxfId="8208" priority="8488" stopIfTrue="1" operator="containsText" text="Expresado">
      <formula>NOT(ISERROR(SEARCH("Expresado",I203)))</formula>
    </cfRule>
  </conditionalFormatting>
  <conditionalFormatting sqref="I204">
    <cfRule type="containsText" dxfId="8207" priority="8595" stopIfTrue="1" operator="containsText" text="Expresado">
      <formula>NOT(ISERROR(SEARCH("Expresado",I204)))</formula>
    </cfRule>
    <cfRule type="containsText" dxfId="8206" priority="8594" stopIfTrue="1" operator="containsText" text="Potencial">
      <formula>NOT(ISERROR(SEARCH("Potencial",I204)))</formula>
    </cfRule>
  </conditionalFormatting>
  <conditionalFormatting sqref="I205">
    <cfRule type="containsText" dxfId="8205" priority="8443" stopIfTrue="1" operator="containsText" text="Expresado">
      <formula>NOT(ISERROR(SEARCH("Expresado",I205)))</formula>
    </cfRule>
    <cfRule type="containsText" dxfId="8204" priority="8442" stopIfTrue="1" operator="containsText" text="Potencial">
      <formula>NOT(ISERROR(SEARCH("Potencial",I205)))</formula>
    </cfRule>
  </conditionalFormatting>
  <conditionalFormatting sqref="I211">
    <cfRule type="containsText" dxfId="8203" priority="8404" stopIfTrue="1" operator="containsText" text="Potencial">
      <formula>NOT(ISERROR(SEARCH("Potencial",I211)))</formula>
    </cfRule>
    <cfRule type="containsText" dxfId="8202" priority="8405" stopIfTrue="1" operator="containsText" text="Expresado">
      <formula>NOT(ISERROR(SEARCH("Expresado",I211)))</formula>
    </cfRule>
  </conditionalFormatting>
  <conditionalFormatting sqref="I212">
    <cfRule type="containsText" dxfId="8201" priority="8231" stopIfTrue="1" operator="containsText" text="Expresado">
      <formula>NOT(ISERROR(SEARCH("Expresado",I212)))</formula>
    </cfRule>
    <cfRule type="containsText" dxfId="8200" priority="8230" stopIfTrue="1" operator="containsText" text="Potencial">
      <formula>NOT(ISERROR(SEARCH("Potencial",I212)))</formula>
    </cfRule>
  </conditionalFormatting>
  <conditionalFormatting sqref="I213">
    <cfRule type="containsText" dxfId="8199" priority="8009" stopIfTrue="1" operator="containsText" text="Expresado">
      <formula>NOT(ISERROR(SEARCH("Expresado",I213)))</formula>
    </cfRule>
    <cfRule type="containsText" dxfId="8198" priority="8008" stopIfTrue="1" operator="containsText" text="Potencial">
      <formula>NOT(ISERROR(SEARCH("Potencial",I213)))</formula>
    </cfRule>
  </conditionalFormatting>
  <conditionalFormatting sqref="I214">
    <cfRule type="containsText" dxfId="8197" priority="7567" stopIfTrue="1" operator="containsText" text="Potencial">
      <formula>NOT(ISERROR(SEARCH("Potencial",I214)))</formula>
    </cfRule>
    <cfRule type="containsText" dxfId="8196" priority="7568" stopIfTrue="1" operator="containsText" text="Expresado">
      <formula>NOT(ISERROR(SEARCH("Expresado",I214)))</formula>
    </cfRule>
  </conditionalFormatting>
  <conditionalFormatting sqref="I215">
    <cfRule type="containsText" dxfId="8195" priority="7531" stopIfTrue="1" operator="containsText" text="Potencial">
      <formula>NOT(ISERROR(SEARCH("Potencial",I215)))</formula>
    </cfRule>
    <cfRule type="containsText" dxfId="8194" priority="7532" stopIfTrue="1" operator="containsText" text="Expresado">
      <formula>NOT(ISERROR(SEARCH("Expresado",I215)))</formula>
    </cfRule>
  </conditionalFormatting>
  <conditionalFormatting sqref="I216">
    <cfRule type="containsText" dxfId="8193" priority="7961" stopIfTrue="1" operator="containsText" text="Potencial">
      <formula>NOT(ISERROR(SEARCH("Potencial",I216)))</formula>
    </cfRule>
    <cfRule type="containsText" dxfId="8192" priority="7962" stopIfTrue="1" operator="containsText" text="Expresado">
      <formula>NOT(ISERROR(SEARCH("Expresado",I216)))</formula>
    </cfRule>
  </conditionalFormatting>
  <conditionalFormatting sqref="I217">
    <cfRule type="containsText" dxfId="8191" priority="8054" stopIfTrue="1" operator="containsText" text="Expresado">
      <formula>NOT(ISERROR(SEARCH("Expresado",I217)))</formula>
    </cfRule>
    <cfRule type="containsText" dxfId="8190" priority="8053" stopIfTrue="1" operator="containsText" text="Potencial">
      <formula>NOT(ISERROR(SEARCH("Potencial",I217)))</formula>
    </cfRule>
  </conditionalFormatting>
  <conditionalFormatting sqref="I218">
    <cfRule type="containsText" dxfId="8189" priority="7917" stopIfTrue="1" operator="containsText" text="Expresado">
      <formula>NOT(ISERROR(SEARCH("Expresado",I218)))</formula>
    </cfRule>
    <cfRule type="containsText" dxfId="8188" priority="7916" stopIfTrue="1" operator="containsText" text="Potencial">
      <formula>NOT(ISERROR(SEARCH("Potencial",I218)))</formula>
    </cfRule>
  </conditionalFormatting>
  <conditionalFormatting sqref="I226">
    <cfRule type="containsText" dxfId="8187" priority="7879" stopIfTrue="1" operator="containsText" text="Expresado">
      <formula>NOT(ISERROR(SEARCH("Expresado",I226)))</formula>
    </cfRule>
    <cfRule type="containsText" dxfId="8186" priority="7878" stopIfTrue="1" operator="containsText" text="Potencial">
      <formula>NOT(ISERROR(SEARCH("Potencial",I226)))</formula>
    </cfRule>
  </conditionalFormatting>
  <conditionalFormatting sqref="I227">
    <cfRule type="containsText" dxfId="8185" priority="7652" stopIfTrue="1" operator="containsText" text="Potencial">
      <formula>NOT(ISERROR(SEARCH("Potencial",I227)))</formula>
    </cfRule>
    <cfRule type="containsText" dxfId="8184" priority="7653" stopIfTrue="1" operator="containsText" text="Expresado">
      <formula>NOT(ISERROR(SEARCH("Expresado",I227)))</formula>
    </cfRule>
  </conditionalFormatting>
  <conditionalFormatting sqref="I229">
    <cfRule type="containsText" dxfId="8183" priority="7404" stopIfTrue="1" operator="containsText" text="Potencial">
      <formula>NOT(ISERROR(SEARCH("Potencial",I229)))</formula>
    </cfRule>
    <cfRule type="containsText" dxfId="8182" priority="7405" stopIfTrue="1" operator="containsText" text="Expresado">
      <formula>NOT(ISERROR(SEARCH("Expresado",I229)))</formula>
    </cfRule>
  </conditionalFormatting>
  <conditionalFormatting sqref="I230">
    <cfRule type="containsText" dxfId="8181" priority="6964" stopIfTrue="1" operator="containsText" text="Expresado">
      <formula>NOT(ISERROR(SEARCH("Expresado",I230)))</formula>
    </cfRule>
    <cfRule type="containsText" dxfId="8180" priority="6963" stopIfTrue="1" operator="containsText" text="Potencial">
      <formula>NOT(ISERROR(SEARCH("Potencial",I230)))</formula>
    </cfRule>
  </conditionalFormatting>
  <conditionalFormatting sqref="I231">
    <cfRule type="containsText" dxfId="8179" priority="6932" stopIfTrue="1" operator="containsText" text="Expresado">
      <formula>NOT(ISERROR(SEARCH("Expresado",I231)))</formula>
    </cfRule>
    <cfRule type="containsText" dxfId="8178" priority="6931" stopIfTrue="1" operator="containsText" text="Potencial">
      <formula>NOT(ISERROR(SEARCH("Potencial",I231)))</formula>
    </cfRule>
  </conditionalFormatting>
  <conditionalFormatting sqref="I232">
    <cfRule type="containsText" dxfId="8177" priority="7357" stopIfTrue="1" operator="containsText" text="Potencial">
      <formula>NOT(ISERROR(SEARCH("Potencial",I232)))</formula>
    </cfRule>
    <cfRule type="containsText" dxfId="8176" priority="7358" stopIfTrue="1" operator="containsText" text="Expresado">
      <formula>NOT(ISERROR(SEARCH("Expresado",I232)))</formula>
    </cfRule>
  </conditionalFormatting>
  <conditionalFormatting sqref="I233">
    <cfRule type="containsText" dxfId="8175" priority="7464" stopIfTrue="1" operator="containsText" text="Potencial">
      <formula>NOT(ISERROR(SEARCH("Potencial",I233)))</formula>
    </cfRule>
    <cfRule type="containsText" dxfId="8174" priority="7465" stopIfTrue="1" operator="containsText" text="Expresado">
      <formula>NOT(ISERROR(SEARCH("Expresado",I233)))</formula>
    </cfRule>
  </conditionalFormatting>
  <conditionalFormatting sqref="I234">
    <cfRule type="containsText" dxfId="8173" priority="7312" stopIfTrue="1" operator="containsText" text="Potencial">
      <formula>NOT(ISERROR(SEARCH("Potencial",I234)))</formula>
    </cfRule>
    <cfRule type="containsText" dxfId="8172" priority="7313" stopIfTrue="1" operator="containsText" text="Expresado">
      <formula>NOT(ISERROR(SEARCH("Expresado",I234)))</formula>
    </cfRule>
  </conditionalFormatting>
  <conditionalFormatting sqref="I241">
    <cfRule type="containsText" dxfId="8171" priority="7275" stopIfTrue="1" operator="containsText" text="Expresado">
      <formula>NOT(ISERROR(SEARCH("Expresado",I241)))</formula>
    </cfRule>
    <cfRule type="containsText" dxfId="8170" priority="7274" stopIfTrue="1" operator="containsText" text="Potencial">
      <formula>NOT(ISERROR(SEARCH("Potencial",I241)))</formula>
    </cfRule>
  </conditionalFormatting>
  <conditionalFormatting sqref="I242">
    <cfRule type="containsText" dxfId="8169" priority="7049" stopIfTrue="1" operator="containsText" text="Expresado">
      <formula>NOT(ISERROR(SEARCH("Expresado",I242)))</formula>
    </cfRule>
    <cfRule type="containsText" dxfId="8168" priority="7048" stopIfTrue="1" operator="containsText" text="Potencial">
      <formula>NOT(ISERROR(SEARCH("Potencial",I242)))</formula>
    </cfRule>
  </conditionalFormatting>
  <conditionalFormatting sqref="I244">
    <cfRule type="containsText" dxfId="8167" priority="6800" stopIfTrue="1" operator="containsText" text="Potencial">
      <formula>NOT(ISERROR(SEARCH("Potencial",I244)))</formula>
    </cfRule>
    <cfRule type="containsText" dxfId="8166" priority="6801" stopIfTrue="1" operator="containsText" text="Expresado">
      <formula>NOT(ISERROR(SEARCH("Expresado",I244)))</formula>
    </cfRule>
  </conditionalFormatting>
  <conditionalFormatting sqref="I245">
    <cfRule type="containsText" dxfId="8165" priority="6359" stopIfTrue="1" operator="containsText" text="Potencial">
      <formula>NOT(ISERROR(SEARCH("Potencial",I245)))</formula>
    </cfRule>
    <cfRule type="containsText" dxfId="8164" priority="6360" stopIfTrue="1" operator="containsText" text="Expresado">
      <formula>NOT(ISERROR(SEARCH("Expresado",I245)))</formula>
    </cfRule>
  </conditionalFormatting>
  <conditionalFormatting sqref="I246">
    <cfRule type="containsText" dxfId="8163" priority="6327" stopIfTrue="1" operator="containsText" text="Potencial">
      <formula>NOT(ISERROR(SEARCH("Potencial",I246)))</formula>
    </cfRule>
    <cfRule type="containsText" dxfId="8162" priority="6328" stopIfTrue="1" operator="containsText" text="Expresado">
      <formula>NOT(ISERROR(SEARCH("Expresado",I246)))</formula>
    </cfRule>
  </conditionalFormatting>
  <conditionalFormatting sqref="I247">
    <cfRule type="containsText" dxfId="8161" priority="6753" stopIfTrue="1" operator="containsText" text="Potencial">
      <formula>NOT(ISERROR(SEARCH("Potencial",I247)))</formula>
    </cfRule>
    <cfRule type="containsText" dxfId="8160" priority="6754" stopIfTrue="1" operator="containsText" text="Expresado">
      <formula>NOT(ISERROR(SEARCH("Expresado",I247)))</formula>
    </cfRule>
  </conditionalFormatting>
  <conditionalFormatting sqref="I248">
    <cfRule type="containsText" dxfId="8159" priority="6860" stopIfTrue="1" operator="containsText" text="Potencial">
      <formula>NOT(ISERROR(SEARCH("Potencial",I248)))</formula>
    </cfRule>
    <cfRule type="containsText" dxfId="8158" priority="6861" stopIfTrue="1" operator="containsText" text="Expresado">
      <formula>NOT(ISERROR(SEARCH("Expresado",I248)))</formula>
    </cfRule>
  </conditionalFormatting>
  <conditionalFormatting sqref="I249">
    <cfRule type="containsText" dxfId="8157" priority="6709" stopIfTrue="1" operator="containsText" text="Expresado">
      <formula>NOT(ISERROR(SEARCH("Expresado",I249)))</formula>
    </cfRule>
    <cfRule type="containsText" dxfId="8156" priority="6708" stopIfTrue="1" operator="containsText" text="Potencial">
      <formula>NOT(ISERROR(SEARCH("Potencial",I249)))</formula>
    </cfRule>
  </conditionalFormatting>
  <conditionalFormatting sqref="I256">
    <cfRule type="containsText" dxfId="8155" priority="6671" stopIfTrue="1" operator="containsText" text="Expresado">
      <formula>NOT(ISERROR(SEARCH("Expresado",I256)))</formula>
    </cfRule>
    <cfRule type="containsText" dxfId="8154" priority="6670" stopIfTrue="1" operator="containsText" text="Potencial">
      <formula>NOT(ISERROR(SEARCH("Potencial",I256)))</formula>
    </cfRule>
  </conditionalFormatting>
  <conditionalFormatting sqref="I257">
    <cfRule type="containsText" dxfId="8153" priority="6444" stopIfTrue="1" operator="containsText" text="Potencial">
      <formula>NOT(ISERROR(SEARCH("Potencial",I257)))</formula>
    </cfRule>
    <cfRule type="containsText" dxfId="8152" priority="6445" stopIfTrue="1" operator="containsText" text="Expresado">
      <formula>NOT(ISERROR(SEARCH("Expresado",I257)))</formula>
    </cfRule>
  </conditionalFormatting>
  <conditionalFormatting sqref="I258">
    <cfRule type="containsText" dxfId="8151" priority="6225" stopIfTrue="1" operator="containsText" text="Expresado">
      <formula>NOT(ISERROR(SEARCH("Expresado",I258)))</formula>
    </cfRule>
    <cfRule type="containsText" dxfId="8150" priority="6224" stopIfTrue="1" operator="containsText" text="Potencial">
      <formula>NOT(ISERROR(SEARCH("Potencial",I258)))</formula>
    </cfRule>
  </conditionalFormatting>
  <conditionalFormatting sqref="I259">
    <cfRule type="containsText" dxfId="8149" priority="5868" stopIfTrue="1" operator="containsText" text="Expresado">
      <formula>NOT(ISERROR(SEARCH("Expresado",I259)))</formula>
    </cfRule>
    <cfRule type="containsText" dxfId="8148" priority="5867" stopIfTrue="1" operator="containsText" text="Potencial">
      <formula>NOT(ISERROR(SEARCH("Potencial",I259)))</formula>
    </cfRule>
  </conditionalFormatting>
  <conditionalFormatting sqref="I260">
    <cfRule type="containsText" dxfId="8147" priority="5836" stopIfTrue="1" operator="containsText" text="Expresado">
      <formula>NOT(ISERROR(SEARCH("Expresado",I260)))</formula>
    </cfRule>
    <cfRule type="containsText" dxfId="8146" priority="5835" stopIfTrue="1" operator="containsText" text="Potencial">
      <formula>NOT(ISERROR(SEARCH("Potencial",I260)))</formula>
    </cfRule>
  </conditionalFormatting>
  <conditionalFormatting sqref="I261">
    <cfRule type="containsText" dxfId="8145" priority="6178" stopIfTrue="1" operator="containsText" text="Expresado">
      <formula>NOT(ISERROR(SEARCH("Expresado",I261)))</formula>
    </cfRule>
    <cfRule type="containsText" dxfId="8144" priority="6177" stopIfTrue="1" operator="containsText" text="Potencial">
      <formula>NOT(ISERROR(SEARCH("Potencial",I261)))</formula>
    </cfRule>
  </conditionalFormatting>
  <conditionalFormatting sqref="I262">
    <cfRule type="containsText" dxfId="8143" priority="6269" stopIfTrue="1" operator="containsText" text="Potencial">
      <formula>NOT(ISERROR(SEARCH("Potencial",I262)))</formula>
    </cfRule>
    <cfRule type="containsText" dxfId="8142" priority="6270" stopIfTrue="1" operator="containsText" text="Expresado">
      <formula>NOT(ISERROR(SEARCH("Expresado",I262)))</formula>
    </cfRule>
  </conditionalFormatting>
  <conditionalFormatting sqref="I263">
    <cfRule type="containsText" dxfId="8141" priority="6132" stopIfTrue="1" operator="containsText" text="Potencial">
      <formula>NOT(ISERROR(SEARCH("Potencial",I263)))</formula>
    </cfRule>
    <cfRule type="containsText" dxfId="8140" priority="6133" stopIfTrue="1" operator="containsText" text="Expresado">
      <formula>NOT(ISERROR(SEARCH("Expresado",I263)))</formula>
    </cfRule>
  </conditionalFormatting>
  <conditionalFormatting sqref="I268">
    <cfRule type="containsText" dxfId="8139" priority="6094" stopIfTrue="1" operator="containsText" text="Potencial">
      <formula>NOT(ISERROR(SEARCH("Potencial",I268)))</formula>
    </cfRule>
    <cfRule type="containsText" dxfId="8138" priority="6095" stopIfTrue="1" operator="containsText" text="Expresado">
      <formula>NOT(ISERROR(SEARCH("Expresado",I268)))</formula>
    </cfRule>
  </conditionalFormatting>
  <conditionalFormatting sqref="I269">
    <cfRule type="containsText" dxfId="8137" priority="5908" stopIfTrue="1" operator="containsText" text="Expresado">
      <formula>NOT(ISERROR(SEARCH("Expresado",I269)))</formula>
    </cfRule>
    <cfRule type="containsText" dxfId="8136" priority="5907" stopIfTrue="1" operator="containsText" text="Potencial">
      <formula>NOT(ISERROR(SEARCH("Potencial",I269)))</formula>
    </cfRule>
  </conditionalFormatting>
  <conditionalFormatting sqref="I270">
    <cfRule type="containsText" dxfId="8135" priority="5745" stopIfTrue="1" operator="containsText" text="Potencial">
      <formula>NOT(ISERROR(SEARCH("Potencial",I270)))</formula>
    </cfRule>
    <cfRule type="containsText" dxfId="8134" priority="5746" stopIfTrue="1" operator="containsText" text="Expresado">
      <formula>NOT(ISERROR(SEARCH("Expresado",I270)))</formula>
    </cfRule>
  </conditionalFormatting>
  <conditionalFormatting sqref="I271">
    <cfRule type="containsText" dxfId="8133" priority="5305" stopIfTrue="1" operator="containsText" text="Expresado">
      <formula>NOT(ISERROR(SEARCH("Expresado",I271)))</formula>
    </cfRule>
    <cfRule type="containsText" dxfId="8132" priority="5304" stopIfTrue="1" operator="containsText" text="Potencial">
      <formula>NOT(ISERROR(SEARCH("Potencial",I271)))</formula>
    </cfRule>
  </conditionalFormatting>
  <conditionalFormatting sqref="I272">
    <cfRule type="containsText" dxfId="8131" priority="5273" stopIfTrue="1" operator="containsText" text="Expresado">
      <formula>NOT(ISERROR(SEARCH("Expresado",I272)))</formula>
    </cfRule>
    <cfRule type="containsText" dxfId="8130" priority="5272" stopIfTrue="1" operator="containsText" text="Potencial">
      <formula>NOT(ISERROR(SEARCH("Potencial",I272)))</formula>
    </cfRule>
  </conditionalFormatting>
  <conditionalFormatting sqref="I273">
    <cfRule type="containsText" dxfId="8129" priority="5698" stopIfTrue="1" operator="containsText" text="Potencial">
      <formula>NOT(ISERROR(SEARCH("Potencial",I273)))</formula>
    </cfRule>
    <cfRule type="containsText" dxfId="8128" priority="5699" stopIfTrue="1" operator="containsText" text="Expresado">
      <formula>NOT(ISERROR(SEARCH("Expresado",I273)))</formula>
    </cfRule>
  </conditionalFormatting>
  <conditionalFormatting sqref="I274">
    <cfRule type="containsText" dxfId="8127" priority="5790" stopIfTrue="1" operator="containsText" text="Potencial">
      <formula>NOT(ISERROR(SEARCH("Potencial",I274)))</formula>
    </cfRule>
    <cfRule type="containsText" dxfId="8126" priority="5791" stopIfTrue="1" operator="containsText" text="Expresado">
      <formula>NOT(ISERROR(SEARCH("Expresado",I274)))</formula>
    </cfRule>
  </conditionalFormatting>
  <conditionalFormatting sqref="I275">
    <cfRule type="containsText" dxfId="8125" priority="5654" stopIfTrue="1" operator="containsText" text="Expresado">
      <formula>NOT(ISERROR(SEARCH("Expresado",I275)))</formula>
    </cfRule>
    <cfRule type="containsText" dxfId="8124" priority="5653" stopIfTrue="1" operator="containsText" text="Potencial">
      <formula>NOT(ISERROR(SEARCH("Potencial",I275)))</formula>
    </cfRule>
  </conditionalFormatting>
  <conditionalFormatting sqref="I282">
    <cfRule type="containsText" dxfId="8123" priority="5616" stopIfTrue="1" operator="containsText" text="Expresado">
      <formula>NOT(ISERROR(SEARCH("Expresado",I282)))</formula>
    </cfRule>
    <cfRule type="containsText" dxfId="8122" priority="5615" stopIfTrue="1" operator="containsText" text="Potencial">
      <formula>NOT(ISERROR(SEARCH("Potencial",I282)))</formula>
    </cfRule>
  </conditionalFormatting>
  <conditionalFormatting sqref="I283">
    <cfRule type="containsText" dxfId="8121" priority="5390" stopIfTrue="1" operator="containsText" text="Expresado">
      <formula>NOT(ISERROR(SEARCH("Expresado",I283)))</formula>
    </cfRule>
    <cfRule type="containsText" dxfId="8120" priority="5389" stopIfTrue="1" operator="containsText" text="Potencial">
      <formula>NOT(ISERROR(SEARCH("Potencial",I283)))</formula>
    </cfRule>
  </conditionalFormatting>
  <conditionalFormatting sqref="I284">
    <cfRule type="containsText" dxfId="8119" priority="5183" stopIfTrue="1" operator="containsText" text="Expresado">
      <formula>NOT(ISERROR(SEARCH("Expresado",I284)))</formula>
    </cfRule>
    <cfRule type="containsText" dxfId="8118" priority="5182" stopIfTrue="1" operator="containsText" text="Potencial">
      <formula>NOT(ISERROR(SEARCH("Potencial",I284)))</formula>
    </cfRule>
  </conditionalFormatting>
  <conditionalFormatting sqref="I285">
    <cfRule type="containsText" dxfId="8117" priority="4741" stopIfTrue="1" operator="containsText" text="Potencial">
      <formula>NOT(ISERROR(SEARCH("Potencial",I285)))</formula>
    </cfRule>
    <cfRule type="containsText" dxfId="8116" priority="4742" stopIfTrue="1" operator="containsText" text="Expresado">
      <formula>NOT(ISERROR(SEARCH("Expresado",I285)))</formula>
    </cfRule>
  </conditionalFormatting>
  <conditionalFormatting sqref="I286">
    <cfRule type="containsText" dxfId="8115" priority="4710" stopIfTrue="1" operator="containsText" text="Expresado">
      <formula>NOT(ISERROR(SEARCH("Expresado",I286)))</formula>
    </cfRule>
    <cfRule type="containsText" dxfId="8114" priority="4709" stopIfTrue="1" operator="containsText" text="Potencial">
      <formula>NOT(ISERROR(SEARCH("Potencial",I286)))</formula>
    </cfRule>
  </conditionalFormatting>
  <conditionalFormatting sqref="I287">
    <cfRule type="containsText" dxfId="8113" priority="5135" stopIfTrue="1" operator="containsText" text="Potencial">
      <formula>NOT(ISERROR(SEARCH("Potencial",I287)))</formula>
    </cfRule>
    <cfRule type="containsText" dxfId="8112" priority="5136" stopIfTrue="1" operator="containsText" text="Expresado">
      <formula>NOT(ISERROR(SEARCH("Expresado",I287)))</formula>
    </cfRule>
  </conditionalFormatting>
  <conditionalFormatting sqref="I288">
    <cfRule type="containsText" dxfId="8111" priority="5227" stopIfTrue="1" operator="containsText" text="Potencial">
      <formula>NOT(ISERROR(SEARCH("Potencial",I288)))</formula>
    </cfRule>
    <cfRule type="containsText" dxfId="8110" priority="5228" stopIfTrue="1" operator="containsText" text="Expresado">
      <formula>NOT(ISERROR(SEARCH("Expresado",I288)))</formula>
    </cfRule>
  </conditionalFormatting>
  <conditionalFormatting sqref="I289">
    <cfRule type="containsText" dxfId="8109" priority="5091" stopIfTrue="1" operator="containsText" text="Expresado">
      <formula>NOT(ISERROR(SEARCH("Expresado",I289)))</formula>
    </cfRule>
    <cfRule type="containsText" dxfId="8108" priority="5090" stopIfTrue="1" operator="containsText" text="Potencial">
      <formula>NOT(ISERROR(SEARCH("Potencial",I289)))</formula>
    </cfRule>
  </conditionalFormatting>
  <conditionalFormatting sqref="I296">
    <cfRule type="containsText" dxfId="8107" priority="5053" stopIfTrue="1" operator="containsText" text="Expresado">
      <formula>NOT(ISERROR(SEARCH("Expresado",I296)))</formula>
    </cfRule>
    <cfRule type="containsText" dxfId="8106" priority="5052" stopIfTrue="1" operator="containsText" text="Potencial">
      <formula>NOT(ISERROR(SEARCH("Potencial",I296)))</formula>
    </cfRule>
  </conditionalFormatting>
  <conditionalFormatting sqref="I297">
    <cfRule type="containsText" dxfId="8105" priority="4827" stopIfTrue="1" operator="containsText" text="Expresado">
      <formula>NOT(ISERROR(SEARCH("Expresado",I297)))</formula>
    </cfRule>
    <cfRule type="containsText" dxfId="8104" priority="4826" stopIfTrue="1" operator="containsText" text="Potencial">
      <formula>NOT(ISERROR(SEARCH("Potencial",I297)))</formula>
    </cfRule>
  </conditionalFormatting>
  <conditionalFormatting sqref="I298">
    <cfRule type="containsText" dxfId="8103" priority="4619" stopIfTrue="1" operator="containsText" text="Potencial">
      <formula>NOT(ISERROR(SEARCH("Potencial",I298)))</formula>
    </cfRule>
    <cfRule type="containsText" dxfId="8102" priority="4620" stopIfTrue="1" operator="containsText" text="Expresado">
      <formula>NOT(ISERROR(SEARCH("Expresado",I298)))</formula>
    </cfRule>
  </conditionalFormatting>
  <conditionalFormatting sqref="I299">
    <cfRule type="containsText" dxfId="8101" priority="4179" stopIfTrue="1" operator="containsText" text="Expresado">
      <formula>NOT(ISERROR(SEARCH("Expresado",I299)))</formula>
    </cfRule>
    <cfRule type="containsText" dxfId="8100" priority="4178" stopIfTrue="1" operator="containsText" text="Potencial">
      <formula>NOT(ISERROR(SEARCH("Potencial",I299)))</formula>
    </cfRule>
  </conditionalFormatting>
  <conditionalFormatting sqref="I300">
    <cfRule type="containsText" dxfId="8099" priority="4147" stopIfTrue="1" operator="containsText" text="Expresado">
      <formula>NOT(ISERROR(SEARCH("Expresado",I300)))</formula>
    </cfRule>
    <cfRule type="containsText" dxfId="8098" priority="4146" stopIfTrue="1" operator="containsText" text="Potencial">
      <formula>NOT(ISERROR(SEARCH("Potencial",I300)))</formula>
    </cfRule>
  </conditionalFormatting>
  <conditionalFormatting sqref="I301">
    <cfRule type="containsText" dxfId="8097" priority="4572" stopIfTrue="1" operator="containsText" text="Potencial">
      <formula>NOT(ISERROR(SEARCH("Potencial",I301)))</formula>
    </cfRule>
    <cfRule type="containsText" dxfId="8096" priority="4573" stopIfTrue="1" operator="containsText" text="Expresado">
      <formula>NOT(ISERROR(SEARCH("Expresado",I301)))</formula>
    </cfRule>
  </conditionalFormatting>
  <conditionalFormatting sqref="I302">
    <cfRule type="containsText" dxfId="8095" priority="4664" stopIfTrue="1" operator="containsText" text="Potencial">
      <formula>NOT(ISERROR(SEARCH("Potencial",I302)))</formula>
    </cfRule>
    <cfRule type="containsText" dxfId="8094" priority="4665" stopIfTrue="1" operator="containsText" text="Expresado">
      <formula>NOT(ISERROR(SEARCH("Expresado",I302)))</formula>
    </cfRule>
  </conditionalFormatting>
  <conditionalFormatting sqref="I303">
    <cfRule type="containsText" dxfId="8093" priority="4528" stopIfTrue="1" operator="containsText" text="Expresado">
      <formula>NOT(ISERROR(SEARCH("Expresado",I303)))</formula>
    </cfRule>
    <cfRule type="containsText" dxfId="8092" priority="4527" stopIfTrue="1" operator="containsText" text="Potencial">
      <formula>NOT(ISERROR(SEARCH("Potencial",I303)))</formula>
    </cfRule>
  </conditionalFormatting>
  <conditionalFormatting sqref="I310">
    <cfRule type="containsText" dxfId="8091" priority="4490" stopIfTrue="1" operator="containsText" text="Expresado">
      <formula>NOT(ISERROR(SEARCH("Expresado",I310)))</formula>
    </cfRule>
    <cfRule type="containsText" dxfId="8090" priority="4489" stopIfTrue="1" operator="containsText" text="Potencial">
      <formula>NOT(ISERROR(SEARCH("Potencial",I310)))</formula>
    </cfRule>
  </conditionalFormatting>
  <conditionalFormatting sqref="I311">
    <cfRule type="containsText" dxfId="8089" priority="4264" stopIfTrue="1" operator="containsText" text="Expresado">
      <formula>NOT(ISERROR(SEARCH("Expresado",I311)))</formula>
    </cfRule>
    <cfRule type="containsText" dxfId="8088" priority="4263" stopIfTrue="1" operator="containsText" text="Potencial">
      <formula>NOT(ISERROR(SEARCH("Potencial",I311)))</formula>
    </cfRule>
  </conditionalFormatting>
  <conditionalFormatting sqref="I312">
    <cfRule type="containsText" dxfId="8087" priority="4047" stopIfTrue="1" operator="containsText" text="Potencial">
      <formula>NOT(ISERROR(SEARCH("Potencial",I312)))</formula>
    </cfRule>
    <cfRule type="containsText" dxfId="8086" priority="4048" stopIfTrue="1" operator="containsText" text="Expresado">
      <formula>NOT(ISERROR(SEARCH("Expresado",I312)))</formula>
    </cfRule>
  </conditionalFormatting>
  <conditionalFormatting sqref="I313">
    <cfRule type="containsText" dxfId="8085" priority="3730" stopIfTrue="1" operator="containsText" text="Potencial">
      <formula>NOT(ISERROR(SEARCH("Potencial",I313)))</formula>
    </cfRule>
    <cfRule type="containsText" dxfId="8084" priority="3731" stopIfTrue="1" operator="containsText" text="Expresado">
      <formula>NOT(ISERROR(SEARCH("Expresado",I313)))</formula>
    </cfRule>
  </conditionalFormatting>
  <conditionalFormatting sqref="I314">
    <cfRule type="containsText" dxfId="8083" priority="3694" stopIfTrue="1" operator="containsText" text="Potencial">
      <formula>NOT(ISERROR(SEARCH("Potencial",I314)))</formula>
    </cfRule>
    <cfRule type="containsText" dxfId="8082" priority="3695" stopIfTrue="1" operator="containsText" text="Expresado">
      <formula>NOT(ISERROR(SEARCH("Expresado",I314)))</formula>
    </cfRule>
  </conditionalFormatting>
  <conditionalFormatting sqref="I315">
    <cfRule type="containsText" dxfId="8081" priority="4004" stopIfTrue="1" operator="containsText" text="Potencial">
      <formula>NOT(ISERROR(SEARCH("Potencial",I315)))</formula>
    </cfRule>
    <cfRule type="containsText" dxfId="8080" priority="4005" stopIfTrue="1" operator="containsText" text="Expresado">
      <formula>NOT(ISERROR(SEARCH("Expresado",I315)))</formula>
    </cfRule>
  </conditionalFormatting>
  <conditionalFormatting sqref="I316">
    <cfRule type="containsText" dxfId="8079" priority="4088" stopIfTrue="1" operator="containsText" text="Potencial">
      <formula>NOT(ISERROR(SEARCH("Potencial",I316)))</formula>
    </cfRule>
    <cfRule type="containsText" dxfId="8078" priority="4089" stopIfTrue="1" operator="containsText" text="Expresado">
      <formula>NOT(ISERROR(SEARCH("Expresado",I316)))</formula>
    </cfRule>
  </conditionalFormatting>
  <conditionalFormatting sqref="I317">
    <cfRule type="containsText" dxfId="8077" priority="3964" stopIfTrue="1" operator="containsText" text="Expresado">
      <formula>NOT(ISERROR(SEARCH("Expresado",I317)))</formula>
    </cfRule>
    <cfRule type="containsText" dxfId="8076" priority="3963" stopIfTrue="1" operator="containsText" text="Potencial">
      <formula>NOT(ISERROR(SEARCH("Potencial",I317)))</formula>
    </cfRule>
  </conditionalFormatting>
  <conditionalFormatting sqref="I322">
    <cfRule type="containsText" dxfId="8075" priority="3933" stopIfTrue="1" operator="containsText" text="Potencial">
      <formula>NOT(ISERROR(SEARCH("Potencial",I322)))</formula>
    </cfRule>
    <cfRule type="containsText" dxfId="8074" priority="3934" stopIfTrue="1" operator="containsText" text="Expresado">
      <formula>NOT(ISERROR(SEARCH("Expresado",I322)))</formula>
    </cfRule>
  </conditionalFormatting>
  <conditionalFormatting sqref="I323">
    <cfRule type="containsText" dxfId="8073" priority="3762" stopIfTrue="1" operator="containsText" text="Potencial">
      <formula>NOT(ISERROR(SEARCH("Potencial",I323)))</formula>
    </cfRule>
    <cfRule type="containsText" dxfId="8072" priority="3763" stopIfTrue="1" operator="containsText" text="Expresado">
      <formula>NOT(ISERROR(SEARCH("Expresado",I323)))</formula>
    </cfRule>
  </conditionalFormatting>
  <conditionalFormatting sqref="I324">
    <cfRule type="containsText" dxfId="8071" priority="3609" stopIfTrue="1" operator="containsText" text="Expresado">
      <formula>NOT(ISERROR(SEARCH("Expresado",I324)))</formula>
    </cfRule>
    <cfRule type="containsText" dxfId="8070" priority="3608" stopIfTrue="1" operator="containsText" text="Potencial">
      <formula>NOT(ISERROR(SEARCH("Potencial",I324)))</formula>
    </cfRule>
  </conditionalFormatting>
  <conditionalFormatting sqref="I325">
    <cfRule type="containsText" dxfId="8069" priority="3168" stopIfTrue="1" operator="containsText" text="Expresado">
      <formula>NOT(ISERROR(SEARCH("Expresado",I325)))</formula>
    </cfRule>
    <cfRule type="containsText" dxfId="8068" priority="3167" stopIfTrue="1" operator="containsText" text="Potencial">
      <formula>NOT(ISERROR(SEARCH("Potencial",I325)))</formula>
    </cfRule>
  </conditionalFormatting>
  <conditionalFormatting sqref="I326">
    <cfRule type="containsText" dxfId="8067" priority="3131" stopIfTrue="1" operator="containsText" text="Potencial">
      <formula>NOT(ISERROR(SEARCH("Potencial",I326)))</formula>
    </cfRule>
    <cfRule type="containsText" dxfId="8066" priority="3132" stopIfTrue="1" operator="containsText" text="Expresado">
      <formula>NOT(ISERROR(SEARCH("Expresado",I326)))</formula>
    </cfRule>
  </conditionalFormatting>
  <conditionalFormatting sqref="I327">
    <cfRule type="containsText" dxfId="8065" priority="3562" stopIfTrue="1" operator="containsText" text="Expresado">
      <formula>NOT(ISERROR(SEARCH("Expresado",I327)))</formula>
    </cfRule>
    <cfRule type="containsText" dxfId="8064" priority="3561" stopIfTrue="1" operator="containsText" text="Potencial">
      <formula>NOT(ISERROR(SEARCH("Potencial",I327)))</formula>
    </cfRule>
  </conditionalFormatting>
  <conditionalFormatting sqref="I328">
    <cfRule type="containsText" dxfId="8063" priority="3653" stopIfTrue="1" operator="containsText" text="Potencial">
      <formula>NOT(ISERROR(SEARCH("Potencial",I328)))</formula>
    </cfRule>
    <cfRule type="containsText" dxfId="8062" priority="3654" stopIfTrue="1" operator="containsText" text="Expresado">
      <formula>NOT(ISERROR(SEARCH("Expresado",I328)))</formula>
    </cfRule>
  </conditionalFormatting>
  <conditionalFormatting sqref="I329">
    <cfRule type="containsText" dxfId="8061" priority="3517" stopIfTrue="1" operator="containsText" text="Expresado">
      <formula>NOT(ISERROR(SEARCH("Expresado",I329)))</formula>
    </cfRule>
    <cfRule type="containsText" dxfId="8060" priority="3516" stopIfTrue="1" operator="containsText" text="Potencial">
      <formula>NOT(ISERROR(SEARCH("Potencial",I329)))</formula>
    </cfRule>
  </conditionalFormatting>
  <conditionalFormatting sqref="I336">
    <cfRule type="containsText" dxfId="8059" priority="3478" stopIfTrue="1" operator="containsText" text="Potencial">
      <formula>NOT(ISERROR(SEARCH("Potencial",I336)))</formula>
    </cfRule>
    <cfRule type="containsText" dxfId="8058" priority="3479" stopIfTrue="1" operator="containsText" text="Expresado">
      <formula>NOT(ISERROR(SEARCH("Expresado",I336)))</formula>
    </cfRule>
  </conditionalFormatting>
  <conditionalFormatting sqref="I337">
    <cfRule type="containsText" dxfId="8057" priority="3253" stopIfTrue="1" operator="containsText" text="Expresado">
      <formula>NOT(ISERROR(SEARCH("Expresado",I337)))</formula>
    </cfRule>
    <cfRule type="containsText" dxfId="8056" priority="3252" stopIfTrue="1" operator="containsText" text="Potencial">
      <formula>NOT(ISERROR(SEARCH("Potencial",I337)))</formula>
    </cfRule>
  </conditionalFormatting>
  <conditionalFormatting sqref="I338">
    <cfRule type="containsText" dxfId="8055" priority="3045" stopIfTrue="1" operator="containsText" text="Potencial">
      <formula>NOT(ISERROR(SEARCH("Potencial",I338)))</formula>
    </cfRule>
    <cfRule type="containsText" dxfId="8054" priority="3046" stopIfTrue="1" operator="containsText" text="Expresado">
      <formula>NOT(ISERROR(SEARCH("Expresado",I338)))</formula>
    </cfRule>
  </conditionalFormatting>
  <conditionalFormatting sqref="I339">
    <cfRule type="containsText" dxfId="8053" priority="2604" stopIfTrue="1" operator="containsText" text="Potencial">
      <formula>NOT(ISERROR(SEARCH("Potencial",I339)))</formula>
    </cfRule>
    <cfRule type="containsText" dxfId="8052" priority="2605" stopIfTrue="1" operator="containsText" text="Expresado">
      <formula>NOT(ISERROR(SEARCH("Expresado",I339)))</formula>
    </cfRule>
  </conditionalFormatting>
  <conditionalFormatting sqref="I340">
    <cfRule type="containsText" dxfId="8051" priority="2568" stopIfTrue="1" operator="containsText" text="Potencial">
      <formula>NOT(ISERROR(SEARCH("Potencial",I340)))</formula>
    </cfRule>
    <cfRule type="containsText" dxfId="8050" priority="2569" stopIfTrue="1" operator="containsText" text="Expresado">
      <formula>NOT(ISERROR(SEARCH("Expresado",I340)))</formula>
    </cfRule>
  </conditionalFormatting>
  <conditionalFormatting sqref="I341">
    <cfRule type="containsText" dxfId="8049" priority="2998" stopIfTrue="1" operator="containsText" text="Potencial">
      <formula>NOT(ISERROR(SEARCH("Potencial",I341)))</formula>
    </cfRule>
    <cfRule type="containsText" dxfId="8048" priority="2999" stopIfTrue="1" operator="containsText" text="Expresado">
      <formula>NOT(ISERROR(SEARCH("Expresado",I341)))</formula>
    </cfRule>
  </conditionalFormatting>
  <conditionalFormatting sqref="I342">
    <cfRule type="containsText" dxfId="8047" priority="3091" stopIfTrue="1" operator="containsText" text="Expresado">
      <formula>NOT(ISERROR(SEARCH("Expresado",I342)))</formula>
    </cfRule>
    <cfRule type="containsText" dxfId="8046" priority="3090" stopIfTrue="1" operator="containsText" text="Potencial">
      <formula>NOT(ISERROR(SEARCH("Potencial",I342)))</formula>
    </cfRule>
  </conditionalFormatting>
  <conditionalFormatting sqref="I343">
    <cfRule type="containsText" dxfId="8045" priority="2953" stopIfTrue="1" operator="containsText" text="Potencial">
      <formula>NOT(ISERROR(SEARCH("Potencial",I343)))</formula>
    </cfRule>
    <cfRule type="containsText" dxfId="8044" priority="2954" stopIfTrue="1" operator="containsText" text="Expresado">
      <formula>NOT(ISERROR(SEARCH("Expresado",I343)))</formula>
    </cfRule>
  </conditionalFormatting>
  <conditionalFormatting sqref="I350">
    <cfRule type="containsText" dxfId="8043" priority="2915" stopIfTrue="1" operator="containsText" text="Potencial">
      <formula>NOT(ISERROR(SEARCH("Potencial",I350)))</formula>
    </cfRule>
    <cfRule type="containsText" dxfId="8042" priority="2916" stopIfTrue="1" operator="containsText" text="Expresado">
      <formula>NOT(ISERROR(SEARCH("Expresado",I350)))</formula>
    </cfRule>
  </conditionalFormatting>
  <conditionalFormatting sqref="I351">
    <cfRule type="containsText" dxfId="8041" priority="2689" stopIfTrue="1" operator="containsText" text="Potencial">
      <formula>NOT(ISERROR(SEARCH("Potencial",I351)))</formula>
    </cfRule>
    <cfRule type="containsText" dxfId="8040" priority="2690" stopIfTrue="1" operator="containsText" text="Expresado">
      <formula>NOT(ISERROR(SEARCH("Expresado",I351)))</formula>
    </cfRule>
  </conditionalFormatting>
  <conditionalFormatting sqref="I352">
    <cfRule type="containsText" dxfId="8039" priority="2466" stopIfTrue="1" operator="containsText" text="Expresado">
      <formula>NOT(ISERROR(SEARCH("Expresado",I352)))</formula>
    </cfRule>
    <cfRule type="containsText" dxfId="8038" priority="2465" stopIfTrue="1" operator="containsText" text="Potencial">
      <formula>NOT(ISERROR(SEARCH("Potencial",I352)))</formula>
    </cfRule>
  </conditionalFormatting>
  <conditionalFormatting sqref="I353">
    <cfRule type="containsText" dxfId="8037" priority="2120" stopIfTrue="1" operator="containsText" text="Expresado">
      <formula>NOT(ISERROR(SEARCH("Expresado",I353)))</formula>
    </cfRule>
    <cfRule type="containsText" dxfId="8036" priority="2119" stopIfTrue="1" operator="containsText" text="Potencial">
      <formula>NOT(ISERROR(SEARCH("Potencial",I353)))</formula>
    </cfRule>
  </conditionalFormatting>
  <conditionalFormatting sqref="I354">
    <cfRule type="containsText" dxfId="8035" priority="2145" stopIfTrue="1" operator="containsText" text="Potencial">
      <formula>NOT(ISERROR(SEARCH("Potencial",I354)))</formula>
    </cfRule>
    <cfRule type="containsText" dxfId="8034" priority="2146" stopIfTrue="1" operator="containsText" text="Expresado">
      <formula>NOT(ISERROR(SEARCH("Expresado",I354)))</formula>
    </cfRule>
  </conditionalFormatting>
  <conditionalFormatting sqref="I355">
    <cfRule type="containsText" dxfId="8033" priority="2036" stopIfTrue="1" operator="containsText" text="Expresado">
      <formula>NOT(ISERROR(SEARCH("Expresado",I355)))</formula>
    </cfRule>
    <cfRule type="containsText" dxfId="8032" priority="2035" stopIfTrue="1" operator="containsText" text="Potencial">
      <formula>NOT(ISERROR(SEARCH("Potencial",I355)))</formula>
    </cfRule>
  </conditionalFormatting>
  <conditionalFormatting sqref="I356">
    <cfRule type="containsText" dxfId="8031" priority="2419" stopIfTrue="1" operator="containsText" text="Expresado">
      <formula>NOT(ISERROR(SEARCH("Expresado",I356)))</formula>
    </cfRule>
    <cfRule type="containsText" dxfId="8030" priority="2418" stopIfTrue="1" operator="containsText" text="Potencial">
      <formula>NOT(ISERROR(SEARCH("Potencial",I356)))</formula>
    </cfRule>
  </conditionalFormatting>
  <conditionalFormatting sqref="I357">
    <cfRule type="containsText" dxfId="8029" priority="2511" stopIfTrue="1" operator="containsText" text="Expresado">
      <formula>NOT(ISERROR(SEARCH("Expresado",I357)))</formula>
    </cfRule>
    <cfRule type="containsText" dxfId="8028" priority="2510" stopIfTrue="1" operator="containsText" text="Potencial">
      <formula>NOT(ISERROR(SEARCH("Potencial",I357)))</formula>
    </cfRule>
  </conditionalFormatting>
  <conditionalFormatting sqref="I358">
    <cfRule type="containsText" dxfId="8027" priority="2373" stopIfTrue="1" operator="containsText" text="Potencial">
      <formula>NOT(ISERROR(SEARCH("Potencial",I358)))</formula>
    </cfRule>
    <cfRule type="containsText" dxfId="8026" priority="2374" stopIfTrue="1" operator="containsText" text="Expresado">
      <formula>NOT(ISERROR(SEARCH("Expresado",I358)))</formula>
    </cfRule>
  </conditionalFormatting>
  <conditionalFormatting sqref="I363">
    <cfRule type="containsText" dxfId="8025" priority="2336" stopIfTrue="1" operator="containsText" text="Expresado">
      <formula>NOT(ISERROR(SEARCH("Expresado",I363)))</formula>
    </cfRule>
    <cfRule type="containsText" dxfId="8024" priority="2335" stopIfTrue="1" operator="containsText" text="Potencial">
      <formula>NOT(ISERROR(SEARCH("Potencial",I363)))</formula>
    </cfRule>
  </conditionalFormatting>
  <conditionalFormatting sqref="I364:I365">
    <cfRule type="containsText" dxfId="8023" priority="2185" stopIfTrue="1" operator="containsText" text="Potencial">
      <formula>NOT(ISERROR(SEARCH("Potencial",I364)))</formula>
    </cfRule>
    <cfRule type="containsText" dxfId="8022" priority="2186" stopIfTrue="1" operator="containsText" text="Expresado">
      <formula>NOT(ISERROR(SEARCH("Expresado",I364)))</formula>
    </cfRule>
  </conditionalFormatting>
  <conditionalFormatting sqref="I366">
    <cfRule type="containsText" dxfId="8021" priority="1937" stopIfTrue="1" operator="containsText" text="Expresado">
      <formula>NOT(ISERROR(SEARCH("Expresado",I366)))</formula>
    </cfRule>
    <cfRule type="containsText" dxfId="8020" priority="1936" stopIfTrue="1" operator="containsText" text="Potencial">
      <formula>NOT(ISERROR(SEARCH("Potencial",I366)))</formula>
    </cfRule>
  </conditionalFormatting>
  <conditionalFormatting sqref="I367">
    <cfRule type="containsText" dxfId="8019" priority="1580" stopIfTrue="1" operator="containsText" text="Expresado">
      <formula>NOT(ISERROR(SEARCH("Expresado",I367)))</formula>
    </cfRule>
    <cfRule type="containsText" dxfId="8018" priority="1579" stopIfTrue="1" operator="containsText" text="Potencial">
      <formula>NOT(ISERROR(SEARCH("Potencial",I367)))</formula>
    </cfRule>
  </conditionalFormatting>
  <conditionalFormatting sqref="I368">
    <cfRule type="containsText" dxfId="8017" priority="1548" stopIfTrue="1" operator="containsText" text="Expresado">
      <formula>NOT(ISERROR(SEARCH("Expresado",I368)))</formula>
    </cfRule>
    <cfRule type="containsText" dxfId="8016" priority="1547" stopIfTrue="1" operator="containsText" text="Potencial">
      <formula>NOT(ISERROR(SEARCH("Potencial",I368)))</formula>
    </cfRule>
  </conditionalFormatting>
  <conditionalFormatting sqref="I369">
    <cfRule type="containsText" dxfId="8015" priority="1889" stopIfTrue="1" operator="containsText" text="Potencial">
      <formula>NOT(ISERROR(SEARCH("Potencial",I369)))</formula>
    </cfRule>
    <cfRule type="containsText" dxfId="8014" priority="1890" stopIfTrue="1" operator="containsText" text="Expresado">
      <formula>NOT(ISERROR(SEARCH("Expresado",I369)))</formula>
    </cfRule>
  </conditionalFormatting>
  <conditionalFormatting sqref="I370">
    <cfRule type="containsText" dxfId="8013" priority="1982" stopIfTrue="1" operator="containsText" text="Expresado">
      <formula>NOT(ISERROR(SEARCH("Expresado",I370)))</formula>
    </cfRule>
    <cfRule type="containsText" dxfId="8012" priority="1981" stopIfTrue="1" operator="containsText" text="Potencial">
      <formula>NOT(ISERROR(SEARCH("Potencial",I370)))</formula>
    </cfRule>
  </conditionalFormatting>
  <conditionalFormatting sqref="I371">
    <cfRule type="containsText" dxfId="8011" priority="1844" stopIfTrue="1" operator="containsText" text="Potencial">
      <formula>NOT(ISERROR(SEARCH("Potencial",I371)))</formula>
    </cfRule>
    <cfRule type="containsText" dxfId="8010" priority="1845" stopIfTrue="1" operator="containsText" text="Expresado">
      <formula>NOT(ISERROR(SEARCH("Expresado",I371)))</formula>
    </cfRule>
  </conditionalFormatting>
  <conditionalFormatting sqref="I376">
    <cfRule type="containsText" dxfId="8009" priority="1807" stopIfTrue="1" operator="containsText" text="Expresado">
      <formula>NOT(ISERROR(SEARCH("Expresado",I376)))</formula>
    </cfRule>
    <cfRule type="containsText" dxfId="8008" priority="1806" stopIfTrue="1" operator="containsText" text="Potencial">
      <formula>NOT(ISERROR(SEARCH("Potencial",I376)))</formula>
    </cfRule>
  </conditionalFormatting>
  <conditionalFormatting sqref="I377">
    <cfRule type="containsText" dxfId="8007" priority="1619" stopIfTrue="1" operator="containsText" text="Potencial">
      <formula>NOT(ISERROR(SEARCH("Potencial",I377)))</formula>
    </cfRule>
    <cfRule type="containsText" dxfId="8006" priority="1620" stopIfTrue="1" operator="containsText" text="Expresado">
      <formula>NOT(ISERROR(SEARCH("Expresado",I377)))</formula>
    </cfRule>
  </conditionalFormatting>
  <conditionalFormatting sqref="I378">
    <cfRule type="containsText" dxfId="8005" priority="1186" stopIfTrue="1" operator="containsText" text="Potencial">
      <formula>NOT(ISERROR(SEARCH("Potencial",I378)))</formula>
    </cfRule>
    <cfRule type="containsText" dxfId="8004" priority="1187" stopIfTrue="1" operator="containsText" text="Expresado">
      <formula>NOT(ISERROR(SEARCH("Expresado",I378)))</formula>
    </cfRule>
  </conditionalFormatting>
  <conditionalFormatting sqref="I379">
    <cfRule type="containsText" dxfId="8003" priority="1151" stopIfTrue="1" operator="containsText" text="Expresado">
      <formula>NOT(ISERROR(SEARCH("Expresado",I379)))</formula>
    </cfRule>
    <cfRule type="containsText" dxfId="8002" priority="1150" stopIfTrue="1" operator="containsText" text="Potencial">
      <formula>NOT(ISERROR(SEARCH("Potencial",I379)))</formula>
    </cfRule>
  </conditionalFormatting>
  <conditionalFormatting sqref="I380">
    <cfRule type="containsText" dxfId="8001" priority="1453" stopIfTrue="1" operator="containsText" text="Potencial">
      <formula>NOT(ISERROR(SEARCH("Potencial",I380)))</formula>
    </cfRule>
    <cfRule type="containsText" dxfId="8000" priority="1454" stopIfTrue="1" operator="containsText" text="Expresado">
      <formula>NOT(ISERROR(SEARCH("Expresado",I380)))</formula>
    </cfRule>
  </conditionalFormatting>
  <conditionalFormatting sqref="I381">
    <cfRule type="containsText" dxfId="7999" priority="1498" stopIfTrue="1" operator="containsText" text="Potencial">
      <formula>NOT(ISERROR(SEARCH("Potencial",I381)))</formula>
    </cfRule>
    <cfRule type="containsText" dxfId="7998" priority="1499" stopIfTrue="1" operator="containsText" text="Expresado">
      <formula>NOT(ISERROR(SEARCH("Expresado",I381)))</formula>
    </cfRule>
  </conditionalFormatting>
  <conditionalFormatting sqref="I386">
    <cfRule type="containsText" dxfId="7997" priority="1416" stopIfTrue="1" operator="containsText" text="Expresado">
      <formula>NOT(ISERROR(SEARCH("Expresado",I386)))</formula>
    </cfRule>
    <cfRule type="containsText" dxfId="7996" priority="1415" stopIfTrue="1" operator="containsText" text="Potencial">
      <formula>NOT(ISERROR(SEARCH("Potencial",I386)))</formula>
    </cfRule>
  </conditionalFormatting>
  <conditionalFormatting sqref="I387">
    <cfRule type="containsText" dxfId="7995" priority="1226" stopIfTrue="1" operator="containsText" text="Potencial">
      <formula>NOT(ISERROR(SEARCH("Potencial",I387)))</formula>
    </cfRule>
    <cfRule type="containsText" dxfId="7994" priority="1227" stopIfTrue="1" operator="containsText" text="Expresado">
      <formula>NOT(ISERROR(SEARCH("Expresado",I387)))</formula>
    </cfRule>
  </conditionalFormatting>
  <conditionalFormatting sqref="I388">
    <cfRule type="containsText" dxfId="7993" priority="1051" stopIfTrue="1" operator="containsText" text="Potencial">
      <formula>NOT(ISERROR(SEARCH("Potencial",I388)))</formula>
    </cfRule>
    <cfRule type="containsText" dxfId="7992" priority="1052" stopIfTrue="1" operator="containsText" text="Expresado">
      <formula>NOT(ISERROR(SEARCH("Expresado",I388)))</formula>
    </cfRule>
  </conditionalFormatting>
  <conditionalFormatting sqref="I389">
    <cfRule type="containsText" dxfId="7991" priority="694" stopIfTrue="1" operator="containsText" text="Potencial">
      <formula>NOT(ISERROR(SEARCH("Potencial",I389)))</formula>
    </cfRule>
    <cfRule type="containsText" dxfId="7990" priority="695" stopIfTrue="1" operator="containsText" text="Expresado">
      <formula>NOT(ISERROR(SEARCH("Expresado",I389)))</formula>
    </cfRule>
  </conditionalFormatting>
  <conditionalFormatting sqref="I390">
    <cfRule type="containsText" dxfId="7989" priority="663" stopIfTrue="1" operator="containsText" text="Expresado">
      <formula>NOT(ISERROR(SEARCH("Expresado",I390)))</formula>
    </cfRule>
    <cfRule type="containsText" dxfId="7988" priority="662" stopIfTrue="1" operator="containsText" text="Potencial">
      <formula>NOT(ISERROR(SEARCH("Potencial",I390)))</formula>
    </cfRule>
  </conditionalFormatting>
  <conditionalFormatting sqref="I391">
    <cfRule type="containsText" dxfId="7987" priority="1004" stopIfTrue="1" operator="containsText" text="Potencial">
      <formula>NOT(ISERROR(SEARCH("Potencial",I391)))</formula>
    </cfRule>
    <cfRule type="containsText" dxfId="7986" priority="1005" stopIfTrue="1" operator="containsText" text="Expresado">
      <formula>NOT(ISERROR(SEARCH("Expresado",I391)))</formula>
    </cfRule>
  </conditionalFormatting>
  <conditionalFormatting sqref="I392">
    <cfRule type="containsText" dxfId="7985" priority="1096" stopIfTrue="1" operator="containsText" text="Potencial">
      <formula>NOT(ISERROR(SEARCH("Potencial",I392)))</formula>
    </cfRule>
    <cfRule type="containsText" dxfId="7984" priority="1097" stopIfTrue="1" operator="containsText" text="Expresado">
      <formula>NOT(ISERROR(SEARCH("Expresado",I392)))</formula>
    </cfRule>
  </conditionalFormatting>
  <conditionalFormatting sqref="I393">
    <cfRule type="containsText" dxfId="7983" priority="960" stopIfTrue="1" operator="containsText" text="Expresado">
      <formula>NOT(ISERROR(SEARCH("Expresado",I393)))</formula>
    </cfRule>
    <cfRule type="containsText" dxfId="7982" priority="959" stopIfTrue="1" operator="containsText" text="Potencial">
      <formula>NOT(ISERROR(SEARCH("Potencial",I393)))</formula>
    </cfRule>
  </conditionalFormatting>
  <conditionalFormatting sqref="I398">
    <cfRule type="containsText" dxfId="7981" priority="922" stopIfTrue="1" operator="containsText" text="Expresado">
      <formula>NOT(ISERROR(SEARCH("Expresado",I398)))</formula>
    </cfRule>
    <cfRule type="containsText" dxfId="7980" priority="921" stopIfTrue="1" operator="containsText" text="Potencial">
      <formula>NOT(ISERROR(SEARCH("Potencial",I398)))</formula>
    </cfRule>
  </conditionalFormatting>
  <conditionalFormatting sqref="I399">
    <cfRule type="containsText" dxfId="7979" priority="734" stopIfTrue="1" operator="containsText" text="Potencial">
      <formula>NOT(ISERROR(SEARCH("Potencial",I399)))</formula>
    </cfRule>
    <cfRule type="containsText" dxfId="7978" priority="735" stopIfTrue="1" operator="containsText" text="Expresado">
      <formula>NOT(ISERROR(SEARCH("Expresado",I399)))</formula>
    </cfRule>
  </conditionalFormatting>
  <conditionalFormatting sqref="I400">
    <cfRule type="containsText" dxfId="7977" priority="629" stopIfTrue="1" operator="containsText" text="Expresado">
      <formula>NOT(ISERROR(SEARCH("Expresado",I400)))</formula>
    </cfRule>
    <cfRule type="containsText" dxfId="7976" priority="628" stopIfTrue="1" operator="containsText" text="Potencial">
      <formula>NOT(ISERROR(SEARCH("Potencial",I400)))</formula>
    </cfRule>
  </conditionalFormatting>
  <conditionalFormatting sqref="I401">
    <cfRule type="containsText" dxfId="7975" priority="521" stopIfTrue="1" operator="containsText" text="Potencial">
      <formula>NOT(ISERROR(SEARCH("Potencial",I401)))</formula>
    </cfRule>
    <cfRule type="containsText" dxfId="7974" priority="522" stopIfTrue="1" operator="containsText" text="Expresado">
      <formula>NOT(ISERROR(SEARCH("Expresado",I401)))</formula>
    </cfRule>
  </conditionalFormatting>
  <conditionalFormatting sqref="I402">
    <cfRule type="containsText" dxfId="7973" priority="165" stopIfTrue="1" operator="containsText" text="Expresado">
      <formula>NOT(ISERROR(SEARCH("Expresado",I402)))</formula>
    </cfRule>
    <cfRule type="containsText" dxfId="7972" priority="164" stopIfTrue="1" operator="containsText" text="Potencial">
      <formula>NOT(ISERROR(SEARCH("Potencial",I402)))</formula>
    </cfRule>
  </conditionalFormatting>
  <conditionalFormatting sqref="I403">
    <cfRule type="containsText" dxfId="7971" priority="133" stopIfTrue="1" operator="containsText" text="Expresado">
      <formula>NOT(ISERROR(SEARCH("Expresado",I403)))</formula>
    </cfRule>
    <cfRule type="containsText" dxfId="7970" priority="132" stopIfTrue="1" operator="containsText" text="Potencial">
      <formula>NOT(ISERROR(SEARCH("Potencial",I403)))</formula>
    </cfRule>
  </conditionalFormatting>
  <conditionalFormatting sqref="I404">
    <cfRule type="containsText" dxfId="7969" priority="474" stopIfTrue="1" operator="containsText" text="Potencial">
      <formula>NOT(ISERROR(SEARCH("Potencial",I404)))</formula>
    </cfRule>
    <cfRule type="containsText" dxfId="7968" priority="475" stopIfTrue="1" operator="containsText" text="Expresado">
      <formula>NOT(ISERROR(SEARCH("Expresado",I404)))</formula>
    </cfRule>
  </conditionalFormatting>
  <conditionalFormatting sqref="I405">
    <cfRule type="containsText" dxfId="7967" priority="567" stopIfTrue="1" operator="containsText" text="Expresado">
      <formula>NOT(ISERROR(SEARCH("Expresado",I405)))</formula>
    </cfRule>
    <cfRule type="containsText" dxfId="7966" priority="566" stopIfTrue="1" operator="containsText" text="Potencial">
      <formula>NOT(ISERROR(SEARCH("Potencial",I405)))</formula>
    </cfRule>
  </conditionalFormatting>
  <conditionalFormatting sqref="I406">
    <cfRule type="containsText" dxfId="7965" priority="429" stopIfTrue="1" operator="containsText" text="Potencial">
      <formula>NOT(ISERROR(SEARCH("Potencial",I406)))</formula>
    </cfRule>
    <cfRule type="containsText" dxfId="7964" priority="430" stopIfTrue="1" operator="containsText" text="Expresado">
      <formula>NOT(ISERROR(SEARCH("Expresado",I406)))</formula>
    </cfRule>
  </conditionalFormatting>
  <conditionalFormatting sqref="I411">
    <cfRule type="containsText" dxfId="7963" priority="391" stopIfTrue="1" operator="containsText" text="Potencial">
      <formula>NOT(ISERROR(SEARCH("Potencial",I411)))</formula>
    </cfRule>
    <cfRule type="containsText" dxfId="7962" priority="392" stopIfTrue="1" operator="containsText" text="Expresado">
      <formula>NOT(ISERROR(SEARCH("Expresado",I411)))</formula>
    </cfRule>
  </conditionalFormatting>
  <conditionalFormatting sqref="I412">
    <cfRule type="containsText" dxfId="7961" priority="205" stopIfTrue="1" operator="containsText" text="Expresado">
      <formula>NOT(ISERROR(SEARCH("Expresado",I412)))</formula>
    </cfRule>
    <cfRule type="containsText" dxfId="7960" priority="204" stopIfTrue="1" operator="containsText" text="Potencial">
      <formula>NOT(ISERROR(SEARCH("Potencial",I412)))</formula>
    </cfRule>
  </conditionalFormatting>
  <conditionalFormatting sqref="I413:I415">
    <cfRule type="containsText" dxfId="7959" priority="98" stopIfTrue="1" operator="containsText" text="Potencial">
      <formula>NOT(ISERROR(SEARCH("Potencial",I413)))</formula>
    </cfRule>
    <cfRule type="containsText" dxfId="7958" priority="99" stopIfTrue="1" operator="containsText" text="Expresado">
      <formula>NOT(ISERROR(SEARCH("Expresado",I413)))</formula>
    </cfRule>
  </conditionalFormatting>
  <conditionalFormatting sqref="I432:I435">
    <cfRule type="containsText" dxfId="7957" priority="37" stopIfTrue="1" operator="containsText" text="Expresado">
      <formula>NOT(ISERROR(SEARCH("Expresado",I432)))</formula>
    </cfRule>
    <cfRule type="containsText" dxfId="7956" priority="36" stopIfTrue="1" operator="containsText" text="Potencial">
      <formula>NOT(ISERROR(SEARCH("Potencial",I432)))</formula>
    </cfRule>
  </conditionalFormatting>
  <conditionalFormatting sqref="I106:J106">
    <cfRule type="containsText" dxfId="7955" priority="12534" stopIfTrue="1" operator="containsText" text="Potencial">
      <formula>NOT(ISERROR(SEARCH("Potencial",I106)))</formula>
    </cfRule>
    <cfRule type="containsText" dxfId="7954" priority="12535" stopIfTrue="1" operator="containsText" text="Expresado">
      <formula>NOT(ISERROR(SEARCH("Expresado",I106)))</formula>
    </cfRule>
  </conditionalFormatting>
  <conditionalFormatting sqref="I126:J126">
    <cfRule type="containsText" dxfId="7953" priority="11734" stopIfTrue="1" operator="containsText" text="Expresado">
      <formula>NOT(ISERROR(SEARCH("Expresado",I126)))</formula>
    </cfRule>
    <cfRule type="containsText" dxfId="7952" priority="11733" stopIfTrue="1" operator="containsText" text="Potencial">
      <formula>NOT(ISERROR(SEARCH("Potencial",I126)))</formula>
    </cfRule>
  </conditionalFormatting>
  <conditionalFormatting sqref="I143:J143">
    <cfRule type="containsText" dxfId="7951" priority="11010" stopIfTrue="1" operator="containsText" text="Potencial">
      <formula>NOT(ISERROR(SEARCH("Potencial",I143)))</formula>
    </cfRule>
    <cfRule type="containsText" dxfId="7950" priority="11011" stopIfTrue="1" operator="containsText" text="Expresado">
      <formula>NOT(ISERROR(SEARCH("Expresado",I143)))</formula>
    </cfRule>
  </conditionalFormatting>
  <conditionalFormatting sqref="I163:J163">
    <cfRule type="containsText" dxfId="7949" priority="10217" stopIfTrue="1" operator="containsText" text="Potencial">
      <formula>NOT(ISERROR(SEARCH("Potencial",I163)))</formula>
    </cfRule>
    <cfRule type="containsText" dxfId="7948" priority="10218" stopIfTrue="1" operator="containsText" text="Expresado">
      <formula>NOT(ISERROR(SEARCH("Expresado",I163)))</formula>
    </cfRule>
  </conditionalFormatting>
  <conditionalFormatting sqref="I181:J181">
    <cfRule type="containsText" dxfId="7947" priority="9378" stopIfTrue="1" operator="containsText" text="Expresado">
      <formula>NOT(ISERROR(SEARCH("Expresado",I181)))</formula>
    </cfRule>
    <cfRule type="containsText" dxfId="7946" priority="9377" stopIfTrue="1" operator="containsText" text="Potencial">
      <formula>NOT(ISERROR(SEARCH("Potencial",I181)))</formula>
    </cfRule>
  </conditionalFormatting>
  <conditionalFormatting sqref="I209:J209">
    <cfRule type="containsText" dxfId="7945" priority="8371" stopIfTrue="1" operator="containsText" text="Expresado">
      <formula>NOT(ISERROR(SEARCH("Expresado",I209)))</formula>
    </cfRule>
    <cfRule type="containsText" dxfId="7944" priority="8370" stopIfTrue="1" operator="containsText" text="Potencial">
      <formula>NOT(ISERROR(SEARCH("Potencial",I209)))</formula>
    </cfRule>
  </conditionalFormatting>
  <conditionalFormatting sqref="I222:J222">
    <cfRule type="containsText" dxfId="7943" priority="3" stopIfTrue="1" operator="containsText" text="Potencial">
      <formula>NOT(ISERROR(SEARCH("Potencial",I222)))</formula>
    </cfRule>
    <cfRule type="containsText" dxfId="7942" priority="4" stopIfTrue="1" operator="containsText" text="Expresado">
      <formula>NOT(ISERROR(SEARCH("Expresado",I222)))</formula>
    </cfRule>
  </conditionalFormatting>
  <conditionalFormatting sqref="I223:J223">
    <cfRule type="containsText" dxfId="7941" priority="7844" stopIfTrue="1" operator="containsText" text="Potencial">
      <formula>NOT(ISERROR(SEARCH("Potencial",I223)))</formula>
    </cfRule>
    <cfRule type="containsText" dxfId="7940" priority="7845" stopIfTrue="1" operator="containsText" text="Expresado">
      <formula>NOT(ISERROR(SEARCH("Expresado",I223)))</formula>
    </cfRule>
  </conditionalFormatting>
  <conditionalFormatting sqref="I238:J238">
    <cfRule type="containsText" dxfId="7939" priority="7240" stopIfTrue="1" operator="containsText" text="Potencial">
      <formula>NOT(ISERROR(SEARCH("Potencial",I238)))</formula>
    </cfRule>
    <cfRule type="containsText" dxfId="7938" priority="7241" stopIfTrue="1" operator="containsText" text="Expresado">
      <formula>NOT(ISERROR(SEARCH("Expresado",I238)))</formula>
    </cfRule>
  </conditionalFormatting>
  <conditionalFormatting sqref="I253:J253">
    <cfRule type="containsText" dxfId="7937" priority="6637" stopIfTrue="1" operator="containsText" text="Expresado">
      <formula>NOT(ISERROR(SEARCH("Expresado",I253)))</formula>
    </cfRule>
    <cfRule type="containsText" dxfId="7936" priority="6636" stopIfTrue="1" operator="containsText" text="Potencial">
      <formula>NOT(ISERROR(SEARCH("Potencial",I253)))</formula>
    </cfRule>
  </conditionalFormatting>
  <conditionalFormatting sqref="I265:J265">
    <cfRule type="containsText" dxfId="7935" priority="6297" stopIfTrue="1" operator="containsText" text="Potencial">
      <formula>NOT(ISERROR(SEARCH("Potencial",I265)))</formula>
    </cfRule>
    <cfRule type="containsText" dxfId="7934" priority="6298" stopIfTrue="1" operator="containsText" text="Expresado">
      <formula>NOT(ISERROR(SEARCH("Expresado",I265)))</formula>
    </cfRule>
  </conditionalFormatting>
  <conditionalFormatting sqref="I266:J266">
    <cfRule type="containsText" dxfId="7933" priority="6060" stopIfTrue="1" operator="containsText" text="Potencial">
      <formula>NOT(ISERROR(SEARCH("Potencial",I266)))</formula>
    </cfRule>
    <cfRule type="containsText" dxfId="7932" priority="6061" stopIfTrue="1" operator="containsText" text="Expresado">
      <formula>NOT(ISERROR(SEARCH("Expresado",I266)))</formula>
    </cfRule>
  </conditionalFormatting>
  <conditionalFormatting sqref="I279:J279">
    <cfRule type="containsText" dxfId="7931" priority="5581" stopIfTrue="1" operator="containsText" text="Potencial">
      <formula>NOT(ISERROR(SEARCH("Potencial",I279)))</formula>
    </cfRule>
    <cfRule type="containsText" dxfId="7930" priority="5582" stopIfTrue="1" operator="containsText" text="Expresado">
      <formula>NOT(ISERROR(SEARCH("Expresado",I279)))</formula>
    </cfRule>
  </conditionalFormatting>
  <conditionalFormatting sqref="I293:J293">
    <cfRule type="containsText" dxfId="7929" priority="5018" stopIfTrue="1" operator="containsText" text="Potencial">
      <formula>NOT(ISERROR(SEARCH("Potencial",I293)))</formula>
    </cfRule>
    <cfRule type="containsText" dxfId="7928" priority="5019" stopIfTrue="1" operator="containsText" text="Expresado">
      <formula>NOT(ISERROR(SEARCH("Expresado",I293)))</formula>
    </cfRule>
  </conditionalFormatting>
  <conditionalFormatting sqref="I307:J307">
    <cfRule type="containsText" dxfId="7927" priority="4456" stopIfTrue="1" operator="containsText" text="Expresado">
      <formula>NOT(ISERROR(SEARCH("Expresado",I307)))</formula>
    </cfRule>
    <cfRule type="containsText" dxfId="7926" priority="4455" stopIfTrue="1" operator="containsText" text="Potencial">
      <formula>NOT(ISERROR(SEARCH("Potencial",I307)))</formula>
    </cfRule>
  </conditionalFormatting>
  <conditionalFormatting sqref="I319:J319">
    <cfRule type="containsText" dxfId="7925" priority="4116" stopIfTrue="1" operator="containsText" text="Potencial">
      <formula>NOT(ISERROR(SEARCH("Potencial",I319)))</formula>
    </cfRule>
    <cfRule type="containsText" dxfId="7924" priority="4117" stopIfTrue="1" operator="containsText" text="Expresado">
      <formula>NOT(ISERROR(SEARCH("Expresado",I319)))</formula>
    </cfRule>
  </conditionalFormatting>
  <conditionalFormatting sqref="I320:J320">
    <cfRule type="containsText" dxfId="7923" priority="3903" stopIfTrue="1" operator="containsText" text="Potencial">
      <formula>NOT(ISERROR(SEARCH("Potencial",I320)))</formula>
    </cfRule>
    <cfRule type="containsText" dxfId="7922" priority="3904" stopIfTrue="1" operator="containsText" text="Expresado">
      <formula>NOT(ISERROR(SEARCH("Expresado",I320)))</formula>
    </cfRule>
  </conditionalFormatting>
  <conditionalFormatting sqref="I333:J333">
    <cfRule type="containsText" dxfId="7921" priority="3445" stopIfTrue="1" operator="containsText" text="Expresado">
      <formula>NOT(ISERROR(SEARCH("Expresado",I333)))</formula>
    </cfRule>
    <cfRule type="containsText" dxfId="7920" priority="3444" stopIfTrue="1" operator="containsText" text="Potencial">
      <formula>NOT(ISERROR(SEARCH("Potencial",I333)))</formula>
    </cfRule>
  </conditionalFormatting>
  <conditionalFormatting sqref="I347:J347">
    <cfRule type="containsText" dxfId="7919" priority="2882" stopIfTrue="1" operator="containsText" text="Expresado">
      <formula>NOT(ISERROR(SEARCH("Expresado",I347)))</formula>
    </cfRule>
    <cfRule type="containsText" dxfId="7918" priority="2881" stopIfTrue="1" operator="containsText" text="Potencial">
      <formula>NOT(ISERROR(SEARCH("Potencial",I347)))</formula>
    </cfRule>
  </conditionalFormatting>
  <conditionalFormatting sqref="I359:J359">
    <cfRule type="containsText" dxfId="7917" priority="2543" stopIfTrue="1" operator="containsText" text="Expresado">
      <formula>NOT(ISERROR(SEARCH("Expresado",I359)))</formula>
    </cfRule>
    <cfRule type="containsText" dxfId="7916" priority="2542" stopIfTrue="1" operator="containsText" text="Potencial">
      <formula>NOT(ISERROR(SEARCH("Potencial",I359)))</formula>
    </cfRule>
  </conditionalFormatting>
  <conditionalFormatting sqref="I360:J360">
    <cfRule type="containsText" dxfId="7915" priority="2302" stopIfTrue="1" operator="containsText" text="Expresado">
      <formula>NOT(ISERROR(SEARCH("Expresado",I360)))</formula>
    </cfRule>
    <cfRule type="containsText" dxfId="7914" priority="2301" stopIfTrue="1" operator="containsText" text="Potencial">
      <formula>NOT(ISERROR(SEARCH("Potencial",I360)))</formula>
    </cfRule>
  </conditionalFormatting>
  <conditionalFormatting sqref="I361:J361">
    <cfRule type="containsText" dxfId="7913" priority="2075" stopIfTrue="1" operator="containsText" text="Potencial">
      <formula>NOT(ISERROR(SEARCH("Potencial",I361)))</formula>
    </cfRule>
    <cfRule type="containsText" dxfId="7912" priority="2076" stopIfTrue="1" operator="containsText" text="Expresado">
      <formula>NOT(ISERROR(SEARCH("Expresado",I361)))</formula>
    </cfRule>
  </conditionalFormatting>
  <conditionalFormatting sqref="I373:J373">
    <cfRule type="containsText" dxfId="7911" priority="2010" stopIfTrue="1" operator="containsText" text="Expresado">
      <formula>NOT(ISERROR(SEARCH("Expresado",I373)))</formula>
    </cfRule>
    <cfRule type="containsText" dxfId="7910" priority="2009" stopIfTrue="1" operator="containsText" text="Potencial">
      <formula>NOT(ISERROR(SEARCH("Potencial",I373)))</formula>
    </cfRule>
  </conditionalFormatting>
  <conditionalFormatting sqref="I374:J374">
    <cfRule type="containsText" dxfId="7909" priority="1772" stopIfTrue="1" operator="containsText" text="Potencial">
      <formula>NOT(ISERROR(SEARCH("Potencial",I374)))</formula>
    </cfRule>
    <cfRule type="containsText" dxfId="7908" priority="1773" stopIfTrue="1" operator="containsText" text="Expresado">
      <formula>NOT(ISERROR(SEARCH("Expresado",I374)))</formula>
    </cfRule>
  </conditionalFormatting>
  <conditionalFormatting sqref="I384:J384">
    <cfRule type="containsText" dxfId="7907" priority="1382" stopIfTrue="1" operator="containsText" text="Expresado">
      <formula>NOT(ISERROR(SEARCH("Expresado",I384)))</formula>
    </cfRule>
    <cfRule type="containsText" dxfId="7906" priority="1381" stopIfTrue="1" operator="containsText" text="Potencial">
      <formula>NOT(ISERROR(SEARCH("Potencial",I384)))</formula>
    </cfRule>
  </conditionalFormatting>
  <conditionalFormatting sqref="I395:J395">
    <cfRule type="containsText" dxfId="7905" priority="1124" stopIfTrue="1" operator="containsText" text="Potencial">
      <formula>NOT(ISERROR(SEARCH("Potencial",I395)))</formula>
    </cfRule>
    <cfRule type="containsText" dxfId="7904" priority="1125" stopIfTrue="1" operator="containsText" text="Expresado">
      <formula>NOT(ISERROR(SEARCH("Expresado",I395)))</formula>
    </cfRule>
  </conditionalFormatting>
  <conditionalFormatting sqref="I396:J396">
    <cfRule type="containsText" dxfId="7903" priority="887" stopIfTrue="1" operator="containsText" text="Potencial">
      <formula>NOT(ISERROR(SEARCH("Potencial",I396)))</formula>
    </cfRule>
    <cfRule type="containsText" dxfId="7902" priority="888" stopIfTrue="1" operator="containsText" text="Expresado">
      <formula>NOT(ISERROR(SEARCH("Expresado",I396)))</formula>
    </cfRule>
  </conditionalFormatting>
  <conditionalFormatting sqref="I408:J408">
    <cfRule type="containsText" dxfId="7901" priority="594" stopIfTrue="1" operator="containsText" text="Potencial">
      <formula>NOT(ISERROR(SEARCH("Potencial",I408)))</formula>
    </cfRule>
    <cfRule type="containsText" dxfId="7900" priority="595" stopIfTrue="1" operator="containsText" text="Expresado">
      <formula>NOT(ISERROR(SEARCH("Expresado",I408)))</formula>
    </cfRule>
  </conditionalFormatting>
  <conditionalFormatting sqref="I409:J409">
    <cfRule type="containsText" dxfId="7899" priority="358" stopIfTrue="1" operator="containsText" text="Expresado">
      <formula>NOT(ISERROR(SEARCH("Expresado",I409)))</formula>
    </cfRule>
    <cfRule type="containsText" dxfId="7898" priority="357" stopIfTrue="1" operator="containsText" text="Potencial">
      <formula>NOT(ISERROR(SEARCH("Potencial",I409)))</formula>
    </cfRule>
  </conditionalFormatting>
  <conditionalFormatting sqref="I21:L22">
    <cfRule type="containsText" dxfId="7897" priority="13987" stopIfTrue="1" operator="containsText" text="Potencial">
      <formula>NOT(ISERROR(SEARCH("Potencial",I21)))</formula>
    </cfRule>
    <cfRule type="containsText" dxfId="7896" priority="13988" stopIfTrue="1" operator="containsText" text="Expresado">
      <formula>NOT(ISERROR(SEARCH("Expresado",I21)))</formula>
    </cfRule>
  </conditionalFormatting>
  <conditionalFormatting sqref="I39:L39 I38 K38:L38">
    <cfRule type="containsText" dxfId="7895" priority="13937" stopIfTrue="1" operator="containsText" text="Expresado">
      <formula>NOT(ISERROR(SEARCH("Expresado",I38)))</formula>
    </cfRule>
    <cfRule type="containsText" dxfId="7894" priority="13936" stopIfTrue="1" operator="containsText" text="Potencial">
      <formula>NOT(ISERROR(SEARCH("Potencial",I38)))</formula>
    </cfRule>
  </conditionalFormatting>
  <conditionalFormatting sqref="I45:L46">
    <cfRule type="containsText" dxfId="7893" priority="13878" stopIfTrue="1" operator="containsText" text="Potencial">
      <formula>NOT(ISERROR(SEARCH("Potencial",I45)))</formula>
    </cfRule>
    <cfRule type="containsText" dxfId="7892" priority="13879" stopIfTrue="1" operator="containsText" text="Expresado">
      <formula>NOT(ISERROR(SEARCH("Expresado",I45)))</formula>
    </cfRule>
  </conditionalFormatting>
  <conditionalFormatting sqref="I54:L56">
    <cfRule type="containsText" dxfId="7891" priority="13842" stopIfTrue="1" operator="containsText" text="Expresado">
      <formula>NOT(ISERROR(SEARCH("Expresado",I54)))</formula>
    </cfRule>
    <cfRule type="containsText" dxfId="7890" priority="13841" stopIfTrue="1" operator="containsText" text="Potencial">
      <formula>NOT(ISERROR(SEARCH("Potencial",I54)))</formula>
    </cfRule>
  </conditionalFormatting>
  <conditionalFormatting sqref="I57:L60 I40:L44 I63:L66 I23:I28 K27:L28 I51:L53 I75:L75 I29:L30 J89:J91 I84:I91 I32:L37 I7:L20 I78:L83">
    <cfRule type="containsText" dxfId="7889" priority="14053" stopIfTrue="1" operator="containsText" text="Potencial">
      <formula>NOT(ISERROR(SEARCH("Potencial",I7)))</formula>
    </cfRule>
    <cfRule type="containsText" dxfId="7888" priority="14054" stopIfTrue="1" operator="containsText" text="Expresado">
      <formula>NOT(ISERROR(SEARCH("Expresado",I7)))</formula>
    </cfRule>
  </conditionalFormatting>
  <conditionalFormatting sqref="I62:L62 I61 K61:L61">
    <cfRule type="containsText" dxfId="7887" priority="13786" stopIfTrue="1" operator="containsText" text="Potencial">
      <formula>NOT(ISERROR(SEARCH("Potencial",I61)))</formula>
    </cfRule>
    <cfRule type="containsText" dxfId="7886" priority="13787" stopIfTrue="1" operator="containsText" text="Expresado">
      <formula>NOT(ISERROR(SEARCH("Expresado",I61)))</formula>
    </cfRule>
  </conditionalFormatting>
  <conditionalFormatting sqref="I67:L68">
    <cfRule type="containsText" dxfId="7885" priority="13729" stopIfTrue="1" operator="containsText" text="Expresado">
      <formula>NOT(ISERROR(SEARCH("Expresado",I67)))</formula>
    </cfRule>
    <cfRule type="containsText" dxfId="7884" priority="13728" stopIfTrue="1" operator="containsText" text="Potencial">
      <formula>NOT(ISERROR(SEARCH("Potencial",I67)))</formula>
    </cfRule>
  </conditionalFormatting>
  <conditionalFormatting sqref="I95:L96">
    <cfRule type="containsText" dxfId="7883" priority="13077" stopIfTrue="1" operator="containsText" text="Expresado">
      <formula>NOT(ISERROR(SEARCH("Expresado",I95)))</formula>
    </cfRule>
    <cfRule type="containsText" dxfId="7882" priority="13076" stopIfTrue="1" operator="containsText" text="Potencial">
      <formula>NOT(ISERROR(SEARCH("Potencial",I95)))</formula>
    </cfRule>
  </conditionalFormatting>
  <conditionalFormatting sqref="I97:L97">
    <cfRule type="containsText" dxfId="7881" priority="12997" stopIfTrue="1" operator="containsText" text="Potencial">
      <formula>NOT(ISERROR(SEARCH("Potencial",I97)))</formula>
    </cfRule>
    <cfRule type="containsText" dxfId="7880" priority="12998" stopIfTrue="1" operator="containsText" text="Expresado">
      <formula>NOT(ISERROR(SEARCH("Expresado",I97)))</formula>
    </cfRule>
  </conditionalFormatting>
  <conditionalFormatting sqref="I104:L104">
    <cfRule type="containsText" dxfId="7879" priority="12322" stopIfTrue="1" operator="containsText" text="Potencial">
      <formula>NOT(ISERROR(SEARCH("Potencial",I104)))</formula>
    </cfRule>
    <cfRule type="containsText" dxfId="7878" priority="12323" stopIfTrue="1" operator="containsText" text="Expresado">
      <formula>NOT(ISERROR(SEARCH("Expresado",I104)))</formula>
    </cfRule>
  </conditionalFormatting>
  <conditionalFormatting sqref="I105:L105">
    <cfRule type="containsText" dxfId="7877" priority="12359" stopIfTrue="1" operator="containsText" text="Potencial">
      <formula>NOT(ISERROR(SEARCH("Potencial",I105)))</formula>
    </cfRule>
    <cfRule type="containsText" dxfId="7876" priority="12360" stopIfTrue="1" operator="containsText" text="Expresado">
      <formula>NOT(ISERROR(SEARCH("Expresado",I105)))</formula>
    </cfRule>
  </conditionalFormatting>
  <conditionalFormatting sqref="I113:L113">
    <cfRule type="containsText" dxfId="7875" priority="12478" stopIfTrue="1" operator="containsText" text="Potencial">
      <formula>NOT(ISERROR(SEARCH("Potencial",I113)))</formula>
    </cfRule>
    <cfRule type="containsText" dxfId="7874" priority="12479" stopIfTrue="1" operator="containsText" text="Expresado">
      <formula>NOT(ISERROR(SEARCH("Expresado",I113)))</formula>
    </cfRule>
  </conditionalFormatting>
  <conditionalFormatting sqref="I114:L115">
    <cfRule type="containsText" dxfId="7873" priority="12277" stopIfTrue="1" operator="containsText" text="Potencial">
      <formula>NOT(ISERROR(SEARCH("Potencial",I114)))</formula>
    </cfRule>
    <cfRule type="containsText" dxfId="7872" priority="12278" stopIfTrue="1" operator="containsText" text="Expresado">
      <formula>NOT(ISERROR(SEARCH("Expresado",I114)))</formula>
    </cfRule>
  </conditionalFormatting>
  <conditionalFormatting sqref="I117:L117">
    <cfRule type="containsText" dxfId="7871" priority="12193" stopIfTrue="1" operator="containsText" text="Expresado">
      <formula>NOT(ISERROR(SEARCH("Expresado",I117)))</formula>
    </cfRule>
    <cfRule type="containsText" dxfId="7870" priority="12192" stopIfTrue="1" operator="containsText" text="Potencial">
      <formula>NOT(ISERROR(SEARCH("Potencial",I117)))</formula>
    </cfRule>
  </conditionalFormatting>
  <conditionalFormatting sqref="I124:L124">
    <cfRule type="containsText" dxfId="7869" priority="11605" stopIfTrue="1" operator="containsText" text="Potencial">
      <formula>NOT(ISERROR(SEARCH("Potencial",I124)))</formula>
    </cfRule>
    <cfRule type="containsText" dxfId="7868" priority="11606" stopIfTrue="1" operator="containsText" text="Expresado">
      <formula>NOT(ISERROR(SEARCH("Expresado",I124)))</formula>
    </cfRule>
  </conditionalFormatting>
  <conditionalFormatting sqref="I125:L125">
    <cfRule type="containsText" dxfId="7867" priority="11642" stopIfTrue="1" operator="containsText" text="Potencial">
      <formula>NOT(ISERROR(SEARCH("Potencial",I125)))</formula>
    </cfRule>
    <cfRule type="containsText" dxfId="7866" priority="11643" stopIfTrue="1" operator="containsText" text="Expresado">
      <formula>NOT(ISERROR(SEARCH("Expresado",I125)))</formula>
    </cfRule>
  </conditionalFormatting>
  <conditionalFormatting sqref="I132:L132">
    <cfRule type="containsText" dxfId="7865" priority="11564" stopIfTrue="1" operator="containsText" text="Potencial">
      <formula>NOT(ISERROR(SEARCH("Potencial",I132)))</formula>
    </cfRule>
    <cfRule type="containsText" dxfId="7864" priority="11565" stopIfTrue="1" operator="containsText" text="Expresado">
      <formula>NOT(ISERROR(SEARCH("Expresado",I132)))</formula>
    </cfRule>
  </conditionalFormatting>
  <conditionalFormatting sqref="I133:L134">
    <cfRule type="containsText" dxfId="7863" priority="11516" stopIfTrue="1" operator="containsText" text="Expresado">
      <formula>NOT(ISERROR(SEARCH("Expresado",I133)))</formula>
    </cfRule>
    <cfRule type="containsText" dxfId="7862" priority="11515" stopIfTrue="1" operator="containsText" text="Potencial">
      <formula>NOT(ISERROR(SEARCH("Potencial",I133)))</formula>
    </cfRule>
  </conditionalFormatting>
  <conditionalFormatting sqref="I135:L135">
    <cfRule type="containsText" dxfId="7861" priority="11470" stopIfTrue="1" operator="containsText" text="Expresado">
      <formula>NOT(ISERROR(SEARCH("Expresado",I135)))</formula>
    </cfRule>
    <cfRule type="containsText" dxfId="7860" priority="11469" stopIfTrue="1" operator="containsText" text="Potencial">
      <formula>NOT(ISERROR(SEARCH("Potencial",I135)))</formula>
    </cfRule>
  </conditionalFormatting>
  <conditionalFormatting sqref="I141:L141">
    <cfRule type="containsText" dxfId="7859" priority="10802" stopIfTrue="1" operator="containsText" text="Potencial">
      <formula>NOT(ISERROR(SEARCH("Potencial",I141)))</formula>
    </cfRule>
    <cfRule type="containsText" dxfId="7858" priority="10803" stopIfTrue="1" operator="containsText" text="Expresado">
      <formula>NOT(ISERROR(SEARCH("Expresado",I141)))</formula>
    </cfRule>
  </conditionalFormatting>
  <conditionalFormatting sqref="I142:L142">
    <cfRule type="containsText" dxfId="7857" priority="10840" stopIfTrue="1" operator="containsText" text="Expresado">
      <formula>NOT(ISERROR(SEARCH("Expresado",I142)))</formula>
    </cfRule>
    <cfRule type="containsText" dxfId="7856" priority="10839" stopIfTrue="1" operator="containsText" text="Potencial">
      <formula>NOT(ISERROR(SEARCH("Potencial",I142)))</formula>
    </cfRule>
  </conditionalFormatting>
  <conditionalFormatting sqref="I150:L150">
    <cfRule type="containsText" dxfId="7855" priority="10959" stopIfTrue="1" operator="containsText" text="Expresado">
      <formula>NOT(ISERROR(SEARCH("Expresado",I150)))</formula>
    </cfRule>
    <cfRule type="containsText" dxfId="7854" priority="10958" stopIfTrue="1" operator="containsText" text="Potencial">
      <formula>NOT(ISERROR(SEARCH("Potencial",I150)))</formula>
    </cfRule>
  </conditionalFormatting>
  <conditionalFormatting sqref="I151:L152">
    <cfRule type="containsText" dxfId="7853" priority="10762" stopIfTrue="1" operator="containsText" text="Expresado">
      <formula>NOT(ISERROR(SEARCH("Expresado",I151)))</formula>
    </cfRule>
    <cfRule type="containsText" dxfId="7852" priority="10761" stopIfTrue="1" operator="containsText" text="Potencial">
      <formula>NOT(ISERROR(SEARCH("Potencial",I151)))</formula>
    </cfRule>
  </conditionalFormatting>
  <conditionalFormatting sqref="I154:L154">
    <cfRule type="containsText" dxfId="7851" priority="10676" stopIfTrue="1" operator="containsText" text="Potencial">
      <formula>NOT(ISERROR(SEARCH("Potencial",I154)))</formula>
    </cfRule>
    <cfRule type="containsText" dxfId="7850" priority="10677" stopIfTrue="1" operator="containsText" text="Expresado">
      <formula>NOT(ISERROR(SEARCH("Expresado",I154)))</formula>
    </cfRule>
  </conditionalFormatting>
  <conditionalFormatting sqref="I161:L161">
    <cfRule type="containsText" dxfId="7849" priority="10009" stopIfTrue="1" operator="containsText" text="Potencial">
      <formula>NOT(ISERROR(SEARCH("Potencial",I161)))</formula>
    </cfRule>
    <cfRule type="containsText" dxfId="7848" priority="10010" stopIfTrue="1" operator="containsText" text="Expresado">
      <formula>NOT(ISERROR(SEARCH("Expresado",I161)))</formula>
    </cfRule>
  </conditionalFormatting>
  <conditionalFormatting sqref="I162:L162">
    <cfRule type="containsText" dxfId="7847" priority="10046" stopIfTrue="1" operator="containsText" text="Potencial">
      <formula>NOT(ISERROR(SEARCH("Potencial",I162)))</formula>
    </cfRule>
    <cfRule type="containsText" dxfId="7846" priority="10047" stopIfTrue="1" operator="containsText" text="Expresado">
      <formula>NOT(ISERROR(SEARCH("Expresado",I162)))</formula>
    </cfRule>
  </conditionalFormatting>
  <conditionalFormatting sqref="I169:L169">
    <cfRule type="containsText" dxfId="7845" priority="10166" stopIfTrue="1" operator="containsText" text="Expresado">
      <formula>NOT(ISERROR(SEARCH("Expresado",I169)))</formula>
    </cfRule>
    <cfRule type="containsText" dxfId="7844" priority="10165" stopIfTrue="1" operator="containsText" text="Potencial">
      <formula>NOT(ISERROR(SEARCH("Potencial",I169)))</formula>
    </cfRule>
  </conditionalFormatting>
  <conditionalFormatting sqref="I170:L171">
    <cfRule type="containsText" dxfId="7843" priority="9969" stopIfTrue="1" operator="containsText" text="Expresado">
      <formula>NOT(ISERROR(SEARCH("Expresado",I170)))</formula>
    </cfRule>
    <cfRule type="containsText" dxfId="7842" priority="9968" stopIfTrue="1" operator="containsText" text="Potencial">
      <formula>NOT(ISERROR(SEARCH("Potencial",I170)))</formula>
    </cfRule>
  </conditionalFormatting>
  <conditionalFormatting sqref="I172:L172">
    <cfRule type="containsText" dxfId="7841" priority="9837" stopIfTrue="1" operator="containsText" text="Expresado">
      <formula>NOT(ISERROR(SEARCH("Expresado",I172)))</formula>
    </cfRule>
    <cfRule type="containsText" dxfId="7840" priority="9836" stopIfTrue="1" operator="containsText" text="Potencial">
      <formula>NOT(ISERROR(SEARCH("Potencial",I172)))</formula>
    </cfRule>
  </conditionalFormatting>
  <conditionalFormatting sqref="I179:L179">
    <cfRule type="containsText" dxfId="7839" priority="9251" stopIfTrue="1" operator="containsText" text="Potencial">
      <formula>NOT(ISERROR(SEARCH("Potencial",I179)))</formula>
    </cfRule>
    <cfRule type="containsText" dxfId="7838" priority="9252" stopIfTrue="1" operator="containsText" text="Expresado">
      <formula>NOT(ISERROR(SEARCH("Expresado",I179)))</formula>
    </cfRule>
  </conditionalFormatting>
  <conditionalFormatting sqref="I180:L180">
    <cfRule type="containsText" dxfId="7837" priority="9288" stopIfTrue="1" operator="containsText" text="Potencial">
      <formula>NOT(ISERROR(SEARCH("Potencial",I180)))</formula>
    </cfRule>
    <cfRule type="containsText" dxfId="7836" priority="9289" stopIfTrue="1" operator="containsText" text="Expresado">
      <formula>NOT(ISERROR(SEARCH("Expresado",I180)))</formula>
    </cfRule>
  </conditionalFormatting>
  <conditionalFormatting sqref="I187:L187">
    <cfRule type="containsText" dxfId="7835" priority="9325" stopIfTrue="1" operator="containsText" text="Potencial">
      <formula>NOT(ISERROR(SEARCH("Potencial",I187)))</formula>
    </cfRule>
    <cfRule type="containsText" dxfId="7834" priority="9326" stopIfTrue="1" operator="containsText" text="Expresado">
      <formula>NOT(ISERROR(SEARCH("Expresado",I187)))</formula>
    </cfRule>
  </conditionalFormatting>
  <conditionalFormatting sqref="I188:L189">
    <cfRule type="containsText" dxfId="7833" priority="9210" stopIfTrue="1" operator="containsText" text="Potencial">
      <formula>NOT(ISERROR(SEARCH("Potencial",I188)))</formula>
    </cfRule>
    <cfRule type="containsText" dxfId="7832" priority="9211" stopIfTrue="1" operator="containsText" text="Expresado">
      <formula>NOT(ISERROR(SEARCH("Expresado",I188)))</formula>
    </cfRule>
  </conditionalFormatting>
  <conditionalFormatting sqref="I191:L191">
    <cfRule type="containsText" dxfId="7831" priority="9074" stopIfTrue="1" operator="containsText" text="Potencial">
      <formula>NOT(ISERROR(SEARCH("Potencial",I191)))</formula>
    </cfRule>
    <cfRule type="containsText" dxfId="7830" priority="9075" stopIfTrue="1" operator="containsText" text="Expresado">
      <formula>NOT(ISERROR(SEARCH("Expresado",I191)))</formula>
    </cfRule>
  </conditionalFormatting>
  <conditionalFormatting sqref="I192:L192">
    <cfRule type="containsText" dxfId="7829" priority="9029" stopIfTrue="1" operator="containsText" text="Potencial">
      <formula>NOT(ISERROR(SEARCH("Potencial",I192)))</formula>
    </cfRule>
    <cfRule type="containsText" dxfId="7828" priority="9030" stopIfTrue="1" operator="containsText" text="Expresado">
      <formula>NOT(ISERROR(SEARCH("Expresado",I192)))</formula>
    </cfRule>
  </conditionalFormatting>
  <conditionalFormatting sqref="I193:L193">
    <cfRule type="containsText" dxfId="7827" priority="8995" stopIfTrue="1" operator="containsText" text="Potencial">
      <formula>NOT(ISERROR(SEARCH("Potencial",I193)))</formula>
    </cfRule>
    <cfRule type="containsText" dxfId="7826" priority="8996" stopIfTrue="1" operator="containsText" text="Expresado">
      <formula>NOT(ISERROR(SEARCH("Expresado",I193)))</formula>
    </cfRule>
  </conditionalFormatting>
  <conditionalFormatting sqref="I194:L194">
    <cfRule type="containsText" dxfId="7825" priority="8965" stopIfTrue="1" operator="containsText" text="Potencial">
      <formula>NOT(ISERROR(SEARCH("Potencial",I194)))</formula>
    </cfRule>
    <cfRule type="containsText" dxfId="7824" priority="8966" stopIfTrue="1" operator="containsText" text="Expresado">
      <formula>NOT(ISERROR(SEARCH("Expresado",I194)))</formula>
    </cfRule>
  </conditionalFormatting>
  <conditionalFormatting sqref="I195:L195">
    <cfRule type="containsText" dxfId="7823" priority="8914" stopIfTrue="1" operator="containsText" text="Expresado">
      <formula>NOT(ISERROR(SEARCH("Expresado",I195)))</formula>
    </cfRule>
    <cfRule type="containsText" dxfId="7822" priority="8913" stopIfTrue="1" operator="containsText" text="Potencial">
      <formula>NOT(ISERROR(SEARCH("Potencial",I195)))</formula>
    </cfRule>
  </conditionalFormatting>
  <conditionalFormatting sqref="I196:L196">
    <cfRule type="containsText" dxfId="7821" priority="8939" stopIfTrue="1" operator="containsText" text="Potencial">
      <formula>NOT(ISERROR(SEARCH("Potencial",I196)))</formula>
    </cfRule>
    <cfRule type="containsText" dxfId="7820" priority="8940" stopIfTrue="1" operator="containsText" text="Expresado">
      <formula>NOT(ISERROR(SEARCH("Expresado",I196)))</formula>
    </cfRule>
  </conditionalFormatting>
  <conditionalFormatting sqref="I197:L197">
    <cfRule type="containsText" dxfId="7819" priority="8888" stopIfTrue="1" operator="containsText" text="Expresado">
      <formula>NOT(ISERROR(SEARCH("Expresado",I197)))</formula>
    </cfRule>
    <cfRule type="containsText" dxfId="7818" priority="8887" stopIfTrue="1" operator="containsText" text="Potencial">
      <formula>NOT(ISERROR(SEARCH("Potencial",I197)))</formula>
    </cfRule>
  </conditionalFormatting>
  <conditionalFormatting sqref="I198:L198">
    <cfRule type="containsText" dxfId="7817" priority="8862" stopIfTrue="1" operator="containsText" text="Expresado">
      <formula>NOT(ISERROR(SEARCH("Expresado",I198)))</formula>
    </cfRule>
    <cfRule type="containsText" dxfId="7816" priority="8861" stopIfTrue="1" operator="containsText" text="Potencial">
      <formula>NOT(ISERROR(SEARCH("Potencial",I198)))</formula>
    </cfRule>
  </conditionalFormatting>
  <conditionalFormatting sqref="I199:L199">
    <cfRule type="containsText" dxfId="7815" priority="8619" stopIfTrue="1" operator="containsText" text="Potencial">
      <formula>NOT(ISERROR(SEARCH("Potencial",I199)))</formula>
    </cfRule>
    <cfRule type="containsText" dxfId="7814" priority="8620" stopIfTrue="1" operator="containsText" text="Expresado">
      <formula>NOT(ISERROR(SEARCH("Expresado",I199)))</formula>
    </cfRule>
  </conditionalFormatting>
  <conditionalFormatting sqref="I206:L206">
    <cfRule type="containsText" dxfId="7813" priority="8262" stopIfTrue="1" operator="containsText" text="Potencial">
      <formula>NOT(ISERROR(SEARCH("Potencial",I206)))</formula>
    </cfRule>
    <cfRule type="containsText" dxfId="7812" priority="8263" stopIfTrue="1" operator="containsText" text="Expresado">
      <formula>NOT(ISERROR(SEARCH("Expresado",I206)))</formula>
    </cfRule>
  </conditionalFormatting>
  <conditionalFormatting sqref="I210:L210">
    <cfRule type="containsText" dxfId="7811" priority="8319" stopIfTrue="1" operator="containsText" text="Expresado">
      <formula>NOT(ISERROR(SEARCH("Expresado",I210)))</formula>
    </cfRule>
    <cfRule type="containsText" dxfId="7810" priority="8318" stopIfTrue="1" operator="containsText" text="Potencial">
      <formula>NOT(ISERROR(SEARCH("Potencial",I210)))</formula>
    </cfRule>
  </conditionalFormatting>
  <conditionalFormatting sqref="I219:L219">
    <cfRule type="containsText" dxfId="7809" priority="7712" stopIfTrue="1" operator="containsText" text="Potencial">
      <formula>NOT(ISERROR(SEARCH("Potencial",I219)))</formula>
    </cfRule>
    <cfRule type="containsText" dxfId="7808" priority="7713" stopIfTrue="1" operator="containsText" text="Expresado">
      <formula>NOT(ISERROR(SEARCH("Expresado",I219)))</formula>
    </cfRule>
  </conditionalFormatting>
  <conditionalFormatting sqref="I224:L224">
    <cfRule type="containsText" dxfId="7807" priority="7792" stopIfTrue="1" operator="containsText" text="Potencial">
      <formula>NOT(ISERROR(SEARCH("Potencial",I224)))</formula>
    </cfRule>
    <cfRule type="containsText" dxfId="7806" priority="7793" stopIfTrue="1" operator="containsText" text="Expresado">
      <formula>NOT(ISERROR(SEARCH("Expresado",I224)))</formula>
    </cfRule>
  </conditionalFormatting>
  <conditionalFormatting sqref="I225:L225">
    <cfRule type="containsText" dxfId="7805" priority="7607" stopIfTrue="1" operator="containsText" text="Potencial">
      <formula>NOT(ISERROR(SEARCH("Potencial",I225)))</formula>
    </cfRule>
    <cfRule type="containsText" dxfId="7804" priority="7608" stopIfTrue="1" operator="containsText" text="Expresado">
      <formula>NOT(ISERROR(SEARCH("Expresado",I225)))</formula>
    </cfRule>
  </conditionalFormatting>
  <conditionalFormatting sqref="I228:L228">
    <cfRule type="containsText" dxfId="7803" priority="7490" stopIfTrue="1" operator="containsText" text="Expresado">
      <formula>NOT(ISERROR(SEARCH("Expresado",I228)))</formula>
    </cfRule>
    <cfRule type="containsText" dxfId="7802" priority="7489" stopIfTrue="1" operator="containsText" text="Potencial">
      <formula>NOT(ISERROR(SEARCH("Potencial",I228)))</formula>
    </cfRule>
  </conditionalFormatting>
  <conditionalFormatting sqref="I235:L235">
    <cfRule type="containsText" dxfId="7801" priority="7109" stopIfTrue="1" operator="containsText" text="Expresado">
      <formula>NOT(ISERROR(SEARCH("Expresado",I235)))</formula>
    </cfRule>
    <cfRule type="containsText" dxfId="7800" priority="7108" stopIfTrue="1" operator="containsText" text="Potencial">
      <formula>NOT(ISERROR(SEARCH("Potencial",I235)))</formula>
    </cfRule>
  </conditionalFormatting>
  <conditionalFormatting sqref="I239:L239">
    <cfRule type="containsText" dxfId="7799" priority="7189" stopIfTrue="1" operator="containsText" text="Expresado">
      <formula>NOT(ISERROR(SEARCH("Expresado",I239)))</formula>
    </cfRule>
    <cfRule type="containsText" dxfId="7798" priority="7188" stopIfTrue="1" operator="containsText" text="Potencial">
      <formula>NOT(ISERROR(SEARCH("Potencial",I239)))</formula>
    </cfRule>
  </conditionalFormatting>
  <conditionalFormatting sqref="I240:L240">
    <cfRule type="containsText" dxfId="7797" priority="7003" stopIfTrue="1" operator="containsText" text="Potencial">
      <formula>NOT(ISERROR(SEARCH("Potencial",I240)))</formula>
    </cfRule>
    <cfRule type="containsText" dxfId="7796" priority="7004" stopIfTrue="1" operator="containsText" text="Expresado">
      <formula>NOT(ISERROR(SEARCH("Expresado",I240)))</formula>
    </cfRule>
  </conditionalFormatting>
  <conditionalFormatting sqref="I243:L243">
    <cfRule type="containsText" dxfId="7795" priority="6885" stopIfTrue="1" operator="containsText" text="Potencial">
      <formula>NOT(ISERROR(SEARCH("Potencial",I243)))</formula>
    </cfRule>
    <cfRule type="containsText" dxfId="7794" priority="6886" stopIfTrue="1" operator="containsText" text="Expresado">
      <formula>NOT(ISERROR(SEARCH("Expresado",I243)))</formula>
    </cfRule>
  </conditionalFormatting>
  <conditionalFormatting sqref="I250:L250">
    <cfRule type="containsText" dxfId="7793" priority="6505" stopIfTrue="1" operator="containsText" text="Expresado">
      <formula>NOT(ISERROR(SEARCH("Expresado",I250)))</formula>
    </cfRule>
    <cfRule type="containsText" dxfId="7792" priority="6504" stopIfTrue="1" operator="containsText" text="Potencial">
      <formula>NOT(ISERROR(SEARCH("Potencial",I250)))</formula>
    </cfRule>
  </conditionalFormatting>
  <conditionalFormatting sqref="I254:L254">
    <cfRule type="containsText" dxfId="7791" priority="6584" stopIfTrue="1" operator="containsText" text="Potencial">
      <formula>NOT(ISERROR(SEARCH("Potencial",I254)))</formula>
    </cfRule>
    <cfRule type="containsText" dxfId="7790" priority="6585" stopIfTrue="1" operator="containsText" text="Expresado">
      <formula>NOT(ISERROR(SEARCH("Expresado",I254)))</formula>
    </cfRule>
  </conditionalFormatting>
  <conditionalFormatting sqref="I255:L255">
    <cfRule type="containsText" dxfId="7789" priority="6400" stopIfTrue="1" operator="containsText" text="Expresado">
      <formula>NOT(ISERROR(SEARCH("Expresado",I255)))</formula>
    </cfRule>
    <cfRule type="containsText" dxfId="7788" priority="6399" stopIfTrue="1" operator="containsText" text="Potencial">
      <formula>NOT(ISERROR(SEARCH("Potencial",I255)))</formula>
    </cfRule>
  </conditionalFormatting>
  <conditionalFormatting sqref="I264:L264">
    <cfRule type="containsText" dxfId="7787" priority="5967" stopIfTrue="1" operator="containsText" text="Potencial">
      <formula>NOT(ISERROR(SEARCH("Potencial",I264)))</formula>
    </cfRule>
    <cfRule type="containsText" dxfId="7786" priority="5968" stopIfTrue="1" operator="containsText" text="Expresado">
      <formula>NOT(ISERROR(SEARCH("Expresado",I264)))</formula>
    </cfRule>
  </conditionalFormatting>
  <conditionalFormatting sqref="I267:L267">
    <cfRule type="containsText" dxfId="7785" priority="6009" stopIfTrue="1" operator="containsText" text="Expresado">
      <formula>NOT(ISERROR(SEARCH("Expresado",I267)))</formula>
    </cfRule>
    <cfRule type="containsText" dxfId="7784" priority="6008" stopIfTrue="1" operator="containsText" text="Potencial">
      <formula>NOT(ISERROR(SEARCH("Potencial",I267)))</formula>
    </cfRule>
  </conditionalFormatting>
  <conditionalFormatting sqref="I276:L276">
    <cfRule type="containsText" dxfId="7783" priority="5450" stopIfTrue="1" operator="containsText" text="Expresado">
      <formula>NOT(ISERROR(SEARCH("Expresado",I276)))</formula>
    </cfRule>
    <cfRule type="containsText" dxfId="7782" priority="5449" stopIfTrue="1" operator="containsText" text="Potencial">
      <formula>NOT(ISERROR(SEARCH("Potencial",I276)))</formula>
    </cfRule>
  </conditionalFormatting>
  <conditionalFormatting sqref="I280:L280">
    <cfRule type="containsText" dxfId="7781" priority="5530" stopIfTrue="1" operator="containsText" text="Expresado">
      <formula>NOT(ISERROR(SEARCH("Expresado",I280)))</formula>
    </cfRule>
    <cfRule type="containsText" dxfId="7780" priority="5529" stopIfTrue="1" operator="containsText" text="Potencial">
      <formula>NOT(ISERROR(SEARCH("Potencial",I280)))</formula>
    </cfRule>
  </conditionalFormatting>
  <conditionalFormatting sqref="I281:L281">
    <cfRule type="containsText" dxfId="7779" priority="5344" stopIfTrue="1" operator="containsText" text="Potencial">
      <formula>NOT(ISERROR(SEARCH("Potencial",I281)))</formula>
    </cfRule>
    <cfRule type="containsText" dxfId="7778" priority="5345" stopIfTrue="1" operator="containsText" text="Expresado">
      <formula>NOT(ISERROR(SEARCH("Expresado",I281)))</formula>
    </cfRule>
  </conditionalFormatting>
  <conditionalFormatting sqref="I290:L290">
    <cfRule type="containsText" dxfId="7777" priority="4887" stopIfTrue="1" operator="containsText" text="Expresado">
      <formula>NOT(ISERROR(SEARCH("Expresado",I290)))</formula>
    </cfRule>
    <cfRule type="containsText" dxfId="7776" priority="4886" stopIfTrue="1" operator="containsText" text="Potencial">
      <formula>NOT(ISERROR(SEARCH("Potencial",I290)))</formula>
    </cfRule>
  </conditionalFormatting>
  <conditionalFormatting sqref="I294:L294">
    <cfRule type="containsText" dxfId="7775" priority="4966" stopIfTrue="1" operator="containsText" text="Potencial">
      <formula>NOT(ISERROR(SEARCH("Potencial",I294)))</formula>
    </cfRule>
    <cfRule type="containsText" dxfId="7774" priority="4967" stopIfTrue="1" operator="containsText" text="Expresado">
      <formula>NOT(ISERROR(SEARCH("Expresado",I294)))</formula>
    </cfRule>
  </conditionalFormatting>
  <conditionalFormatting sqref="I295:L295">
    <cfRule type="containsText" dxfId="7773" priority="4781" stopIfTrue="1" operator="containsText" text="Potencial">
      <formula>NOT(ISERROR(SEARCH("Potencial",I295)))</formula>
    </cfRule>
    <cfRule type="containsText" dxfId="7772" priority="4782" stopIfTrue="1" operator="containsText" text="Expresado">
      <formula>NOT(ISERROR(SEARCH("Expresado",I295)))</formula>
    </cfRule>
  </conditionalFormatting>
  <conditionalFormatting sqref="I304:L304">
    <cfRule type="containsText" dxfId="7771" priority="4323" stopIfTrue="1" operator="containsText" text="Potencial">
      <formula>NOT(ISERROR(SEARCH("Potencial",I304)))</formula>
    </cfRule>
    <cfRule type="containsText" dxfId="7770" priority="4324" stopIfTrue="1" operator="containsText" text="Expresado">
      <formula>NOT(ISERROR(SEARCH("Expresado",I304)))</formula>
    </cfRule>
  </conditionalFormatting>
  <conditionalFormatting sqref="I308:L308">
    <cfRule type="containsText" dxfId="7769" priority="4403" stopIfTrue="1" operator="containsText" text="Potencial">
      <formula>NOT(ISERROR(SEARCH("Potencial",I308)))</formula>
    </cfRule>
    <cfRule type="containsText" dxfId="7768" priority="4404" stopIfTrue="1" operator="containsText" text="Expresado">
      <formula>NOT(ISERROR(SEARCH("Expresado",I308)))</formula>
    </cfRule>
  </conditionalFormatting>
  <conditionalFormatting sqref="I309:L309">
    <cfRule type="containsText" dxfId="7767" priority="4219" stopIfTrue="1" operator="containsText" text="Expresado">
      <formula>NOT(ISERROR(SEARCH("Expresado",I309)))</formula>
    </cfRule>
    <cfRule type="containsText" dxfId="7766" priority="4218" stopIfTrue="1" operator="containsText" text="Potencial">
      <formula>NOT(ISERROR(SEARCH("Potencial",I309)))</formula>
    </cfRule>
  </conditionalFormatting>
  <conditionalFormatting sqref="I318:L318">
    <cfRule type="containsText" dxfId="7765" priority="3811" stopIfTrue="1" operator="containsText" text="Expresado">
      <formula>NOT(ISERROR(SEARCH("Expresado",I318)))</formula>
    </cfRule>
    <cfRule type="containsText" dxfId="7764" priority="3810" stopIfTrue="1" operator="containsText" text="Potencial">
      <formula>NOT(ISERROR(SEARCH("Potencial",I318)))</formula>
    </cfRule>
  </conditionalFormatting>
  <conditionalFormatting sqref="I321:L321">
    <cfRule type="containsText" dxfId="7763" priority="3852" stopIfTrue="1" operator="containsText" text="Expresado">
      <formula>NOT(ISERROR(SEARCH("Expresado",I321)))</formula>
    </cfRule>
    <cfRule type="containsText" dxfId="7762" priority="3851" stopIfTrue="1" operator="containsText" text="Potencial">
      <formula>NOT(ISERROR(SEARCH("Potencial",I321)))</formula>
    </cfRule>
  </conditionalFormatting>
  <conditionalFormatting sqref="I330:L330">
    <cfRule type="containsText" dxfId="7761" priority="3313" stopIfTrue="1" operator="containsText" text="Expresado">
      <formula>NOT(ISERROR(SEARCH("Expresado",I330)))</formula>
    </cfRule>
    <cfRule type="containsText" dxfId="7760" priority="3312" stopIfTrue="1" operator="containsText" text="Potencial">
      <formula>NOT(ISERROR(SEARCH("Potencial",I330)))</formula>
    </cfRule>
  </conditionalFormatting>
  <conditionalFormatting sqref="I334:L334">
    <cfRule type="containsText" dxfId="7759" priority="3393" stopIfTrue="1" operator="containsText" text="Expresado">
      <formula>NOT(ISERROR(SEARCH("Expresado",I334)))</formula>
    </cfRule>
    <cfRule type="containsText" dxfId="7758" priority="3392" stopIfTrue="1" operator="containsText" text="Potencial">
      <formula>NOT(ISERROR(SEARCH("Potencial",I334)))</formula>
    </cfRule>
  </conditionalFormatting>
  <conditionalFormatting sqref="I335:L335">
    <cfRule type="containsText" dxfId="7757" priority="3208" stopIfTrue="1" operator="containsText" text="Expresado">
      <formula>NOT(ISERROR(SEARCH("Expresado",I335)))</formula>
    </cfRule>
    <cfRule type="containsText" dxfId="7756" priority="3207" stopIfTrue="1" operator="containsText" text="Potencial">
      <formula>NOT(ISERROR(SEARCH("Potencial",I335)))</formula>
    </cfRule>
  </conditionalFormatting>
  <conditionalFormatting sqref="I344:L344">
    <cfRule type="containsText" dxfId="7755" priority="2749" stopIfTrue="1" operator="containsText" text="Potencial">
      <formula>NOT(ISERROR(SEARCH("Potencial",I344)))</formula>
    </cfRule>
    <cfRule type="containsText" dxfId="7754" priority="2750" stopIfTrue="1" operator="containsText" text="Expresado">
      <formula>NOT(ISERROR(SEARCH("Expresado",I344)))</formula>
    </cfRule>
  </conditionalFormatting>
  <conditionalFormatting sqref="I348:L348">
    <cfRule type="containsText" dxfId="7753" priority="2829" stopIfTrue="1" operator="containsText" text="Potencial">
      <formula>NOT(ISERROR(SEARCH("Potencial",I348)))</formula>
    </cfRule>
    <cfRule type="containsText" dxfId="7752" priority="2830" stopIfTrue="1" operator="containsText" text="Expresado">
      <formula>NOT(ISERROR(SEARCH("Expresado",I348)))</formula>
    </cfRule>
  </conditionalFormatting>
  <conditionalFormatting sqref="I349:L349">
    <cfRule type="containsText" dxfId="7751" priority="2645" stopIfTrue="1" operator="containsText" text="Expresado">
      <formula>NOT(ISERROR(SEARCH("Expresado",I349)))</formula>
    </cfRule>
    <cfRule type="containsText" dxfId="7750" priority="2644" stopIfTrue="1" operator="containsText" text="Potencial">
      <formula>NOT(ISERROR(SEARCH("Potencial",I349)))</formula>
    </cfRule>
  </conditionalFormatting>
  <conditionalFormatting sqref="I362:L362">
    <cfRule type="containsText" dxfId="7749" priority="2249" stopIfTrue="1" operator="containsText" text="Potencial">
      <formula>NOT(ISERROR(SEARCH("Potencial",I362)))</formula>
    </cfRule>
    <cfRule type="containsText" dxfId="7748" priority="2250" stopIfTrue="1" operator="containsText" text="Expresado">
      <formula>NOT(ISERROR(SEARCH("Expresado",I362)))</formula>
    </cfRule>
  </conditionalFormatting>
  <conditionalFormatting sqref="I372:L372">
    <cfRule type="containsText" dxfId="7747" priority="1679" stopIfTrue="1" operator="containsText" text="Potencial">
      <formula>NOT(ISERROR(SEARCH("Potencial",I372)))</formula>
    </cfRule>
    <cfRule type="containsText" dxfId="7746" priority="1680" stopIfTrue="1" operator="containsText" text="Expresado">
      <formula>NOT(ISERROR(SEARCH("Expresado",I372)))</formula>
    </cfRule>
  </conditionalFormatting>
  <conditionalFormatting sqref="I375:L375">
    <cfRule type="containsText" dxfId="7745" priority="1721" stopIfTrue="1" operator="containsText" text="Expresado">
      <formula>NOT(ISERROR(SEARCH("Expresado",I375)))</formula>
    </cfRule>
    <cfRule type="containsText" dxfId="7744" priority="1720" stopIfTrue="1" operator="containsText" text="Potencial">
      <formula>NOT(ISERROR(SEARCH("Potencial",I375)))</formula>
    </cfRule>
  </conditionalFormatting>
  <conditionalFormatting sqref="I385:L385">
    <cfRule type="containsText" dxfId="7743" priority="1329" stopIfTrue="1" operator="containsText" text="Potencial">
      <formula>NOT(ISERROR(SEARCH("Potencial",I385)))</formula>
    </cfRule>
    <cfRule type="containsText" dxfId="7742" priority="1330" stopIfTrue="1" operator="containsText" text="Expresado">
      <formula>NOT(ISERROR(SEARCH("Expresado",I385)))</formula>
    </cfRule>
  </conditionalFormatting>
  <conditionalFormatting sqref="I394:L394">
    <cfRule type="containsText" dxfId="7741" priority="794" stopIfTrue="1" operator="containsText" text="Potencial">
      <formula>NOT(ISERROR(SEARCH("Potencial",I394)))</formula>
    </cfRule>
    <cfRule type="containsText" dxfId="7740" priority="795" stopIfTrue="1" operator="containsText" text="Expresado">
      <formula>NOT(ISERROR(SEARCH("Expresado",I394)))</formula>
    </cfRule>
  </conditionalFormatting>
  <conditionalFormatting sqref="I397:L397">
    <cfRule type="containsText" dxfId="7739" priority="836" stopIfTrue="1" operator="containsText" text="Expresado">
      <formula>NOT(ISERROR(SEARCH("Expresado",I397)))</formula>
    </cfRule>
    <cfRule type="containsText" dxfId="7738" priority="835" stopIfTrue="1" operator="containsText" text="Potencial">
      <formula>NOT(ISERROR(SEARCH("Potencial",I397)))</formula>
    </cfRule>
  </conditionalFormatting>
  <conditionalFormatting sqref="I407:L407">
    <cfRule type="containsText" dxfId="7737" priority="264" stopIfTrue="1" operator="containsText" text="Potencial">
      <formula>NOT(ISERROR(SEARCH("Potencial",I407)))</formula>
    </cfRule>
    <cfRule type="containsText" dxfId="7736" priority="265" stopIfTrue="1" operator="containsText" text="Expresado">
      <formula>NOT(ISERROR(SEARCH("Expresado",I407)))</formula>
    </cfRule>
  </conditionalFormatting>
  <conditionalFormatting sqref="I410:L410">
    <cfRule type="containsText" dxfId="7735" priority="305" stopIfTrue="1" operator="containsText" text="Potencial">
      <formula>NOT(ISERROR(SEARCH("Potencial",I410)))</formula>
    </cfRule>
    <cfRule type="containsText" dxfId="7734" priority="306" stopIfTrue="1" operator="containsText" text="Expresado">
      <formula>NOT(ISERROR(SEARCH("Expresado",I410)))</formula>
    </cfRule>
  </conditionalFormatting>
  <conditionalFormatting sqref="I416:L431">
    <cfRule type="containsText" dxfId="7733" priority="60" stopIfTrue="1" operator="containsText" text="Expresado">
      <formula>NOT(ISERROR(SEARCH("Expresado",I416)))</formula>
    </cfRule>
    <cfRule type="containsText" dxfId="7732" priority="59" stopIfTrue="1" operator="containsText" text="Potencial">
      <formula>NOT(ISERROR(SEARCH("Potencial",I416)))</formula>
    </cfRule>
  </conditionalFormatting>
  <conditionalFormatting sqref="I431:L431">
    <cfRule type="containsText" dxfId="7731" priority="34" stopIfTrue="1" operator="containsText" text="Expresado">
      <formula>NOT(ISERROR(SEARCH("Expresado",I431)))</formula>
    </cfRule>
    <cfRule type="containsText" dxfId="7730" priority="33" stopIfTrue="1" operator="containsText" text="Potencial">
      <formula>NOT(ISERROR(SEARCH("Potencial",I431)))</formula>
    </cfRule>
  </conditionalFormatting>
  <conditionalFormatting sqref="I436:L439">
    <cfRule type="containsText" dxfId="7729" priority="20" stopIfTrue="1" operator="containsText" text="Expresado">
      <formula>NOT(ISERROR(SEARCH("Expresado",I436)))</formula>
    </cfRule>
    <cfRule type="containsText" dxfId="7728" priority="19" stopIfTrue="1" operator="containsText" text="Potencial">
      <formula>NOT(ISERROR(SEARCH("Potencial",I436)))</formula>
    </cfRule>
  </conditionalFormatting>
  <conditionalFormatting sqref="J31">
    <cfRule type="containsText" dxfId="7727" priority="8823" stopIfTrue="1" operator="containsText" text="Expresado">
      <formula>NOT(ISERROR(SEARCH("Expresado",J31)))</formula>
    </cfRule>
    <cfRule type="containsText" dxfId="7726" priority="8822" stopIfTrue="1" operator="containsText" text="Potencial">
      <formula>NOT(ISERROR(SEARCH("Potencial",J31)))</formula>
    </cfRule>
  </conditionalFormatting>
  <conditionalFormatting sqref="J61 J38">
    <cfRule type="containsText" dxfId="7725" priority="13047" stopIfTrue="1" operator="containsText" text="Expresado">
      <formula>NOT(ISERROR(SEARCH("Expresado",J38)))</formula>
    </cfRule>
    <cfRule type="containsText" dxfId="7724" priority="13046" stopIfTrue="1" operator="containsText" text="Potencial">
      <formula>NOT(ISERROR(SEARCH("Potencial",J38)))</formula>
    </cfRule>
  </conditionalFormatting>
  <conditionalFormatting sqref="J73:J74 J27:J28">
    <cfRule type="containsText" dxfId="7723" priority="13706" stopIfTrue="1" operator="containsText" text="Potencial">
      <formula>NOT(ISERROR(SEARCH("Potencial",J27)))</formula>
    </cfRule>
    <cfRule type="containsText" dxfId="7722" priority="13707" stopIfTrue="1" operator="containsText" text="Expresado">
      <formula>NOT(ISERROR(SEARCH("Expresado",J27)))</formula>
    </cfRule>
  </conditionalFormatting>
  <conditionalFormatting sqref="J76">
    <cfRule type="containsText" dxfId="7721" priority="13692" stopIfTrue="1" operator="containsText" text="Expresado">
      <formula>NOT(ISERROR(SEARCH("Expresado",J76)))</formula>
    </cfRule>
    <cfRule type="containsText" dxfId="7720" priority="13691" stopIfTrue="1" operator="containsText" text="Potencial">
      <formula>NOT(ISERROR(SEARCH("Potencial",J76)))</formula>
    </cfRule>
  </conditionalFormatting>
  <conditionalFormatting sqref="J77">
    <cfRule type="containsText" dxfId="7719" priority="13648" stopIfTrue="1" operator="containsText" text="Potencial">
      <formula>NOT(ISERROR(SEARCH("Potencial",J77)))</formula>
    </cfRule>
    <cfRule type="containsText" dxfId="7718" priority="13649" stopIfTrue="1" operator="containsText" text="Expresado">
      <formula>NOT(ISERROR(SEARCH("Expresado",J77)))</formula>
    </cfRule>
  </conditionalFormatting>
  <conditionalFormatting sqref="J84:J85 J88">
    <cfRule type="containsText" dxfId="7717" priority="13421" stopIfTrue="1" operator="containsText" text="Potencial">
      <formula>NOT(ISERROR(SEARCH("Potencial",J84)))</formula>
    </cfRule>
    <cfRule type="containsText" dxfId="7716" priority="13422" stopIfTrue="1" operator="containsText" text="Expresado">
      <formula>NOT(ISERROR(SEARCH("Expresado",J84)))</formula>
    </cfRule>
  </conditionalFormatting>
  <conditionalFormatting sqref="J86">
    <cfRule type="containsText" dxfId="7715" priority="13183" stopIfTrue="1" operator="containsText" text="Expresado">
      <formula>NOT(ISERROR(SEARCH("Expresado",J86)))</formula>
    </cfRule>
    <cfRule type="containsText" dxfId="7714" priority="13182" stopIfTrue="1" operator="containsText" text="Potencial">
      <formula>NOT(ISERROR(SEARCH("Potencial",J86)))</formula>
    </cfRule>
  </conditionalFormatting>
  <conditionalFormatting sqref="J87">
    <cfRule type="containsText" dxfId="7713" priority="13181" stopIfTrue="1" operator="containsText" text="Expresado">
      <formula>NOT(ISERROR(SEARCH("Expresado",J87)))</formula>
    </cfRule>
    <cfRule type="containsText" dxfId="7712" priority="13180" stopIfTrue="1" operator="containsText" text="Potencial">
      <formula>NOT(ISERROR(SEARCH("Potencial",J87)))</formula>
    </cfRule>
  </conditionalFormatting>
  <conditionalFormatting sqref="J92">
    <cfRule type="containsText" dxfId="7711" priority="13173" stopIfTrue="1" operator="containsText" text="Expresado">
      <formula>NOT(ISERROR(SEARCH("Expresado",J92)))</formula>
    </cfRule>
    <cfRule type="containsText" dxfId="7710" priority="13172" stopIfTrue="1" operator="containsText" text="Potencial">
      <formula>NOT(ISERROR(SEARCH("Potencial",J92)))</formula>
    </cfRule>
  </conditionalFormatting>
  <conditionalFormatting sqref="J93:J94">
    <cfRule type="containsText" dxfId="7709" priority="13134" stopIfTrue="1" operator="containsText" text="Expresado">
      <formula>NOT(ISERROR(SEARCH("Expresado",J93)))</formula>
    </cfRule>
    <cfRule type="containsText" dxfId="7708" priority="13133" stopIfTrue="1" operator="containsText" text="Potencial">
      <formula>NOT(ISERROR(SEARCH("Potencial",J93)))</formula>
    </cfRule>
  </conditionalFormatting>
  <conditionalFormatting sqref="J98">
    <cfRule type="containsText" dxfId="7707" priority="8772" stopIfTrue="1" operator="containsText" text="Expresado">
      <formula>NOT(ISERROR(SEARCH("Expresado",J98)))</formula>
    </cfRule>
    <cfRule type="containsText" dxfId="7706" priority="8771" stopIfTrue="1" operator="containsText" text="Potencial">
      <formula>NOT(ISERROR(SEARCH("Potencial",J98)))</formula>
    </cfRule>
  </conditionalFormatting>
  <conditionalFormatting sqref="J99">
    <cfRule type="containsText" dxfId="7705" priority="12856" stopIfTrue="1" operator="containsText" text="Expresado">
      <formula>NOT(ISERROR(SEARCH("Expresado",J99)))</formula>
    </cfRule>
    <cfRule type="containsText" dxfId="7704" priority="12855" stopIfTrue="1" operator="containsText" text="Potencial">
      <formula>NOT(ISERROR(SEARCH("Potencial",J99)))</formula>
    </cfRule>
  </conditionalFormatting>
  <conditionalFormatting sqref="J100">
    <cfRule type="containsText" dxfId="7703" priority="12811" stopIfTrue="1" operator="containsText" text="Expresado">
      <formula>NOT(ISERROR(SEARCH("Expresado",J100)))</formula>
    </cfRule>
    <cfRule type="containsText" dxfId="7702" priority="12810" stopIfTrue="1" operator="containsText" text="Potencial">
      <formula>NOT(ISERROR(SEARCH("Potencial",J100)))</formula>
    </cfRule>
  </conditionalFormatting>
  <conditionalFormatting sqref="J101">
    <cfRule type="containsText" dxfId="7701" priority="12967" stopIfTrue="1" operator="containsText" text="Expresado">
      <formula>NOT(ISERROR(SEARCH("Expresado",J101)))</formula>
    </cfRule>
    <cfRule type="containsText" dxfId="7700" priority="12966" stopIfTrue="1" operator="containsText" text="Potencial">
      <formula>NOT(ISERROR(SEARCH("Potencial",J101)))</formula>
    </cfRule>
  </conditionalFormatting>
  <conditionalFormatting sqref="J102">
    <cfRule type="containsText" dxfId="7699" priority="12770" stopIfTrue="1" operator="containsText" text="Expresado">
      <formula>NOT(ISERROR(SEARCH("Expresado",J102)))</formula>
    </cfRule>
    <cfRule type="containsText" dxfId="7698" priority="12769" stopIfTrue="1" operator="containsText" text="Potencial">
      <formula>NOT(ISERROR(SEARCH("Potencial",J102)))</formula>
    </cfRule>
  </conditionalFormatting>
  <conditionalFormatting sqref="J103">
    <cfRule type="containsText" dxfId="7697" priority="12721" stopIfTrue="1" operator="containsText" text="Expresado">
      <formula>NOT(ISERROR(SEARCH("Expresado",J103)))</formula>
    </cfRule>
    <cfRule type="containsText" dxfId="7696" priority="12720" stopIfTrue="1" operator="containsText" text="Potencial">
      <formula>NOT(ISERROR(SEARCH("Potencial",J103)))</formula>
    </cfRule>
  </conditionalFormatting>
  <conditionalFormatting sqref="J109">
    <cfRule type="containsText" dxfId="7695" priority="12636" stopIfTrue="1" operator="containsText" text="Potencial">
      <formula>NOT(ISERROR(SEARCH("Potencial",J109)))</formula>
    </cfRule>
    <cfRule type="containsText" dxfId="7694" priority="12637" stopIfTrue="1" operator="containsText" text="Expresado">
      <formula>NOT(ISERROR(SEARCH("Expresado",J109)))</formula>
    </cfRule>
  </conditionalFormatting>
  <conditionalFormatting sqref="J111">
    <cfRule type="containsText" dxfId="7693" priority="12381" stopIfTrue="1" operator="containsText" text="Expresado">
      <formula>NOT(ISERROR(SEARCH("Expresado",J111)))</formula>
    </cfRule>
    <cfRule type="containsText" dxfId="7692" priority="12380" stopIfTrue="1" operator="containsText" text="Potencial">
      <formula>NOT(ISERROR(SEARCH("Potencial",J111)))</formula>
    </cfRule>
  </conditionalFormatting>
  <conditionalFormatting sqref="J112">
    <cfRule type="containsText" dxfId="7691" priority="12419" stopIfTrue="1" operator="containsText" text="Potencial">
      <formula>NOT(ISERROR(SEARCH("Potencial",J112)))</formula>
    </cfRule>
    <cfRule type="containsText" dxfId="7690" priority="12420" stopIfTrue="1" operator="containsText" text="Expresado">
      <formula>NOT(ISERROR(SEARCH("Expresado",J112)))</formula>
    </cfRule>
  </conditionalFormatting>
  <conditionalFormatting sqref="J116">
    <cfRule type="containsText" dxfId="7689" priority="12232" stopIfTrue="1" operator="containsText" text="Potencial">
      <formula>NOT(ISERROR(SEARCH("Potencial",J116)))</formula>
    </cfRule>
    <cfRule type="containsText" dxfId="7688" priority="12233" stopIfTrue="1" operator="containsText" text="Expresado">
      <formula>NOT(ISERROR(SEARCH("Expresado",J116)))</formula>
    </cfRule>
  </conditionalFormatting>
  <conditionalFormatting sqref="J118">
    <cfRule type="containsText" dxfId="7687" priority="8721" stopIfTrue="1" operator="containsText" text="Expresado">
      <formula>NOT(ISERROR(SEARCH("Expresado",J118)))</formula>
    </cfRule>
    <cfRule type="containsText" dxfId="7686" priority="8720" stopIfTrue="1" operator="containsText" text="Potencial">
      <formula>NOT(ISERROR(SEARCH("Potencial",J118)))</formula>
    </cfRule>
  </conditionalFormatting>
  <conditionalFormatting sqref="J119">
    <cfRule type="containsText" dxfId="7685" priority="12054" stopIfTrue="1" operator="containsText" text="Potencial">
      <formula>NOT(ISERROR(SEARCH("Potencial",J119)))</formula>
    </cfRule>
    <cfRule type="containsText" dxfId="7684" priority="12055" stopIfTrue="1" operator="containsText" text="Expresado">
      <formula>NOT(ISERROR(SEARCH("Expresado",J119)))</formula>
    </cfRule>
  </conditionalFormatting>
  <conditionalFormatting sqref="J120">
    <cfRule type="containsText" dxfId="7683" priority="12010" stopIfTrue="1" operator="containsText" text="Expresado">
      <formula>NOT(ISERROR(SEARCH("Expresado",J120)))</formula>
    </cfRule>
    <cfRule type="containsText" dxfId="7682" priority="12009" stopIfTrue="1" operator="containsText" text="Potencial">
      <formula>NOT(ISERROR(SEARCH("Potencial",J120)))</formula>
    </cfRule>
  </conditionalFormatting>
  <conditionalFormatting sqref="J121">
    <cfRule type="containsText" dxfId="7681" priority="12165" stopIfTrue="1" operator="containsText" text="Potencial">
      <formula>NOT(ISERROR(SEARCH("Potencial",J121)))</formula>
    </cfRule>
    <cfRule type="containsText" dxfId="7680" priority="12166" stopIfTrue="1" operator="containsText" text="Expresado">
      <formula>NOT(ISERROR(SEARCH("Expresado",J121)))</formula>
    </cfRule>
  </conditionalFormatting>
  <conditionalFormatting sqref="J122">
    <cfRule type="containsText" dxfId="7679" priority="11969" stopIfTrue="1" operator="containsText" text="Expresado">
      <formula>NOT(ISERROR(SEARCH("Expresado",J122)))</formula>
    </cfRule>
    <cfRule type="containsText" dxfId="7678" priority="11968" stopIfTrue="1" operator="containsText" text="Potencial">
      <formula>NOT(ISERROR(SEARCH("Potencial",J122)))</formula>
    </cfRule>
  </conditionalFormatting>
  <conditionalFormatting sqref="J123">
    <cfRule type="containsText" dxfId="7677" priority="11920" stopIfTrue="1" operator="containsText" text="Expresado">
      <formula>NOT(ISERROR(SEARCH("Expresado",J123)))</formula>
    </cfRule>
    <cfRule type="containsText" dxfId="7676" priority="11919" stopIfTrue="1" operator="containsText" text="Potencial">
      <formula>NOT(ISERROR(SEARCH("Potencial",J123)))</formula>
    </cfRule>
  </conditionalFormatting>
  <conditionalFormatting sqref="J129">
    <cfRule type="containsText" dxfId="7675" priority="11835" stopIfTrue="1" operator="containsText" text="Potencial">
      <formula>NOT(ISERROR(SEARCH("Potencial",J129)))</formula>
    </cfRule>
    <cfRule type="containsText" dxfId="7674" priority="11836" stopIfTrue="1" operator="containsText" text="Expresado">
      <formula>NOT(ISERROR(SEARCH("Expresado",J129)))</formula>
    </cfRule>
  </conditionalFormatting>
  <conditionalFormatting sqref="J131">
    <cfRule type="containsText" dxfId="7673" priority="11663" stopIfTrue="1" operator="containsText" text="Potencial">
      <formula>NOT(ISERROR(SEARCH("Potencial",J131)))</formula>
    </cfRule>
    <cfRule type="containsText" dxfId="7672" priority="11664" stopIfTrue="1" operator="containsText" text="Expresado">
      <formula>NOT(ISERROR(SEARCH("Expresado",J131)))</formula>
    </cfRule>
  </conditionalFormatting>
  <conditionalFormatting sqref="J137">
    <cfRule type="containsText" dxfId="7671" priority="11287" stopIfTrue="1" operator="containsText" text="Expresado">
      <formula>NOT(ISERROR(SEARCH("Expresado",J137)))</formula>
    </cfRule>
    <cfRule type="containsText" dxfId="7670" priority="11286" stopIfTrue="1" operator="containsText" text="Potencial">
      <formula>NOT(ISERROR(SEARCH("Potencial",J137)))</formula>
    </cfRule>
  </conditionalFormatting>
  <conditionalFormatting sqref="J138">
    <cfRule type="containsText" dxfId="7669" priority="11443" stopIfTrue="1" operator="containsText" text="Expresado">
      <formula>NOT(ISERROR(SEARCH("Expresado",J138)))</formula>
    </cfRule>
    <cfRule type="containsText" dxfId="7668" priority="11442" stopIfTrue="1" operator="containsText" text="Potencial">
      <formula>NOT(ISERROR(SEARCH("Potencial",J138)))</formula>
    </cfRule>
  </conditionalFormatting>
  <conditionalFormatting sqref="J139">
    <cfRule type="containsText" dxfId="7667" priority="11245" stopIfTrue="1" operator="containsText" text="Potencial">
      <formula>NOT(ISERROR(SEARCH("Potencial",J139)))</formula>
    </cfRule>
    <cfRule type="containsText" dxfId="7666" priority="11246" stopIfTrue="1" operator="containsText" text="Expresado">
      <formula>NOT(ISERROR(SEARCH("Expresado",J139)))</formula>
    </cfRule>
  </conditionalFormatting>
  <conditionalFormatting sqref="J140">
    <cfRule type="containsText" dxfId="7665" priority="11196" stopIfTrue="1" operator="containsText" text="Potencial">
      <formula>NOT(ISERROR(SEARCH("Potencial",J140)))</formula>
    </cfRule>
    <cfRule type="containsText" dxfId="7664" priority="11197" stopIfTrue="1" operator="containsText" text="Expresado">
      <formula>NOT(ISERROR(SEARCH("Expresado",J140)))</formula>
    </cfRule>
  </conditionalFormatting>
  <conditionalFormatting sqref="J146">
    <cfRule type="containsText" dxfId="7663" priority="11112" stopIfTrue="1" operator="containsText" text="Potencial">
      <formula>NOT(ISERROR(SEARCH("Potencial",J146)))</formula>
    </cfRule>
    <cfRule type="containsText" dxfId="7662" priority="11113" stopIfTrue="1" operator="containsText" text="Expresado">
      <formula>NOT(ISERROR(SEARCH("Expresado",J146)))</formula>
    </cfRule>
  </conditionalFormatting>
  <conditionalFormatting sqref="J148">
    <cfRule type="containsText" dxfId="7661" priority="10860" stopIfTrue="1" operator="containsText" text="Potencial">
      <formula>NOT(ISERROR(SEARCH("Potencial",J148)))</formula>
    </cfRule>
    <cfRule type="containsText" dxfId="7660" priority="10861" stopIfTrue="1" operator="containsText" text="Expresado">
      <formula>NOT(ISERROR(SEARCH("Expresado",J148)))</formula>
    </cfRule>
  </conditionalFormatting>
  <conditionalFormatting sqref="J149">
    <cfRule type="containsText" dxfId="7659" priority="10900" stopIfTrue="1" operator="containsText" text="Expresado">
      <formula>NOT(ISERROR(SEARCH("Expresado",J149)))</formula>
    </cfRule>
    <cfRule type="containsText" dxfId="7658" priority="10899" stopIfTrue="1" operator="containsText" text="Potencial">
      <formula>NOT(ISERROR(SEARCH("Potencial",J149)))</formula>
    </cfRule>
  </conditionalFormatting>
  <conditionalFormatting sqref="J153">
    <cfRule type="containsText" dxfId="7657" priority="10721" stopIfTrue="1" operator="containsText" text="Expresado">
      <formula>NOT(ISERROR(SEARCH("Expresado",J153)))</formula>
    </cfRule>
    <cfRule type="containsText" dxfId="7656" priority="10720" stopIfTrue="1" operator="containsText" text="Potencial">
      <formula>NOT(ISERROR(SEARCH("Potencial",J153)))</formula>
    </cfRule>
  </conditionalFormatting>
  <conditionalFormatting sqref="J156">
    <cfRule type="containsText" dxfId="7655" priority="10538" stopIfTrue="1" operator="containsText" text="Potencial">
      <formula>NOT(ISERROR(SEARCH("Potencial",J156)))</formula>
    </cfRule>
    <cfRule type="containsText" dxfId="7654" priority="10539" stopIfTrue="1" operator="containsText" text="Expresado">
      <formula>NOT(ISERROR(SEARCH("Expresado",J156)))</formula>
    </cfRule>
  </conditionalFormatting>
  <conditionalFormatting sqref="J157">
    <cfRule type="containsText" dxfId="7653" priority="10494" stopIfTrue="1" operator="containsText" text="Expresado">
      <formula>NOT(ISERROR(SEARCH("Expresado",J157)))</formula>
    </cfRule>
    <cfRule type="containsText" dxfId="7652" priority="10493" stopIfTrue="1" operator="containsText" text="Potencial">
      <formula>NOT(ISERROR(SEARCH("Potencial",J157)))</formula>
    </cfRule>
  </conditionalFormatting>
  <conditionalFormatting sqref="J158">
    <cfRule type="containsText" dxfId="7651" priority="10649" stopIfTrue="1" operator="containsText" text="Potencial">
      <formula>NOT(ISERROR(SEARCH("Potencial",J158)))</formula>
    </cfRule>
    <cfRule type="containsText" dxfId="7650" priority="10650" stopIfTrue="1" operator="containsText" text="Expresado">
      <formula>NOT(ISERROR(SEARCH("Expresado",J158)))</formula>
    </cfRule>
  </conditionalFormatting>
  <conditionalFormatting sqref="J159">
    <cfRule type="containsText" dxfId="7649" priority="10452" stopIfTrue="1" operator="containsText" text="Potencial">
      <formula>NOT(ISERROR(SEARCH("Potencial",J159)))</formula>
    </cfRule>
    <cfRule type="containsText" dxfId="7648" priority="10453" stopIfTrue="1" operator="containsText" text="Expresado">
      <formula>NOT(ISERROR(SEARCH("Expresado",J159)))</formula>
    </cfRule>
  </conditionalFormatting>
  <conditionalFormatting sqref="J160">
    <cfRule type="containsText" dxfId="7647" priority="10403" stopIfTrue="1" operator="containsText" text="Potencial">
      <formula>NOT(ISERROR(SEARCH("Potencial",J160)))</formula>
    </cfRule>
    <cfRule type="containsText" dxfId="7646" priority="10404" stopIfTrue="1" operator="containsText" text="Expresado">
      <formula>NOT(ISERROR(SEARCH("Expresado",J160)))</formula>
    </cfRule>
  </conditionalFormatting>
  <conditionalFormatting sqref="J166">
    <cfRule type="containsText" dxfId="7645" priority="10320" stopIfTrue="1" operator="containsText" text="Expresado">
      <formula>NOT(ISERROR(SEARCH("Expresado",J166)))</formula>
    </cfRule>
    <cfRule type="containsText" dxfId="7644" priority="10319" stopIfTrue="1" operator="containsText" text="Potencial">
      <formula>NOT(ISERROR(SEARCH("Potencial",J166)))</formula>
    </cfRule>
  </conditionalFormatting>
  <conditionalFormatting sqref="J168">
    <cfRule type="containsText" dxfId="7643" priority="9863" stopIfTrue="1" operator="containsText" text="Expresado">
      <formula>NOT(ISERROR(SEARCH("Expresado",J168)))</formula>
    </cfRule>
    <cfRule type="containsText" dxfId="7642" priority="9862" stopIfTrue="1" operator="containsText" text="Potencial">
      <formula>NOT(ISERROR(SEARCH("Potencial",J168)))</formula>
    </cfRule>
  </conditionalFormatting>
  <conditionalFormatting sqref="J173 J155 J136">
    <cfRule type="containsText" dxfId="7641" priority="8670" stopIfTrue="1" operator="containsText" text="Expresado">
      <formula>NOT(ISERROR(SEARCH("Expresado",J136)))</formula>
    </cfRule>
    <cfRule type="containsText" dxfId="7640" priority="8669" stopIfTrue="1" operator="containsText" text="Potencial">
      <formula>NOT(ISERROR(SEARCH("Potencial",J136)))</formula>
    </cfRule>
  </conditionalFormatting>
  <conditionalFormatting sqref="J174">
    <cfRule type="containsText" dxfId="7639" priority="9699" stopIfTrue="1" operator="containsText" text="Expresado">
      <formula>NOT(ISERROR(SEARCH("Expresado",J174)))</formula>
    </cfRule>
    <cfRule type="containsText" dxfId="7638" priority="9698" stopIfTrue="1" operator="containsText" text="Potencial">
      <formula>NOT(ISERROR(SEARCH("Potencial",J174)))</formula>
    </cfRule>
  </conditionalFormatting>
  <conditionalFormatting sqref="J175">
    <cfRule type="containsText" dxfId="7637" priority="9653" stopIfTrue="1" operator="containsText" text="Potencial">
      <formula>NOT(ISERROR(SEARCH("Potencial",J175)))</formula>
    </cfRule>
    <cfRule type="containsText" dxfId="7636" priority="9654" stopIfTrue="1" operator="containsText" text="Expresado">
      <formula>NOT(ISERROR(SEARCH("Expresado",J175)))</formula>
    </cfRule>
  </conditionalFormatting>
  <conditionalFormatting sqref="J176">
    <cfRule type="containsText" dxfId="7635" priority="9809" stopIfTrue="1" operator="containsText" text="Potencial">
      <formula>NOT(ISERROR(SEARCH("Potencial",J176)))</formula>
    </cfRule>
    <cfRule type="containsText" dxfId="7634" priority="9810" stopIfTrue="1" operator="containsText" text="Expresado">
      <formula>NOT(ISERROR(SEARCH("Expresado",J176)))</formula>
    </cfRule>
  </conditionalFormatting>
  <conditionalFormatting sqref="J177">
    <cfRule type="containsText" dxfId="7633" priority="9613" stopIfTrue="1" operator="containsText" text="Expresado">
      <formula>NOT(ISERROR(SEARCH("Expresado",J177)))</formula>
    </cfRule>
    <cfRule type="containsText" dxfId="7632" priority="9612" stopIfTrue="1" operator="containsText" text="Potencial">
      <formula>NOT(ISERROR(SEARCH("Potencial",J177)))</formula>
    </cfRule>
  </conditionalFormatting>
  <conditionalFormatting sqref="J178">
    <cfRule type="containsText" dxfId="7631" priority="9563" stopIfTrue="1" operator="containsText" text="Potencial">
      <formula>NOT(ISERROR(SEARCH("Potencial",J178)))</formula>
    </cfRule>
    <cfRule type="containsText" dxfId="7630" priority="9564" stopIfTrue="1" operator="containsText" text="Expresado">
      <formula>NOT(ISERROR(SEARCH("Expresado",J178)))</formula>
    </cfRule>
  </conditionalFormatting>
  <conditionalFormatting sqref="J184">
    <cfRule type="containsText" dxfId="7629" priority="9480" stopIfTrue="1" operator="containsText" text="Expresado">
      <formula>NOT(ISERROR(SEARCH("Expresado",J184)))</formula>
    </cfRule>
    <cfRule type="containsText" dxfId="7628" priority="9479" stopIfTrue="1" operator="containsText" text="Potencial">
      <formula>NOT(ISERROR(SEARCH("Potencial",J184)))</formula>
    </cfRule>
  </conditionalFormatting>
  <conditionalFormatting sqref="J186">
    <cfRule type="containsText" dxfId="7627" priority="9147" stopIfTrue="1" operator="containsText" text="Potencial">
      <formula>NOT(ISERROR(SEARCH("Potencial",J186)))</formula>
    </cfRule>
    <cfRule type="containsText" dxfId="7626" priority="9148" stopIfTrue="1" operator="containsText" text="Expresado">
      <formula>NOT(ISERROR(SEARCH("Expresado",J186)))</formula>
    </cfRule>
  </conditionalFormatting>
  <conditionalFormatting sqref="J190">
    <cfRule type="containsText" dxfId="7625" priority="9128" stopIfTrue="1" operator="containsText" text="Potencial">
      <formula>NOT(ISERROR(SEARCH("Potencial",J190)))</formula>
    </cfRule>
    <cfRule type="containsText" dxfId="7624" priority="9129" stopIfTrue="1" operator="containsText" text="Expresado">
      <formula>NOT(ISERROR(SEARCH("Expresado",J190)))</formula>
    </cfRule>
  </conditionalFormatting>
  <conditionalFormatting sqref="J200">
    <cfRule type="containsText" dxfId="7623" priority="8532" stopIfTrue="1" operator="containsText" text="Potencial">
      <formula>NOT(ISERROR(SEARCH("Potencial",J200)))</formula>
    </cfRule>
    <cfRule type="containsText" dxfId="7622" priority="8533" stopIfTrue="1" operator="containsText" text="Expresado">
      <formula>NOT(ISERROR(SEARCH("Expresado",J200)))</formula>
    </cfRule>
  </conditionalFormatting>
  <conditionalFormatting sqref="J201">
    <cfRule type="containsText" dxfId="7621" priority="8133" stopIfTrue="1" operator="containsText" text="Expresado">
      <formula>NOT(ISERROR(SEARCH("Expresado",J201)))</formula>
    </cfRule>
    <cfRule type="containsText" dxfId="7620" priority="8132" stopIfTrue="1" operator="containsText" text="Potencial">
      <formula>NOT(ISERROR(SEARCH("Potencial",J201)))</formula>
    </cfRule>
  </conditionalFormatting>
  <conditionalFormatting sqref="J202">
    <cfRule type="containsText" dxfId="7619" priority="8096" stopIfTrue="1" operator="containsText" text="Potencial">
      <formula>NOT(ISERROR(SEARCH("Potencial",J202)))</formula>
    </cfRule>
    <cfRule type="containsText" dxfId="7618" priority="8097" stopIfTrue="1" operator="containsText" text="Expresado">
      <formula>NOT(ISERROR(SEARCH("Expresado",J202)))</formula>
    </cfRule>
  </conditionalFormatting>
  <conditionalFormatting sqref="J203">
    <cfRule type="containsText" dxfId="7617" priority="8482" stopIfTrue="1" operator="containsText" text="Expresado">
      <formula>NOT(ISERROR(SEARCH("Expresado",J203)))</formula>
    </cfRule>
    <cfRule type="containsText" dxfId="7616" priority="8481" stopIfTrue="1" operator="containsText" text="Potencial">
      <formula>NOT(ISERROR(SEARCH("Potencial",J203)))</formula>
    </cfRule>
  </conditionalFormatting>
  <conditionalFormatting sqref="J204">
    <cfRule type="containsText" dxfId="7615" priority="8593" stopIfTrue="1" operator="containsText" text="Expresado">
      <formula>NOT(ISERROR(SEARCH("Expresado",J204)))</formula>
    </cfRule>
    <cfRule type="containsText" dxfId="7614" priority="8592" stopIfTrue="1" operator="containsText" text="Potencial">
      <formula>NOT(ISERROR(SEARCH("Potencial",J204)))</formula>
    </cfRule>
  </conditionalFormatting>
  <conditionalFormatting sqref="J205">
    <cfRule type="containsText" dxfId="7613" priority="8440" stopIfTrue="1" operator="containsText" text="Potencial">
      <formula>NOT(ISERROR(SEARCH("Potencial",J205)))</formula>
    </cfRule>
    <cfRule type="containsText" dxfId="7612" priority="8441" stopIfTrue="1" operator="containsText" text="Expresado">
      <formula>NOT(ISERROR(SEARCH("Expresado",J205)))</formula>
    </cfRule>
  </conditionalFormatting>
  <conditionalFormatting sqref="J207:J208">
    <cfRule type="containsText" dxfId="7611" priority="8279" stopIfTrue="1" operator="containsText" text="Potencial">
      <formula>NOT(ISERROR(SEARCH("Potencial",J207)))</formula>
    </cfRule>
    <cfRule type="containsText" dxfId="7610" priority="8280" stopIfTrue="1" operator="containsText" text="Expresado">
      <formula>NOT(ISERROR(SEARCH("Expresado",J207)))</formula>
    </cfRule>
  </conditionalFormatting>
  <conditionalFormatting sqref="J211">
    <cfRule type="containsText" dxfId="7609" priority="8403" stopIfTrue="1" operator="containsText" text="Expresado">
      <formula>NOT(ISERROR(SEARCH("Expresado",J211)))</formula>
    </cfRule>
    <cfRule type="containsText" dxfId="7608" priority="8402" stopIfTrue="1" operator="containsText" text="Potencial">
      <formula>NOT(ISERROR(SEARCH("Potencial",J211)))</formula>
    </cfRule>
  </conditionalFormatting>
  <conditionalFormatting sqref="J212">
    <cfRule type="containsText" dxfId="7607" priority="8229" stopIfTrue="1" operator="containsText" text="Expresado">
      <formula>NOT(ISERROR(SEARCH("Expresado",J212)))</formula>
    </cfRule>
    <cfRule type="containsText" dxfId="7606" priority="8228" stopIfTrue="1" operator="containsText" text="Potencial">
      <formula>NOT(ISERROR(SEARCH("Potencial",J212)))</formula>
    </cfRule>
  </conditionalFormatting>
  <conditionalFormatting sqref="J213">
    <cfRule type="containsText" dxfId="7605" priority="8007" stopIfTrue="1" operator="containsText" text="Expresado">
      <formula>NOT(ISERROR(SEARCH("Expresado",J213)))</formula>
    </cfRule>
    <cfRule type="containsText" dxfId="7604" priority="8006" stopIfTrue="1" operator="containsText" text="Potencial">
      <formula>NOT(ISERROR(SEARCH("Potencial",J213)))</formula>
    </cfRule>
  </conditionalFormatting>
  <conditionalFormatting sqref="J214">
    <cfRule type="containsText" dxfId="7603" priority="7570" stopIfTrue="1" operator="containsText" text="Expresado">
      <formula>NOT(ISERROR(SEARCH("Expresado",J214)))</formula>
    </cfRule>
    <cfRule type="containsText" dxfId="7602" priority="7569" stopIfTrue="1" operator="containsText" text="Potencial">
      <formula>NOT(ISERROR(SEARCH("Potencial",J214)))</formula>
    </cfRule>
  </conditionalFormatting>
  <conditionalFormatting sqref="J215">
    <cfRule type="containsText" dxfId="7601" priority="7533" stopIfTrue="1" operator="containsText" text="Potencial">
      <formula>NOT(ISERROR(SEARCH("Potencial",J215)))</formula>
    </cfRule>
    <cfRule type="containsText" dxfId="7600" priority="7534" stopIfTrue="1" operator="containsText" text="Expresado">
      <formula>NOT(ISERROR(SEARCH("Expresado",J215)))</formula>
    </cfRule>
  </conditionalFormatting>
  <conditionalFormatting sqref="J216">
    <cfRule type="containsText" dxfId="7599" priority="7955" stopIfTrue="1" operator="containsText" text="Potencial">
      <formula>NOT(ISERROR(SEARCH("Potencial",J216)))</formula>
    </cfRule>
    <cfRule type="containsText" dxfId="7598" priority="7956" stopIfTrue="1" operator="containsText" text="Expresado">
      <formula>NOT(ISERROR(SEARCH("Expresado",J216)))</formula>
    </cfRule>
  </conditionalFormatting>
  <conditionalFormatting sqref="J217">
    <cfRule type="containsText" dxfId="7597" priority="8052" stopIfTrue="1" operator="containsText" text="Expresado">
      <formula>NOT(ISERROR(SEARCH("Expresado",J217)))</formula>
    </cfRule>
    <cfRule type="containsText" dxfId="7596" priority="8051" stopIfTrue="1" operator="containsText" text="Potencial">
      <formula>NOT(ISERROR(SEARCH("Potencial",J217)))</formula>
    </cfRule>
  </conditionalFormatting>
  <conditionalFormatting sqref="J218">
    <cfRule type="containsText" dxfId="7595" priority="7914" stopIfTrue="1" operator="containsText" text="Potencial">
      <formula>NOT(ISERROR(SEARCH("Potencial",J218)))</formula>
    </cfRule>
    <cfRule type="containsText" dxfId="7594" priority="7915" stopIfTrue="1" operator="containsText" text="Expresado">
      <formula>NOT(ISERROR(SEARCH("Expresado",J218)))</formula>
    </cfRule>
  </conditionalFormatting>
  <conditionalFormatting sqref="J220:J221">
    <cfRule type="containsText" dxfId="7593" priority="7734" stopIfTrue="1" operator="containsText" text="Expresado">
      <formula>NOT(ISERROR(SEARCH("Expresado",J220)))</formula>
    </cfRule>
    <cfRule type="containsText" dxfId="7592" priority="7733" stopIfTrue="1" operator="containsText" text="Potencial">
      <formula>NOT(ISERROR(SEARCH("Potencial",J220)))</formula>
    </cfRule>
  </conditionalFormatting>
  <conditionalFormatting sqref="J226">
    <cfRule type="containsText" dxfId="7591" priority="7876" stopIfTrue="1" operator="containsText" text="Potencial">
      <formula>NOT(ISERROR(SEARCH("Potencial",J226)))</formula>
    </cfRule>
    <cfRule type="containsText" dxfId="7590" priority="7877" stopIfTrue="1" operator="containsText" text="Expresado">
      <formula>NOT(ISERROR(SEARCH("Expresado",J226)))</formula>
    </cfRule>
  </conditionalFormatting>
  <conditionalFormatting sqref="J227">
    <cfRule type="containsText" dxfId="7589" priority="7650" stopIfTrue="1" operator="containsText" text="Potencial">
      <formula>NOT(ISERROR(SEARCH("Potencial",J227)))</formula>
    </cfRule>
    <cfRule type="containsText" dxfId="7588" priority="7651" stopIfTrue="1" operator="containsText" text="Expresado">
      <formula>NOT(ISERROR(SEARCH("Expresado",J227)))</formula>
    </cfRule>
  </conditionalFormatting>
  <conditionalFormatting sqref="J229">
    <cfRule type="containsText" dxfId="7587" priority="7403" stopIfTrue="1" operator="containsText" text="Expresado">
      <formula>NOT(ISERROR(SEARCH("Expresado",J229)))</formula>
    </cfRule>
    <cfRule type="containsText" dxfId="7586" priority="7402" stopIfTrue="1" operator="containsText" text="Potencial">
      <formula>NOT(ISERROR(SEARCH("Potencial",J229)))</formula>
    </cfRule>
  </conditionalFormatting>
  <conditionalFormatting sqref="J230">
    <cfRule type="containsText" dxfId="7585" priority="6966" stopIfTrue="1" operator="containsText" text="Expresado">
      <formula>NOT(ISERROR(SEARCH("Expresado",J230)))</formula>
    </cfRule>
    <cfRule type="containsText" dxfId="7584" priority="6965" stopIfTrue="1" operator="containsText" text="Potencial">
      <formula>NOT(ISERROR(SEARCH("Potencial",J230)))</formula>
    </cfRule>
  </conditionalFormatting>
  <conditionalFormatting sqref="J231">
    <cfRule type="containsText" dxfId="7583" priority="6934" stopIfTrue="1" operator="containsText" text="Expresado">
      <formula>NOT(ISERROR(SEARCH("Expresado",J231)))</formula>
    </cfRule>
    <cfRule type="containsText" dxfId="7582" priority="6933" stopIfTrue="1" operator="containsText" text="Potencial">
      <formula>NOT(ISERROR(SEARCH("Potencial",J231)))</formula>
    </cfRule>
  </conditionalFormatting>
  <conditionalFormatting sqref="J232">
    <cfRule type="containsText" dxfId="7581" priority="7351" stopIfTrue="1" operator="containsText" text="Potencial">
      <formula>NOT(ISERROR(SEARCH("Potencial",J232)))</formula>
    </cfRule>
    <cfRule type="containsText" dxfId="7580" priority="7352" stopIfTrue="1" operator="containsText" text="Expresado">
      <formula>NOT(ISERROR(SEARCH("Expresado",J232)))</formula>
    </cfRule>
  </conditionalFormatting>
  <conditionalFormatting sqref="J233">
    <cfRule type="containsText" dxfId="7579" priority="7463" stopIfTrue="1" operator="containsText" text="Expresado">
      <formula>NOT(ISERROR(SEARCH("Expresado",J233)))</formula>
    </cfRule>
    <cfRule type="containsText" dxfId="7578" priority="7462" stopIfTrue="1" operator="containsText" text="Potencial">
      <formula>NOT(ISERROR(SEARCH("Potencial",J233)))</formula>
    </cfRule>
  </conditionalFormatting>
  <conditionalFormatting sqref="J234">
    <cfRule type="containsText" dxfId="7577" priority="7310" stopIfTrue="1" operator="containsText" text="Potencial">
      <formula>NOT(ISERROR(SEARCH("Potencial",J234)))</formula>
    </cfRule>
    <cfRule type="containsText" dxfId="7576" priority="7311" stopIfTrue="1" operator="containsText" text="Expresado">
      <formula>NOT(ISERROR(SEARCH("Expresado",J234)))</formula>
    </cfRule>
  </conditionalFormatting>
  <conditionalFormatting sqref="J236:J237">
    <cfRule type="containsText" dxfId="7575" priority="7129" stopIfTrue="1" operator="containsText" text="Potencial">
      <formula>NOT(ISERROR(SEARCH("Potencial",J236)))</formula>
    </cfRule>
    <cfRule type="containsText" dxfId="7574" priority="7130" stopIfTrue="1" operator="containsText" text="Expresado">
      <formula>NOT(ISERROR(SEARCH("Expresado",J236)))</formula>
    </cfRule>
  </conditionalFormatting>
  <conditionalFormatting sqref="J241">
    <cfRule type="containsText" dxfId="7573" priority="7272" stopIfTrue="1" operator="containsText" text="Potencial">
      <formula>NOT(ISERROR(SEARCH("Potencial",J241)))</formula>
    </cfRule>
    <cfRule type="containsText" dxfId="7572" priority="7273" stopIfTrue="1" operator="containsText" text="Expresado">
      <formula>NOT(ISERROR(SEARCH("Expresado",J241)))</formula>
    </cfRule>
  </conditionalFormatting>
  <conditionalFormatting sqref="J242">
    <cfRule type="containsText" dxfId="7571" priority="7046" stopIfTrue="1" operator="containsText" text="Potencial">
      <formula>NOT(ISERROR(SEARCH("Potencial",J242)))</formula>
    </cfRule>
    <cfRule type="containsText" dxfId="7570" priority="7047" stopIfTrue="1" operator="containsText" text="Expresado">
      <formula>NOT(ISERROR(SEARCH("Expresado",J242)))</formula>
    </cfRule>
  </conditionalFormatting>
  <conditionalFormatting sqref="J244">
    <cfRule type="containsText" dxfId="7569" priority="6799" stopIfTrue="1" operator="containsText" text="Expresado">
      <formula>NOT(ISERROR(SEARCH("Expresado",J244)))</formula>
    </cfRule>
    <cfRule type="containsText" dxfId="7568" priority="6798" stopIfTrue="1" operator="containsText" text="Potencial">
      <formula>NOT(ISERROR(SEARCH("Potencial",J244)))</formula>
    </cfRule>
  </conditionalFormatting>
  <conditionalFormatting sqref="J245">
    <cfRule type="containsText" dxfId="7567" priority="6361" stopIfTrue="1" operator="containsText" text="Potencial">
      <formula>NOT(ISERROR(SEARCH("Potencial",J245)))</formula>
    </cfRule>
    <cfRule type="containsText" dxfId="7566" priority="6362" stopIfTrue="1" operator="containsText" text="Expresado">
      <formula>NOT(ISERROR(SEARCH("Expresado",J245)))</formula>
    </cfRule>
  </conditionalFormatting>
  <conditionalFormatting sqref="J246">
    <cfRule type="containsText" dxfId="7565" priority="6329" stopIfTrue="1" operator="containsText" text="Potencial">
      <formula>NOT(ISERROR(SEARCH("Potencial",J246)))</formula>
    </cfRule>
    <cfRule type="containsText" dxfId="7564" priority="6330" stopIfTrue="1" operator="containsText" text="Expresado">
      <formula>NOT(ISERROR(SEARCH("Expresado",J246)))</formula>
    </cfRule>
  </conditionalFormatting>
  <conditionalFormatting sqref="J247">
    <cfRule type="containsText" dxfId="7563" priority="6748" stopIfTrue="1" operator="containsText" text="Expresado">
      <formula>NOT(ISERROR(SEARCH("Expresado",J247)))</formula>
    </cfRule>
    <cfRule type="containsText" dxfId="7562" priority="6747" stopIfTrue="1" operator="containsText" text="Potencial">
      <formula>NOT(ISERROR(SEARCH("Potencial",J247)))</formula>
    </cfRule>
  </conditionalFormatting>
  <conditionalFormatting sqref="J248">
    <cfRule type="containsText" dxfId="7561" priority="6858" stopIfTrue="1" operator="containsText" text="Potencial">
      <formula>NOT(ISERROR(SEARCH("Potencial",J248)))</formula>
    </cfRule>
    <cfRule type="containsText" dxfId="7560" priority="6859" stopIfTrue="1" operator="containsText" text="Expresado">
      <formula>NOT(ISERROR(SEARCH("Expresado",J248)))</formula>
    </cfRule>
  </conditionalFormatting>
  <conditionalFormatting sqref="J249">
    <cfRule type="containsText" dxfId="7559" priority="6706" stopIfTrue="1" operator="containsText" text="Potencial">
      <formula>NOT(ISERROR(SEARCH("Potencial",J249)))</formula>
    </cfRule>
    <cfRule type="containsText" dxfId="7558" priority="6707" stopIfTrue="1" operator="containsText" text="Expresado">
      <formula>NOT(ISERROR(SEARCH("Expresado",J249)))</formula>
    </cfRule>
  </conditionalFormatting>
  <conditionalFormatting sqref="J251:J252">
    <cfRule type="containsText" dxfId="7557" priority="6526" stopIfTrue="1" operator="containsText" text="Expresado">
      <formula>NOT(ISERROR(SEARCH("Expresado",J251)))</formula>
    </cfRule>
    <cfRule type="containsText" dxfId="7556" priority="6525" stopIfTrue="1" operator="containsText" text="Potencial">
      <formula>NOT(ISERROR(SEARCH("Potencial",J251)))</formula>
    </cfRule>
  </conditionalFormatting>
  <conditionalFormatting sqref="J256">
    <cfRule type="containsText" dxfId="7555" priority="6668" stopIfTrue="1" operator="containsText" text="Potencial">
      <formula>NOT(ISERROR(SEARCH("Potencial",J256)))</formula>
    </cfRule>
    <cfRule type="containsText" dxfId="7554" priority="6669" stopIfTrue="1" operator="containsText" text="Expresado">
      <formula>NOT(ISERROR(SEARCH("Expresado",J256)))</formula>
    </cfRule>
  </conditionalFormatting>
  <conditionalFormatting sqref="J257">
    <cfRule type="containsText" dxfId="7553" priority="6442" stopIfTrue="1" operator="containsText" text="Potencial">
      <formula>NOT(ISERROR(SEARCH("Potencial",J257)))</formula>
    </cfRule>
    <cfRule type="containsText" dxfId="7552" priority="6443" stopIfTrue="1" operator="containsText" text="Expresado">
      <formula>NOT(ISERROR(SEARCH("Expresado",J257)))</formula>
    </cfRule>
  </conditionalFormatting>
  <conditionalFormatting sqref="J258">
    <cfRule type="containsText" dxfId="7551" priority="6222" stopIfTrue="1" operator="containsText" text="Potencial">
      <formula>NOT(ISERROR(SEARCH("Potencial",J258)))</formula>
    </cfRule>
    <cfRule type="containsText" dxfId="7550" priority="6223" stopIfTrue="1" operator="containsText" text="Expresado">
      <formula>NOT(ISERROR(SEARCH("Expresado",J258)))</formula>
    </cfRule>
  </conditionalFormatting>
  <conditionalFormatting sqref="J259">
    <cfRule type="containsText" dxfId="7549" priority="5869" stopIfTrue="1" operator="containsText" text="Potencial">
      <formula>NOT(ISERROR(SEARCH("Potencial",J259)))</formula>
    </cfRule>
    <cfRule type="containsText" dxfId="7548" priority="5870" stopIfTrue="1" operator="containsText" text="Expresado">
      <formula>NOT(ISERROR(SEARCH("Expresado",J259)))</formula>
    </cfRule>
  </conditionalFormatting>
  <conditionalFormatting sqref="J260">
    <cfRule type="containsText" dxfId="7547" priority="5837" stopIfTrue="1" operator="containsText" text="Potencial">
      <formula>NOT(ISERROR(SEARCH("Potencial",J260)))</formula>
    </cfRule>
    <cfRule type="containsText" dxfId="7546" priority="5838" stopIfTrue="1" operator="containsText" text="Expresado">
      <formula>NOT(ISERROR(SEARCH("Expresado",J260)))</formula>
    </cfRule>
  </conditionalFormatting>
  <conditionalFormatting sqref="J261">
    <cfRule type="containsText" dxfId="7545" priority="6172" stopIfTrue="1" operator="containsText" text="Expresado">
      <formula>NOT(ISERROR(SEARCH("Expresado",J261)))</formula>
    </cfRule>
    <cfRule type="containsText" dxfId="7544" priority="6171" stopIfTrue="1" operator="containsText" text="Potencial">
      <formula>NOT(ISERROR(SEARCH("Potencial",J261)))</formula>
    </cfRule>
  </conditionalFormatting>
  <conditionalFormatting sqref="J262">
    <cfRule type="containsText" dxfId="7543" priority="6268" stopIfTrue="1" operator="containsText" text="Expresado">
      <formula>NOT(ISERROR(SEARCH("Expresado",J262)))</formula>
    </cfRule>
    <cfRule type="containsText" dxfId="7542" priority="6267" stopIfTrue="1" operator="containsText" text="Potencial">
      <formula>NOT(ISERROR(SEARCH("Potencial",J262)))</formula>
    </cfRule>
  </conditionalFormatting>
  <conditionalFormatting sqref="J263">
    <cfRule type="containsText" dxfId="7541" priority="6130" stopIfTrue="1" operator="containsText" text="Potencial">
      <formula>NOT(ISERROR(SEARCH("Potencial",J263)))</formula>
    </cfRule>
    <cfRule type="containsText" dxfId="7540" priority="6131" stopIfTrue="1" operator="containsText" text="Expresado">
      <formula>NOT(ISERROR(SEARCH("Expresado",J263)))</formula>
    </cfRule>
  </conditionalFormatting>
  <conditionalFormatting sqref="J268">
    <cfRule type="containsText" dxfId="7539" priority="6093" stopIfTrue="1" operator="containsText" text="Expresado">
      <formula>NOT(ISERROR(SEARCH("Expresado",J268)))</formula>
    </cfRule>
    <cfRule type="containsText" dxfId="7538" priority="6092" stopIfTrue="1" operator="containsText" text="Potencial">
      <formula>NOT(ISERROR(SEARCH("Potencial",J268)))</formula>
    </cfRule>
  </conditionalFormatting>
  <conditionalFormatting sqref="J269">
    <cfRule type="containsText" dxfId="7537" priority="5906" stopIfTrue="1" operator="containsText" text="Expresado">
      <formula>NOT(ISERROR(SEARCH("Expresado",J269)))</formula>
    </cfRule>
    <cfRule type="containsText" dxfId="7536" priority="5905" stopIfTrue="1" operator="containsText" text="Potencial">
      <formula>NOT(ISERROR(SEARCH("Potencial",J269)))</formula>
    </cfRule>
  </conditionalFormatting>
  <conditionalFormatting sqref="J270">
    <cfRule type="containsText" dxfId="7535" priority="5743" stopIfTrue="1" operator="containsText" text="Potencial">
      <formula>NOT(ISERROR(SEARCH("Potencial",J270)))</formula>
    </cfRule>
    <cfRule type="containsText" dxfId="7534" priority="5744" stopIfTrue="1" operator="containsText" text="Expresado">
      <formula>NOT(ISERROR(SEARCH("Expresado",J270)))</formula>
    </cfRule>
  </conditionalFormatting>
  <conditionalFormatting sqref="J271">
    <cfRule type="containsText" dxfId="7533" priority="5307" stopIfTrue="1" operator="containsText" text="Expresado">
      <formula>NOT(ISERROR(SEARCH("Expresado",J271)))</formula>
    </cfRule>
    <cfRule type="containsText" dxfId="7532" priority="5306" stopIfTrue="1" operator="containsText" text="Potencial">
      <formula>NOT(ISERROR(SEARCH("Potencial",J271)))</formula>
    </cfRule>
  </conditionalFormatting>
  <conditionalFormatting sqref="J272">
    <cfRule type="containsText" dxfId="7531" priority="5275" stopIfTrue="1" operator="containsText" text="Expresado">
      <formula>NOT(ISERROR(SEARCH("Expresado",J272)))</formula>
    </cfRule>
    <cfRule type="containsText" dxfId="7530" priority="5274" stopIfTrue="1" operator="containsText" text="Potencial">
      <formula>NOT(ISERROR(SEARCH("Potencial",J272)))</formula>
    </cfRule>
  </conditionalFormatting>
  <conditionalFormatting sqref="J273">
    <cfRule type="containsText" dxfId="7529" priority="5692" stopIfTrue="1" operator="containsText" text="Potencial">
      <formula>NOT(ISERROR(SEARCH("Potencial",J273)))</formula>
    </cfRule>
    <cfRule type="containsText" dxfId="7528" priority="5693" stopIfTrue="1" operator="containsText" text="Expresado">
      <formula>NOT(ISERROR(SEARCH("Expresado",J273)))</formula>
    </cfRule>
  </conditionalFormatting>
  <conditionalFormatting sqref="J274">
    <cfRule type="containsText" dxfId="7527" priority="5788" stopIfTrue="1" operator="containsText" text="Potencial">
      <formula>NOT(ISERROR(SEARCH("Potencial",J274)))</formula>
    </cfRule>
    <cfRule type="containsText" dxfId="7526" priority="5789" stopIfTrue="1" operator="containsText" text="Expresado">
      <formula>NOT(ISERROR(SEARCH("Expresado",J274)))</formula>
    </cfRule>
  </conditionalFormatting>
  <conditionalFormatting sqref="J275">
    <cfRule type="containsText" dxfId="7525" priority="5651" stopIfTrue="1" operator="containsText" text="Potencial">
      <formula>NOT(ISERROR(SEARCH("Potencial",J275)))</formula>
    </cfRule>
    <cfRule type="containsText" dxfId="7524" priority="5652" stopIfTrue="1" operator="containsText" text="Expresado">
      <formula>NOT(ISERROR(SEARCH("Expresado",J275)))</formula>
    </cfRule>
  </conditionalFormatting>
  <conditionalFormatting sqref="J277:J278">
    <cfRule type="containsText" dxfId="7523" priority="5471" stopIfTrue="1" operator="containsText" text="Expresado">
      <formula>NOT(ISERROR(SEARCH("Expresado",J277)))</formula>
    </cfRule>
    <cfRule type="containsText" dxfId="7522" priority="5470" stopIfTrue="1" operator="containsText" text="Potencial">
      <formula>NOT(ISERROR(SEARCH("Potencial",J277)))</formula>
    </cfRule>
  </conditionalFormatting>
  <conditionalFormatting sqref="J282">
    <cfRule type="containsText" dxfId="7521" priority="5613" stopIfTrue="1" operator="containsText" text="Potencial">
      <formula>NOT(ISERROR(SEARCH("Potencial",J282)))</formula>
    </cfRule>
    <cfRule type="containsText" dxfId="7520" priority="5614" stopIfTrue="1" operator="containsText" text="Expresado">
      <formula>NOT(ISERROR(SEARCH("Expresado",J282)))</formula>
    </cfRule>
  </conditionalFormatting>
  <conditionalFormatting sqref="J283">
    <cfRule type="containsText" dxfId="7519" priority="5388" stopIfTrue="1" operator="containsText" text="Expresado">
      <formula>NOT(ISERROR(SEARCH("Expresado",J283)))</formula>
    </cfRule>
    <cfRule type="containsText" dxfId="7518" priority="5387" stopIfTrue="1" operator="containsText" text="Potencial">
      <formula>NOT(ISERROR(SEARCH("Potencial",J283)))</formula>
    </cfRule>
  </conditionalFormatting>
  <conditionalFormatting sqref="J284">
    <cfRule type="containsText" dxfId="7517" priority="5180" stopIfTrue="1" operator="containsText" text="Potencial">
      <formula>NOT(ISERROR(SEARCH("Potencial",J284)))</formula>
    </cfRule>
    <cfRule type="containsText" dxfId="7516" priority="5181" stopIfTrue="1" operator="containsText" text="Expresado">
      <formula>NOT(ISERROR(SEARCH("Expresado",J284)))</formula>
    </cfRule>
  </conditionalFormatting>
  <conditionalFormatting sqref="J285">
    <cfRule type="containsText" dxfId="7515" priority="4743" stopIfTrue="1" operator="containsText" text="Potencial">
      <formula>NOT(ISERROR(SEARCH("Potencial",J285)))</formula>
    </cfRule>
    <cfRule type="containsText" dxfId="7514" priority="4744" stopIfTrue="1" operator="containsText" text="Expresado">
      <formula>NOT(ISERROR(SEARCH("Expresado",J285)))</formula>
    </cfRule>
  </conditionalFormatting>
  <conditionalFormatting sqref="J286">
    <cfRule type="containsText" dxfId="7513" priority="4712" stopIfTrue="1" operator="containsText" text="Expresado">
      <formula>NOT(ISERROR(SEARCH("Expresado",J286)))</formula>
    </cfRule>
    <cfRule type="containsText" dxfId="7512" priority="4711" stopIfTrue="1" operator="containsText" text="Potencial">
      <formula>NOT(ISERROR(SEARCH("Potencial",J286)))</formula>
    </cfRule>
  </conditionalFormatting>
  <conditionalFormatting sqref="J287">
    <cfRule type="containsText" dxfId="7511" priority="5129" stopIfTrue="1" operator="containsText" text="Potencial">
      <formula>NOT(ISERROR(SEARCH("Potencial",J287)))</formula>
    </cfRule>
    <cfRule type="containsText" dxfId="7510" priority="5130" stopIfTrue="1" operator="containsText" text="Expresado">
      <formula>NOT(ISERROR(SEARCH("Expresado",J287)))</formula>
    </cfRule>
  </conditionalFormatting>
  <conditionalFormatting sqref="J288">
    <cfRule type="containsText" dxfId="7509" priority="5225" stopIfTrue="1" operator="containsText" text="Potencial">
      <formula>NOT(ISERROR(SEARCH("Potencial",J288)))</formula>
    </cfRule>
    <cfRule type="containsText" dxfId="7508" priority="5226" stopIfTrue="1" operator="containsText" text="Expresado">
      <formula>NOT(ISERROR(SEARCH("Expresado",J288)))</formula>
    </cfRule>
  </conditionalFormatting>
  <conditionalFormatting sqref="J289">
    <cfRule type="containsText" dxfId="7507" priority="5089" stopIfTrue="1" operator="containsText" text="Expresado">
      <formula>NOT(ISERROR(SEARCH("Expresado",J289)))</formula>
    </cfRule>
    <cfRule type="containsText" dxfId="7506" priority="5088" stopIfTrue="1" operator="containsText" text="Potencial">
      <formula>NOT(ISERROR(SEARCH("Potencial",J289)))</formula>
    </cfRule>
  </conditionalFormatting>
  <conditionalFormatting sqref="J291:J292">
    <cfRule type="containsText" dxfId="7505" priority="4907" stopIfTrue="1" operator="containsText" text="Potencial">
      <formula>NOT(ISERROR(SEARCH("Potencial",J291)))</formula>
    </cfRule>
    <cfRule type="containsText" dxfId="7504" priority="4908" stopIfTrue="1" operator="containsText" text="Expresado">
      <formula>NOT(ISERROR(SEARCH("Expresado",J291)))</formula>
    </cfRule>
  </conditionalFormatting>
  <conditionalFormatting sqref="J296">
    <cfRule type="containsText" dxfId="7503" priority="5050" stopIfTrue="1" operator="containsText" text="Potencial">
      <formula>NOT(ISERROR(SEARCH("Potencial",J296)))</formula>
    </cfRule>
    <cfRule type="containsText" dxfId="7502" priority="5051" stopIfTrue="1" operator="containsText" text="Expresado">
      <formula>NOT(ISERROR(SEARCH("Expresado",J296)))</formula>
    </cfRule>
  </conditionalFormatting>
  <conditionalFormatting sqref="J297">
    <cfRule type="containsText" dxfId="7501" priority="4825" stopIfTrue="1" operator="containsText" text="Expresado">
      <formula>NOT(ISERROR(SEARCH("Expresado",J297)))</formula>
    </cfRule>
    <cfRule type="containsText" dxfId="7500" priority="4824" stopIfTrue="1" operator="containsText" text="Potencial">
      <formula>NOT(ISERROR(SEARCH("Potencial",J297)))</formula>
    </cfRule>
  </conditionalFormatting>
  <conditionalFormatting sqref="J298">
    <cfRule type="containsText" dxfId="7499" priority="4618" stopIfTrue="1" operator="containsText" text="Expresado">
      <formula>NOT(ISERROR(SEARCH("Expresado",J298)))</formula>
    </cfRule>
    <cfRule type="containsText" dxfId="7498" priority="4617" stopIfTrue="1" operator="containsText" text="Potencial">
      <formula>NOT(ISERROR(SEARCH("Potencial",J298)))</formula>
    </cfRule>
  </conditionalFormatting>
  <conditionalFormatting sqref="J299">
    <cfRule type="containsText" dxfId="7497" priority="4181" stopIfTrue="1" operator="containsText" text="Expresado">
      <formula>NOT(ISERROR(SEARCH("Expresado",J299)))</formula>
    </cfRule>
    <cfRule type="containsText" dxfId="7496" priority="4180" stopIfTrue="1" operator="containsText" text="Potencial">
      <formula>NOT(ISERROR(SEARCH("Potencial",J299)))</formula>
    </cfRule>
  </conditionalFormatting>
  <conditionalFormatting sqref="J300">
    <cfRule type="containsText" dxfId="7495" priority="4149" stopIfTrue="1" operator="containsText" text="Expresado">
      <formula>NOT(ISERROR(SEARCH("Expresado",J300)))</formula>
    </cfRule>
    <cfRule type="containsText" dxfId="7494" priority="4148" stopIfTrue="1" operator="containsText" text="Potencial">
      <formula>NOT(ISERROR(SEARCH("Potencial",J300)))</formula>
    </cfRule>
  </conditionalFormatting>
  <conditionalFormatting sqref="J301">
    <cfRule type="containsText" dxfId="7493" priority="4566" stopIfTrue="1" operator="containsText" text="Potencial">
      <formula>NOT(ISERROR(SEARCH("Potencial",J301)))</formula>
    </cfRule>
    <cfRule type="containsText" dxfId="7492" priority="4567" stopIfTrue="1" operator="containsText" text="Expresado">
      <formula>NOT(ISERROR(SEARCH("Expresado",J301)))</formula>
    </cfRule>
  </conditionalFormatting>
  <conditionalFormatting sqref="J302">
    <cfRule type="containsText" dxfId="7491" priority="4662" stopIfTrue="1" operator="containsText" text="Potencial">
      <formula>NOT(ISERROR(SEARCH("Potencial",J302)))</formula>
    </cfRule>
    <cfRule type="containsText" dxfId="7490" priority="4663" stopIfTrue="1" operator="containsText" text="Expresado">
      <formula>NOT(ISERROR(SEARCH("Expresado",J302)))</formula>
    </cfRule>
  </conditionalFormatting>
  <conditionalFormatting sqref="J303">
    <cfRule type="containsText" dxfId="7489" priority="4525" stopIfTrue="1" operator="containsText" text="Potencial">
      <formula>NOT(ISERROR(SEARCH("Potencial",J303)))</formula>
    </cfRule>
    <cfRule type="containsText" dxfId="7488" priority="4526" stopIfTrue="1" operator="containsText" text="Expresado">
      <formula>NOT(ISERROR(SEARCH("Expresado",J303)))</formula>
    </cfRule>
  </conditionalFormatting>
  <conditionalFormatting sqref="J305:J306">
    <cfRule type="containsText" dxfId="7487" priority="4344" stopIfTrue="1" operator="containsText" text="Potencial">
      <formula>NOT(ISERROR(SEARCH("Potencial",J305)))</formula>
    </cfRule>
    <cfRule type="containsText" dxfId="7486" priority="4345" stopIfTrue="1" operator="containsText" text="Expresado">
      <formula>NOT(ISERROR(SEARCH("Expresado",J305)))</formula>
    </cfRule>
  </conditionalFormatting>
  <conditionalFormatting sqref="J310">
    <cfRule type="containsText" dxfId="7485" priority="4488" stopIfTrue="1" operator="containsText" text="Expresado">
      <formula>NOT(ISERROR(SEARCH("Expresado",J310)))</formula>
    </cfRule>
    <cfRule type="containsText" dxfId="7484" priority="4487" stopIfTrue="1" operator="containsText" text="Potencial">
      <formula>NOT(ISERROR(SEARCH("Potencial",J310)))</formula>
    </cfRule>
  </conditionalFormatting>
  <conditionalFormatting sqref="J311">
    <cfRule type="containsText" dxfId="7483" priority="4261" stopIfTrue="1" operator="containsText" text="Potencial">
      <formula>NOT(ISERROR(SEARCH("Potencial",J311)))</formula>
    </cfRule>
    <cfRule type="containsText" dxfId="7482" priority="4262" stopIfTrue="1" operator="containsText" text="Expresado">
      <formula>NOT(ISERROR(SEARCH("Expresado",J311)))</formula>
    </cfRule>
  </conditionalFormatting>
  <conditionalFormatting sqref="J312">
    <cfRule type="containsText" dxfId="7481" priority="4045" stopIfTrue="1" operator="containsText" text="Potencial">
      <formula>NOT(ISERROR(SEARCH("Potencial",J312)))</formula>
    </cfRule>
    <cfRule type="containsText" dxfId="7480" priority="4046" stopIfTrue="1" operator="containsText" text="Expresado">
      <formula>NOT(ISERROR(SEARCH("Expresado",J312)))</formula>
    </cfRule>
  </conditionalFormatting>
  <conditionalFormatting sqref="J313">
    <cfRule type="containsText" dxfId="7479" priority="3733" stopIfTrue="1" operator="containsText" text="Expresado">
      <formula>NOT(ISERROR(SEARCH("Expresado",J313)))</formula>
    </cfRule>
    <cfRule type="containsText" dxfId="7478" priority="3732" stopIfTrue="1" operator="containsText" text="Potencial">
      <formula>NOT(ISERROR(SEARCH("Potencial",J313)))</formula>
    </cfRule>
  </conditionalFormatting>
  <conditionalFormatting sqref="J314">
    <cfRule type="containsText" dxfId="7477" priority="3697" stopIfTrue="1" operator="containsText" text="Expresado">
      <formula>NOT(ISERROR(SEARCH("Expresado",J314)))</formula>
    </cfRule>
    <cfRule type="containsText" dxfId="7476" priority="3696" stopIfTrue="1" operator="containsText" text="Potencial">
      <formula>NOT(ISERROR(SEARCH("Potencial",J314)))</formula>
    </cfRule>
  </conditionalFormatting>
  <conditionalFormatting sqref="J315">
    <cfRule type="containsText" dxfId="7475" priority="4002" stopIfTrue="1" operator="containsText" text="Potencial">
      <formula>NOT(ISERROR(SEARCH("Potencial",J315)))</formula>
    </cfRule>
    <cfRule type="containsText" dxfId="7474" priority="4003" stopIfTrue="1" operator="containsText" text="Expresado">
      <formula>NOT(ISERROR(SEARCH("Expresado",J315)))</formula>
    </cfRule>
  </conditionalFormatting>
  <conditionalFormatting sqref="J316">
    <cfRule type="containsText" dxfId="7473" priority="4087" stopIfTrue="1" operator="containsText" text="Expresado">
      <formula>NOT(ISERROR(SEARCH("Expresado",J316)))</formula>
    </cfRule>
    <cfRule type="containsText" dxfId="7472" priority="4086" stopIfTrue="1" operator="containsText" text="Potencial">
      <formula>NOT(ISERROR(SEARCH("Potencial",J316)))</formula>
    </cfRule>
  </conditionalFormatting>
  <conditionalFormatting sqref="J317">
    <cfRule type="containsText" dxfId="7471" priority="3962" stopIfTrue="1" operator="containsText" text="Expresado">
      <formula>NOT(ISERROR(SEARCH("Expresado",J317)))</formula>
    </cfRule>
    <cfRule type="containsText" dxfId="7470" priority="3961" stopIfTrue="1" operator="containsText" text="Potencial">
      <formula>NOT(ISERROR(SEARCH("Potencial",J317)))</formula>
    </cfRule>
  </conditionalFormatting>
  <conditionalFormatting sqref="J322">
    <cfRule type="containsText" dxfId="7469" priority="3931" stopIfTrue="1" operator="containsText" text="Potencial">
      <formula>NOT(ISERROR(SEARCH("Potencial",J322)))</formula>
    </cfRule>
    <cfRule type="containsText" dxfId="7468" priority="3932" stopIfTrue="1" operator="containsText" text="Expresado">
      <formula>NOT(ISERROR(SEARCH("Expresado",J322)))</formula>
    </cfRule>
  </conditionalFormatting>
  <conditionalFormatting sqref="J323">
    <cfRule type="containsText" dxfId="7467" priority="3760" stopIfTrue="1" operator="containsText" text="Potencial">
      <formula>NOT(ISERROR(SEARCH("Potencial",J323)))</formula>
    </cfRule>
    <cfRule type="containsText" dxfId="7466" priority="3761" stopIfTrue="1" operator="containsText" text="Expresado">
      <formula>NOT(ISERROR(SEARCH("Expresado",J323)))</formula>
    </cfRule>
  </conditionalFormatting>
  <conditionalFormatting sqref="J324">
    <cfRule type="containsText" dxfId="7465" priority="3607" stopIfTrue="1" operator="containsText" text="Expresado">
      <formula>NOT(ISERROR(SEARCH("Expresado",J324)))</formula>
    </cfRule>
    <cfRule type="containsText" dxfId="7464" priority="3606" stopIfTrue="1" operator="containsText" text="Potencial">
      <formula>NOT(ISERROR(SEARCH("Potencial",J324)))</formula>
    </cfRule>
  </conditionalFormatting>
  <conditionalFormatting sqref="J325">
    <cfRule type="containsText" dxfId="7463" priority="3169" stopIfTrue="1" operator="containsText" text="Potencial">
      <formula>NOT(ISERROR(SEARCH("Potencial",J325)))</formula>
    </cfRule>
    <cfRule type="containsText" dxfId="7462" priority="3170" stopIfTrue="1" operator="containsText" text="Expresado">
      <formula>NOT(ISERROR(SEARCH("Expresado",J325)))</formula>
    </cfRule>
  </conditionalFormatting>
  <conditionalFormatting sqref="J326">
    <cfRule type="containsText" dxfId="7461" priority="3133" stopIfTrue="1" operator="containsText" text="Potencial">
      <formula>NOT(ISERROR(SEARCH("Potencial",J326)))</formula>
    </cfRule>
    <cfRule type="containsText" dxfId="7460" priority="3134" stopIfTrue="1" operator="containsText" text="Expresado">
      <formula>NOT(ISERROR(SEARCH("Expresado",J326)))</formula>
    </cfRule>
  </conditionalFormatting>
  <conditionalFormatting sqref="J327">
    <cfRule type="containsText" dxfId="7459" priority="3556" stopIfTrue="1" operator="containsText" text="Expresado">
      <formula>NOT(ISERROR(SEARCH("Expresado",J327)))</formula>
    </cfRule>
    <cfRule type="containsText" dxfId="7458" priority="3555" stopIfTrue="1" operator="containsText" text="Potencial">
      <formula>NOT(ISERROR(SEARCH("Potencial",J327)))</formula>
    </cfRule>
  </conditionalFormatting>
  <conditionalFormatting sqref="J328">
    <cfRule type="containsText" dxfId="7457" priority="3652" stopIfTrue="1" operator="containsText" text="Expresado">
      <formula>NOT(ISERROR(SEARCH("Expresado",J328)))</formula>
    </cfRule>
    <cfRule type="containsText" dxfId="7456" priority="3651" stopIfTrue="1" operator="containsText" text="Potencial">
      <formula>NOT(ISERROR(SEARCH("Potencial",J328)))</formula>
    </cfRule>
  </conditionalFormatting>
  <conditionalFormatting sqref="J329">
    <cfRule type="containsText" dxfId="7455" priority="3515" stopIfTrue="1" operator="containsText" text="Expresado">
      <formula>NOT(ISERROR(SEARCH("Expresado",J329)))</formula>
    </cfRule>
    <cfRule type="containsText" dxfId="7454" priority="3514" stopIfTrue="1" operator="containsText" text="Potencial">
      <formula>NOT(ISERROR(SEARCH("Potencial",J329)))</formula>
    </cfRule>
  </conditionalFormatting>
  <conditionalFormatting sqref="J331:J332">
    <cfRule type="containsText" dxfId="7453" priority="3333" stopIfTrue="1" operator="containsText" text="Potencial">
      <formula>NOT(ISERROR(SEARCH("Potencial",J331)))</formula>
    </cfRule>
    <cfRule type="containsText" dxfId="7452" priority="3334" stopIfTrue="1" operator="containsText" text="Expresado">
      <formula>NOT(ISERROR(SEARCH("Expresado",J331)))</formula>
    </cfRule>
  </conditionalFormatting>
  <conditionalFormatting sqref="J336">
    <cfRule type="containsText" dxfId="7451" priority="3477" stopIfTrue="1" operator="containsText" text="Expresado">
      <formula>NOT(ISERROR(SEARCH("Expresado",J336)))</formula>
    </cfRule>
    <cfRule type="containsText" dxfId="7450" priority="3476" stopIfTrue="1" operator="containsText" text="Potencial">
      <formula>NOT(ISERROR(SEARCH("Potencial",J336)))</formula>
    </cfRule>
  </conditionalFormatting>
  <conditionalFormatting sqref="J337">
    <cfRule type="containsText" dxfId="7449" priority="3251" stopIfTrue="1" operator="containsText" text="Expresado">
      <formula>NOT(ISERROR(SEARCH("Expresado",J337)))</formula>
    </cfRule>
    <cfRule type="containsText" dxfId="7448" priority="3250" stopIfTrue="1" operator="containsText" text="Potencial">
      <formula>NOT(ISERROR(SEARCH("Potencial",J337)))</formula>
    </cfRule>
  </conditionalFormatting>
  <conditionalFormatting sqref="J338">
    <cfRule type="containsText" dxfId="7447" priority="3044" stopIfTrue="1" operator="containsText" text="Expresado">
      <formula>NOT(ISERROR(SEARCH("Expresado",J338)))</formula>
    </cfRule>
    <cfRule type="containsText" dxfId="7446" priority="3043" stopIfTrue="1" operator="containsText" text="Potencial">
      <formula>NOT(ISERROR(SEARCH("Potencial",J338)))</formula>
    </cfRule>
  </conditionalFormatting>
  <conditionalFormatting sqref="J339">
    <cfRule type="containsText" dxfId="7445" priority="2607" stopIfTrue="1" operator="containsText" text="Expresado">
      <formula>NOT(ISERROR(SEARCH("Expresado",J339)))</formula>
    </cfRule>
    <cfRule type="containsText" dxfId="7444" priority="2606" stopIfTrue="1" operator="containsText" text="Potencial">
      <formula>NOT(ISERROR(SEARCH("Potencial",J339)))</formula>
    </cfRule>
  </conditionalFormatting>
  <conditionalFormatting sqref="J340">
    <cfRule type="containsText" dxfId="7443" priority="2570" stopIfTrue="1" operator="containsText" text="Potencial">
      <formula>NOT(ISERROR(SEARCH("Potencial",J340)))</formula>
    </cfRule>
    <cfRule type="containsText" dxfId="7442" priority="2571" stopIfTrue="1" operator="containsText" text="Expresado">
      <formula>NOT(ISERROR(SEARCH("Expresado",J340)))</formula>
    </cfRule>
  </conditionalFormatting>
  <conditionalFormatting sqref="J341">
    <cfRule type="containsText" dxfId="7441" priority="2992" stopIfTrue="1" operator="containsText" text="Potencial">
      <formula>NOT(ISERROR(SEARCH("Potencial",J341)))</formula>
    </cfRule>
    <cfRule type="containsText" dxfId="7440" priority="2993" stopIfTrue="1" operator="containsText" text="Expresado">
      <formula>NOT(ISERROR(SEARCH("Expresado",J341)))</formula>
    </cfRule>
  </conditionalFormatting>
  <conditionalFormatting sqref="J342">
    <cfRule type="containsText" dxfId="7439" priority="3088" stopIfTrue="1" operator="containsText" text="Potencial">
      <formula>NOT(ISERROR(SEARCH("Potencial",J342)))</formula>
    </cfRule>
    <cfRule type="containsText" dxfId="7438" priority="3089" stopIfTrue="1" operator="containsText" text="Expresado">
      <formula>NOT(ISERROR(SEARCH("Expresado",J342)))</formula>
    </cfRule>
  </conditionalFormatting>
  <conditionalFormatting sqref="J343">
    <cfRule type="containsText" dxfId="7437" priority="2952" stopIfTrue="1" operator="containsText" text="Expresado">
      <formula>NOT(ISERROR(SEARCH("Expresado",J343)))</formula>
    </cfRule>
    <cfRule type="containsText" dxfId="7436" priority="2951" stopIfTrue="1" operator="containsText" text="Potencial">
      <formula>NOT(ISERROR(SEARCH("Potencial",J343)))</formula>
    </cfRule>
  </conditionalFormatting>
  <conditionalFormatting sqref="J345:J346">
    <cfRule type="containsText" dxfId="7435" priority="2771" stopIfTrue="1" operator="containsText" text="Expresado">
      <formula>NOT(ISERROR(SEARCH("Expresado",J345)))</formula>
    </cfRule>
    <cfRule type="containsText" dxfId="7434" priority="2770" stopIfTrue="1" operator="containsText" text="Potencial">
      <formula>NOT(ISERROR(SEARCH("Potencial",J345)))</formula>
    </cfRule>
  </conditionalFormatting>
  <conditionalFormatting sqref="J350">
    <cfRule type="containsText" dxfId="7433" priority="2914" stopIfTrue="1" operator="containsText" text="Expresado">
      <formula>NOT(ISERROR(SEARCH("Expresado",J350)))</formula>
    </cfRule>
    <cfRule type="containsText" dxfId="7432" priority="2913" stopIfTrue="1" operator="containsText" text="Potencial">
      <formula>NOT(ISERROR(SEARCH("Potencial",J350)))</formula>
    </cfRule>
  </conditionalFormatting>
  <conditionalFormatting sqref="J351">
    <cfRule type="containsText" dxfId="7431" priority="2687" stopIfTrue="1" operator="containsText" text="Potencial">
      <formula>NOT(ISERROR(SEARCH("Potencial",J351)))</formula>
    </cfRule>
    <cfRule type="containsText" dxfId="7430" priority="2688" stopIfTrue="1" operator="containsText" text="Expresado">
      <formula>NOT(ISERROR(SEARCH("Expresado",J351)))</formula>
    </cfRule>
  </conditionalFormatting>
  <conditionalFormatting sqref="J352">
    <cfRule type="containsText" dxfId="7429" priority="2464" stopIfTrue="1" operator="containsText" text="Expresado">
      <formula>NOT(ISERROR(SEARCH("Expresado",J352)))</formula>
    </cfRule>
    <cfRule type="containsText" dxfId="7428" priority="2463" stopIfTrue="1" operator="containsText" text="Potencial">
      <formula>NOT(ISERROR(SEARCH("Potencial",J352)))</formula>
    </cfRule>
  </conditionalFormatting>
  <conditionalFormatting sqref="J353">
    <cfRule type="containsText" dxfId="7427" priority="2117" stopIfTrue="1" operator="containsText" text="Potencial">
      <formula>NOT(ISERROR(SEARCH("Potencial",J353)))</formula>
    </cfRule>
    <cfRule type="containsText" dxfId="7426" priority="2118" stopIfTrue="1" operator="containsText" text="Expresado">
      <formula>NOT(ISERROR(SEARCH("Expresado",J353)))</formula>
    </cfRule>
  </conditionalFormatting>
  <conditionalFormatting sqref="J354">
    <cfRule type="containsText" dxfId="7425" priority="2148" stopIfTrue="1" operator="containsText" text="Expresado">
      <formula>NOT(ISERROR(SEARCH("Expresado",J354)))</formula>
    </cfRule>
    <cfRule type="containsText" dxfId="7424" priority="2147" stopIfTrue="1" operator="containsText" text="Potencial">
      <formula>NOT(ISERROR(SEARCH("Potencial",J354)))</formula>
    </cfRule>
  </conditionalFormatting>
  <conditionalFormatting sqref="J355">
    <cfRule type="containsText" dxfId="7423" priority="2038" stopIfTrue="1" operator="containsText" text="Expresado">
      <formula>NOT(ISERROR(SEARCH("Expresado",J355)))</formula>
    </cfRule>
    <cfRule type="containsText" dxfId="7422" priority="2037" stopIfTrue="1" operator="containsText" text="Potencial">
      <formula>NOT(ISERROR(SEARCH("Potencial",J355)))</formula>
    </cfRule>
  </conditionalFormatting>
  <conditionalFormatting sqref="J356">
    <cfRule type="containsText" dxfId="7421" priority="2412" stopIfTrue="1" operator="containsText" text="Potencial">
      <formula>NOT(ISERROR(SEARCH("Potencial",J356)))</formula>
    </cfRule>
    <cfRule type="containsText" dxfId="7420" priority="2413" stopIfTrue="1" operator="containsText" text="Expresado">
      <formula>NOT(ISERROR(SEARCH("Expresado",J356)))</formula>
    </cfRule>
  </conditionalFormatting>
  <conditionalFormatting sqref="J357">
    <cfRule type="containsText" dxfId="7419" priority="2509" stopIfTrue="1" operator="containsText" text="Expresado">
      <formula>NOT(ISERROR(SEARCH("Expresado",J357)))</formula>
    </cfRule>
    <cfRule type="containsText" dxfId="7418" priority="2508" stopIfTrue="1" operator="containsText" text="Potencial">
      <formula>NOT(ISERROR(SEARCH("Potencial",J357)))</formula>
    </cfRule>
  </conditionalFormatting>
  <conditionalFormatting sqref="J358">
    <cfRule type="containsText" dxfId="7417" priority="2372" stopIfTrue="1" operator="containsText" text="Expresado">
      <formula>NOT(ISERROR(SEARCH("Expresado",J358)))</formula>
    </cfRule>
    <cfRule type="containsText" dxfId="7416" priority="2371" stopIfTrue="1" operator="containsText" text="Potencial">
      <formula>NOT(ISERROR(SEARCH("Potencial",J358)))</formula>
    </cfRule>
  </conditionalFormatting>
  <conditionalFormatting sqref="J363">
    <cfRule type="containsText" dxfId="7415" priority="2334" stopIfTrue="1" operator="containsText" text="Expresado">
      <formula>NOT(ISERROR(SEARCH("Expresado",J363)))</formula>
    </cfRule>
    <cfRule type="containsText" dxfId="7414" priority="2333" stopIfTrue="1" operator="containsText" text="Potencial">
      <formula>NOT(ISERROR(SEARCH("Potencial",J363)))</formula>
    </cfRule>
  </conditionalFormatting>
  <conditionalFormatting sqref="J364:J365">
    <cfRule type="containsText" dxfId="7413" priority="2184" stopIfTrue="1" operator="containsText" text="Expresado">
      <formula>NOT(ISERROR(SEARCH("Expresado",J364)))</formula>
    </cfRule>
    <cfRule type="containsText" dxfId="7412" priority="2183" stopIfTrue="1" operator="containsText" text="Potencial">
      <formula>NOT(ISERROR(SEARCH("Potencial",J364)))</formula>
    </cfRule>
  </conditionalFormatting>
  <conditionalFormatting sqref="J366">
    <cfRule type="containsText" dxfId="7411" priority="1935" stopIfTrue="1" operator="containsText" text="Expresado">
      <formula>NOT(ISERROR(SEARCH("Expresado",J366)))</formula>
    </cfRule>
    <cfRule type="containsText" dxfId="7410" priority="1934" stopIfTrue="1" operator="containsText" text="Potencial">
      <formula>NOT(ISERROR(SEARCH("Potencial",J366)))</formula>
    </cfRule>
  </conditionalFormatting>
  <conditionalFormatting sqref="J367">
    <cfRule type="containsText" dxfId="7409" priority="1582" stopIfTrue="1" operator="containsText" text="Expresado">
      <formula>NOT(ISERROR(SEARCH("Expresado",J367)))</formula>
    </cfRule>
    <cfRule type="containsText" dxfId="7408" priority="1581" stopIfTrue="1" operator="containsText" text="Potencial">
      <formula>NOT(ISERROR(SEARCH("Potencial",J367)))</formula>
    </cfRule>
  </conditionalFormatting>
  <conditionalFormatting sqref="J368">
    <cfRule type="containsText" dxfId="7407" priority="1549" stopIfTrue="1" operator="containsText" text="Potencial">
      <formula>NOT(ISERROR(SEARCH("Potencial",J368)))</formula>
    </cfRule>
    <cfRule type="containsText" dxfId="7406" priority="1550" stopIfTrue="1" operator="containsText" text="Expresado">
      <formula>NOT(ISERROR(SEARCH("Expresado",J368)))</formula>
    </cfRule>
  </conditionalFormatting>
  <conditionalFormatting sqref="J369">
    <cfRule type="containsText" dxfId="7405" priority="1883" stopIfTrue="1" operator="containsText" text="Potencial">
      <formula>NOT(ISERROR(SEARCH("Potencial",J369)))</formula>
    </cfRule>
    <cfRule type="containsText" dxfId="7404" priority="1884" stopIfTrue="1" operator="containsText" text="Expresado">
      <formula>NOT(ISERROR(SEARCH("Expresado",J369)))</formula>
    </cfRule>
  </conditionalFormatting>
  <conditionalFormatting sqref="J370">
    <cfRule type="containsText" dxfId="7403" priority="1980" stopIfTrue="1" operator="containsText" text="Expresado">
      <formula>NOT(ISERROR(SEARCH("Expresado",J370)))</formula>
    </cfRule>
    <cfRule type="containsText" dxfId="7402" priority="1979" stopIfTrue="1" operator="containsText" text="Potencial">
      <formula>NOT(ISERROR(SEARCH("Potencial",J370)))</formula>
    </cfRule>
  </conditionalFormatting>
  <conditionalFormatting sqref="J371">
    <cfRule type="containsText" dxfId="7401" priority="1842" stopIfTrue="1" operator="containsText" text="Potencial">
      <formula>NOT(ISERROR(SEARCH("Potencial",J371)))</formula>
    </cfRule>
    <cfRule type="containsText" dxfId="7400" priority="1843" stopIfTrue="1" operator="containsText" text="Expresado">
      <formula>NOT(ISERROR(SEARCH("Expresado",J371)))</formula>
    </cfRule>
  </conditionalFormatting>
  <conditionalFormatting sqref="J376">
    <cfRule type="containsText" dxfId="7399" priority="1804" stopIfTrue="1" operator="containsText" text="Potencial">
      <formula>NOT(ISERROR(SEARCH("Potencial",J376)))</formula>
    </cfRule>
    <cfRule type="containsText" dxfId="7398" priority="1805" stopIfTrue="1" operator="containsText" text="Expresado">
      <formula>NOT(ISERROR(SEARCH("Expresado",J376)))</formula>
    </cfRule>
  </conditionalFormatting>
  <conditionalFormatting sqref="J377">
    <cfRule type="containsText" dxfId="7397" priority="1617" stopIfTrue="1" operator="containsText" text="Potencial">
      <formula>NOT(ISERROR(SEARCH("Potencial",J377)))</formula>
    </cfRule>
    <cfRule type="containsText" dxfId="7396" priority="1618" stopIfTrue="1" operator="containsText" text="Expresado">
      <formula>NOT(ISERROR(SEARCH("Expresado",J377)))</formula>
    </cfRule>
  </conditionalFormatting>
  <conditionalFormatting sqref="J378">
    <cfRule type="containsText" dxfId="7395" priority="1189" stopIfTrue="1" operator="containsText" text="Expresado">
      <formula>NOT(ISERROR(SEARCH("Expresado",J378)))</formula>
    </cfRule>
    <cfRule type="containsText" dxfId="7394" priority="1188" stopIfTrue="1" operator="containsText" text="Potencial">
      <formula>NOT(ISERROR(SEARCH("Potencial",J378)))</formula>
    </cfRule>
  </conditionalFormatting>
  <conditionalFormatting sqref="J379">
    <cfRule type="containsText" dxfId="7393" priority="1152" stopIfTrue="1" operator="containsText" text="Potencial">
      <formula>NOT(ISERROR(SEARCH("Potencial",J379)))</formula>
    </cfRule>
    <cfRule type="containsText" dxfId="7392" priority="1153" stopIfTrue="1" operator="containsText" text="Expresado">
      <formula>NOT(ISERROR(SEARCH("Expresado",J379)))</formula>
    </cfRule>
  </conditionalFormatting>
  <conditionalFormatting sqref="J380">
    <cfRule type="containsText" dxfId="7391" priority="1448" stopIfTrue="1" operator="containsText" text="Expresado">
      <formula>NOT(ISERROR(SEARCH("Expresado",J380)))</formula>
    </cfRule>
    <cfRule type="containsText" dxfId="7390" priority="1447" stopIfTrue="1" operator="containsText" text="Potencial">
      <formula>NOT(ISERROR(SEARCH("Potencial",J380)))</formula>
    </cfRule>
  </conditionalFormatting>
  <conditionalFormatting sqref="J381">
    <cfRule type="containsText" dxfId="7389" priority="1496" stopIfTrue="1" operator="containsText" text="Potencial">
      <formula>NOT(ISERROR(SEARCH("Potencial",J381)))</formula>
    </cfRule>
    <cfRule type="containsText" dxfId="7388" priority="1497" stopIfTrue="1" operator="containsText" text="Expresado">
      <formula>NOT(ISERROR(SEARCH("Expresado",J381)))</formula>
    </cfRule>
  </conditionalFormatting>
  <conditionalFormatting sqref="J382:J383">
    <cfRule type="containsText" dxfId="7387" priority="1271" stopIfTrue="1" operator="containsText" text="Expresado">
      <formula>NOT(ISERROR(SEARCH("Expresado",J382)))</formula>
    </cfRule>
    <cfRule type="containsText" dxfId="7386" priority="1270" stopIfTrue="1" operator="containsText" text="Potencial">
      <formula>NOT(ISERROR(SEARCH("Potencial",J382)))</formula>
    </cfRule>
  </conditionalFormatting>
  <conditionalFormatting sqref="J386">
    <cfRule type="containsText" dxfId="7385" priority="1413" stopIfTrue="1" operator="containsText" text="Potencial">
      <formula>NOT(ISERROR(SEARCH("Potencial",J386)))</formula>
    </cfRule>
    <cfRule type="containsText" dxfId="7384" priority="1414" stopIfTrue="1" operator="containsText" text="Expresado">
      <formula>NOT(ISERROR(SEARCH("Expresado",J386)))</formula>
    </cfRule>
  </conditionalFormatting>
  <conditionalFormatting sqref="J387">
    <cfRule type="containsText" dxfId="7383" priority="1224" stopIfTrue="1" operator="containsText" text="Potencial">
      <formula>NOT(ISERROR(SEARCH("Potencial",J387)))</formula>
    </cfRule>
    <cfRule type="containsText" dxfId="7382" priority="1225" stopIfTrue="1" operator="containsText" text="Expresado">
      <formula>NOT(ISERROR(SEARCH("Expresado",J387)))</formula>
    </cfRule>
  </conditionalFormatting>
  <conditionalFormatting sqref="J388">
    <cfRule type="containsText" dxfId="7381" priority="1050" stopIfTrue="1" operator="containsText" text="Expresado">
      <formula>NOT(ISERROR(SEARCH("Expresado",J388)))</formula>
    </cfRule>
    <cfRule type="containsText" dxfId="7380" priority="1049" stopIfTrue="1" operator="containsText" text="Potencial">
      <formula>NOT(ISERROR(SEARCH("Potencial",J388)))</formula>
    </cfRule>
  </conditionalFormatting>
  <conditionalFormatting sqref="J389">
    <cfRule type="containsText" dxfId="7379" priority="697" stopIfTrue="1" operator="containsText" text="Expresado">
      <formula>NOT(ISERROR(SEARCH("Expresado",J389)))</formula>
    </cfRule>
    <cfRule type="containsText" dxfId="7378" priority="696" stopIfTrue="1" operator="containsText" text="Potencial">
      <formula>NOT(ISERROR(SEARCH("Potencial",J389)))</formula>
    </cfRule>
  </conditionalFormatting>
  <conditionalFormatting sqref="J390">
    <cfRule type="containsText" dxfId="7377" priority="665" stopIfTrue="1" operator="containsText" text="Expresado">
      <formula>NOT(ISERROR(SEARCH("Expresado",J390)))</formula>
    </cfRule>
    <cfRule type="containsText" dxfId="7376" priority="664" stopIfTrue="1" operator="containsText" text="Potencial">
      <formula>NOT(ISERROR(SEARCH("Potencial",J390)))</formula>
    </cfRule>
  </conditionalFormatting>
  <conditionalFormatting sqref="J391">
    <cfRule type="containsText" dxfId="7375" priority="999" stopIfTrue="1" operator="containsText" text="Expresado">
      <formula>NOT(ISERROR(SEARCH("Expresado",J391)))</formula>
    </cfRule>
    <cfRule type="containsText" dxfId="7374" priority="998" stopIfTrue="1" operator="containsText" text="Potencial">
      <formula>NOT(ISERROR(SEARCH("Potencial",J391)))</formula>
    </cfRule>
  </conditionalFormatting>
  <conditionalFormatting sqref="J392">
    <cfRule type="containsText" dxfId="7373" priority="1095" stopIfTrue="1" operator="containsText" text="Expresado">
      <formula>NOT(ISERROR(SEARCH("Expresado",J392)))</formula>
    </cfRule>
    <cfRule type="containsText" dxfId="7372" priority="1094" stopIfTrue="1" operator="containsText" text="Potencial">
      <formula>NOT(ISERROR(SEARCH("Potencial",J392)))</formula>
    </cfRule>
  </conditionalFormatting>
  <conditionalFormatting sqref="J393">
    <cfRule type="containsText" dxfId="7371" priority="957" stopIfTrue="1" operator="containsText" text="Potencial">
      <formula>NOT(ISERROR(SEARCH("Potencial",J393)))</formula>
    </cfRule>
    <cfRule type="containsText" dxfId="7370" priority="958" stopIfTrue="1" operator="containsText" text="Expresado">
      <formula>NOT(ISERROR(SEARCH("Expresado",J393)))</formula>
    </cfRule>
  </conditionalFormatting>
  <conditionalFormatting sqref="J398">
    <cfRule type="containsText" dxfId="7369" priority="919" stopIfTrue="1" operator="containsText" text="Potencial">
      <formula>NOT(ISERROR(SEARCH("Potencial",J398)))</formula>
    </cfRule>
    <cfRule type="containsText" dxfId="7368" priority="920" stopIfTrue="1" operator="containsText" text="Expresado">
      <formula>NOT(ISERROR(SEARCH("Expresado",J398)))</formula>
    </cfRule>
  </conditionalFormatting>
  <conditionalFormatting sqref="J399">
    <cfRule type="containsText" dxfId="7367" priority="732" stopIfTrue="1" operator="containsText" text="Potencial">
      <formula>NOT(ISERROR(SEARCH("Potencial",J399)))</formula>
    </cfRule>
    <cfRule type="containsText" dxfId="7366" priority="733" stopIfTrue="1" operator="containsText" text="Expresado">
      <formula>NOT(ISERROR(SEARCH("Expresado",J399)))</formula>
    </cfRule>
  </conditionalFormatting>
  <conditionalFormatting sqref="J400">
    <cfRule type="containsText" dxfId="7365" priority="626" stopIfTrue="1" operator="containsText" text="Potencial">
      <formula>NOT(ISERROR(SEARCH("Potencial",J400)))</formula>
    </cfRule>
    <cfRule type="containsText" dxfId="7364" priority="627" stopIfTrue="1" operator="containsText" text="Expresado">
      <formula>NOT(ISERROR(SEARCH("Expresado",J400)))</formula>
    </cfRule>
  </conditionalFormatting>
  <conditionalFormatting sqref="J401">
    <cfRule type="containsText" dxfId="7363" priority="520" stopIfTrue="1" operator="containsText" text="Expresado">
      <formula>NOT(ISERROR(SEARCH("Expresado",J401)))</formula>
    </cfRule>
    <cfRule type="containsText" dxfId="7362" priority="519" stopIfTrue="1" operator="containsText" text="Potencial">
      <formula>NOT(ISERROR(SEARCH("Potencial",J401)))</formula>
    </cfRule>
  </conditionalFormatting>
  <conditionalFormatting sqref="J402">
    <cfRule type="containsText" dxfId="7361" priority="166" stopIfTrue="1" operator="containsText" text="Potencial">
      <formula>NOT(ISERROR(SEARCH("Potencial",J402)))</formula>
    </cfRule>
    <cfRule type="containsText" dxfId="7360" priority="167" stopIfTrue="1" operator="containsText" text="Expresado">
      <formula>NOT(ISERROR(SEARCH("Expresado",J402)))</formula>
    </cfRule>
  </conditionalFormatting>
  <conditionalFormatting sqref="J403">
    <cfRule type="containsText" dxfId="7359" priority="135" stopIfTrue="1" operator="containsText" text="Expresado">
      <formula>NOT(ISERROR(SEARCH("Expresado",J403)))</formula>
    </cfRule>
    <cfRule type="containsText" dxfId="7358" priority="134" stopIfTrue="1" operator="containsText" text="Potencial">
      <formula>NOT(ISERROR(SEARCH("Potencial",J403)))</formula>
    </cfRule>
  </conditionalFormatting>
  <conditionalFormatting sqref="J404">
    <cfRule type="containsText" dxfId="7357" priority="468" stopIfTrue="1" operator="containsText" text="Potencial">
      <formula>NOT(ISERROR(SEARCH("Potencial",J404)))</formula>
    </cfRule>
    <cfRule type="containsText" dxfId="7356" priority="469" stopIfTrue="1" operator="containsText" text="Expresado">
      <formula>NOT(ISERROR(SEARCH("Expresado",J404)))</formula>
    </cfRule>
  </conditionalFormatting>
  <conditionalFormatting sqref="J405">
    <cfRule type="containsText" dxfId="7355" priority="565" stopIfTrue="1" operator="containsText" text="Expresado">
      <formula>NOT(ISERROR(SEARCH("Expresado",J405)))</formula>
    </cfRule>
    <cfRule type="containsText" dxfId="7354" priority="564" stopIfTrue="1" operator="containsText" text="Potencial">
      <formula>NOT(ISERROR(SEARCH("Potencial",J405)))</formula>
    </cfRule>
  </conditionalFormatting>
  <conditionalFormatting sqref="J406">
    <cfRule type="containsText" dxfId="7353" priority="428" stopIfTrue="1" operator="containsText" text="Expresado">
      <formula>NOT(ISERROR(SEARCH("Expresado",J406)))</formula>
    </cfRule>
    <cfRule type="containsText" dxfId="7352" priority="427" stopIfTrue="1" operator="containsText" text="Potencial">
      <formula>NOT(ISERROR(SEARCH("Potencial",J406)))</formula>
    </cfRule>
  </conditionalFormatting>
  <conditionalFormatting sqref="J411">
    <cfRule type="containsText" dxfId="7351" priority="390" stopIfTrue="1" operator="containsText" text="Expresado">
      <formula>NOT(ISERROR(SEARCH("Expresado",J411)))</formula>
    </cfRule>
    <cfRule type="containsText" dxfId="7350" priority="389" stopIfTrue="1" operator="containsText" text="Potencial">
      <formula>NOT(ISERROR(SEARCH("Potencial",J411)))</formula>
    </cfRule>
  </conditionalFormatting>
  <conditionalFormatting sqref="J412">
    <cfRule type="containsText" dxfId="7349" priority="203" stopIfTrue="1" operator="containsText" text="Expresado">
      <formula>NOT(ISERROR(SEARCH("Expresado",J412)))</formula>
    </cfRule>
    <cfRule type="containsText" dxfId="7348" priority="202" stopIfTrue="1" operator="containsText" text="Potencial">
      <formula>NOT(ISERROR(SEARCH("Potencial",J412)))</formula>
    </cfRule>
  </conditionalFormatting>
  <conditionalFormatting sqref="J413:J415">
    <cfRule type="containsText" dxfId="7347" priority="96" stopIfTrue="1" operator="containsText" text="Potencial">
      <formula>NOT(ISERROR(SEARCH("Potencial",J413)))</formula>
    </cfRule>
    <cfRule type="containsText" dxfId="7346" priority="97" stopIfTrue="1" operator="containsText" text="Expresado">
      <formula>NOT(ISERROR(SEARCH("Expresado",J413)))</formula>
    </cfRule>
  </conditionalFormatting>
  <conditionalFormatting sqref="K31">
    <cfRule type="containsText" dxfId="7345" priority="8820" stopIfTrue="1" operator="containsText" text="Potencial">
      <formula>NOT(ISERROR(SEARCH("Potencial",K31)))</formula>
    </cfRule>
    <cfRule type="containsText" dxfId="7344" priority="8821" stopIfTrue="1" operator="containsText" text="Expresado">
      <formula>NOT(ISERROR(SEARCH("Expresado",K31)))</formula>
    </cfRule>
  </conditionalFormatting>
  <conditionalFormatting sqref="K76">
    <cfRule type="containsText" dxfId="7343" priority="13689" stopIfTrue="1" operator="containsText" text="Potencial">
      <formula>NOT(ISERROR(SEARCH("Potencial",K76)))</formula>
    </cfRule>
    <cfRule type="containsText" dxfId="7342" priority="13690" stopIfTrue="1" operator="containsText" text="Expresado">
      <formula>NOT(ISERROR(SEARCH("Expresado",K76)))</formula>
    </cfRule>
  </conditionalFormatting>
  <conditionalFormatting sqref="K77">
    <cfRule type="containsText" dxfId="7341" priority="13647" stopIfTrue="1" operator="containsText" text="Expresado">
      <formula>NOT(ISERROR(SEARCH("Expresado",K77)))</formula>
    </cfRule>
    <cfRule type="containsText" dxfId="7340" priority="13646" stopIfTrue="1" operator="containsText" text="Potencial">
      <formula>NOT(ISERROR(SEARCH("Potencial",K77)))</formula>
    </cfRule>
  </conditionalFormatting>
  <conditionalFormatting sqref="K87">
    <cfRule type="containsText" dxfId="7339" priority="13105" stopIfTrue="1" operator="containsText" text="Potencial">
      <formula>NOT(ISERROR(SEARCH("Potencial",K87)))</formula>
    </cfRule>
    <cfRule type="containsText" dxfId="7338" priority="13106" stopIfTrue="1" operator="containsText" text="Expresado">
      <formula>NOT(ISERROR(SEARCH("Expresado",K87)))</formula>
    </cfRule>
  </conditionalFormatting>
  <conditionalFormatting sqref="K98">
    <cfRule type="containsText" dxfId="7337" priority="8770" stopIfTrue="1" operator="containsText" text="Expresado">
      <formula>NOT(ISERROR(SEARCH("Expresado",K98)))</formula>
    </cfRule>
    <cfRule type="containsText" dxfId="7336" priority="8769" stopIfTrue="1" operator="containsText" text="Potencial">
      <formula>NOT(ISERROR(SEARCH("Potencial",K98)))</formula>
    </cfRule>
  </conditionalFormatting>
  <conditionalFormatting sqref="K118">
    <cfRule type="containsText" dxfId="7335" priority="8719" stopIfTrue="1" operator="containsText" text="Expresado">
      <formula>NOT(ISERROR(SEARCH("Expresado",K118)))</formula>
    </cfRule>
    <cfRule type="containsText" dxfId="7334" priority="8718" stopIfTrue="1" operator="containsText" text="Potencial">
      <formula>NOT(ISERROR(SEARCH("Potencial",K118)))</formula>
    </cfRule>
  </conditionalFormatting>
  <conditionalFormatting sqref="K173 K155 K136">
    <cfRule type="containsText" dxfId="7333" priority="8668" stopIfTrue="1" operator="containsText" text="Expresado">
      <formula>NOT(ISERROR(SEARCH("Expresado",K136)))</formula>
    </cfRule>
    <cfRule type="containsText" dxfId="7332" priority="8667" stopIfTrue="1" operator="containsText" text="Potencial">
      <formula>NOT(ISERROR(SEARCH("Potencial",K136)))</formula>
    </cfRule>
  </conditionalFormatting>
  <conditionalFormatting sqref="K190">
    <cfRule type="containsText" dxfId="7331" priority="9127" stopIfTrue="1" operator="containsText" text="Expresado">
      <formula>NOT(ISERROR(SEARCH("Expresado",K190)))</formula>
    </cfRule>
    <cfRule type="containsText" dxfId="7330" priority="9126" stopIfTrue="1" operator="containsText" text="Potencial">
      <formula>NOT(ISERROR(SEARCH("Potencial",K190)))</formula>
    </cfRule>
  </conditionalFormatting>
  <conditionalFormatting sqref="K200">
    <cfRule type="containsText" dxfId="7329" priority="8530" stopIfTrue="1" operator="containsText" text="Potencial">
      <formula>NOT(ISERROR(SEARCH("Potencial",K200)))</formula>
    </cfRule>
    <cfRule type="containsText" dxfId="7328" priority="8531" stopIfTrue="1" operator="containsText" text="Expresado">
      <formula>NOT(ISERROR(SEARCH("Expresado",K200)))</formula>
    </cfRule>
  </conditionalFormatting>
  <conditionalFormatting sqref="K213">
    <cfRule type="containsText" dxfId="7327" priority="8005" stopIfTrue="1" operator="containsText" text="Expresado">
      <formula>NOT(ISERROR(SEARCH("Expresado",K213)))</formula>
    </cfRule>
    <cfRule type="containsText" dxfId="7326" priority="8004" stopIfTrue="1" operator="containsText" text="Potencial">
      <formula>NOT(ISERROR(SEARCH("Potencial",K213)))</formula>
    </cfRule>
  </conditionalFormatting>
  <conditionalFormatting sqref="K229">
    <cfRule type="containsText" dxfId="7325" priority="7400" stopIfTrue="1" operator="containsText" text="Potencial">
      <formula>NOT(ISERROR(SEARCH("Potencial",K229)))</formula>
    </cfRule>
    <cfRule type="containsText" dxfId="7324" priority="7401" stopIfTrue="1" operator="containsText" text="Expresado">
      <formula>NOT(ISERROR(SEARCH("Expresado",K229)))</formula>
    </cfRule>
  </conditionalFormatting>
  <conditionalFormatting sqref="K244">
    <cfRule type="containsText" dxfId="7323" priority="6797" stopIfTrue="1" operator="containsText" text="Expresado">
      <formula>NOT(ISERROR(SEARCH("Expresado",K244)))</formula>
    </cfRule>
    <cfRule type="containsText" dxfId="7322" priority="6796" stopIfTrue="1" operator="containsText" text="Potencial">
      <formula>NOT(ISERROR(SEARCH("Potencial",K244)))</formula>
    </cfRule>
  </conditionalFormatting>
  <conditionalFormatting sqref="K258">
    <cfRule type="containsText" dxfId="7321" priority="6221" stopIfTrue="1" operator="containsText" text="Expresado">
      <formula>NOT(ISERROR(SEARCH("Expresado",K258)))</formula>
    </cfRule>
    <cfRule type="containsText" dxfId="7320" priority="6220" stopIfTrue="1" operator="containsText" text="Potencial">
      <formula>NOT(ISERROR(SEARCH("Potencial",K258)))</formula>
    </cfRule>
  </conditionalFormatting>
  <conditionalFormatting sqref="K270">
    <cfRule type="containsText" dxfId="7319" priority="5741" stopIfTrue="1" operator="containsText" text="Potencial">
      <formula>NOT(ISERROR(SEARCH("Potencial",K270)))</formula>
    </cfRule>
    <cfRule type="containsText" dxfId="7318" priority="5742" stopIfTrue="1" operator="containsText" text="Expresado">
      <formula>NOT(ISERROR(SEARCH("Expresado",K270)))</formula>
    </cfRule>
  </conditionalFormatting>
  <conditionalFormatting sqref="K284">
    <cfRule type="containsText" dxfId="7317" priority="5178" stopIfTrue="1" operator="containsText" text="Potencial">
      <formula>NOT(ISERROR(SEARCH("Potencial",K284)))</formula>
    </cfRule>
    <cfRule type="containsText" dxfId="7316" priority="5179" stopIfTrue="1" operator="containsText" text="Expresado">
      <formula>NOT(ISERROR(SEARCH("Expresado",K284)))</formula>
    </cfRule>
  </conditionalFormatting>
  <conditionalFormatting sqref="K298">
    <cfRule type="containsText" dxfId="7315" priority="4616" stopIfTrue="1" operator="containsText" text="Expresado">
      <formula>NOT(ISERROR(SEARCH("Expresado",K298)))</formula>
    </cfRule>
    <cfRule type="containsText" dxfId="7314" priority="4615" stopIfTrue="1" operator="containsText" text="Potencial">
      <formula>NOT(ISERROR(SEARCH("Potencial",K298)))</formula>
    </cfRule>
  </conditionalFormatting>
  <conditionalFormatting sqref="K312">
    <cfRule type="containsText" dxfId="7313" priority="4044" stopIfTrue="1" operator="containsText" text="Expresado">
      <formula>NOT(ISERROR(SEARCH("Expresado",K312)))</formula>
    </cfRule>
    <cfRule type="containsText" dxfId="7312" priority="4043" stopIfTrue="1" operator="containsText" text="Potencial">
      <formula>NOT(ISERROR(SEARCH("Potencial",K312)))</formula>
    </cfRule>
  </conditionalFormatting>
  <conditionalFormatting sqref="K324">
    <cfRule type="containsText" dxfId="7311" priority="3605" stopIfTrue="1" operator="containsText" text="Expresado">
      <formula>NOT(ISERROR(SEARCH("Expresado",K324)))</formula>
    </cfRule>
    <cfRule type="containsText" dxfId="7310" priority="3604" stopIfTrue="1" operator="containsText" text="Potencial">
      <formula>NOT(ISERROR(SEARCH("Potencial",K324)))</formula>
    </cfRule>
  </conditionalFormatting>
  <conditionalFormatting sqref="K338">
    <cfRule type="containsText" dxfId="7309" priority="3041" stopIfTrue="1" operator="containsText" text="Potencial">
      <formula>NOT(ISERROR(SEARCH("Potencial",K338)))</formula>
    </cfRule>
    <cfRule type="containsText" dxfId="7308" priority="3042" stopIfTrue="1" operator="containsText" text="Expresado">
      <formula>NOT(ISERROR(SEARCH("Expresado",K338)))</formula>
    </cfRule>
  </conditionalFormatting>
  <conditionalFormatting sqref="K352">
    <cfRule type="containsText" dxfId="7307" priority="2462" stopIfTrue="1" operator="containsText" text="Expresado">
      <formula>NOT(ISERROR(SEARCH("Expresado",K352)))</formula>
    </cfRule>
    <cfRule type="containsText" dxfId="7306" priority="2461" stopIfTrue="1" operator="containsText" text="Potencial">
      <formula>NOT(ISERROR(SEARCH("Potencial",K352)))</formula>
    </cfRule>
  </conditionalFormatting>
  <conditionalFormatting sqref="K353">
    <cfRule type="containsText" dxfId="7305" priority="2115" stopIfTrue="1" operator="containsText" text="Potencial">
      <formula>NOT(ISERROR(SEARCH("Potencial",K353)))</formula>
    </cfRule>
    <cfRule type="containsText" dxfId="7304" priority="2116" stopIfTrue="1" operator="containsText" text="Expresado">
      <formula>NOT(ISERROR(SEARCH("Expresado",K353)))</formula>
    </cfRule>
  </conditionalFormatting>
  <conditionalFormatting sqref="K366">
    <cfRule type="containsText" dxfId="7303" priority="1932" stopIfTrue="1" operator="containsText" text="Potencial">
      <formula>NOT(ISERROR(SEARCH("Potencial",K366)))</formula>
    </cfRule>
    <cfRule type="containsText" dxfId="7302" priority="1933" stopIfTrue="1" operator="containsText" text="Expresado">
      <formula>NOT(ISERROR(SEARCH("Expresado",K366)))</formula>
    </cfRule>
  </conditionalFormatting>
  <conditionalFormatting sqref="K388">
    <cfRule type="containsText" dxfId="7301" priority="1048" stopIfTrue="1" operator="containsText" text="Expresado">
      <formula>NOT(ISERROR(SEARCH("Expresado",K388)))</formula>
    </cfRule>
    <cfRule type="containsText" dxfId="7300" priority="1047" stopIfTrue="1" operator="containsText" text="Potencial">
      <formula>NOT(ISERROR(SEARCH("Potencial",K388)))</formula>
    </cfRule>
  </conditionalFormatting>
  <conditionalFormatting sqref="K401">
    <cfRule type="containsText" dxfId="7299" priority="517" stopIfTrue="1" operator="containsText" text="Potencial">
      <formula>NOT(ISERROR(SEARCH("Potencial",K401)))</formula>
    </cfRule>
    <cfRule type="containsText" dxfId="7298" priority="518" stopIfTrue="1" operator="containsText" text="Expresado">
      <formula>NOT(ISERROR(SEARCH("Expresado",K401)))</formula>
    </cfRule>
  </conditionalFormatting>
  <conditionalFormatting sqref="K414:K415">
    <cfRule type="containsText" dxfId="7297" priority="11" stopIfTrue="1" operator="containsText" text="Potencial">
      <formula>NOT(ISERROR(SEARCH("Potencial",K414)))</formula>
    </cfRule>
    <cfRule type="containsText" dxfId="7296" priority="12" stopIfTrue="1" operator="containsText" text="Expresado">
      <formula>NOT(ISERROR(SEARCH("Expresado",K414)))</formula>
    </cfRule>
  </conditionalFormatting>
  <conditionalFormatting sqref="K84:L85">
    <cfRule type="containsText" dxfId="7295" priority="13420" stopIfTrue="1" operator="containsText" text="Expresado">
      <formula>NOT(ISERROR(SEARCH("Expresado",K84)))</formula>
    </cfRule>
    <cfRule type="containsText" dxfId="7294" priority="13419" stopIfTrue="1" operator="containsText" text="Potencial">
      <formula>NOT(ISERROR(SEARCH("Potencial",K84)))</formula>
    </cfRule>
  </conditionalFormatting>
  <conditionalFormatting sqref="K99:L99">
    <cfRule type="containsText" dxfId="7293" priority="12853" stopIfTrue="1" operator="containsText" text="Potencial">
      <formula>NOT(ISERROR(SEARCH("Potencial",K99)))</formula>
    </cfRule>
    <cfRule type="containsText" dxfId="7292" priority="12854" stopIfTrue="1" operator="containsText" text="Expresado">
      <formula>NOT(ISERROR(SEARCH("Expresado",K99)))</formula>
    </cfRule>
  </conditionalFormatting>
  <conditionalFormatting sqref="K100:L100">
    <cfRule type="containsText" dxfId="7291" priority="12809" stopIfTrue="1" operator="containsText" text="Expresado">
      <formula>NOT(ISERROR(SEARCH("Expresado",K100)))</formula>
    </cfRule>
    <cfRule type="containsText" dxfId="7290" priority="12808" stopIfTrue="1" operator="containsText" text="Potencial">
      <formula>NOT(ISERROR(SEARCH("Potencial",K100)))</formula>
    </cfRule>
  </conditionalFormatting>
  <conditionalFormatting sqref="K101:L101">
    <cfRule type="containsText" dxfId="7289" priority="12964" stopIfTrue="1" operator="containsText" text="Potencial">
      <formula>NOT(ISERROR(SEARCH("Potencial",K101)))</formula>
    </cfRule>
    <cfRule type="containsText" dxfId="7288" priority="12965" stopIfTrue="1" operator="containsText" text="Expresado">
      <formula>NOT(ISERROR(SEARCH("Expresado",K101)))</formula>
    </cfRule>
  </conditionalFormatting>
  <conditionalFormatting sqref="K102:L102">
    <cfRule type="containsText" dxfId="7287" priority="12768" stopIfTrue="1" operator="containsText" text="Expresado">
      <formula>NOT(ISERROR(SEARCH("Expresado",K102)))</formula>
    </cfRule>
    <cfRule type="containsText" dxfId="7286" priority="12767" stopIfTrue="1" operator="containsText" text="Potencial">
      <formula>NOT(ISERROR(SEARCH("Potencial",K102)))</formula>
    </cfRule>
  </conditionalFormatting>
  <conditionalFormatting sqref="K103:L103">
    <cfRule type="containsText" dxfId="7285" priority="12719" stopIfTrue="1" operator="containsText" text="Expresado">
      <formula>NOT(ISERROR(SEARCH("Expresado",K103)))</formula>
    </cfRule>
    <cfRule type="containsText" dxfId="7284" priority="12718" stopIfTrue="1" operator="containsText" text="Potencial">
      <formula>NOT(ISERROR(SEARCH("Potencial",K103)))</formula>
    </cfRule>
  </conditionalFormatting>
  <conditionalFormatting sqref="K119:L119">
    <cfRule type="containsText" dxfId="7283" priority="12052" stopIfTrue="1" operator="containsText" text="Potencial">
      <formula>NOT(ISERROR(SEARCH("Potencial",K119)))</formula>
    </cfRule>
    <cfRule type="containsText" dxfId="7282" priority="12053" stopIfTrue="1" operator="containsText" text="Expresado">
      <formula>NOT(ISERROR(SEARCH("Expresado",K119)))</formula>
    </cfRule>
  </conditionalFormatting>
  <conditionalFormatting sqref="K120:L120">
    <cfRule type="containsText" dxfId="7281" priority="12008" stopIfTrue="1" operator="containsText" text="Expresado">
      <formula>NOT(ISERROR(SEARCH("Expresado",K120)))</formula>
    </cfRule>
    <cfRule type="containsText" dxfId="7280" priority="12007" stopIfTrue="1" operator="containsText" text="Potencial">
      <formula>NOT(ISERROR(SEARCH("Potencial",K120)))</formula>
    </cfRule>
  </conditionalFormatting>
  <conditionalFormatting sqref="K121:L121">
    <cfRule type="containsText" dxfId="7279" priority="12163" stopIfTrue="1" operator="containsText" text="Potencial">
      <formula>NOT(ISERROR(SEARCH("Potencial",K121)))</formula>
    </cfRule>
    <cfRule type="containsText" dxfId="7278" priority="12164" stopIfTrue="1" operator="containsText" text="Expresado">
      <formula>NOT(ISERROR(SEARCH("Expresado",K121)))</formula>
    </cfRule>
  </conditionalFormatting>
  <conditionalFormatting sqref="K122:L122">
    <cfRule type="containsText" dxfId="7277" priority="11966" stopIfTrue="1" operator="containsText" text="Potencial">
      <formula>NOT(ISERROR(SEARCH("Potencial",K122)))</formula>
    </cfRule>
    <cfRule type="containsText" dxfId="7276" priority="11967" stopIfTrue="1" operator="containsText" text="Expresado">
      <formula>NOT(ISERROR(SEARCH("Expresado",K122)))</formula>
    </cfRule>
  </conditionalFormatting>
  <conditionalFormatting sqref="K123:L123">
    <cfRule type="containsText" dxfId="7275" priority="11917" stopIfTrue="1" operator="containsText" text="Potencial">
      <formula>NOT(ISERROR(SEARCH("Potencial",K123)))</formula>
    </cfRule>
    <cfRule type="containsText" dxfId="7274" priority="11918" stopIfTrue="1" operator="containsText" text="Expresado">
      <formula>NOT(ISERROR(SEARCH("Expresado",K123)))</formula>
    </cfRule>
  </conditionalFormatting>
  <conditionalFormatting sqref="K137:L137">
    <cfRule type="containsText" dxfId="7273" priority="11284" stopIfTrue="1" operator="containsText" text="Potencial">
      <formula>NOT(ISERROR(SEARCH("Potencial",K137)))</formula>
    </cfRule>
    <cfRule type="containsText" dxfId="7272" priority="11285" stopIfTrue="1" operator="containsText" text="Expresado">
      <formula>NOT(ISERROR(SEARCH("Expresado",K137)))</formula>
    </cfRule>
  </conditionalFormatting>
  <conditionalFormatting sqref="K138:L138">
    <cfRule type="containsText" dxfId="7271" priority="11440" stopIfTrue="1" operator="containsText" text="Potencial">
      <formula>NOT(ISERROR(SEARCH("Potencial",K138)))</formula>
    </cfRule>
    <cfRule type="containsText" dxfId="7270" priority="11441" stopIfTrue="1" operator="containsText" text="Expresado">
      <formula>NOT(ISERROR(SEARCH("Expresado",K138)))</formula>
    </cfRule>
  </conditionalFormatting>
  <conditionalFormatting sqref="K139:L139">
    <cfRule type="containsText" dxfId="7269" priority="11244" stopIfTrue="1" operator="containsText" text="Expresado">
      <formula>NOT(ISERROR(SEARCH("Expresado",K139)))</formula>
    </cfRule>
    <cfRule type="containsText" dxfId="7268" priority="11243" stopIfTrue="1" operator="containsText" text="Potencial">
      <formula>NOT(ISERROR(SEARCH("Potencial",K139)))</formula>
    </cfRule>
  </conditionalFormatting>
  <conditionalFormatting sqref="K140:L140">
    <cfRule type="containsText" dxfId="7267" priority="11194" stopIfTrue="1" operator="containsText" text="Potencial">
      <formula>NOT(ISERROR(SEARCH("Potencial",K140)))</formula>
    </cfRule>
    <cfRule type="containsText" dxfId="7266" priority="11195" stopIfTrue="1" operator="containsText" text="Expresado">
      <formula>NOT(ISERROR(SEARCH("Expresado",K140)))</formula>
    </cfRule>
  </conditionalFormatting>
  <conditionalFormatting sqref="K156:L156">
    <cfRule type="containsText" dxfId="7265" priority="10536" stopIfTrue="1" operator="containsText" text="Potencial">
      <formula>NOT(ISERROR(SEARCH("Potencial",K156)))</formula>
    </cfRule>
    <cfRule type="containsText" dxfId="7264" priority="10537" stopIfTrue="1" operator="containsText" text="Expresado">
      <formula>NOT(ISERROR(SEARCH("Expresado",K156)))</formula>
    </cfRule>
  </conditionalFormatting>
  <conditionalFormatting sqref="K157:L157">
    <cfRule type="containsText" dxfId="7263" priority="10492" stopIfTrue="1" operator="containsText" text="Expresado">
      <formula>NOT(ISERROR(SEARCH("Expresado",K157)))</formula>
    </cfRule>
    <cfRule type="containsText" dxfId="7262" priority="10491" stopIfTrue="1" operator="containsText" text="Potencial">
      <formula>NOT(ISERROR(SEARCH("Potencial",K157)))</formula>
    </cfRule>
  </conditionalFormatting>
  <conditionalFormatting sqref="K158:L158">
    <cfRule type="containsText" dxfId="7261" priority="10648" stopIfTrue="1" operator="containsText" text="Expresado">
      <formula>NOT(ISERROR(SEARCH("Expresado",K158)))</formula>
    </cfRule>
    <cfRule type="containsText" dxfId="7260" priority="10647" stopIfTrue="1" operator="containsText" text="Potencial">
      <formula>NOT(ISERROR(SEARCH("Potencial",K158)))</formula>
    </cfRule>
  </conditionalFormatting>
  <conditionalFormatting sqref="K159:L159">
    <cfRule type="containsText" dxfId="7259" priority="10450" stopIfTrue="1" operator="containsText" text="Potencial">
      <formula>NOT(ISERROR(SEARCH("Potencial",K159)))</formula>
    </cfRule>
    <cfRule type="containsText" dxfId="7258" priority="10451" stopIfTrue="1" operator="containsText" text="Expresado">
      <formula>NOT(ISERROR(SEARCH("Expresado",K159)))</formula>
    </cfRule>
  </conditionalFormatting>
  <conditionalFormatting sqref="K160:L160">
    <cfRule type="containsText" dxfId="7257" priority="10402" stopIfTrue="1" operator="containsText" text="Expresado">
      <formula>NOT(ISERROR(SEARCH("Expresado",K160)))</formula>
    </cfRule>
    <cfRule type="containsText" dxfId="7256" priority="10401" stopIfTrue="1" operator="containsText" text="Potencial">
      <formula>NOT(ISERROR(SEARCH("Potencial",K160)))</formula>
    </cfRule>
  </conditionalFormatting>
  <conditionalFormatting sqref="K174:L174">
    <cfRule type="containsText" dxfId="7255" priority="9697" stopIfTrue="1" operator="containsText" text="Expresado">
      <formula>NOT(ISERROR(SEARCH("Expresado",K174)))</formula>
    </cfRule>
    <cfRule type="containsText" dxfId="7254" priority="9696" stopIfTrue="1" operator="containsText" text="Potencial">
      <formula>NOT(ISERROR(SEARCH("Potencial",K174)))</formula>
    </cfRule>
  </conditionalFormatting>
  <conditionalFormatting sqref="K175:L175">
    <cfRule type="containsText" dxfId="7253" priority="9651" stopIfTrue="1" operator="containsText" text="Potencial">
      <formula>NOT(ISERROR(SEARCH("Potencial",K175)))</formula>
    </cfRule>
    <cfRule type="containsText" dxfId="7252" priority="9652" stopIfTrue="1" operator="containsText" text="Expresado">
      <formula>NOT(ISERROR(SEARCH("Expresado",K175)))</formula>
    </cfRule>
  </conditionalFormatting>
  <conditionalFormatting sqref="K176:L176">
    <cfRule type="containsText" dxfId="7251" priority="9808" stopIfTrue="1" operator="containsText" text="Expresado">
      <formula>NOT(ISERROR(SEARCH("Expresado",K176)))</formula>
    </cfRule>
    <cfRule type="containsText" dxfId="7250" priority="9807" stopIfTrue="1" operator="containsText" text="Potencial">
      <formula>NOT(ISERROR(SEARCH("Potencial",K176)))</formula>
    </cfRule>
  </conditionalFormatting>
  <conditionalFormatting sqref="K177:L177">
    <cfRule type="containsText" dxfId="7249" priority="9611" stopIfTrue="1" operator="containsText" text="Expresado">
      <formula>NOT(ISERROR(SEARCH("Expresado",K177)))</formula>
    </cfRule>
    <cfRule type="containsText" dxfId="7248" priority="9610" stopIfTrue="1" operator="containsText" text="Potencial">
      <formula>NOT(ISERROR(SEARCH("Potencial",K177)))</formula>
    </cfRule>
  </conditionalFormatting>
  <conditionalFormatting sqref="K178:L178">
    <cfRule type="containsText" dxfId="7247" priority="9561" stopIfTrue="1" operator="containsText" text="Potencial">
      <formula>NOT(ISERROR(SEARCH("Potencial",K178)))</formula>
    </cfRule>
    <cfRule type="containsText" dxfId="7246" priority="9562" stopIfTrue="1" operator="containsText" text="Expresado">
      <formula>NOT(ISERROR(SEARCH("Expresado",K178)))</formula>
    </cfRule>
  </conditionalFormatting>
  <conditionalFormatting sqref="K203:L203">
    <cfRule type="containsText" dxfId="7245" priority="8480" stopIfTrue="1" operator="containsText" text="Expresado">
      <formula>NOT(ISERROR(SEARCH("Expresado",K203)))</formula>
    </cfRule>
    <cfRule type="containsText" dxfId="7244" priority="8479" stopIfTrue="1" operator="containsText" text="Potencial">
      <formula>NOT(ISERROR(SEARCH("Potencial",K203)))</formula>
    </cfRule>
  </conditionalFormatting>
  <conditionalFormatting sqref="K204:L204">
    <cfRule type="containsText" dxfId="7243" priority="8591" stopIfTrue="1" operator="containsText" text="Expresado">
      <formula>NOT(ISERROR(SEARCH("Expresado",K204)))</formula>
    </cfRule>
    <cfRule type="containsText" dxfId="7242" priority="8590" stopIfTrue="1" operator="containsText" text="Potencial">
      <formula>NOT(ISERROR(SEARCH("Potencial",K204)))</formula>
    </cfRule>
  </conditionalFormatting>
  <conditionalFormatting sqref="K205:L205">
    <cfRule type="containsText" dxfId="7241" priority="8439" stopIfTrue="1" operator="containsText" text="Expresado">
      <formula>NOT(ISERROR(SEARCH("Expresado",K205)))</formula>
    </cfRule>
    <cfRule type="containsText" dxfId="7240" priority="8438" stopIfTrue="1" operator="containsText" text="Potencial">
      <formula>NOT(ISERROR(SEARCH("Potencial",K205)))</formula>
    </cfRule>
  </conditionalFormatting>
  <conditionalFormatting sqref="K207:L207 I207:I208">
    <cfRule type="containsText" dxfId="7239" priority="8282" stopIfTrue="1" operator="containsText" text="Expresado">
      <formula>NOT(ISERROR(SEARCH("Expresado",I207)))</formula>
    </cfRule>
    <cfRule type="containsText" dxfId="7238" priority="8281" stopIfTrue="1" operator="containsText" text="Potencial">
      <formula>NOT(ISERROR(SEARCH("Potencial",I207)))</formula>
    </cfRule>
  </conditionalFormatting>
  <conditionalFormatting sqref="K208:L208">
    <cfRule type="containsText" dxfId="7237" priority="8240" stopIfTrue="1" operator="containsText" text="Potencial">
      <formula>NOT(ISERROR(SEARCH("Potencial",K208)))</formula>
    </cfRule>
    <cfRule type="containsText" dxfId="7236" priority="8241" stopIfTrue="1" operator="containsText" text="Expresado">
      <formula>NOT(ISERROR(SEARCH("Expresado",K208)))</formula>
    </cfRule>
  </conditionalFormatting>
  <conditionalFormatting sqref="K211:L211">
    <cfRule type="containsText" dxfId="7235" priority="8400" stopIfTrue="1" operator="containsText" text="Potencial">
      <formula>NOT(ISERROR(SEARCH("Potencial",K211)))</formula>
    </cfRule>
    <cfRule type="containsText" dxfId="7234" priority="8401" stopIfTrue="1" operator="containsText" text="Expresado">
      <formula>NOT(ISERROR(SEARCH("Expresado",K211)))</formula>
    </cfRule>
  </conditionalFormatting>
  <conditionalFormatting sqref="K212:L212">
    <cfRule type="containsText" dxfId="7233" priority="8226" stopIfTrue="1" operator="containsText" text="Potencial">
      <formula>NOT(ISERROR(SEARCH("Potencial",K212)))</formula>
    </cfRule>
    <cfRule type="containsText" dxfId="7232" priority="8227" stopIfTrue="1" operator="containsText" text="Expresado">
      <formula>NOT(ISERROR(SEARCH("Expresado",K212)))</formula>
    </cfRule>
  </conditionalFormatting>
  <conditionalFormatting sqref="K216:L216">
    <cfRule type="containsText" dxfId="7231" priority="7954" stopIfTrue="1" operator="containsText" text="Expresado">
      <formula>NOT(ISERROR(SEARCH("Expresado",K216)))</formula>
    </cfRule>
    <cfRule type="containsText" dxfId="7230" priority="7953" stopIfTrue="1" operator="containsText" text="Potencial">
      <formula>NOT(ISERROR(SEARCH("Potencial",K216)))</formula>
    </cfRule>
  </conditionalFormatting>
  <conditionalFormatting sqref="K217:L217">
    <cfRule type="containsText" dxfId="7229" priority="8049" stopIfTrue="1" operator="containsText" text="Potencial">
      <formula>NOT(ISERROR(SEARCH("Potencial",K217)))</formula>
    </cfRule>
    <cfRule type="containsText" dxfId="7228" priority="8050" stopIfTrue="1" operator="containsText" text="Expresado">
      <formula>NOT(ISERROR(SEARCH("Expresado",K217)))</formula>
    </cfRule>
  </conditionalFormatting>
  <conditionalFormatting sqref="K218:L218">
    <cfRule type="containsText" dxfId="7227" priority="7912" stopIfTrue="1" operator="containsText" text="Potencial">
      <formula>NOT(ISERROR(SEARCH("Potencial",K218)))</formula>
    </cfRule>
    <cfRule type="containsText" dxfId="7226" priority="7913" stopIfTrue="1" operator="containsText" text="Expresado">
      <formula>NOT(ISERROR(SEARCH("Expresado",K218)))</formula>
    </cfRule>
  </conditionalFormatting>
  <conditionalFormatting sqref="K220:L220 I220:I221">
    <cfRule type="containsText" dxfId="7225" priority="7735" stopIfTrue="1" operator="containsText" text="Potencial">
      <formula>NOT(ISERROR(SEARCH("Potencial",I220)))</formula>
    </cfRule>
    <cfRule type="containsText" dxfId="7224" priority="7736" stopIfTrue="1" operator="containsText" text="Expresado">
      <formula>NOT(ISERROR(SEARCH("Expresado",I220)))</formula>
    </cfRule>
  </conditionalFormatting>
  <conditionalFormatting sqref="K221:L221">
    <cfRule type="containsText" dxfId="7223" priority="7690" stopIfTrue="1" operator="containsText" text="Potencial">
      <formula>NOT(ISERROR(SEARCH("Potencial",K221)))</formula>
    </cfRule>
    <cfRule type="containsText" dxfId="7222" priority="7691" stopIfTrue="1" operator="containsText" text="Expresado">
      <formula>NOT(ISERROR(SEARCH("Expresado",K221)))</formula>
    </cfRule>
  </conditionalFormatting>
  <conditionalFormatting sqref="K226:L226">
    <cfRule type="containsText" dxfId="7221" priority="7874" stopIfTrue="1" operator="containsText" text="Potencial">
      <formula>NOT(ISERROR(SEARCH("Potencial",K226)))</formula>
    </cfRule>
    <cfRule type="containsText" dxfId="7220" priority="7875" stopIfTrue="1" operator="containsText" text="Expresado">
      <formula>NOT(ISERROR(SEARCH("Expresado",K226)))</formula>
    </cfRule>
  </conditionalFormatting>
  <conditionalFormatting sqref="K227:L227">
    <cfRule type="containsText" dxfId="7219" priority="7649" stopIfTrue="1" operator="containsText" text="Expresado">
      <formula>NOT(ISERROR(SEARCH("Expresado",K227)))</formula>
    </cfRule>
    <cfRule type="containsText" dxfId="7218" priority="7648" stopIfTrue="1" operator="containsText" text="Potencial">
      <formula>NOT(ISERROR(SEARCH("Potencial",K227)))</formula>
    </cfRule>
  </conditionalFormatting>
  <conditionalFormatting sqref="K232:L232">
    <cfRule type="containsText" dxfId="7217" priority="7349" stopIfTrue="1" operator="containsText" text="Potencial">
      <formula>NOT(ISERROR(SEARCH("Potencial",K232)))</formula>
    </cfRule>
    <cfRule type="containsText" dxfId="7216" priority="7350" stopIfTrue="1" operator="containsText" text="Expresado">
      <formula>NOT(ISERROR(SEARCH("Expresado",K232)))</formula>
    </cfRule>
  </conditionalFormatting>
  <conditionalFormatting sqref="K233:L233">
    <cfRule type="containsText" dxfId="7215" priority="7461" stopIfTrue="1" operator="containsText" text="Expresado">
      <formula>NOT(ISERROR(SEARCH("Expresado",K233)))</formula>
    </cfRule>
    <cfRule type="containsText" dxfId="7214" priority="7460" stopIfTrue="1" operator="containsText" text="Potencial">
      <formula>NOT(ISERROR(SEARCH("Potencial",K233)))</formula>
    </cfRule>
  </conditionalFormatting>
  <conditionalFormatting sqref="K234:L234">
    <cfRule type="containsText" dxfId="7213" priority="7308" stopIfTrue="1" operator="containsText" text="Potencial">
      <formula>NOT(ISERROR(SEARCH("Potencial",K234)))</formula>
    </cfRule>
    <cfRule type="containsText" dxfId="7212" priority="7309" stopIfTrue="1" operator="containsText" text="Expresado">
      <formula>NOT(ISERROR(SEARCH("Expresado",K234)))</formula>
    </cfRule>
  </conditionalFormatting>
  <conditionalFormatting sqref="K236:L236 I236:I237">
    <cfRule type="containsText" dxfId="7211" priority="7131" stopIfTrue="1" operator="containsText" text="Potencial">
      <formula>NOT(ISERROR(SEARCH("Potencial",I236)))</formula>
    </cfRule>
    <cfRule type="containsText" dxfId="7210" priority="7132" stopIfTrue="1" operator="containsText" text="Expresado">
      <formula>NOT(ISERROR(SEARCH("Expresado",I236)))</formula>
    </cfRule>
  </conditionalFormatting>
  <conditionalFormatting sqref="K237:L237">
    <cfRule type="containsText" dxfId="7209" priority="7087" stopIfTrue="1" operator="containsText" text="Expresado">
      <formula>NOT(ISERROR(SEARCH("Expresado",K237)))</formula>
    </cfRule>
    <cfRule type="containsText" dxfId="7208" priority="7086" stopIfTrue="1" operator="containsText" text="Potencial">
      <formula>NOT(ISERROR(SEARCH("Potencial",K237)))</formula>
    </cfRule>
  </conditionalFormatting>
  <conditionalFormatting sqref="K241:L241">
    <cfRule type="containsText" dxfId="7207" priority="7271" stopIfTrue="1" operator="containsText" text="Expresado">
      <formula>NOT(ISERROR(SEARCH("Expresado",K241)))</formula>
    </cfRule>
    <cfRule type="containsText" dxfId="7206" priority="7270" stopIfTrue="1" operator="containsText" text="Potencial">
      <formula>NOT(ISERROR(SEARCH("Potencial",K241)))</formula>
    </cfRule>
  </conditionalFormatting>
  <conditionalFormatting sqref="K242:L242">
    <cfRule type="containsText" dxfId="7205" priority="7044" stopIfTrue="1" operator="containsText" text="Potencial">
      <formula>NOT(ISERROR(SEARCH("Potencial",K242)))</formula>
    </cfRule>
    <cfRule type="containsText" dxfId="7204" priority="7045" stopIfTrue="1" operator="containsText" text="Expresado">
      <formula>NOT(ISERROR(SEARCH("Expresado",K242)))</formula>
    </cfRule>
  </conditionalFormatting>
  <conditionalFormatting sqref="K247:L247">
    <cfRule type="containsText" dxfId="7203" priority="6745" stopIfTrue="1" operator="containsText" text="Potencial">
      <formula>NOT(ISERROR(SEARCH("Potencial",K247)))</formula>
    </cfRule>
    <cfRule type="containsText" dxfId="7202" priority="6746" stopIfTrue="1" operator="containsText" text="Expresado">
      <formula>NOT(ISERROR(SEARCH("Expresado",K247)))</formula>
    </cfRule>
  </conditionalFormatting>
  <conditionalFormatting sqref="K248:L248">
    <cfRule type="containsText" dxfId="7201" priority="6857" stopIfTrue="1" operator="containsText" text="Expresado">
      <formula>NOT(ISERROR(SEARCH("Expresado",K248)))</formula>
    </cfRule>
    <cfRule type="containsText" dxfId="7200" priority="6856" stopIfTrue="1" operator="containsText" text="Potencial">
      <formula>NOT(ISERROR(SEARCH("Potencial",K248)))</formula>
    </cfRule>
  </conditionalFormatting>
  <conditionalFormatting sqref="K249:L249">
    <cfRule type="containsText" dxfId="7199" priority="6705" stopIfTrue="1" operator="containsText" text="Expresado">
      <formula>NOT(ISERROR(SEARCH("Expresado",K249)))</formula>
    </cfRule>
    <cfRule type="containsText" dxfId="7198" priority="6704" stopIfTrue="1" operator="containsText" text="Potencial">
      <formula>NOT(ISERROR(SEARCH("Potencial",K249)))</formula>
    </cfRule>
  </conditionalFormatting>
  <conditionalFormatting sqref="K251:L251 I251:I252">
    <cfRule type="containsText" dxfId="7197" priority="6527" stopIfTrue="1" operator="containsText" text="Potencial">
      <formula>NOT(ISERROR(SEARCH("Potencial",I251)))</formula>
    </cfRule>
    <cfRule type="containsText" dxfId="7196" priority="6528" stopIfTrue="1" operator="containsText" text="Expresado">
      <formula>NOT(ISERROR(SEARCH("Expresado",I251)))</formula>
    </cfRule>
  </conditionalFormatting>
  <conditionalFormatting sqref="K252:L252">
    <cfRule type="containsText" dxfId="7195" priority="6482" stopIfTrue="1" operator="containsText" text="Potencial">
      <formula>NOT(ISERROR(SEARCH("Potencial",K252)))</formula>
    </cfRule>
    <cfRule type="containsText" dxfId="7194" priority="6483" stopIfTrue="1" operator="containsText" text="Expresado">
      <formula>NOT(ISERROR(SEARCH("Expresado",K252)))</formula>
    </cfRule>
  </conditionalFormatting>
  <conditionalFormatting sqref="K256:L256">
    <cfRule type="containsText" dxfId="7193" priority="6666" stopIfTrue="1" operator="containsText" text="Potencial">
      <formula>NOT(ISERROR(SEARCH("Potencial",K256)))</formula>
    </cfRule>
    <cfRule type="containsText" dxfId="7192" priority="6667" stopIfTrue="1" operator="containsText" text="Expresado">
      <formula>NOT(ISERROR(SEARCH("Expresado",K256)))</formula>
    </cfRule>
  </conditionalFormatting>
  <conditionalFormatting sqref="K257:L257">
    <cfRule type="containsText" dxfId="7191" priority="6441" stopIfTrue="1" operator="containsText" text="Expresado">
      <formula>NOT(ISERROR(SEARCH("Expresado",K257)))</formula>
    </cfRule>
    <cfRule type="containsText" dxfId="7190" priority="6440" stopIfTrue="1" operator="containsText" text="Potencial">
      <formula>NOT(ISERROR(SEARCH("Potencial",K257)))</formula>
    </cfRule>
  </conditionalFormatting>
  <conditionalFormatting sqref="K261:L261">
    <cfRule type="containsText" dxfId="7189" priority="6169" stopIfTrue="1" operator="containsText" text="Potencial">
      <formula>NOT(ISERROR(SEARCH("Potencial",K261)))</formula>
    </cfRule>
    <cfRule type="containsText" dxfId="7188" priority="6170" stopIfTrue="1" operator="containsText" text="Expresado">
      <formula>NOT(ISERROR(SEARCH("Expresado",K261)))</formula>
    </cfRule>
  </conditionalFormatting>
  <conditionalFormatting sqref="K262:L262">
    <cfRule type="containsText" dxfId="7187" priority="6265" stopIfTrue="1" operator="containsText" text="Potencial">
      <formula>NOT(ISERROR(SEARCH("Potencial",K262)))</formula>
    </cfRule>
    <cfRule type="containsText" dxfId="7186" priority="6266" stopIfTrue="1" operator="containsText" text="Expresado">
      <formula>NOT(ISERROR(SEARCH("Expresado",K262)))</formula>
    </cfRule>
  </conditionalFormatting>
  <conditionalFormatting sqref="K263:L263">
    <cfRule type="containsText" dxfId="7185" priority="6129" stopIfTrue="1" operator="containsText" text="Expresado">
      <formula>NOT(ISERROR(SEARCH("Expresado",K263)))</formula>
    </cfRule>
    <cfRule type="containsText" dxfId="7184" priority="6128" stopIfTrue="1" operator="containsText" text="Potencial">
      <formula>NOT(ISERROR(SEARCH("Potencial",K263)))</formula>
    </cfRule>
  </conditionalFormatting>
  <conditionalFormatting sqref="K265:L265">
    <cfRule type="containsText" dxfId="7183" priority="5946" stopIfTrue="1" operator="containsText" text="Expresado">
      <formula>NOT(ISERROR(SEARCH("Expresado",K265)))</formula>
    </cfRule>
    <cfRule type="containsText" dxfId="7182" priority="5945" stopIfTrue="1" operator="containsText" text="Potencial">
      <formula>NOT(ISERROR(SEARCH("Potencial",K265)))</formula>
    </cfRule>
  </conditionalFormatting>
  <conditionalFormatting sqref="K268:L268">
    <cfRule type="containsText" dxfId="7181" priority="6091" stopIfTrue="1" operator="containsText" text="Expresado">
      <formula>NOT(ISERROR(SEARCH("Expresado",K268)))</formula>
    </cfRule>
    <cfRule type="containsText" dxfId="7180" priority="6090" stopIfTrue="1" operator="containsText" text="Potencial">
      <formula>NOT(ISERROR(SEARCH("Potencial",K268)))</formula>
    </cfRule>
  </conditionalFormatting>
  <conditionalFormatting sqref="K269:L269">
    <cfRule type="containsText" dxfId="7179" priority="5904" stopIfTrue="1" operator="containsText" text="Expresado">
      <formula>NOT(ISERROR(SEARCH("Expresado",K269)))</formula>
    </cfRule>
    <cfRule type="containsText" dxfId="7178" priority="5903" stopIfTrue="1" operator="containsText" text="Potencial">
      <formula>NOT(ISERROR(SEARCH("Potencial",K269)))</formula>
    </cfRule>
  </conditionalFormatting>
  <conditionalFormatting sqref="K273:L273">
    <cfRule type="containsText" dxfId="7177" priority="5690" stopIfTrue="1" operator="containsText" text="Potencial">
      <formula>NOT(ISERROR(SEARCH("Potencial",K273)))</formula>
    </cfRule>
    <cfRule type="containsText" dxfId="7176" priority="5691" stopIfTrue="1" operator="containsText" text="Expresado">
      <formula>NOT(ISERROR(SEARCH("Expresado",K273)))</formula>
    </cfRule>
  </conditionalFormatting>
  <conditionalFormatting sqref="K274:L274">
    <cfRule type="containsText" dxfId="7175" priority="5787" stopIfTrue="1" operator="containsText" text="Expresado">
      <formula>NOT(ISERROR(SEARCH("Expresado",K274)))</formula>
    </cfRule>
    <cfRule type="containsText" dxfId="7174" priority="5786" stopIfTrue="1" operator="containsText" text="Potencial">
      <formula>NOT(ISERROR(SEARCH("Potencial",K274)))</formula>
    </cfRule>
  </conditionalFormatting>
  <conditionalFormatting sqref="K275:L275">
    <cfRule type="containsText" dxfId="7173" priority="5649" stopIfTrue="1" operator="containsText" text="Potencial">
      <formula>NOT(ISERROR(SEARCH("Potencial",K275)))</formula>
    </cfRule>
    <cfRule type="containsText" dxfId="7172" priority="5650" stopIfTrue="1" operator="containsText" text="Expresado">
      <formula>NOT(ISERROR(SEARCH("Expresado",K275)))</formula>
    </cfRule>
  </conditionalFormatting>
  <conditionalFormatting sqref="K277:L277 I277:I278">
    <cfRule type="containsText" dxfId="7171" priority="5473" stopIfTrue="1" operator="containsText" text="Expresado">
      <formula>NOT(ISERROR(SEARCH("Expresado",I277)))</formula>
    </cfRule>
    <cfRule type="containsText" dxfId="7170" priority="5472" stopIfTrue="1" operator="containsText" text="Potencial">
      <formula>NOT(ISERROR(SEARCH("Potencial",I277)))</formula>
    </cfRule>
  </conditionalFormatting>
  <conditionalFormatting sqref="K278:L278">
    <cfRule type="containsText" dxfId="7169" priority="5427" stopIfTrue="1" operator="containsText" text="Potencial">
      <formula>NOT(ISERROR(SEARCH("Potencial",K278)))</formula>
    </cfRule>
    <cfRule type="containsText" dxfId="7168" priority="5428" stopIfTrue="1" operator="containsText" text="Expresado">
      <formula>NOT(ISERROR(SEARCH("Expresado",K278)))</formula>
    </cfRule>
  </conditionalFormatting>
  <conditionalFormatting sqref="K282:L282">
    <cfRule type="containsText" dxfId="7167" priority="5611" stopIfTrue="1" operator="containsText" text="Potencial">
      <formula>NOT(ISERROR(SEARCH("Potencial",K282)))</formula>
    </cfRule>
    <cfRule type="containsText" dxfId="7166" priority="5612" stopIfTrue="1" operator="containsText" text="Expresado">
      <formula>NOT(ISERROR(SEARCH("Expresado",K282)))</formula>
    </cfRule>
  </conditionalFormatting>
  <conditionalFormatting sqref="K283:L283">
    <cfRule type="containsText" dxfId="7165" priority="5385" stopIfTrue="1" operator="containsText" text="Potencial">
      <formula>NOT(ISERROR(SEARCH("Potencial",K283)))</formula>
    </cfRule>
    <cfRule type="containsText" dxfId="7164" priority="5386" stopIfTrue="1" operator="containsText" text="Expresado">
      <formula>NOT(ISERROR(SEARCH("Expresado",K283)))</formula>
    </cfRule>
  </conditionalFormatting>
  <conditionalFormatting sqref="K287:L287">
    <cfRule type="containsText" dxfId="7163" priority="5127" stopIfTrue="1" operator="containsText" text="Potencial">
      <formula>NOT(ISERROR(SEARCH("Potencial",K287)))</formula>
    </cfRule>
    <cfRule type="containsText" dxfId="7162" priority="5128" stopIfTrue="1" operator="containsText" text="Expresado">
      <formula>NOT(ISERROR(SEARCH("Expresado",K287)))</formula>
    </cfRule>
  </conditionalFormatting>
  <conditionalFormatting sqref="K288:L288">
    <cfRule type="containsText" dxfId="7161" priority="5223" stopIfTrue="1" operator="containsText" text="Potencial">
      <formula>NOT(ISERROR(SEARCH("Potencial",K288)))</formula>
    </cfRule>
    <cfRule type="containsText" dxfId="7160" priority="5224" stopIfTrue="1" operator="containsText" text="Expresado">
      <formula>NOT(ISERROR(SEARCH("Expresado",K288)))</formula>
    </cfRule>
  </conditionalFormatting>
  <conditionalFormatting sqref="K289:L289">
    <cfRule type="containsText" dxfId="7159" priority="5086" stopIfTrue="1" operator="containsText" text="Potencial">
      <formula>NOT(ISERROR(SEARCH("Potencial",K289)))</formula>
    </cfRule>
    <cfRule type="containsText" dxfId="7158" priority="5087" stopIfTrue="1" operator="containsText" text="Expresado">
      <formula>NOT(ISERROR(SEARCH("Expresado",K289)))</formula>
    </cfRule>
  </conditionalFormatting>
  <conditionalFormatting sqref="K291:L291 I291:I292">
    <cfRule type="containsText" dxfId="7157" priority="4909" stopIfTrue="1" operator="containsText" text="Potencial">
      <formula>NOT(ISERROR(SEARCH("Potencial",I291)))</formula>
    </cfRule>
    <cfRule type="containsText" dxfId="7156" priority="4910" stopIfTrue="1" operator="containsText" text="Expresado">
      <formula>NOT(ISERROR(SEARCH("Expresado",I291)))</formula>
    </cfRule>
  </conditionalFormatting>
  <conditionalFormatting sqref="K292:L292">
    <cfRule type="containsText" dxfId="7155" priority="4865" stopIfTrue="1" operator="containsText" text="Expresado">
      <formula>NOT(ISERROR(SEARCH("Expresado",K292)))</formula>
    </cfRule>
    <cfRule type="containsText" dxfId="7154" priority="4864" stopIfTrue="1" operator="containsText" text="Potencial">
      <formula>NOT(ISERROR(SEARCH("Potencial",K292)))</formula>
    </cfRule>
  </conditionalFormatting>
  <conditionalFormatting sqref="K296:L296">
    <cfRule type="containsText" dxfId="7153" priority="5049" stopIfTrue="1" operator="containsText" text="Expresado">
      <formula>NOT(ISERROR(SEARCH("Expresado",K296)))</formula>
    </cfRule>
    <cfRule type="containsText" dxfId="7152" priority="5048" stopIfTrue="1" operator="containsText" text="Potencial">
      <formula>NOT(ISERROR(SEARCH("Potencial",K296)))</formula>
    </cfRule>
  </conditionalFormatting>
  <conditionalFormatting sqref="K297:L297">
    <cfRule type="containsText" dxfId="7151" priority="4823" stopIfTrue="1" operator="containsText" text="Expresado">
      <formula>NOT(ISERROR(SEARCH("Expresado",K297)))</formula>
    </cfRule>
    <cfRule type="containsText" dxfId="7150" priority="4822" stopIfTrue="1" operator="containsText" text="Potencial">
      <formula>NOT(ISERROR(SEARCH("Potencial",K297)))</formula>
    </cfRule>
  </conditionalFormatting>
  <conditionalFormatting sqref="K301:L301">
    <cfRule type="containsText" dxfId="7149" priority="4565" stopIfTrue="1" operator="containsText" text="Expresado">
      <formula>NOT(ISERROR(SEARCH("Expresado",K301)))</formula>
    </cfRule>
    <cfRule type="containsText" dxfId="7148" priority="4564" stopIfTrue="1" operator="containsText" text="Potencial">
      <formula>NOT(ISERROR(SEARCH("Potencial",K301)))</formula>
    </cfRule>
  </conditionalFormatting>
  <conditionalFormatting sqref="K302:L302">
    <cfRule type="containsText" dxfId="7147" priority="4660" stopIfTrue="1" operator="containsText" text="Potencial">
      <formula>NOT(ISERROR(SEARCH("Potencial",K302)))</formula>
    </cfRule>
    <cfRule type="containsText" dxfId="7146" priority="4661" stopIfTrue="1" operator="containsText" text="Expresado">
      <formula>NOT(ISERROR(SEARCH("Expresado",K302)))</formula>
    </cfRule>
  </conditionalFormatting>
  <conditionalFormatting sqref="K303:L303">
    <cfRule type="containsText" dxfId="7145" priority="4523" stopIfTrue="1" operator="containsText" text="Potencial">
      <formula>NOT(ISERROR(SEARCH("Potencial",K303)))</formula>
    </cfRule>
    <cfRule type="containsText" dxfId="7144" priority="4524" stopIfTrue="1" operator="containsText" text="Expresado">
      <formula>NOT(ISERROR(SEARCH("Expresado",K303)))</formula>
    </cfRule>
  </conditionalFormatting>
  <conditionalFormatting sqref="K305:L305 I305:I306">
    <cfRule type="containsText" dxfId="7143" priority="4347" stopIfTrue="1" operator="containsText" text="Expresado">
      <formula>NOT(ISERROR(SEARCH("Expresado",I305)))</formula>
    </cfRule>
    <cfRule type="containsText" dxfId="7142" priority="4346" stopIfTrue="1" operator="containsText" text="Potencial">
      <formula>NOT(ISERROR(SEARCH("Potencial",I305)))</formula>
    </cfRule>
  </conditionalFormatting>
  <conditionalFormatting sqref="K306:L306">
    <cfRule type="containsText" dxfId="7141" priority="4301" stopIfTrue="1" operator="containsText" text="Potencial">
      <formula>NOT(ISERROR(SEARCH("Potencial",K306)))</formula>
    </cfRule>
    <cfRule type="containsText" dxfId="7140" priority="4302" stopIfTrue="1" operator="containsText" text="Expresado">
      <formula>NOT(ISERROR(SEARCH("Expresado",K306)))</formula>
    </cfRule>
  </conditionalFormatting>
  <conditionalFormatting sqref="K310:L310">
    <cfRule type="containsText" dxfId="7139" priority="4485" stopIfTrue="1" operator="containsText" text="Potencial">
      <formula>NOT(ISERROR(SEARCH("Potencial",K310)))</formula>
    </cfRule>
    <cfRule type="containsText" dxfId="7138" priority="4486" stopIfTrue="1" operator="containsText" text="Expresado">
      <formula>NOT(ISERROR(SEARCH("Expresado",K310)))</formula>
    </cfRule>
  </conditionalFormatting>
  <conditionalFormatting sqref="K311:L311">
    <cfRule type="containsText" dxfId="7137" priority="4259" stopIfTrue="1" operator="containsText" text="Potencial">
      <formula>NOT(ISERROR(SEARCH("Potencial",K311)))</formula>
    </cfRule>
    <cfRule type="containsText" dxfId="7136" priority="4260" stopIfTrue="1" operator="containsText" text="Expresado">
      <formula>NOT(ISERROR(SEARCH("Expresado",K311)))</formula>
    </cfRule>
  </conditionalFormatting>
  <conditionalFormatting sqref="K315:L315">
    <cfRule type="containsText" dxfId="7135" priority="4000" stopIfTrue="1" operator="containsText" text="Potencial">
      <formula>NOT(ISERROR(SEARCH("Potencial",K315)))</formula>
    </cfRule>
    <cfRule type="containsText" dxfId="7134" priority="4001" stopIfTrue="1" operator="containsText" text="Expresado">
      <formula>NOT(ISERROR(SEARCH("Expresado",K315)))</formula>
    </cfRule>
  </conditionalFormatting>
  <conditionalFormatting sqref="K316:L316">
    <cfRule type="containsText" dxfId="7133" priority="4085" stopIfTrue="1" operator="containsText" text="Expresado">
      <formula>NOT(ISERROR(SEARCH("Expresado",K316)))</formula>
    </cfRule>
    <cfRule type="containsText" dxfId="7132" priority="4084" stopIfTrue="1" operator="containsText" text="Potencial">
      <formula>NOT(ISERROR(SEARCH("Potencial",K316)))</formula>
    </cfRule>
  </conditionalFormatting>
  <conditionalFormatting sqref="K317:L317">
    <cfRule type="containsText" dxfId="7131" priority="3960" stopIfTrue="1" operator="containsText" text="Expresado">
      <formula>NOT(ISERROR(SEARCH("Expresado",K317)))</formula>
    </cfRule>
    <cfRule type="containsText" dxfId="7130" priority="3959" stopIfTrue="1" operator="containsText" text="Potencial">
      <formula>NOT(ISERROR(SEARCH("Potencial",K317)))</formula>
    </cfRule>
  </conditionalFormatting>
  <conditionalFormatting sqref="K319:L319">
    <cfRule type="containsText" dxfId="7129" priority="3789" stopIfTrue="1" operator="containsText" text="Expresado">
      <formula>NOT(ISERROR(SEARCH("Expresado",K319)))</formula>
    </cfRule>
    <cfRule type="containsText" dxfId="7128" priority="3788" stopIfTrue="1" operator="containsText" text="Potencial">
      <formula>NOT(ISERROR(SEARCH("Potencial",K319)))</formula>
    </cfRule>
  </conditionalFormatting>
  <conditionalFormatting sqref="K322:L322">
    <cfRule type="containsText" dxfId="7127" priority="3930" stopIfTrue="1" operator="containsText" text="Expresado">
      <formula>NOT(ISERROR(SEARCH("Expresado",K322)))</formula>
    </cfRule>
    <cfRule type="containsText" dxfId="7126" priority="3929" stopIfTrue="1" operator="containsText" text="Potencial">
      <formula>NOT(ISERROR(SEARCH("Potencial",K322)))</formula>
    </cfRule>
  </conditionalFormatting>
  <conditionalFormatting sqref="K323:L323">
    <cfRule type="containsText" dxfId="7125" priority="3759" stopIfTrue="1" operator="containsText" text="Expresado">
      <formula>NOT(ISERROR(SEARCH("Expresado",K323)))</formula>
    </cfRule>
    <cfRule type="containsText" dxfId="7124" priority="3758" stopIfTrue="1" operator="containsText" text="Potencial">
      <formula>NOT(ISERROR(SEARCH("Potencial",K323)))</formula>
    </cfRule>
  </conditionalFormatting>
  <conditionalFormatting sqref="K327:L327">
    <cfRule type="containsText" dxfId="7123" priority="3553" stopIfTrue="1" operator="containsText" text="Potencial">
      <formula>NOT(ISERROR(SEARCH("Potencial",K327)))</formula>
    </cfRule>
    <cfRule type="containsText" dxfId="7122" priority="3554" stopIfTrue="1" operator="containsText" text="Expresado">
      <formula>NOT(ISERROR(SEARCH("Expresado",K327)))</formula>
    </cfRule>
  </conditionalFormatting>
  <conditionalFormatting sqref="K328:L328">
    <cfRule type="containsText" dxfId="7121" priority="3650" stopIfTrue="1" operator="containsText" text="Expresado">
      <formula>NOT(ISERROR(SEARCH("Expresado",K328)))</formula>
    </cfRule>
    <cfRule type="containsText" dxfId="7120" priority="3649" stopIfTrue="1" operator="containsText" text="Potencial">
      <formula>NOT(ISERROR(SEARCH("Potencial",K328)))</formula>
    </cfRule>
  </conditionalFormatting>
  <conditionalFormatting sqref="K329:L329">
    <cfRule type="containsText" dxfId="7119" priority="3513" stopIfTrue="1" operator="containsText" text="Expresado">
      <formula>NOT(ISERROR(SEARCH("Expresado",K329)))</formula>
    </cfRule>
    <cfRule type="containsText" dxfId="7118" priority="3512" stopIfTrue="1" operator="containsText" text="Potencial">
      <formula>NOT(ISERROR(SEARCH("Potencial",K329)))</formula>
    </cfRule>
  </conditionalFormatting>
  <conditionalFormatting sqref="K331:L331 I331:I332">
    <cfRule type="containsText" dxfId="7117" priority="3335" stopIfTrue="1" operator="containsText" text="Potencial">
      <formula>NOT(ISERROR(SEARCH("Potencial",I331)))</formula>
    </cfRule>
    <cfRule type="containsText" dxfId="7116" priority="3336" stopIfTrue="1" operator="containsText" text="Expresado">
      <formula>NOT(ISERROR(SEARCH("Expresado",I331)))</formula>
    </cfRule>
  </conditionalFormatting>
  <conditionalFormatting sqref="K332:L332">
    <cfRule type="containsText" dxfId="7115" priority="3290" stopIfTrue="1" operator="containsText" text="Potencial">
      <formula>NOT(ISERROR(SEARCH("Potencial",K332)))</formula>
    </cfRule>
    <cfRule type="containsText" dxfId="7114" priority="3291" stopIfTrue="1" operator="containsText" text="Expresado">
      <formula>NOT(ISERROR(SEARCH("Expresado",K332)))</formula>
    </cfRule>
  </conditionalFormatting>
  <conditionalFormatting sqref="K336:L336">
    <cfRule type="containsText" dxfId="7113" priority="3475" stopIfTrue="1" operator="containsText" text="Expresado">
      <formula>NOT(ISERROR(SEARCH("Expresado",K336)))</formula>
    </cfRule>
    <cfRule type="containsText" dxfId="7112" priority="3474" stopIfTrue="1" operator="containsText" text="Potencial">
      <formula>NOT(ISERROR(SEARCH("Potencial",K336)))</formula>
    </cfRule>
  </conditionalFormatting>
  <conditionalFormatting sqref="K337:L337">
    <cfRule type="containsText" dxfId="7111" priority="3248" stopIfTrue="1" operator="containsText" text="Potencial">
      <formula>NOT(ISERROR(SEARCH("Potencial",K337)))</formula>
    </cfRule>
    <cfRule type="containsText" dxfId="7110" priority="3249" stopIfTrue="1" operator="containsText" text="Expresado">
      <formula>NOT(ISERROR(SEARCH("Expresado",K337)))</formula>
    </cfRule>
  </conditionalFormatting>
  <conditionalFormatting sqref="K341:L341">
    <cfRule type="containsText" dxfId="7109" priority="2991" stopIfTrue="1" operator="containsText" text="Expresado">
      <formula>NOT(ISERROR(SEARCH("Expresado",K341)))</formula>
    </cfRule>
    <cfRule type="containsText" dxfId="7108" priority="2990" stopIfTrue="1" operator="containsText" text="Potencial">
      <formula>NOT(ISERROR(SEARCH("Potencial",K341)))</formula>
    </cfRule>
  </conditionalFormatting>
  <conditionalFormatting sqref="K342:L342">
    <cfRule type="containsText" dxfId="7107" priority="3087" stopIfTrue="1" operator="containsText" text="Expresado">
      <formula>NOT(ISERROR(SEARCH("Expresado",K342)))</formula>
    </cfRule>
    <cfRule type="containsText" dxfId="7106" priority="3086" stopIfTrue="1" operator="containsText" text="Potencial">
      <formula>NOT(ISERROR(SEARCH("Potencial",K342)))</formula>
    </cfRule>
  </conditionalFormatting>
  <conditionalFormatting sqref="K343:L343">
    <cfRule type="containsText" dxfId="7105" priority="2949" stopIfTrue="1" operator="containsText" text="Potencial">
      <formula>NOT(ISERROR(SEARCH("Potencial",K343)))</formula>
    </cfRule>
    <cfRule type="containsText" dxfId="7104" priority="2950" stopIfTrue="1" operator="containsText" text="Expresado">
      <formula>NOT(ISERROR(SEARCH("Expresado",K343)))</formula>
    </cfRule>
  </conditionalFormatting>
  <conditionalFormatting sqref="K345:L345 I345:I346">
    <cfRule type="containsText" dxfId="7103" priority="2773" stopIfTrue="1" operator="containsText" text="Expresado">
      <formula>NOT(ISERROR(SEARCH("Expresado",I345)))</formula>
    </cfRule>
    <cfRule type="containsText" dxfId="7102" priority="2772" stopIfTrue="1" operator="containsText" text="Potencial">
      <formula>NOT(ISERROR(SEARCH("Potencial",I345)))</formula>
    </cfRule>
  </conditionalFormatting>
  <conditionalFormatting sqref="K346:L346">
    <cfRule type="containsText" dxfId="7101" priority="2728" stopIfTrue="1" operator="containsText" text="Expresado">
      <formula>NOT(ISERROR(SEARCH("Expresado",K346)))</formula>
    </cfRule>
    <cfRule type="containsText" dxfId="7100" priority="2727" stopIfTrue="1" operator="containsText" text="Potencial">
      <formula>NOT(ISERROR(SEARCH("Potencial",K346)))</formula>
    </cfRule>
  </conditionalFormatting>
  <conditionalFormatting sqref="K350:L350">
    <cfRule type="containsText" dxfId="7099" priority="2912" stopIfTrue="1" operator="containsText" text="Expresado">
      <formula>NOT(ISERROR(SEARCH("Expresado",K350)))</formula>
    </cfRule>
    <cfRule type="containsText" dxfId="7098" priority="2911" stopIfTrue="1" operator="containsText" text="Potencial">
      <formula>NOT(ISERROR(SEARCH("Potencial",K350)))</formula>
    </cfRule>
  </conditionalFormatting>
  <conditionalFormatting sqref="K351:L351">
    <cfRule type="containsText" dxfId="7097" priority="2686" stopIfTrue="1" operator="containsText" text="Expresado">
      <formula>NOT(ISERROR(SEARCH("Expresado",K351)))</formula>
    </cfRule>
    <cfRule type="containsText" dxfId="7096" priority="2685" stopIfTrue="1" operator="containsText" text="Potencial">
      <formula>NOT(ISERROR(SEARCH("Potencial",K351)))</formula>
    </cfRule>
  </conditionalFormatting>
  <conditionalFormatting sqref="K356:L356">
    <cfRule type="containsText" dxfId="7095" priority="2411" stopIfTrue="1" operator="containsText" text="Expresado">
      <formula>NOT(ISERROR(SEARCH("Expresado",K356)))</formula>
    </cfRule>
    <cfRule type="containsText" dxfId="7094" priority="2410" stopIfTrue="1" operator="containsText" text="Potencial">
      <formula>NOT(ISERROR(SEARCH("Potencial",K356)))</formula>
    </cfRule>
  </conditionalFormatting>
  <conditionalFormatting sqref="K357:L357">
    <cfRule type="containsText" dxfId="7093" priority="2507" stopIfTrue="1" operator="containsText" text="Expresado">
      <formula>NOT(ISERROR(SEARCH("Expresado",K357)))</formula>
    </cfRule>
    <cfRule type="containsText" dxfId="7092" priority="2506" stopIfTrue="1" operator="containsText" text="Potencial">
      <formula>NOT(ISERROR(SEARCH("Potencial",K357)))</formula>
    </cfRule>
  </conditionalFormatting>
  <conditionalFormatting sqref="K358:L358">
    <cfRule type="containsText" dxfId="7091" priority="2370" stopIfTrue="1" operator="containsText" text="Expresado">
      <formula>NOT(ISERROR(SEARCH("Expresado",K358)))</formula>
    </cfRule>
    <cfRule type="containsText" dxfId="7090" priority="2369" stopIfTrue="1" operator="containsText" text="Potencial">
      <formula>NOT(ISERROR(SEARCH("Potencial",K358)))</formula>
    </cfRule>
  </conditionalFormatting>
  <conditionalFormatting sqref="K359:L359">
    <cfRule type="containsText" dxfId="7089" priority="2223" stopIfTrue="1" operator="containsText" text="Potencial">
      <formula>NOT(ISERROR(SEARCH("Potencial",K359)))</formula>
    </cfRule>
    <cfRule type="containsText" dxfId="7088" priority="2224" stopIfTrue="1" operator="containsText" text="Expresado">
      <formula>NOT(ISERROR(SEARCH("Expresado",K359)))</formula>
    </cfRule>
  </conditionalFormatting>
  <conditionalFormatting sqref="K363:L363">
    <cfRule type="containsText" dxfId="7087" priority="2331" stopIfTrue="1" operator="containsText" text="Potencial">
      <formula>NOT(ISERROR(SEARCH("Potencial",K363)))</formula>
    </cfRule>
    <cfRule type="containsText" dxfId="7086" priority="2332" stopIfTrue="1" operator="containsText" text="Expresado">
      <formula>NOT(ISERROR(SEARCH("Expresado",K363)))</formula>
    </cfRule>
  </conditionalFormatting>
  <conditionalFormatting sqref="K364:L364">
    <cfRule type="containsText" dxfId="7085" priority="1" stopIfTrue="1" operator="containsText" text="Potencial">
      <formula>NOT(ISERROR(SEARCH("Potencial",K364)))</formula>
    </cfRule>
    <cfRule type="containsText" dxfId="7084" priority="2" stopIfTrue="1" operator="containsText" text="Expresado">
      <formula>NOT(ISERROR(SEARCH("Expresado",K364)))</formula>
    </cfRule>
  </conditionalFormatting>
  <conditionalFormatting sqref="K365:L365">
    <cfRule type="containsText" dxfId="7083" priority="2182" stopIfTrue="1" operator="containsText" text="Expresado">
      <formula>NOT(ISERROR(SEARCH("Expresado",K365)))</formula>
    </cfRule>
    <cfRule type="containsText" dxfId="7082" priority="2181" stopIfTrue="1" operator="containsText" text="Potencial">
      <formula>NOT(ISERROR(SEARCH("Potencial",K365)))</formula>
    </cfRule>
  </conditionalFormatting>
  <conditionalFormatting sqref="K369:L369">
    <cfRule type="containsText" dxfId="7081" priority="1881" stopIfTrue="1" operator="containsText" text="Potencial">
      <formula>NOT(ISERROR(SEARCH("Potencial",K369)))</formula>
    </cfRule>
    <cfRule type="containsText" dxfId="7080" priority="1882" stopIfTrue="1" operator="containsText" text="Expresado">
      <formula>NOT(ISERROR(SEARCH("Expresado",K369)))</formula>
    </cfRule>
  </conditionalFormatting>
  <conditionalFormatting sqref="K370:L370">
    <cfRule type="containsText" dxfId="7079" priority="1977" stopIfTrue="1" operator="containsText" text="Potencial">
      <formula>NOT(ISERROR(SEARCH("Potencial",K370)))</formula>
    </cfRule>
    <cfRule type="containsText" dxfId="7078" priority="1978" stopIfTrue="1" operator="containsText" text="Expresado">
      <formula>NOT(ISERROR(SEARCH("Expresado",K370)))</formula>
    </cfRule>
  </conditionalFormatting>
  <conditionalFormatting sqref="K371:L371">
    <cfRule type="containsText" dxfId="7077" priority="1841" stopIfTrue="1" operator="containsText" text="Expresado">
      <formula>NOT(ISERROR(SEARCH("Expresado",K371)))</formula>
    </cfRule>
    <cfRule type="containsText" dxfId="7076" priority="1840" stopIfTrue="1" operator="containsText" text="Potencial">
      <formula>NOT(ISERROR(SEARCH("Potencial",K371)))</formula>
    </cfRule>
  </conditionalFormatting>
  <conditionalFormatting sqref="K373:L373">
    <cfRule type="containsText" dxfId="7075" priority="1657" stopIfTrue="1" operator="containsText" text="Potencial">
      <formula>NOT(ISERROR(SEARCH("Potencial",K373)))</formula>
    </cfRule>
    <cfRule type="containsText" dxfId="7074" priority="1658" stopIfTrue="1" operator="containsText" text="Expresado">
      <formula>NOT(ISERROR(SEARCH("Expresado",K373)))</formula>
    </cfRule>
  </conditionalFormatting>
  <conditionalFormatting sqref="K376:L376">
    <cfRule type="containsText" dxfId="7073" priority="1803" stopIfTrue="1" operator="containsText" text="Expresado">
      <formula>NOT(ISERROR(SEARCH("Expresado",K376)))</formula>
    </cfRule>
    <cfRule type="containsText" dxfId="7072" priority="1802" stopIfTrue="1" operator="containsText" text="Potencial">
      <formula>NOT(ISERROR(SEARCH("Potencial",K376)))</formula>
    </cfRule>
  </conditionalFormatting>
  <conditionalFormatting sqref="K377:L377">
    <cfRule type="containsText" dxfId="7071" priority="1615" stopIfTrue="1" operator="containsText" text="Potencial">
      <formula>NOT(ISERROR(SEARCH("Potencial",K377)))</formula>
    </cfRule>
    <cfRule type="containsText" dxfId="7070" priority="1616" stopIfTrue="1" operator="containsText" text="Expresado">
      <formula>NOT(ISERROR(SEARCH("Expresado",K377)))</formula>
    </cfRule>
  </conditionalFormatting>
  <conditionalFormatting sqref="K380:L380">
    <cfRule type="containsText" dxfId="7069" priority="1446" stopIfTrue="1" operator="containsText" text="Expresado">
      <formula>NOT(ISERROR(SEARCH("Expresado",K380)))</formula>
    </cfRule>
    <cfRule type="containsText" dxfId="7068" priority="1445" stopIfTrue="1" operator="containsText" text="Potencial">
      <formula>NOT(ISERROR(SEARCH("Potencial",K380)))</formula>
    </cfRule>
  </conditionalFormatting>
  <conditionalFormatting sqref="K381:L381">
    <cfRule type="containsText" dxfId="7067" priority="1495" stopIfTrue="1" operator="containsText" text="Expresado">
      <formula>NOT(ISERROR(SEARCH("Expresado",K381)))</formula>
    </cfRule>
    <cfRule type="containsText" dxfId="7066" priority="1494" stopIfTrue="1" operator="containsText" text="Potencial">
      <formula>NOT(ISERROR(SEARCH("Potencial",K381)))</formula>
    </cfRule>
  </conditionalFormatting>
  <conditionalFormatting sqref="K382:L382 I382:I383">
    <cfRule type="containsText" dxfId="7065" priority="1272" stopIfTrue="1" operator="containsText" text="Potencial">
      <formula>NOT(ISERROR(SEARCH("Potencial",I382)))</formula>
    </cfRule>
    <cfRule type="containsText" dxfId="7064" priority="1273" stopIfTrue="1" operator="containsText" text="Expresado">
      <formula>NOT(ISERROR(SEARCH("Expresado",I382)))</formula>
    </cfRule>
  </conditionalFormatting>
  <conditionalFormatting sqref="K383:L383">
    <cfRule type="containsText" dxfId="7063" priority="1265" stopIfTrue="1" operator="containsText" text="Expresado">
      <formula>NOT(ISERROR(SEARCH("Expresado",K383)))</formula>
    </cfRule>
    <cfRule type="containsText" dxfId="7062" priority="1264" stopIfTrue="1" operator="containsText" text="Potencial">
      <formula>NOT(ISERROR(SEARCH("Potencial",K383)))</formula>
    </cfRule>
  </conditionalFormatting>
  <conditionalFormatting sqref="K386:L386">
    <cfRule type="containsText" dxfId="7061" priority="1412" stopIfTrue="1" operator="containsText" text="Expresado">
      <formula>NOT(ISERROR(SEARCH("Expresado",K386)))</formula>
    </cfRule>
    <cfRule type="containsText" dxfId="7060" priority="1411" stopIfTrue="1" operator="containsText" text="Potencial">
      <formula>NOT(ISERROR(SEARCH("Potencial",K386)))</formula>
    </cfRule>
  </conditionalFormatting>
  <conditionalFormatting sqref="K387:L387">
    <cfRule type="containsText" dxfId="7059" priority="1222" stopIfTrue="1" operator="containsText" text="Potencial">
      <formula>NOT(ISERROR(SEARCH("Potencial",K387)))</formula>
    </cfRule>
    <cfRule type="containsText" dxfId="7058" priority="1223" stopIfTrue="1" operator="containsText" text="Expresado">
      <formula>NOT(ISERROR(SEARCH("Expresado",K387)))</formula>
    </cfRule>
  </conditionalFormatting>
  <conditionalFormatting sqref="K391:L391">
    <cfRule type="containsText" dxfId="7057" priority="997" stopIfTrue="1" operator="containsText" text="Expresado">
      <formula>NOT(ISERROR(SEARCH("Expresado",K391)))</formula>
    </cfRule>
    <cfRule type="containsText" dxfId="7056" priority="996" stopIfTrue="1" operator="containsText" text="Potencial">
      <formula>NOT(ISERROR(SEARCH("Potencial",K391)))</formula>
    </cfRule>
  </conditionalFormatting>
  <conditionalFormatting sqref="K392:L392">
    <cfRule type="containsText" dxfId="7055" priority="1093" stopIfTrue="1" operator="containsText" text="Expresado">
      <formula>NOT(ISERROR(SEARCH("Expresado",K392)))</formula>
    </cfRule>
    <cfRule type="containsText" dxfId="7054" priority="1092" stopIfTrue="1" operator="containsText" text="Potencial">
      <formula>NOT(ISERROR(SEARCH("Potencial",K392)))</formula>
    </cfRule>
  </conditionalFormatting>
  <conditionalFormatting sqref="K393:L393">
    <cfRule type="containsText" dxfId="7053" priority="956" stopIfTrue="1" operator="containsText" text="Expresado">
      <formula>NOT(ISERROR(SEARCH("Expresado",K393)))</formula>
    </cfRule>
    <cfRule type="containsText" dxfId="7052" priority="955" stopIfTrue="1" operator="containsText" text="Potencial">
      <formula>NOT(ISERROR(SEARCH("Potencial",K393)))</formula>
    </cfRule>
  </conditionalFormatting>
  <conditionalFormatting sqref="K395:L395">
    <cfRule type="containsText" dxfId="7051" priority="772" stopIfTrue="1" operator="containsText" text="Potencial">
      <formula>NOT(ISERROR(SEARCH("Potencial",K395)))</formula>
    </cfRule>
    <cfRule type="containsText" dxfId="7050" priority="773" stopIfTrue="1" operator="containsText" text="Expresado">
      <formula>NOT(ISERROR(SEARCH("Expresado",K395)))</formula>
    </cfRule>
  </conditionalFormatting>
  <conditionalFormatting sqref="K398:L398">
    <cfRule type="containsText" dxfId="7049" priority="918" stopIfTrue="1" operator="containsText" text="Expresado">
      <formula>NOT(ISERROR(SEARCH("Expresado",K398)))</formula>
    </cfRule>
    <cfRule type="containsText" dxfId="7048" priority="917" stopIfTrue="1" operator="containsText" text="Potencial">
      <formula>NOT(ISERROR(SEARCH("Potencial",K398)))</formula>
    </cfRule>
  </conditionalFormatting>
  <conditionalFormatting sqref="K399:L399">
    <cfRule type="containsText" dxfId="7047" priority="730" stopIfTrue="1" operator="containsText" text="Potencial">
      <formula>NOT(ISERROR(SEARCH("Potencial",K399)))</formula>
    </cfRule>
    <cfRule type="containsText" dxfId="7046" priority="731" stopIfTrue="1" operator="containsText" text="Expresado">
      <formula>NOT(ISERROR(SEARCH("Expresado",K399)))</formula>
    </cfRule>
  </conditionalFormatting>
  <conditionalFormatting sqref="K400:L400">
    <cfRule type="containsText" dxfId="7045" priority="625" stopIfTrue="1" operator="containsText" text="Expresado">
      <formula>NOT(ISERROR(SEARCH("Expresado",K400)))</formula>
    </cfRule>
    <cfRule type="containsText" dxfId="7044" priority="624" stopIfTrue="1" operator="containsText" text="Potencial">
      <formula>NOT(ISERROR(SEARCH("Potencial",K400)))</formula>
    </cfRule>
  </conditionalFormatting>
  <conditionalFormatting sqref="K404:L404">
    <cfRule type="containsText" dxfId="7043" priority="466" stopIfTrue="1" operator="containsText" text="Potencial">
      <formula>NOT(ISERROR(SEARCH("Potencial",K404)))</formula>
    </cfRule>
    <cfRule type="containsText" dxfId="7042" priority="467" stopIfTrue="1" operator="containsText" text="Expresado">
      <formula>NOT(ISERROR(SEARCH("Expresado",K404)))</formula>
    </cfRule>
  </conditionalFormatting>
  <conditionalFormatting sqref="K405:L405">
    <cfRule type="containsText" dxfId="7041" priority="562" stopIfTrue="1" operator="containsText" text="Potencial">
      <formula>NOT(ISERROR(SEARCH("Potencial",K405)))</formula>
    </cfRule>
    <cfRule type="containsText" dxfId="7040" priority="563" stopIfTrue="1" operator="containsText" text="Expresado">
      <formula>NOT(ISERROR(SEARCH("Expresado",K405)))</formula>
    </cfRule>
  </conditionalFormatting>
  <conditionalFormatting sqref="K406:L406">
    <cfRule type="containsText" dxfId="7039" priority="425" stopIfTrue="1" operator="containsText" text="Potencial">
      <formula>NOT(ISERROR(SEARCH("Potencial",K406)))</formula>
    </cfRule>
    <cfRule type="containsText" dxfId="7038" priority="426" stopIfTrue="1" operator="containsText" text="Expresado">
      <formula>NOT(ISERROR(SEARCH("Expresado",K406)))</formula>
    </cfRule>
  </conditionalFormatting>
  <conditionalFormatting sqref="K408:L408">
    <cfRule type="containsText" dxfId="7037" priority="243" stopIfTrue="1" operator="containsText" text="Expresado">
      <formula>NOT(ISERROR(SEARCH("Expresado",K408)))</formula>
    </cfRule>
    <cfRule type="containsText" dxfId="7036" priority="242" stopIfTrue="1" operator="containsText" text="Potencial">
      <formula>NOT(ISERROR(SEARCH("Potencial",K408)))</formula>
    </cfRule>
  </conditionalFormatting>
  <conditionalFormatting sqref="K411:L411">
    <cfRule type="containsText" dxfId="7035" priority="387" stopIfTrue="1" operator="containsText" text="Potencial">
      <formula>NOT(ISERROR(SEARCH("Potencial",K411)))</formula>
    </cfRule>
    <cfRule type="containsText" dxfId="7034" priority="388" stopIfTrue="1" operator="containsText" text="Expresado">
      <formula>NOT(ISERROR(SEARCH("Expresado",K411)))</formula>
    </cfRule>
  </conditionalFormatting>
  <conditionalFormatting sqref="K412:L412">
    <cfRule type="containsText" dxfId="7033" priority="201" stopIfTrue="1" operator="containsText" text="Expresado">
      <formula>NOT(ISERROR(SEARCH("Expresado",K412)))</formula>
    </cfRule>
    <cfRule type="containsText" dxfId="7032" priority="200" stopIfTrue="1" operator="containsText" text="Potencial">
      <formula>NOT(ISERROR(SEARCH("Potencial",K412)))</formula>
    </cfRule>
  </conditionalFormatting>
  <conditionalFormatting sqref="K413:L413">
    <cfRule type="containsText" dxfId="7031" priority="95" stopIfTrue="1" operator="containsText" text="Expresado">
      <formula>NOT(ISERROR(SEARCH("Expresado",K413)))</formula>
    </cfRule>
    <cfRule type="containsText" dxfId="7030" priority="94" stopIfTrue="1" operator="containsText" text="Potencial">
      <formula>NOT(ISERROR(SEARCH("Potencial",K413)))</formula>
    </cfRule>
  </conditionalFormatting>
  <conditionalFormatting sqref="L31">
    <cfRule type="containsText" dxfId="7029" priority="8818" stopIfTrue="1" operator="containsText" text="Potencial">
      <formula>NOT(ISERROR(SEARCH("Potencial",L31)))</formula>
    </cfRule>
    <cfRule type="containsText" dxfId="7028" priority="8819" stopIfTrue="1" operator="containsText" text="Expresado">
      <formula>NOT(ISERROR(SEARCH("Expresado",L31)))</formula>
    </cfRule>
  </conditionalFormatting>
  <conditionalFormatting sqref="L76">
    <cfRule type="containsText" dxfId="7027" priority="13688" stopIfTrue="1" operator="containsText" text="Expresado">
      <formula>NOT(ISERROR(SEARCH("Expresado",L76)))</formula>
    </cfRule>
    <cfRule type="containsText" dxfId="7026" priority="13687" stopIfTrue="1" operator="containsText" text="Potencial">
      <formula>NOT(ISERROR(SEARCH("Potencial",L76)))</formula>
    </cfRule>
  </conditionalFormatting>
  <conditionalFormatting sqref="L77">
    <cfRule type="containsText" dxfId="7025" priority="13644" stopIfTrue="1" operator="containsText" text="Potencial">
      <formula>NOT(ISERROR(SEARCH("Potencial",L77)))</formula>
    </cfRule>
    <cfRule type="containsText" dxfId="7024" priority="13645" stopIfTrue="1" operator="containsText" text="Expresado">
      <formula>NOT(ISERROR(SEARCH("Expresado",L77)))</formula>
    </cfRule>
  </conditionalFormatting>
  <conditionalFormatting sqref="L98">
    <cfRule type="containsText" dxfId="7023" priority="8767" stopIfTrue="1" operator="containsText" text="Potencial">
      <formula>NOT(ISERROR(SEARCH("Potencial",L98)))</formula>
    </cfRule>
    <cfRule type="containsText" dxfId="7022" priority="8768" stopIfTrue="1" operator="containsText" text="Expresado">
      <formula>NOT(ISERROR(SEARCH("Expresado",L98)))</formula>
    </cfRule>
  </conditionalFormatting>
  <conditionalFormatting sqref="L118">
    <cfRule type="containsText" dxfId="7021" priority="8716" stopIfTrue="1" operator="containsText" text="Potencial">
      <formula>NOT(ISERROR(SEARCH("Potencial",L118)))</formula>
    </cfRule>
    <cfRule type="containsText" dxfId="7020" priority="8717" stopIfTrue="1" operator="containsText" text="Expresado">
      <formula>NOT(ISERROR(SEARCH("Expresado",L118)))</formula>
    </cfRule>
  </conditionalFormatting>
  <conditionalFormatting sqref="L173 L155 L136">
    <cfRule type="containsText" dxfId="7019" priority="8666" stopIfTrue="1" operator="containsText" text="Expresado">
      <formula>NOT(ISERROR(SEARCH("Expresado",L136)))</formula>
    </cfRule>
    <cfRule type="containsText" dxfId="7018" priority="8665" stopIfTrue="1" operator="containsText" text="Potencial">
      <formula>NOT(ISERROR(SEARCH("Potencial",L136)))</formula>
    </cfRule>
  </conditionalFormatting>
  <conditionalFormatting sqref="L190">
    <cfRule type="containsText" dxfId="7017" priority="9125" stopIfTrue="1" operator="containsText" text="Expresado">
      <formula>NOT(ISERROR(SEARCH("Expresado",L190)))</formula>
    </cfRule>
    <cfRule type="containsText" dxfId="7016" priority="9124" stopIfTrue="1" operator="containsText" text="Potencial">
      <formula>NOT(ISERROR(SEARCH("Potencial",L190)))</formula>
    </cfRule>
  </conditionalFormatting>
  <conditionalFormatting sqref="L200">
    <cfRule type="containsText" dxfId="7015" priority="8528" stopIfTrue="1" operator="containsText" text="Potencial">
      <formula>NOT(ISERROR(SEARCH("Potencial",L200)))</formula>
    </cfRule>
    <cfRule type="containsText" dxfId="7014" priority="8529" stopIfTrue="1" operator="containsText" text="Expresado">
      <formula>NOT(ISERROR(SEARCH("Expresado",L200)))</formula>
    </cfRule>
  </conditionalFormatting>
  <conditionalFormatting sqref="L213">
    <cfRule type="containsText" dxfId="7013" priority="8002" stopIfTrue="1" operator="containsText" text="Potencial">
      <formula>NOT(ISERROR(SEARCH("Potencial",L213)))</formula>
    </cfRule>
    <cfRule type="containsText" dxfId="7012" priority="8003" stopIfTrue="1" operator="containsText" text="Expresado">
      <formula>NOT(ISERROR(SEARCH("Expresado",L213)))</formula>
    </cfRule>
  </conditionalFormatting>
  <conditionalFormatting sqref="L229">
    <cfRule type="containsText" dxfId="7011" priority="7399" stopIfTrue="1" operator="containsText" text="Expresado">
      <formula>NOT(ISERROR(SEARCH("Expresado",L229)))</formula>
    </cfRule>
    <cfRule type="containsText" dxfId="7010" priority="7398" stopIfTrue="1" operator="containsText" text="Potencial">
      <formula>NOT(ISERROR(SEARCH("Potencial",L229)))</formula>
    </cfRule>
  </conditionalFormatting>
  <conditionalFormatting sqref="L244">
    <cfRule type="containsText" dxfId="7009" priority="6795" stopIfTrue="1" operator="containsText" text="Expresado">
      <formula>NOT(ISERROR(SEARCH("Expresado",L244)))</formula>
    </cfRule>
    <cfRule type="containsText" dxfId="7008" priority="6794" stopIfTrue="1" operator="containsText" text="Potencial">
      <formula>NOT(ISERROR(SEARCH("Potencial",L244)))</formula>
    </cfRule>
  </conditionalFormatting>
  <conditionalFormatting sqref="L258">
    <cfRule type="containsText" dxfId="7007" priority="6218" stopIfTrue="1" operator="containsText" text="Potencial">
      <formula>NOT(ISERROR(SEARCH("Potencial",L258)))</formula>
    </cfRule>
    <cfRule type="containsText" dxfId="7006" priority="6219" stopIfTrue="1" operator="containsText" text="Expresado">
      <formula>NOT(ISERROR(SEARCH("Expresado",L258)))</formula>
    </cfRule>
  </conditionalFormatting>
  <conditionalFormatting sqref="L270">
    <cfRule type="containsText" dxfId="7005" priority="5740" stopIfTrue="1" operator="containsText" text="Expresado">
      <formula>NOT(ISERROR(SEARCH("Expresado",L270)))</formula>
    </cfRule>
    <cfRule type="containsText" dxfId="7004" priority="5739" stopIfTrue="1" operator="containsText" text="Potencial">
      <formula>NOT(ISERROR(SEARCH("Potencial",L270)))</formula>
    </cfRule>
  </conditionalFormatting>
  <conditionalFormatting sqref="L284">
    <cfRule type="containsText" dxfId="7003" priority="5177" stopIfTrue="1" operator="containsText" text="Expresado">
      <formula>NOT(ISERROR(SEARCH("Expresado",L284)))</formula>
    </cfRule>
    <cfRule type="containsText" dxfId="7002" priority="5176" stopIfTrue="1" operator="containsText" text="Potencial">
      <formula>NOT(ISERROR(SEARCH("Potencial",L284)))</formula>
    </cfRule>
  </conditionalFormatting>
  <conditionalFormatting sqref="L298">
    <cfRule type="containsText" dxfId="7001" priority="4614" stopIfTrue="1" operator="containsText" text="Expresado">
      <formula>NOT(ISERROR(SEARCH("Expresado",L298)))</formula>
    </cfRule>
    <cfRule type="containsText" dxfId="7000" priority="4613" stopIfTrue="1" operator="containsText" text="Potencial">
      <formula>NOT(ISERROR(SEARCH("Potencial",L298)))</formula>
    </cfRule>
  </conditionalFormatting>
  <conditionalFormatting sqref="L312">
    <cfRule type="containsText" dxfId="6999" priority="4041" stopIfTrue="1" operator="containsText" text="Potencial">
      <formula>NOT(ISERROR(SEARCH("Potencial",L312)))</formula>
    </cfRule>
    <cfRule type="containsText" dxfId="6998" priority="4042" stopIfTrue="1" operator="containsText" text="Expresado">
      <formula>NOT(ISERROR(SEARCH("Expresado",L312)))</formula>
    </cfRule>
  </conditionalFormatting>
  <conditionalFormatting sqref="L324">
    <cfRule type="containsText" dxfId="6997" priority="3603" stopIfTrue="1" operator="containsText" text="Expresado">
      <formula>NOT(ISERROR(SEARCH("Expresado",L324)))</formula>
    </cfRule>
    <cfRule type="containsText" dxfId="6996" priority="3602" stopIfTrue="1" operator="containsText" text="Potencial">
      <formula>NOT(ISERROR(SEARCH("Potencial",L324)))</formula>
    </cfRule>
  </conditionalFormatting>
  <conditionalFormatting sqref="L338">
    <cfRule type="containsText" dxfId="6995" priority="3039" stopIfTrue="1" operator="containsText" text="Potencial">
      <formula>NOT(ISERROR(SEARCH("Potencial",L338)))</formula>
    </cfRule>
    <cfRule type="containsText" dxfId="6994" priority="3040" stopIfTrue="1" operator="containsText" text="Expresado">
      <formula>NOT(ISERROR(SEARCH("Expresado",L338)))</formula>
    </cfRule>
  </conditionalFormatting>
  <conditionalFormatting sqref="L352">
    <cfRule type="containsText" dxfId="6993" priority="2459" stopIfTrue="1" operator="containsText" text="Potencial">
      <formula>NOT(ISERROR(SEARCH("Potencial",L352)))</formula>
    </cfRule>
    <cfRule type="containsText" dxfId="6992" priority="2460" stopIfTrue="1" operator="containsText" text="Expresado">
      <formula>NOT(ISERROR(SEARCH("Expresado",L352)))</formula>
    </cfRule>
  </conditionalFormatting>
  <conditionalFormatting sqref="L353">
    <cfRule type="containsText" dxfId="6991" priority="2114" stopIfTrue="1" operator="containsText" text="Expresado">
      <formula>NOT(ISERROR(SEARCH("Expresado",L353)))</formula>
    </cfRule>
    <cfRule type="containsText" dxfId="6990" priority="2113" stopIfTrue="1" operator="containsText" text="Potencial">
      <formula>NOT(ISERROR(SEARCH("Potencial",L353)))</formula>
    </cfRule>
  </conditionalFormatting>
  <conditionalFormatting sqref="L366">
    <cfRule type="containsText" dxfId="6989" priority="1931" stopIfTrue="1" operator="containsText" text="Expresado">
      <formula>NOT(ISERROR(SEARCH("Expresado",L366)))</formula>
    </cfRule>
    <cfRule type="containsText" dxfId="6988" priority="1930" stopIfTrue="1" operator="containsText" text="Potencial">
      <formula>NOT(ISERROR(SEARCH("Potencial",L366)))</formula>
    </cfRule>
  </conditionalFormatting>
  <conditionalFormatting sqref="L388">
    <cfRule type="containsText" dxfId="6987" priority="1045" stopIfTrue="1" operator="containsText" text="Potencial">
      <formula>NOT(ISERROR(SEARCH("Potencial",L388)))</formula>
    </cfRule>
    <cfRule type="containsText" dxfId="6986" priority="1046" stopIfTrue="1" operator="containsText" text="Expresado">
      <formula>NOT(ISERROR(SEARCH("Expresado",L388)))</formula>
    </cfRule>
  </conditionalFormatting>
  <conditionalFormatting sqref="L401">
    <cfRule type="containsText" dxfId="6985" priority="516" stopIfTrue="1" operator="containsText" text="Expresado">
      <formula>NOT(ISERROR(SEARCH("Expresado",L401)))</formula>
    </cfRule>
    <cfRule type="containsText" dxfId="6984" priority="515" stopIfTrue="1" operator="containsText" text="Potencial">
      <formula>NOT(ISERROR(SEARCH("Potencial",L401)))</formula>
    </cfRule>
  </conditionalFormatting>
  <conditionalFormatting sqref="L414:L415">
    <cfRule type="containsText" dxfId="6983" priority="10" stopIfTrue="1" operator="containsText" text="Expresado">
      <formula>NOT(ISERROR(SEARCH("Expresado",L414)))</formula>
    </cfRule>
    <cfRule type="containsText" dxfId="6982" priority="9" stopIfTrue="1" operator="containsText" text="Potencial">
      <formula>NOT(ISERROR(SEARCH("Potencial",L414)))</formula>
    </cfRule>
  </conditionalFormatting>
  <conditionalFormatting sqref="P7:P14 P16:P19 P23:P30 P32:P37 P40:P43 P47:P53 P57:P60 P63:P65 P69:P75 P84 U414:U419">
    <cfRule type="containsText" dxfId="6981" priority="14050" stopIfTrue="1" operator="containsText" text="Bajo">
      <formula>NOT(ISERROR(SEARCH("Bajo",P7)))</formula>
    </cfRule>
  </conditionalFormatting>
  <conditionalFormatting sqref="P15">
    <cfRule type="containsText" dxfId="6980" priority="14015" stopIfTrue="1" operator="containsText" text="Bajo">
      <formula>NOT(ISERROR(SEARCH("Bajo",P15)))</formula>
    </cfRule>
    <cfRule type="containsText" dxfId="6979" priority="14017" stopIfTrue="1" operator="containsText" text="Alto">
      <formula>NOT(ISERROR(SEARCH("Alto",P15)))</formula>
    </cfRule>
    <cfRule type="containsText" dxfId="6978" priority="14016" stopIfTrue="1" operator="containsText" text="Medio">
      <formula>NOT(ISERROR(SEARCH("Medio",P15)))</formula>
    </cfRule>
    <cfRule type="containsText" dxfId="6977" priority="14014" stopIfTrue="1" operator="containsText" text="Muy alto">
      <formula>NOT(ISERROR(SEARCH("Muy alto",P15)))</formula>
    </cfRule>
  </conditionalFormatting>
  <conditionalFormatting sqref="P16:P19 P63:P65 P40:P43 P47:P53 P69:P75 P23:P30 P84 P57:P60 P32:P37 P7:P14 U414:U419">
    <cfRule type="containsText" dxfId="6976" priority="14049" stopIfTrue="1" operator="containsText" text="Muy alto">
      <formula>NOT(ISERROR(SEARCH("Muy alto",P7)))</formula>
    </cfRule>
    <cfRule type="containsText" dxfId="6975" priority="14052" stopIfTrue="1" operator="containsText" text="Alto">
      <formula>NOT(ISERROR(SEARCH("Alto",P7)))</formula>
    </cfRule>
    <cfRule type="containsText" dxfId="6974" priority="14051" stopIfTrue="1" operator="containsText" text="Medio">
      <formula>NOT(ISERROR(SEARCH("Medio",P7)))</formula>
    </cfRule>
  </conditionalFormatting>
  <conditionalFormatting sqref="P20">
    <cfRule type="containsText" dxfId="6973" priority="14005" stopIfTrue="1" operator="containsText" text="Alto">
      <formula>NOT(ISERROR(SEARCH("Alto",P20)))</formula>
    </cfRule>
    <cfRule type="containsText" dxfId="6972" priority="14002" stopIfTrue="1" operator="containsText" text="Muy alto">
      <formula>NOT(ISERROR(SEARCH("Muy alto",P20)))</formula>
    </cfRule>
    <cfRule type="containsText" dxfId="6971" priority="14004" stopIfTrue="1" operator="containsText" text="Medio">
      <formula>NOT(ISERROR(SEARCH("Medio",P20)))</formula>
    </cfRule>
    <cfRule type="containsText" dxfId="6970" priority="14003" stopIfTrue="1" operator="containsText" text="Bajo">
      <formula>NOT(ISERROR(SEARCH("Bajo",P20)))</formula>
    </cfRule>
  </conditionalFormatting>
  <conditionalFormatting sqref="P21:P22">
    <cfRule type="containsText" dxfId="6969" priority="13976" stopIfTrue="1" operator="containsText" text="Muy alto">
      <formula>NOT(ISERROR(SEARCH("Muy alto",P21)))</formula>
    </cfRule>
    <cfRule type="containsText" dxfId="6968" priority="13977" stopIfTrue="1" operator="containsText" text="Bajo">
      <formula>NOT(ISERROR(SEARCH("Bajo",P21)))</formula>
    </cfRule>
    <cfRule type="containsText" dxfId="6967" priority="13978" stopIfTrue="1" operator="containsText" text="Medio">
      <formula>NOT(ISERROR(SEARCH("Medio",P21)))</formula>
    </cfRule>
    <cfRule type="containsText" dxfId="6966" priority="13979" stopIfTrue="1" operator="containsText" text="Alto">
      <formula>NOT(ISERROR(SEARCH("Alto",P21)))</formula>
    </cfRule>
  </conditionalFormatting>
  <conditionalFormatting sqref="P31">
    <cfRule type="containsText" dxfId="6965" priority="8813" stopIfTrue="1" operator="containsText" text="Alto">
      <formula>NOT(ISERROR(SEARCH("Alto",P31)))</formula>
    </cfRule>
    <cfRule type="containsText" dxfId="6964" priority="8812" stopIfTrue="1" operator="containsText" text="Medio">
      <formula>NOT(ISERROR(SEARCH("Medio",P31)))</formula>
    </cfRule>
    <cfRule type="containsText" dxfId="6963" priority="8811" stopIfTrue="1" operator="containsText" text="Bajo">
      <formula>NOT(ISERROR(SEARCH("Bajo",P31)))</formula>
    </cfRule>
    <cfRule type="containsText" dxfId="6962" priority="8810" stopIfTrue="1" operator="containsText" text="Muy alto">
      <formula>NOT(ISERROR(SEARCH("Muy alto",P31)))</formula>
    </cfRule>
  </conditionalFormatting>
  <conditionalFormatting sqref="P39">
    <cfRule type="containsText" dxfId="6961" priority="13906" stopIfTrue="1" operator="containsText" text="Bajo">
      <formula>NOT(ISERROR(SEARCH("Bajo",P39)))</formula>
    </cfRule>
    <cfRule type="containsText" dxfId="6960" priority="13907" stopIfTrue="1" operator="containsText" text="Medio">
      <formula>NOT(ISERROR(SEARCH("Medio",P39)))</formula>
    </cfRule>
    <cfRule type="containsText" dxfId="6959" priority="13908" stopIfTrue="1" operator="containsText" text="Alto">
      <formula>NOT(ISERROR(SEARCH("Alto",P39)))</formula>
    </cfRule>
    <cfRule type="containsText" dxfId="6958" priority="13905" stopIfTrue="1" operator="containsText" text="Muy alto">
      <formula>NOT(ISERROR(SEARCH("Muy alto",P39)))</formula>
    </cfRule>
  </conditionalFormatting>
  <conditionalFormatting sqref="P44">
    <cfRule type="containsText" dxfId="6957" priority="13893" stopIfTrue="1" operator="containsText" text="Muy alto">
      <formula>NOT(ISERROR(SEARCH("Muy alto",P44)))</formula>
    </cfRule>
    <cfRule type="containsText" dxfId="6956" priority="13895" stopIfTrue="1" operator="containsText" text="Medio">
      <formula>NOT(ISERROR(SEARCH("Medio",P44)))</formula>
    </cfRule>
    <cfRule type="containsText" dxfId="6955" priority="13894" stopIfTrue="1" operator="containsText" text="Bajo">
      <formula>NOT(ISERROR(SEARCH("Bajo",P44)))</formula>
    </cfRule>
    <cfRule type="containsText" dxfId="6954" priority="13896" stopIfTrue="1" operator="containsText" text="Alto">
      <formula>NOT(ISERROR(SEARCH("Alto",P44)))</formula>
    </cfRule>
  </conditionalFormatting>
  <conditionalFormatting sqref="P45:P46">
    <cfRule type="containsText" dxfId="6953" priority="13867" stopIfTrue="1" operator="containsText" text="Muy alto">
      <formula>NOT(ISERROR(SEARCH("Muy alto",P45)))</formula>
    </cfRule>
    <cfRule type="containsText" dxfId="6952" priority="13868" stopIfTrue="1" operator="containsText" text="Bajo">
      <formula>NOT(ISERROR(SEARCH("Bajo",P45)))</formula>
    </cfRule>
    <cfRule type="containsText" dxfId="6951" priority="13869" stopIfTrue="1" operator="containsText" text="Medio">
      <formula>NOT(ISERROR(SEARCH("Medio",P45)))</formula>
    </cfRule>
    <cfRule type="containsText" dxfId="6950" priority="13870" stopIfTrue="1" operator="containsText" text="Alto">
      <formula>NOT(ISERROR(SEARCH("Alto",P45)))</formula>
    </cfRule>
  </conditionalFormatting>
  <conditionalFormatting sqref="P54:P56">
    <cfRule type="containsText" dxfId="6949" priority="13839" stopIfTrue="1" operator="containsText" text="Medio">
      <formula>NOT(ISERROR(SEARCH("Medio",P54)))</formula>
    </cfRule>
    <cfRule type="containsText" dxfId="6948" priority="13838" stopIfTrue="1" operator="containsText" text="Bajo">
      <formula>NOT(ISERROR(SEARCH("Bajo",P54)))</formula>
    </cfRule>
    <cfRule type="containsText" dxfId="6947" priority="13837" stopIfTrue="1" operator="containsText" text="Muy alto">
      <formula>NOT(ISERROR(SEARCH("Muy alto",P54)))</formula>
    </cfRule>
    <cfRule type="containsText" dxfId="6946" priority="13840" stopIfTrue="1" operator="containsText" text="Alto">
      <formula>NOT(ISERROR(SEARCH("Alto",P54)))</formula>
    </cfRule>
  </conditionalFormatting>
  <conditionalFormatting sqref="P61 P38">
    <cfRule type="containsText" dxfId="6945" priority="13052" stopIfTrue="1" operator="containsText" text="Muy alto">
      <formula>NOT(ISERROR(SEARCH("Muy alto",P38)))</formula>
    </cfRule>
    <cfRule type="containsText" dxfId="6944" priority="13053" stopIfTrue="1" operator="containsText" text="Bajo">
      <formula>NOT(ISERROR(SEARCH("Bajo",P38)))</formula>
    </cfRule>
    <cfRule type="containsText" dxfId="6943" priority="13055" stopIfTrue="1" operator="containsText" text="Alto">
      <formula>NOT(ISERROR(SEARCH("Alto",P38)))</formula>
    </cfRule>
    <cfRule type="containsText" dxfId="6942" priority="13054" stopIfTrue="1" operator="containsText" text="Medio">
      <formula>NOT(ISERROR(SEARCH("Medio",P38)))</formula>
    </cfRule>
  </conditionalFormatting>
  <conditionalFormatting sqref="P62">
    <cfRule type="containsText" dxfId="6941" priority="13755" stopIfTrue="1" operator="containsText" text="Muy alto">
      <formula>NOT(ISERROR(SEARCH("Muy alto",P62)))</formula>
    </cfRule>
    <cfRule type="containsText" dxfId="6940" priority="13757" stopIfTrue="1" operator="containsText" text="Medio">
      <formula>NOT(ISERROR(SEARCH("Medio",P62)))</formula>
    </cfRule>
    <cfRule type="containsText" dxfId="6939" priority="13756" stopIfTrue="1" operator="containsText" text="Bajo">
      <formula>NOT(ISERROR(SEARCH("Bajo",P62)))</formula>
    </cfRule>
    <cfRule type="containsText" dxfId="6938" priority="13758" stopIfTrue="1" operator="containsText" text="Alto">
      <formula>NOT(ISERROR(SEARCH("Alto",P62)))</formula>
    </cfRule>
  </conditionalFormatting>
  <conditionalFormatting sqref="P66">
    <cfRule type="containsText" dxfId="6937" priority="13744" stopIfTrue="1" operator="containsText" text="Bajo">
      <formula>NOT(ISERROR(SEARCH("Bajo",P66)))</formula>
    </cfRule>
    <cfRule type="containsText" dxfId="6936" priority="13743" stopIfTrue="1" operator="containsText" text="Muy alto">
      <formula>NOT(ISERROR(SEARCH("Muy alto",P66)))</formula>
    </cfRule>
    <cfRule type="containsText" dxfId="6935" priority="13745" stopIfTrue="1" operator="containsText" text="Medio">
      <formula>NOT(ISERROR(SEARCH("Medio",P66)))</formula>
    </cfRule>
    <cfRule type="containsText" dxfId="6934" priority="13746" stopIfTrue="1" operator="containsText" text="Alto">
      <formula>NOT(ISERROR(SEARCH("Alto",P66)))</formula>
    </cfRule>
  </conditionalFormatting>
  <conditionalFormatting sqref="P67:P68">
    <cfRule type="containsText" dxfId="6933" priority="13720" stopIfTrue="1" operator="containsText" text="Alto">
      <formula>NOT(ISERROR(SEARCH("Alto",P67)))</formula>
    </cfRule>
    <cfRule type="containsText" dxfId="6932" priority="13719" stopIfTrue="1" operator="containsText" text="Medio">
      <formula>NOT(ISERROR(SEARCH("Medio",P67)))</formula>
    </cfRule>
    <cfRule type="containsText" dxfId="6931" priority="13718" stopIfTrue="1" operator="containsText" text="Bajo">
      <formula>NOT(ISERROR(SEARCH("Bajo",P67)))</formula>
    </cfRule>
    <cfRule type="containsText" dxfId="6930" priority="13717" stopIfTrue="1" operator="containsText" text="Muy alto">
      <formula>NOT(ISERROR(SEARCH("Muy alto",P67)))</formula>
    </cfRule>
  </conditionalFormatting>
  <conditionalFormatting sqref="P76">
    <cfRule type="containsText" dxfId="6929" priority="13684" stopIfTrue="1" operator="containsText" text="Bajo">
      <formula>NOT(ISERROR(SEARCH("Bajo",P76)))</formula>
    </cfRule>
    <cfRule type="containsText" dxfId="6928" priority="13686" stopIfTrue="1" operator="containsText" text="Alto">
      <formula>NOT(ISERROR(SEARCH("Alto",P76)))</formula>
    </cfRule>
    <cfRule type="containsText" dxfId="6927" priority="13685" stopIfTrue="1" operator="containsText" text="Medio">
      <formula>NOT(ISERROR(SEARCH("Medio",P76)))</formula>
    </cfRule>
    <cfRule type="containsText" dxfId="6926" priority="13683" stopIfTrue="1" operator="containsText" text="Muy alto">
      <formula>NOT(ISERROR(SEARCH("Muy alto",P76)))</formula>
    </cfRule>
  </conditionalFormatting>
  <conditionalFormatting sqref="P77">
    <cfRule type="containsText" dxfId="6925" priority="13640" stopIfTrue="1" operator="containsText" text="Muy alto">
      <formula>NOT(ISERROR(SEARCH("Muy alto",P77)))</formula>
    </cfRule>
    <cfRule type="containsText" dxfId="6924" priority="13641" stopIfTrue="1" operator="containsText" text="Bajo">
      <formula>NOT(ISERROR(SEARCH("Bajo",P77)))</formula>
    </cfRule>
    <cfRule type="containsText" dxfId="6923" priority="13642" stopIfTrue="1" operator="containsText" text="Medio">
      <formula>NOT(ISERROR(SEARCH("Medio",P77)))</formula>
    </cfRule>
    <cfRule type="containsText" dxfId="6922" priority="13643" stopIfTrue="1" operator="containsText" text="Alto">
      <formula>NOT(ISERROR(SEARCH("Alto",P77)))</formula>
    </cfRule>
  </conditionalFormatting>
  <conditionalFormatting sqref="P78">
    <cfRule type="containsText" dxfId="6921" priority="13561" stopIfTrue="1" operator="containsText" text="Alto">
      <formula>NOT(ISERROR(SEARCH("Alto",P78)))</formula>
    </cfRule>
    <cfRule type="containsText" dxfId="6920" priority="13559" stopIfTrue="1" operator="containsText" text="Bajo">
      <formula>NOT(ISERROR(SEARCH("Bajo",P78)))</formula>
    </cfRule>
    <cfRule type="containsText" dxfId="6919" priority="13558" stopIfTrue="1" operator="containsText" text="Muy alto">
      <formula>NOT(ISERROR(SEARCH("Muy alto",P78)))</formula>
    </cfRule>
    <cfRule type="containsText" dxfId="6918" priority="13560" stopIfTrue="1" operator="containsText" text="Medio">
      <formula>NOT(ISERROR(SEARCH("Medio",P78)))</formula>
    </cfRule>
  </conditionalFormatting>
  <conditionalFormatting sqref="P79">
    <cfRule type="containsText" dxfId="6917" priority="13045" stopIfTrue="1" operator="containsText" text="Alto">
      <formula>NOT(ISERROR(SEARCH("Alto",P79)))</formula>
    </cfRule>
    <cfRule type="containsText" dxfId="6916" priority="13042" stopIfTrue="1" operator="containsText" text="Muy alto">
      <formula>NOT(ISERROR(SEARCH("Muy alto",P79)))</formula>
    </cfRule>
    <cfRule type="containsText" dxfId="6915" priority="13043" stopIfTrue="1" operator="containsText" text="Bajo">
      <formula>NOT(ISERROR(SEARCH("Bajo",P79)))</formula>
    </cfRule>
    <cfRule type="containsText" dxfId="6914" priority="13044" stopIfTrue="1" operator="containsText" text="Medio">
      <formula>NOT(ISERROR(SEARCH("Medio",P79)))</formula>
    </cfRule>
  </conditionalFormatting>
  <conditionalFormatting sqref="P80:P82">
    <cfRule type="containsText" dxfId="6913" priority="13563" stopIfTrue="1" operator="containsText" text="Bajo">
      <formula>NOT(ISERROR(SEARCH("Bajo",P80)))</formula>
    </cfRule>
    <cfRule type="containsText" dxfId="6912" priority="13562" stopIfTrue="1" operator="containsText" text="Muy alto">
      <formula>NOT(ISERROR(SEARCH("Muy alto",P80)))</formula>
    </cfRule>
    <cfRule type="containsText" dxfId="6911" priority="13565" stopIfTrue="1" operator="containsText" text="Alto">
      <formula>NOT(ISERROR(SEARCH("Alto",P80)))</formula>
    </cfRule>
    <cfRule type="containsText" dxfId="6910" priority="13564" stopIfTrue="1" operator="containsText" text="Medio">
      <formula>NOT(ISERROR(SEARCH("Medio",P80)))</formula>
    </cfRule>
  </conditionalFormatting>
  <conditionalFormatting sqref="P83">
    <cfRule type="containsText" dxfId="6909" priority="13110" stopIfTrue="1" operator="containsText" text="Alto">
      <formula>NOT(ISERROR(SEARCH("Alto",P83)))</formula>
    </cfRule>
    <cfRule type="containsText" dxfId="6908" priority="13108" stopIfTrue="1" operator="containsText" text="Bajo">
      <formula>NOT(ISERROR(SEARCH("Bajo",P83)))</formula>
    </cfRule>
    <cfRule type="containsText" dxfId="6907" priority="13107" stopIfTrue="1" operator="containsText" text="Muy alto">
      <formula>NOT(ISERROR(SEARCH("Muy alto",P83)))</formula>
    </cfRule>
    <cfRule type="containsText" dxfId="6906" priority="13109" stopIfTrue="1" operator="containsText" text="Medio">
      <formula>NOT(ISERROR(SEARCH("Medio",P83)))</formula>
    </cfRule>
  </conditionalFormatting>
  <conditionalFormatting sqref="P85">
    <cfRule type="containsText" dxfId="6905" priority="13379" stopIfTrue="1" operator="containsText" text="Muy alto">
      <formula>NOT(ISERROR(SEARCH("Muy alto",P85)))</formula>
    </cfRule>
    <cfRule type="containsText" dxfId="6904" priority="13381" stopIfTrue="1" operator="containsText" text="Medio">
      <formula>NOT(ISERROR(SEARCH("Medio",P85)))</formula>
    </cfRule>
    <cfRule type="containsText" dxfId="6903" priority="13380" stopIfTrue="1" operator="containsText" text="Bajo">
      <formula>NOT(ISERROR(SEARCH("Bajo",P85)))</formula>
    </cfRule>
    <cfRule type="containsText" dxfId="6902" priority="13382" stopIfTrue="1" operator="containsText" text="Alto">
      <formula>NOT(ISERROR(SEARCH("Alto",P85)))</formula>
    </cfRule>
  </conditionalFormatting>
  <conditionalFormatting sqref="P86">
    <cfRule type="containsText" dxfId="6901" priority="13362" stopIfTrue="1" operator="containsText" text="Alto">
      <formula>NOT(ISERROR(SEARCH("Alto",P86)))</formula>
    </cfRule>
    <cfRule type="containsText" dxfId="6900" priority="13360" stopIfTrue="1" operator="containsText" text="Bajo">
      <formula>NOT(ISERROR(SEARCH("Bajo",P86)))</formula>
    </cfRule>
    <cfRule type="containsText" dxfId="6899" priority="13359" stopIfTrue="1" operator="containsText" text="Muy alto">
      <formula>NOT(ISERROR(SEARCH("Muy alto",P86)))</formula>
    </cfRule>
    <cfRule type="containsText" dxfId="6898" priority="13361" stopIfTrue="1" operator="containsText" text="Medio">
      <formula>NOT(ISERROR(SEARCH("Medio",P86)))</formula>
    </cfRule>
  </conditionalFormatting>
  <conditionalFormatting sqref="P87:P89">
    <cfRule type="containsText" dxfId="6897" priority="13415" stopIfTrue="1" operator="containsText" text="Muy alto">
      <formula>NOT(ISERROR(SEARCH("Muy alto",P87)))</formula>
    </cfRule>
    <cfRule type="containsText" dxfId="6896" priority="13416" stopIfTrue="1" operator="containsText" text="Bajo">
      <formula>NOT(ISERROR(SEARCH("Bajo",P87)))</formula>
    </cfRule>
    <cfRule type="containsText" dxfId="6895" priority="13418" stopIfTrue="1" operator="containsText" text="Alto">
      <formula>NOT(ISERROR(SEARCH("Alto",P87)))</formula>
    </cfRule>
    <cfRule type="containsText" dxfId="6894" priority="13417" stopIfTrue="1" operator="containsText" text="Medio">
      <formula>NOT(ISERROR(SEARCH("Medio",P87)))</formula>
    </cfRule>
  </conditionalFormatting>
  <conditionalFormatting sqref="P90">
    <cfRule type="containsText" dxfId="6893" priority="13102" stopIfTrue="1" operator="containsText" text="Bajo">
      <formula>NOT(ISERROR(SEARCH("Bajo",P90)))</formula>
    </cfRule>
    <cfRule type="containsText" dxfId="6892" priority="13101" stopIfTrue="1" operator="containsText" text="Muy alto">
      <formula>NOT(ISERROR(SEARCH("Muy alto",P90)))</formula>
    </cfRule>
    <cfRule type="containsText" dxfId="6891" priority="13104" stopIfTrue="1" operator="containsText" text="Alto">
      <formula>NOT(ISERROR(SEARCH("Alto",P90)))</formula>
    </cfRule>
    <cfRule type="containsText" dxfId="6890" priority="13103" stopIfTrue="1" operator="containsText" text="Medio">
      <formula>NOT(ISERROR(SEARCH("Medio",P90)))</formula>
    </cfRule>
  </conditionalFormatting>
  <conditionalFormatting sqref="P91">
    <cfRule type="containsText" dxfId="6889" priority="13267" stopIfTrue="1" operator="containsText" text="Bajo">
      <formula>NOT(ISERROR(SEARCH("Bajo",P91)))</formula>
    </cfRule>
    <cfRule type="containsText" dxfId="6888" priority="13268" stopIfTrue="1" operator="containsText" text="Medio">
      <formula>NOT(ISERROR(SEARCH("Medio",P91)))</formula>
    </cfRule>
    <cfRule type="containsText" dxfId="6887" priority="13269" stopIfTrue="1" operator="containsText" text="Alto">
      <formula>NOT(ISERROR(SEARCH("Alto",P91)))</formula>
    </cfRule>
    <cfRule type="containsText" dxfId="6886" priority="13266" stopIfTrue="1" operator="containsText" text="Muy alto">
      <formula>NOT(ISERROR(SEARCH("Muy alto",P91)))</formula>
    </cfRule>
  </conditionalFormatting>
  <conditionalFormatting sqref="P92">
    <cfRule type="containsText" dxfId="6885" priority="13167" stopIfTrue="1" operator="containsText" text="Bajo">
      <formula>NOT(ISERROR(SEARCH("Bajo",P92)))</formula>
    </cfRule>
    <cfRule type="containsText" dxfId="6884" priority="13168" stopIfTrue="1" operator="containsText" text="Medio">
      <formula>NOT(ISERROR(SEARCH("Medio",P92)))</formula>
    </cfRule>
    <cfRule type="containsText" dxfId="6883" priority="13169" stopIfTrue="1" operator="containsText" text="Alto">
      <formula>NOT(ISERROR(SEARCH("Alto",P92)))</formula>
    </cfRule>
    <cfRule type="containsText" dxfId="6882" priority="13166" stopIfTrue="1" operator="containsText" text="Muy alto">
      <formula>NOT(ISERROR(SEARCH("Muy alto",P92)))</formula>
    </cfRule>
  </conditionalFormatting>
  <conditionalFormatting sqref="P93:P94">
    <cfRule type="containsText" dxfId="6881" priority="13129" stopIfTrue="1" operator="containsText" text="Medio">
      <formula>NOT(ISERROR(SEARCH("Medio",P93)))</formula>
    </cfRule>
    <cfRule type="containsText" dxfId="6880" priority="13128" stopIfTrue="1" operator="containsText" text="Bajo">
      <formula>NOT(ISERROR(SEARCH("Bajo",P93)))</formula>
    </cfRule>
    <cfRule type="containsText" dxfId="6879" priority="13130" stopIfTrue="1" operator="containsText" text="Alto">
      <formula>NOT(ISERROR(SEARCH("Alto",P93)))</formula>
    </cfRule>
    <cfRule type="containsText" dxfId="6878" priority="13127" stopIfTrue="1" operator="containsText" text="Muy alto">
      <formula>NOT(ISERROR(SEARCH("Muy alto",P93)))</formula>
    </cfRule>
  </conditionalFormatting>
  <conditionalFormatting sqref="P95:P96">
    <cfRule type="containsText" dxfId="6877" priority="13067" stopIfTrue="1" operator="containsText" text="Medio">
      <formula>NOT(ISERROR(SEARCH("Medio",P95)))</formula>
    </cfRule>
    <cfRule type="containsText" dxfId="6876" priority="13068" stopIfTrue="1" operator="containsText" text="Alto">
      <formula>NOT(ISERROR(SEARCH("Alto",P95)))</formula>
    </cfRule>
    <cfRule type="containsText" dxfId="6875" priority="13065" stopIfTrue="1" operator="containsText" text="Muy alto">
      <formula>NOT(ISERROR(SEARCH("Muy alto",P95)))</formula>
    </cfRule>
    <cfRule type="containsText" dxfId="6874" priority="13066" stopIfTrue="1" operator="containsText" text="Bajo">
      <formula>NOT(ISERROR(SEARCH("Bajo",P95)))</formula>
    </cfRule>
  </conditionalFormatting>
  <conditionalFormatting sqref="P97">
    <cfRule type="containsText" dxfId="6873" priority="12991" stopIfTrue="1" operator="containsText" text="Bajo">
      <formula>NOT(ISERROR(SEARCH("Bajo",P97)))</formula>
    </cfRule>
    <cfRule type="containsText" dxfId="6872" priority="12992" stopIfTrue="1" operator="containsText" text="Medio">
      <formula>NOT(ISERROR(SEARCH("Medio",P97)))</formula>
    </cfRule>
    <cfRule type="containsText" dxfId="6871" priority="12990" stopIfTrue="1" operator="containsText" text="Muy alto">
      <formula>NOT(ISERROR(SEARCH("Muy alto",P97)))</formula>
    </cfRule>
    <cfRule type="containsText" dxfId="6870" priority="12993" stopIfTrue="1" operator="containsText" text="Alto">
      <formula>NOT(ISERROR(SEARCH("Alto",P97)))</formula>
    </cfRule>
  </conditionalFormatting>
  <conditionalFormatting sqref="P98">
    <cfRule type="containsText" dxfId="6869" priority="8760" stopIfTrue="1" operator="containsText" text="Bajo">
      <formula>NOT(ISERROR(SEARCH("Bajo",P98)))</formula>
    </cfRule>
    <cfRule type="containsText" dxfId="6868" priority="8761" stopIfTrue="1" operator="containsText" text="Medio">
      <formula>NOT(ISERROR(SEARCH("Medio",P98)))</formula>
    </cfRule>
    <cfRule type="containsText" dxfId="6867" priority="8762" stopIfTrue="1" operator="containsText" text="Alto">
      <formula>NOT(ISERROR(SEARCH("Alto",P98)))</formula>
    </cfRule>
    <cfRule type="containsText" dxfId="6866" priority="8759" stopIfTrue="1" operator="containsText" text="Muy alto">
      <formula>NOT(ISERROR(SEARCH("Muy alto",P98)))</formula>
    </cfRule>
  </conditionalFormatting>
  <conditionalFormatting sqref="P99">
    <cfRule type="containsText" dxfId="6865" priority="12851" stopIfTrue="1" operator="containsText" text="Medio">
      <formula>NOT(ISERROR(SEARCH("Medio",P99)))</formula>
    </cfRule>
    <cfRule type="containsText" dxfId="6864" priority="12852" stopIfTrue="1" operator="containsText" text="Alto">
      <formula>NOT(ISERROR(SEARCH("Alto",P99)))</formula>
    </cfRule>
    <cfRule type="containsText" dxfId="6863" priority="12850" stopIfTrue="1" operator="containsText" text="Bajo">
      <formula>NOT(ISERROR(SEARCH("Bajo",P99)))</formula>
    </cfRule>
    <cfRule type="containsText" dxfId="6862" priority="12849" stopIfTrue="1" operator="containsText" text="Muy alto">
      <formula>NOT(ISERROR(SEARCH("Muy alto",P99)))</formula>
    </cfRule>
  </conditionalFormatting>
  <conditionalFormatting sqref="P100">
    <cfRule type="containsText" dxfId="6861" priority="12804" stopIfTrue="1" operator="containsText" text="Muy alto">
      <formula>NOT(ISERROR(SEARCH("Muy alto",P100)))</formula>
    </cfRule>
    <cfRule type="containsText" dxfId="6860" priority="12807" stopIfTrue="1" operator="containsText" text="Alto">
      <formula>NOT(ISERROR(SEARCH("Alto",P100)))</formula>
    </cfRule>
    <cfRule type="containsText" dxfId="6859" priority="12805" stopIfTrue="1" operator="containsText" text="Bajo">
      <formula>NOT(ISERROR(SEARCH("Bajo",P100)))</formula>
    </cfRule>
    <cfRule type="containsText" dxfId="6858" priority="12806" stopIfTrue="1" operator="containsText" text="Medio">
      <formula>NOT(ISERROR(SEARCH("Medio",P100)))</formula>
    </cfRule>
  </conditionalFormatting>
  <conditionalFormatting sqref="P101">
    <cfRule type="containsText" dxfId="6857" priority="12956" stopIfTrue="1" operator="containsText" text="Muy alto">
      <formula>NOT(ISERROR(SEARCH("Muy alto",P101)))</formula>
    </cfRule>
    <cfRule type="containsText" dxfId="6856" priority="12958" stopIfTrue="1" operator="containsText" text="Medio">
      <formula>NOT(ISERROR(SEARCH("Medio",P101)))</formula>
    </cfRule>
    <cfRule type="containsText" dxfId="6855" priority="12957" stopIfTrue="1" operator="containsText" text="Bajo">
      <formula>NOT(ISERROR(SEARCH("Bajo",P101)))</formula>
    </cfRule>
    <cfRule type="containsText" dxfId="6854" priority="12959" stopIfTrue="1" operator="containsText" text="Alto">
      <formula>NOT(ISERROR(SEARCH("Alto",P101)))</formula>
    </cfRule>
  </conditionalFormatting>
  <conditionalFormatting sqref="P102">
    <cfRule type="containsText" dxfId="6853" priority="12762" stopIfTrue="1" operator="containsText" text="Alto">
      <formula>NOT(ISERROR(SEARCH("Alto",P102)))</formula>
    </cfRule>
    <cfRule type="containsText" dxfId="6852" priority="12761" stopIfTrue="1" operator="containsText" text="Medio">
      <formula>NOT(ISERROR(SEARCH("Medio",P102)))</formula>
    </cfRule>
    <cfRule type="containsText" dxfId="6851" priority="12760" stopIfTrue="1" operator="containsText" text="Bajo">
      <formula>NOT(ISERROR(SEARCH("Bajo",P102)))</formula>
    </cfRule>
    <cfRule type="containsText" dxfId="6850" priority="12759" stopIfTrue="1" operator="containsText" text="Muy alto">
      <formula>NOT(ISERROR(SEARCH("Muy alto",P102)))</formula>
    </cfRule>
  </conditionalFormatting>
  <conditionalFormatting sqref="P103">
    <cfRule type="containsText" dxfId="6849" priority="12714" stopIfTrue="1" operator="containsText" text="Muy alto">
      <formula>NOT(ISERROR(SEARCH("Muy alto",P103)))</formula>
    </cfRule>
    <cfRule type="containsText" dxfId="6848" priority="12715" stopIfTrue="1" operator="containsText" text="Bajo">
      <formula>NOT(ISERROR(SEARCH("Bajo",P103)))</formula>
    </cfRule>
    <cfRule type="containsText" dxfId="6847" priority="12717" stopIfTrue="1" operator="containsText" text="Alto">
      <formula>NOT(ISERROR(SEARCH("Alto",P103)))</formula>
    </cfRule>
    <cfRule type="containsText" dxfId="6846" priority="12716" stopIfTrue="1" operator="containsText" text="Medio">
      <formula>NOT(ISERROR(SEARCH("Medio",P103)))</formula>
    </cfRule>
  </conditionalFormatting>
  <conditionalFormatting sqref="P104">
    <cfRule type="containsText" dxfId="6845" priority="12318" stopIfTrue="1" operator="containsText" text="Muy alto">
      <formula>NOT(ISERROR(SEARCH("Muy alto",P104)))</formula>
    </cfRule>
    <cfRule type="containsText" dxfId="6844" priority="12320" stopIfTrue="1" operator="containsText" text="Medio">
      <formula>NOT(ISERROR(SEARCH("Medio",P104)))</formula>
    </cfRule>
    <cfRule type="containsText" dxfId="6843" priority="12321" stopIfTrue="1" operator="containsText" text="Alto">
      <formula>NOT(ISERROR(SEARCH("Alto",P104)))</formula>
    </cfRule>
    <cfRule type="containsText" dxfId="6842" priority="12319" stopIfTrue="1" operator="containsText" text="Bajo">
      <formula>NOT(ISERROR(SEARCH("Bajo",P104)))</formula>
    </cfRule>
  </conditionalFormatting>
  <conditionalFormatting sqref="P105">
    <cfRule type="containsText" dxfId="6841" priority="12358" stopIfTrue="1" operator="containsText" text="Alto">
      <formula>NOT(ISERROR(SEARCH("Alto",P105)))</formula>
    </cfRule>
    <cfRule type="containsText" dxfId="6840" priority="12355" stopIfTrue="1" operator="containsText" text="Muy alto">
      <formula>NOT(ISERROR(SEARCH("Muy alto",P105)))</formula>
    </cfRule>
    <cfRule type="containsText" dxfId="6839" priority="12356" stopIfTrue="1" operator="containsText" text="Bajo">
      <formula>NOT(ISERROR(SEARCH("Bajo",P105)))</formula>
    </cfRule>
    <cfRule type="containsText" dxfId="6838" priority="12357" stopIfTrue="1" operator="containsText" text="Medio">
      <formula>NOT(ISERROR(SEARCH("Medio",P105)))</formula>
    </cfRule>
  </conditionalFormatting>
  <conditionalFormatting sqref="P106">
    <cfRule type="containsText" dxfId="6837" priority="12505" stopIfTrue="1" operator="containsText" text="Medio">
      <formula>NOT(ISERROR(SEARCH("Medio",P106)))</formula>
    </cfRule>
    <cfRule type="containsText" dxfId="6836" priority="12504" stopIfTrue="1" operator="containsText" text="Bajo">
      <formula>NOT(ISERROR(SEARCH("Bajo",P106)))</formula>
    </cfRule>
    <cfRule type="containsText" dxfId="6835" priority="12503" stopIfTrue="1" operator="containsText" text="Muy alto">
      <formula>NOT(ISERROR(SEARCH("Muy alto",P106)))</formula>
    </cfRule>
    <cfRule type="containsText" dxfId="6834" priority="12506" stopIfTrue="1" operator="containsText" text="Alto">
      <formula>NOT(ISERROR(SEARCH("Alto",P106)))</formula>
    </cfRule>
  </conditionalFormatting>
  <conditionalFormatting sqref="P107">
    <cfRule type="containsText" dxfId="6833" priority="12570" stopIfTrue="1" operator="containsText" text="Bajo">
      <formula>NOT(ISERROR(SEARCH("Bajo",P107)))</formula>
    </cfRule>
    <cfRule type="containsText" dxfId="6832" priority="12569" stopIfTrue="1" operator="containsText" text="Muy alto">
      <formula>NOT(ISERROR(SEARCH("Muy alto",P107)))</formula>
    </cfRule>
    <cfRule type="containsText" dxfId="6831" priority="12571" stopIfTrue="1" operator="containsText" text="Medio">
      <formula>NOT(ISERROR(SEARCH("Medio",P107)))</formula>
    </cfRule>
    <cfRule type="containsText" dxfId="6830" priority="12572" stopIfTrue="1" operator="containsText" text="Alto">
      <formula>NOT(ISERROR(SEARCH("Alto",P107)))</formula>
    </cfRule>
  </conditionalFormatting>
  <conditionalFormatting sqref="P108">
    <cfRule type="containsText" dxfId="6829" priority="12688" stopIfTrue="1" operator="containsText" text="Medio">
      <formula>NOT(ISERROR(SEARCH("Medio",P108)))</formula>
    </cfRule>
    <cfRule type="containsText" dxfId="6828" priority="12689" stopIfTrue="1" operator="containsText" text="Alto">
      <formula>NOT(ISERROR(SEARCH("Alto",P108)))</formula>
    </cfRule>
    <cfRule type="containsText" dxfId="6827" priority="12686" stopIfTrue="1" operator="containsText" text="Muy alto">
      <formula>NOT(ISERROR(SEARCH("Muy alto",P108)))</formula>
    </cfRule>
    <cfRule type="containsText" dxfId="6826" priority="12687" stopIfTrue="1" operator="containsText" text="Bajo">
      <formula>NOT(ISERROR(SEARCH("Bajo",P108)))</formula>
    </cfRule>
  </conditionalFormatting>
  <conditionalFormatting sqref="P109">
    <cfRule type="containsText" dxfId="6825" priority="12633" stopIfTrue="1" operator="containsText" text="Alto">
      <formula>NOT(ISERROR(SEARCH("Alto",P109)))</formula>
    </cfRule>
    <cfRule type="containsText" dxfId="6824" priority="12632" stopIfTrue="1" operator="containsText" text="Medio">
      <formula>NOT(ISERROR(SEARCH("Medio",P109)))</formula>
    </cfRule>
    <cfRule type="containsText" dxfId="6823" priority="12631" stopIfTrue="1" operator="containsText" text="Bajo">
      <formula>NOT(ISERROR(SEARCH("Bajo",P109)))</formula>
    </cfRule>
    <cfRule type="containsText" dxfId="6822" priority="12630" stopIfTrue="1" operator="containsText" text="Muy alto">
      <formula>NOT(ISERROR(SEARCH("Muy alto",P109)))</formula>
    </cfRule>
  </conditionalFormatting>
  <conditionalFormatting sqref="P110">
    <cfRule type="containsText" dxfId="6821" priority="12607" stopIfTrue="1" operator="containsText" text="Bajo">
      <formula>NOT(ISERROR(SEARCH("Bajo",P110)))</formula>
    </cfRule>
    <cfRule type="containsText" dxfId="6820" priority="12606" stopIfTrue="1" operator="containsText" text="Muy alto">
      <formula>NOT(ISERROR(SEARCH("Muy alto",P110)))</formula>
    </cfRule>
    <cfRule type="containsText" dxfId="6819" priority="12608" stopIfTrue="1" operator="containsText" text="Medio">
      <formula>NOT(ISERROR(SEARCH("Medio",P110)))</formula>
    </cfRule>
    <cfRule type="containsText" dxfId="6818" priority="12609" stopIfTrue="1" operator="containsText" text="Alto">
      <formula>NOT(ISERROR(SEARCH("Alto",P110)))</formula>
    </cfRule>
  </conditionalFormatting>
  <conditionalFormatting sqref="P111">
    <cfRule type="containsText" dxfId="6817" priority="12398" stopIfTrue="1" operator="containsText" text="Medio">
      <formula>NOT(ISERROR(SEARCH("Medio",P111)))</formula>
    </cfRule>
    <cfRule type="containsText" dxfId="6816" priority="12397" stopIfTrue="1" operator="containsText" text="Bajo">
      <formula>NOT(ISERROR(SEARCH("Bajo",P111)))</formula>
    </cfRule>
    <cfRule type="containsText" dxfId="6815" priority="12399" stopIfTrue="1" operator="containsText" text="Alto">
      <formula>NOT(ISERROR(SEARCH("Alto",P111)))</formula>
    </cfRule>
    <cfRule type="containsText" dxfId="6814" priority="12396" stopIfTrue="1" operator="containsText" text="Muy alto">
      <formula>NOT(ISERROR(SEARCH("Muy alto",P111)))</formula>
    </cfRule>
  </conditionalFormatting>
  <conditionalFormatting sqref="P112">
    <cfRule type="containsText" dxfId="6813" priority="12436" stopIfTrue="1" operator="containsText" text="Bajo">
      <formula>NOT(ISERROR(SEARCH("Bajo",P112)))</formula>
    </cfRule>
    <cfRule type="containsText" dxfId="6812" priority="12437" stopIfTrue="1" operator="containsText" text="Medio">
      <formula>NOT(ISERROR(SEARCH("Medio",P112)))</formula>
    </cfRule>
    <cfRule type="containsText" dxfId="6811" priority="12435" stopIfTrue="1" operator="containsText" text="Muy alto">
      <formula>NOT(ISERROR(SEARCH("Muy alto",P112)))</formula>
    </cfRule>
    <cfRule type="containsText" dxfId="6810" priority="12438" stopIfTrue="1" operator="containsText" text="Alto">
      <formula>NOT(ISERROR(SEARCH("Alto",P112)))</formula>
    </cfRule>
  </conditionalFormatting>
  <conditionalFormatting sqref="P113">
    <cfRule type="containsText" dxfId="6809" priority="12477" stopIfTrue="1" operator="containsText" text="Alto">
      <formula>NOT(ISERROR(SEARCH("Alto",P113)))</formula>
    </cfRule>
    <cfRule type="containsText" dxfId="6808" priority="12474" stopIfTrue="1" operator="containsText" text="Muy alto">
      <formula>NOT(ISERROR(SEARCH("Muy alto",P113)))</formula>
    </cfRule>
    <cfRule type="containsText" dxfId="6807" priority="12476" stopIfTrue="1" operator="containsText" text="Medio">
      <formula>NOT(ISERROR(SEARCH("Medio",P113)))</formula>
    </cfRule>
    <cfRule type="containsText" dxfId="6806" priority="12475" stopIfTrue="1" operator="containsText" text="Bajo">
      <formula>NOT(ISERROR(SEARCH("Bajo",P113)))</formula>
    </cfRule>
  </conditionalFormatting>
  <conditionalFormatting sqref="P114:P115">
    <cfRule type="containsText" dxfId="6805" priority="12269" stopIfTrue="1" operator="containsText" text="Alto">
      <formula>NOT(ISERROR(SEARCH("Alto",P114)))</formula>
    </cfRule>
    <cfRule type="containsText" dxfId="6804" priority="12267" stopIfTrue="1" operator="containsText" text="Bajo">
      <formula>NOT(ISERROR(SEARCH("Bajo",P114)))</formula>
    </cfRule>
    <cfRule type="containsText" dxfId="6803" priority="12266" stopIfTrue="1" operator="containsText" text="Muy alto">
      <formula>NOT(ISERROR(SEARCH("Muy alto",P114)))</formula>
    </cfRule>
    <cfRule type="containsText" dxfId="6802" priority="12268" stopIfTrue="1" operator="containsText" text="Medio">
      <formula>NOT(ISERROR(SEARCH("Medio",P114)))</formula>
    </cfRule>
  </conditionalFormatting>
  <conditionalFormatting sqref="P116">
    <cfRule type="containsText" dxfId="6801" priority="12228" stopIfTrue="1" operator="containsText" text="Medio">
      <formula>NOT(ISERROR(SEARCH("Medio",P116)))</formula>
    </cfRule>
    <cfRule type="containsText" dxfId="6800" priority="12226" stopIfTrue="1" operator="containsText" text="Muy alto">
      <formula>NOT(ISERROR(SEARCH("Muy alto",P116)))</formula>
    </cfRule>
    <cfRule type="containsText" dxfId="6799" priority="12229" stopIfTrue="1" operator="containsText" text="Alto">
      <formula>NOT(ISERROR(SEARCH("Alto",P116)))</formula>
    </cfRule>
    <cfRule type="containsText" dxfId="6798" priority="12227" stopIfTrue="1" operator="containsText" text="Bajo">
      <formula>NOT(ISERROR(SEARCH("Bajo",P116)))</formula>
    </cfRule>
  </conditionalFormatting>
  <conditionalFormatting sqref="P117">
    <cfRule type="containsText" dxfId="6797" priority="12191" stopIfTrue="1" operator="containsText" text="Alto">
      <formula>NOT(ISERROR(SEARCH("Alto",P117)))</formula>
    </cfRule>
    <cfRule type="containsText" dxfId="6796" priority="12188" stopIfTrue="1" operator="containsText" text="Muy alto">
      <formula>NOT(ISERROR(SEARCH("Muy alto",P117)))</formula>
    </cfRule>
    <cfRule type="containsText" dxfId="6795" priority="12190" stopIfTrue="1" operator="containsText" text="Medio">
      <formula>NOT(ISERROR(SEARCH("Medio",P117)))</formula>
    </cfRule>
    <cfRule type="containsText" dxfId="6794" priority="12189" stopIfTrue="1" operator="containsText" text="Bajo">
      <formula>NOT(ISERROR(SEARCH("Bajo",P117)))</formula>
    </cfRule>
  </conditionalFormatting>
  <conditionalFormatting sqref="P118">
    <cfRule type="containsText" dxfId="6793" priority="8710" stopIfTrue="1" operator="containsText" text="Medio">
      <formula>NOT(ISERROR(SEARCH("Medio",P118)))</formula>
    </cfRule>
    <cfRule type="containsText" dxfId="6792" priority="8711" stopIfTrue="1" operator="containsText" text="Alto">
      <formula>NOT(ISERROR(SEARCH("Alto",P118)))</formula>
    </cfRule>
    <cfRule type="containsText" dxfId="6791" priority="8708" stopIfTrue="1" operator="containsText" text="Muy alto">
      <formula>NOT(ISERROR(SEARCH("Muy alto",P118)))</formula>
    </cfRule>
    <cfRule type="containsText" dxfId="6790" priority="8709" stopIfTrue="1" operator="containsText" text="Bajo">
      <formula>NOT(ISERROR(SEARCH("Bajo",P118)))</formula>
    </cfRule>
  </conditionalFormatting>
  <conditionalFormatting sqref="P119">
    <cfRule type="containsText" dxfId="6789" priority="12051" stopIfTrue="1" operator="containsText" text="Alto">
      <formula>NOT(ISERROR(SEARCH("Alto",P119)))</formula>
    </cfRule>
    <cfRule type="containsText" dxfId="6788" priority="12048" stopIfTrue="1" operator="containsText" text="Muy alto">
      <formula>NOT(ISERROR(SEARCH("Muy alto",P119)))</formula>
    </cfRule>
    <cfRule type="containsText" dxfId="6787" priority="12050" stopIfTrue="1" operator="containsText" text="Medio">
      <formula>NOT(ISERROR(SEARCH("Medio",P119)))</formula>
    </cfRule>
    <cfRule type="containsText" dxfId="6786" priority="12049" stopIfTrue="1" operator="containsText" text="Bajo">
      <formula>NOT(ISERROR(SEARCH("Bajo",P119)))</formula>
    </cfRule>
  </conditionalFormatting>
  <conditionalFormatting sqref="P120">
    <cfRule type="containsText" dxfId="6785" priority="12004" stopIfTrue="1" operator="containsText" text="Bajo">
      <formula>NOT(ISERROR(SEARCH("Bajo",P120)))</formula>
    </cfRule>
    <cfRule type="containsText" dxfId="6784" priority="12003" stopIfTrue="1" operator="containsText" text="Muy alto">
      <formula>NOT(ISERROR(SEARCH("Muy alto",P120)))</formula>
    </cfRule>
    <cfRule type="containsText" dxfId="6783" priority="12005" stopIfTrue="1" operator="containsText" text="Medio">
      <formula>NOT(ISERROR(SEARCH("Medio",P120)))</formula>
    </cfRule>
    <cfRule type="containsText" dxfId="6782" priority="12006" stopIfTrue="1" operator="containsText" text="Alto">
      <formula>NOT(ISERROR(SEARCH("Alto",P120)))</formula>
    </cfRule>
  </conditionalFormatting>
  <conditionalFormatting sqref="P121">
    <cfRule type="containsText" dxfId="6781" priority="12156" stopIfTrue="1" operator="containsText" text="Bajo">
      <formula>NOT(ISERROR(SEARCH("Bajo",P121)))</formula>
    </cfRule>
    <cfRule type="containsText" dxfId="6780" priority="12155" stopIfTrue="1" operator="containsText" text="Muy alto">
      <formula>NOT(ISERROR(SEARCH("Muy alto",P121)))</formula>
    </cfRule>
    <cfRule type="containsText" dxfId="6779" priority="12158" stopIfTrue="1" operator="containsText" text="Alto">
      <formula>NOT(ISERROR(SEARCH("Alto",P121)))</formula>
    </cfRule>
    <cfRule type="containsText" dxfId="6778" priority="12157" stopIfTrue="1" operator="containsText" text="Medio">
      <formula>NOT(ISERROR(SEARCH("Medio",P121)))</formula>
    </cfRule>
  </conditionalFormatting>
  <conditionalFormatting sqref="P122">
    <cfRule type="containsText" dxfId="6777" priority="11960" stopIfTrue="1" operator="containsText" text="Medio">
      <formula>NOT(ISERROR(SEARCH("Medio",P122)))</formula>
    </cfRule>
    <cfRule type="containsText" dxfId="6776" priority="11961" stopIfTrue="1" operator="containsText" text="Alto">
      <formula>NOT(ISERROR(SEARCH("Alto",P122)))</formula>
    </cfRule>
    <cfRule type="containsText" dxfId="6775" priority="11959" stopIfTrue="1" operator="containsText" text="Bajo">
      <formula>NOT(ISERROR(SEARCH("Bajo",P122)))</formula>
    </cfRule>
    <cfRule type="containsText" dxfId="6774" priority="11958" stopIfTrue="1" operator="containsText" text="Muy alto">
      <formula>NOT(ISERROR(SEARCH("Muy alto",P122)))</formula>
    </cfRule>
  </conditionalFormatting>
  <conditionalFormatting sqref="P123">
    <cfRule type="containsText" dxfId="6773" priority="11913" stopIfTrue="1" operator="containsText" text="Muy alto">
      <formula>NOT(ISERROR(SEARCH("Muy alto",P123)))</formula>
    </cfRule>
    <cfRule type="containsText" dxfId="6772" priority="11915" stopIfTrue="1" operator="containsText" text="Medio">
      <formula>NOT(ISERROR(SEARCH("Medio",P123)))</formula>
    </cfRule>
    <cfRule type="containsText" dxfId="6771" priority="11916" stopIfTrue="1" operator="containsText" text="Alto">
      <formula>NOT(ISERROR(SEARCH("Alto",P123)))</formula>
    </cfRule>
    <cfRule type="containsText" dxfId="6770" priority="11914" stopIfTrue="1" operator="containsText" text="Bajo">
      <formula>NOT(ISERROR(SEARCH("Bajo",P123)))</formula>
    </cfRule>
  </conditionalFormatting>
  <conditionalFormatting sqref="P124">
    <cfRule type="containsText" dxfId="6769" priority="11601" stopIfTrue="1" operator="containsText" text="Muy alto">
      <formula>NOT(ISERROR(SEARCH("Muy alto",P124)))</formula>
    </cfRule>
    <cfRule type="containsText" dxfId="6768" priority="11602" stopIfTrue="1" operator="containsText" text="Bajo">
      <formula>NOT(ISERROR(SEARCH("Bajo",P124)))</formula>
    </cfRule>
    <cfRule type="containsText" dxfId="6767" priority="11603" stopIfTrue="1" operator="containsText" text="Medio">
      <formula>NOT(ISERROR(SEARCH("Medio",P124)))</formula>
    </cfRule>
    <cfRule type="containsText" dxfId="6766" priority="11604" stopIfTrue="1" operator="containsText" text="Alto">
      <formula>NOT(ISERROR(SEARCH("Alto",P124)))</formula>
    </cfRule>
  </conditionalFormatting>
  <conditionalFormatting sqref="P125">
    <cfRule type="containsText" dxfId="6765" priority="11638" stopIfTrue="1" operator="containsText" text="Muy alto">
      <formula>NOT(ISERROR(SEARCH("Muy alto",P125)))</formula>
    </cfRule>
    <cfRule type="containsText" dxfId="6764" priority="11641" stopIfTrue="1" operator="containsText" text="Alto">
      <formula>NOT(ISERROR(SEARCH("Alto",P125)))</formula>
    </cfRule>
    <cfRule type="containsText" dxfId="6763" priority="11640" stopIfTrue="1" operator="containsText" text="Medio">
      <formula>NOT(ISERROR(SEARCH("Medio",P125)))</formula>
    </cfRule>
    <cfRule type="containsText" dxfId="6762" priority="11639" stopIfTrue="1" operator="containsText" text="Bajo">
      <formula>NOT(ISERROR(SEARCH("Bajo",P125)))</formula>
    </cfRule>
  </conditionalFormatting>
  <conditionalFormatting sqref="P126">
    <cfRule type="containsText" dxfId="6761" priority="11704" stopIfTrue="1" operator="containsText" text="Medio">
      <formula>NOT(ISERROR(SEARCH("Medio",P126)))</formula>
    </cfRule>
    <cfRule type="containsText" dxfId="6760" priority="11705" stopIfTrue="1" operator="containsText" text="Alto">
      <formula>NOT(ISERROR(SEARCH("Alto",P126)))</formula>
    </cfRule>
    <cfRule type="containsText" dxfId="6759" priority="11702" stopIfTrue="1" operator="containsText" text="Muy alto">
      <formula>NOT(ISERROR(SEARCH("Muy alto",P126)))</formula>
    </cfRule>
    <cfRule type="containsText" dxfId="6758" priority="11703" stopIfTrue="1" operator="containsText" text="Bajo">
      <formula>NOT(ISERROR(SEARCH("Bajo",P126)))</formula>
    </cfRule>
  </conditionalFormatting>
  <conditionalFormatting sqref="P127">
    <cfRule type="containsText" dxfId="6757" priority="11769" stopIfTrue="1" operator="containsText" text="Bajo">
      <formula>NOT(ISERROR(SEARCH("Bajo",P127)))</formula>
    </cfRule>
    <cfRule type="containsText" dxfId="6756" priority="11768" stopIfTrue="1" operator="containsText" text="Muy alto">
      <formula>NOT(ISERROR(SEARCH("Muy alto",P127)))</formula>
    </cfRule>
    <cfRule type="containsText" dxfId="6755" priority="11771" stopIfTrue="1" operator="containsText" text="Alto">
      <formula>NOT(ISERROR(SEARCH("Alto",P127)))</formula>
    </cfRule>
    <cfRule type="containsText" dxfId="6754" priority="11770" stopIfTrue="1" operator="containsText" text="Medio">
      <formula>NOT(ISERROR(SEARCH("Medio",P127)))</formula>
    </cfRule>
  </conditionalFormatting>
  <conditionalFormatting sqref="P128">
    <cfRule type="containsText" dxfId="6753" priority="11885" stopIfTrue="1" operator="containsText" text="Muy alto">
      <formula>NOT(ISERROR(SEARCH("Muy alto",P128)))</formula>
    </cfRule>
    <cfRule type="containsText" dxfId="6752" priority="11886" stopIfTrue="1" operator="containsText" text="Bajo">
      <formula>NOT(ISERROR(SEARCH("Bajo",P128)))</formula>
    </cfRule>
    <cfRule type="containsText" dxfId="6751" priority="11887" stopIfTrue="1" operator="containsText" text="Medio">
      <formula>NOT(ISERROR(SEARCH("Medio",P128)))</formula>
    </cfRule>
    <cfRule type="containsText" dxfId="6750" priority="11888" stopIfTrue="1" operator="containsText" text="Alto">
      <formula>NOT(ISERROR(SEARCH("Alto",P128)))</formula>
    </cfRule>
  </conditionalFormatting>
  <conditionalFormatting sqref="P129">
    <cfRule type="containsText" dxfId="6749" priority="11830" stopIfTrue="1" operator="containsText" text="Bajo">
      <formula>NOT(ISERROR(SEARCH("Bajo",P129)))</formula>
    </cfRule>
    <cfRule type="containsText" dxfId="6748" priority="11832" stopIfTrue="1" operator="containsText" text="Alto">
      <formula>NOT(ISERROR(SEARCH("Alto",P129)))</formula>
    </cfRule>
    <cfRule type="containsText" dxfId="6747" priority="11831" stopIfTrue="1" operator="containsText" text="Medio">
      <formula>NOT(ISERROR(SEARCH("Medio",P129)))</formula>
    </cfRule>
    <cfRule type="containsText" dxfId="6746" priority="11829" stopIfTrue="1" operator="containsText" text="Muy alto">
      <formula>NOT(ISERROR(SEARCH("Muy alto",P129)))</formula>
    </cfRule>
  </conditionalFormatting>
  <conditionalFormatting sqref="P130">
    <cfRule type="containsText" dxfId="6745" priority="11805" stopIfTrue="1" operator="containsText" text="Muy alto">
      <formula>NOT(ISERROR(SEARCH("Muy alto",P130)))</formula>
    </cfRule>
    <cfRule type="containsText" dxfId="6744" priority="11806" stopIfTrue="1" operator="containsText" text="Bajo">
      <formula>NOT(ISERROR(SEARCH("Bajo",P130)))</formula>
    </cfRule>
    <cfRule type="containsText" dxfId="6743" priority="11808" stopIfTrue="1" operator="containsText" text="Alto">
      <formula>NOT(ISERROR(SEARCH("Alto",P130)))</formula>
    </cfRule>
    <cfRule type="containsText" dxfId="6742" priority="11807" stopIfTrue="1" operator="containsText" text="Medio">
      <formula>NOT(ISERROR(SEARCH("Medio",P130)))</formula>
    </cfRule>
  </conditionalFormatting>
  <conditionalFormatting sqref="P131">
    <cfRule type="containsText" dxfId="6741" priority="11681" stopIfTrue="1" operator="containsText" text="Medio">
      <formula>NOT(ISERROR(SEARCH("Medio",P131)))</formula>
    </cfRule>
    <cfRule type="containsText" dxfId="6740" priority="11682" stopIfTrue="1" operator="containsText" text="Alto">
      <formula>NOT(ISERROR(SEARCH("Alto",P131)))</formula>
    </cfRule>
    <cfRule type="containsText" dxfId="6739" priority="11680" stopIfTrue="1" operator="containsText" text="Bajo">
      <formula>NOT(ISERROR(SEARCH("Bajo",P131)))</formula>
    </cfRule>
    <cfRule type="containsText" dxfId="6738" priority="11679" stopIfTrue="1" operator="containsText" text="Muy alto">
      <formula>NOT(ISERROR(SEARCH("Muy alto",P131)))</formula>
    </cfRule>
  </conditionalFormatting>
  <conditionalFormatting sqref="P132">
    <cfRule type="containsText" dxfId="6737" priority="11561" stopIfTrue="1" operator="containsText" text="Bajo">
      <formula>NOT(ISERROR(SEARCH("Bajo",P132)))</formula>
    </cfRule>
    <cfRule type="containsText" dxfId="6736" priority="11560" stopIfTrue="1" operator="containsText" text="Muy alto">
      <formula>NOT(ISERROR(SEARCH("Muy alto",P132)))</formula>
    </cfRule>
    <cfRule type="containsText" dxfId="6735" priority="11562" stopIfTrue="1" operator="containsText" text="Medio">
      <formula>NOT(ISERROR(SEARCH("Medio",P132)))</formula>
    </cfRule>
    <cfRule type="containsText" dxfId="6734" priority="11563" stopIfTrue="1" operator="containsText" text="Alto">
      <formula>NOT(ISERROR(SEARCH("Alto",P132)))</formula>
    </cfRule>
  </conditionalFormatting>
  <conditionalFormatting sqref="P133:P134">
    <cfRule type="containsText" dxfId="6733" priority="11506" stopIfTrue="1" operator="containsText" text="Medio">
      <formula>NOT(ISERROR(SEARCH("Medio",P133)))</formula>
    </cfRule>
    <cfRule type="containsText" dxfId="6732" priority="11505" stopIfTrue="1" operator="containsText" text="Bajo">
      <formula>NOT(ISERROR(SEARCH("Bajo",P133)))</formula>
    </cfRule>
    <cfRule type="containsText" dxfId="6731" priority="11507" stopIfTrue="1" operator="containsText" text="Alto">
      <formula>NOT(ISERROR(SEARCH("Alto",P133)))</formula>
    </cfRule>
    <cfRule type="containsText" dxfId="6730" priority="11504" stopIfTrue="1" operator="containsText" text="Muy alto">
      <formula>NOT(ISERROR(SEARCH("Muy alto",P133)))</formula>
    </cfRule>
  </conditionalFormatting>
  <conditionalFormatting sqref="P135">
    <cfRule type="containsText" dxfId="6729" priority="11468" stopIfTrue="1" operator="containsText" text="Alto">
      <formula>NOT(ISERROR(SEARCH("Alto",P135)))</formula>
    </cfRule>
    <cfRule type="containsText" dxfId="6728" priority="11465" stopIfTrue="1" operator="containsText" text="Muy alto">
      <formula>NOT(ISERROR(SEARCH("Muy alto",P135)))</formula>
    </cfRule>
    <cfRule type="containsText" dxfId="6727" priority="11466" stopIfTrue="1" operator="containsText" text="Bajo">
      <formula>NOT(ISERROR(SEARCH("Bajo",P135)))</formula>
    </cfRule>
    <cfRule type="containsText" dxfId="6726" priority="11467" stopIfTrue="1" operator="containsText" text="Medio">
      <formula>NOT(ISERROR(SEARCH("Medio",P135)))</formula>
    </cfRule>
  </conditionalFormatting>
  <conditionalFormatting sqref="P137">
    <cfRule type="containsText" dxfId="6725" priority="11281" stopIfTrue="1" operator="containsText" text="Bajo">
      <formula>NOT(ISERROR(SEARCH("Bajo",P137)))</formula>
    </cfRule>
    <cfRule type="containsText" dxfId="6724" priority="11280" stopIfTrue="1" operator="containsText" text="Muy alto">
      <formula>NOT(ISERROR(SEARCH("Muy alto",P137)))</formula>
    </cfRule>
    <cfRule type="containsText" dxfId="6723" priority="11282" stopIfTrue="1" operator="containsText" text="Medio">
      <formula>NOT(ISERROR(SEARCH("Medio",P137)))</formula>
    </cfRule>
    <cfRule type="containsText" dxfId="6722" priority="11283" stopIfTrue="1" operator="containsText" text="Alto">
      <formula>NOT(ISERROR(SEARCH("Alto",P137)))</formula>
    </cfRule>
  </conditionalFormatting>
  <conditionalFormatting sqref="P138">
    <cfRule type="containsText" dxfId="6721" priority="11435" stopIfTrue="1" operator="containsText" text="Alto">
      <formula>NOT(ISERROR(SEARCH("Alto",P138)))</formula>
    </cfRule>
    <cfRule type="containsText" dxfId="6720" priority="11433" stopIfTrue="1" operator="containsText" text="Bajo">
      <formula>NOT(ISERROR(SEARCH("Bajo",P138)))</formula>
    </cfRule>
    <cfRule type="containsText" dxfId="6719" priority="11434" stopIfTrue="1" operator="containsText" text="Medio">
      <formula>NOT(ISERROR(SEARCH("Medio",P138)))</formula>
    </cfRule>
    <cfRule type="containsText" dxfId="6718" priority="11432" stopIfTrue="1" operator="containsText" text="Muy alto">
      <formula>NOT(ISERROR(SEARCH("Muy alto",P138)))</formula>
    </cfRule>
  </conditionalFormatting>
  <conditionalFormatting sqref="P139">
    <cfRule type="containsText" dxfId="6717" priority="11237" stopIfTrue="1" operator="containsText" text="Medio">
      <formula>NOT(ISERROR(SEARCH("Medio",P139)))</formula>
    </cfRule>
    <cfRule type="containsText" dxfId="6716" priority="11236" stopIfTrue="1" operator="containsText" text="Bajo">
      <formula>NOT(ISERROR(SEARCH("Bajo",P139)))</formula>
    </cfRule>
    <cfRule type="containsText" dxfId="6715" priority="11235" stopIfTrue="1" operator="containsText" text="Muy alto">
      <formula>NOT(ISERROR(SEARCH("Muy alto",P139)))</formula>
    </cfRule>
    <cfRule type="containsText" dxfId="6714" priority="11238" stopIfTrue="1" operator="containsText" text="Alto">
      <formula>NOT(ISERROR(SEARCH("Alto",P139)))</formula>
    </cfRule>
  </conditionalFormatting>
  <conditionalFormatting sqref="P140">
    <cfRule type="containsText" dxfId="6713" priority="11193" stopIfTrue="1" operator="containsText" text="Alto">
      <formula>NOT(ISERROR(SEARCH("Alto",P140)))</formula>
    </cfRule>
    <cfRule type="containsText" dxfId="6712" priority="11192" stopIfTrue="1" operator="containsText" text="Medio">
      <formula>NOT(ISERROR(SEARCH("Medio",P140)))</formula>
    </cfRule>
    <cfRule type="containsText" dxfId="6711" priority="11191" stopIfTrue="1" operator="containsText" text="Bajo">
      <formula>NOT(ISERROR(SEARCH("Bajo",P140)))</formula>
    </cfRule>
    <cfRule type="containsText" dxfId="6710" priority="11190" stopIfTrue="1" operator="containsText" text="Muy alto">
      <formula>NOT(ISERROR(SEARCH("Muy alto",P140)))</formula>
    </cfRule>
  </conditionalFormatting>
  <conditionalFormatting sqref="P141">
    <cfRule type="containsText" dxfId="6709" priority="10798" stopIfTrue="1" operator="containsText" text="Muy alto">
      <formula>NOT(ISERROR(SEARCH("Muy alto",P141)))</formula>
    </cfRule>
    <cfRule type="containsText" dxfId="6708" priority="10800" stopIfTrue="1" operator="containsText" text="Medio">
      <formula>NOT(ISERROR(SEARCH("Medio",P141)))</formula>
    </cfRule>
    <cfRule type="containsText" dxfId="6707" priority="10799" stopIfTrue="1" operator="containsText" text="Bajo">
      <formula>NOT(ISERROR(SEARCH("Bajo",P141)))</formula>
    </cfRule>
    <cfRule type="containsText" dxfId="6706" priority="10801" stopIfTrue="1" operator="containsText" text="Alto">
      <formula>NOT(ISERROR(SEARCH("Alto",P141)))</formula>
    </cfRule>
  </conditionalFormatting>
  <conditionalFormatting sqref="P142">
    <cfRule type="containsText" dxfId="6705" priority="10837" stopIfTrue="1" operator="containsText" text="Medio">
      <formula>NOT(ISERROR(SEARCH("Medio",P142)))</formula>
    </cfRule>
    <cfRule type="containsText" dxfId="6704" priority="10838" stopIfTrue="1" operator="containsText" text="Alto">
      <formula>NOT(ISERROR(SEARCH("Alto",P142)))</formula>
    </cfRule>
    <cfRule type="containsText" dxfId="6703" priority="10835" stopIfTrue="1" operator="containsText" text="Muy alto">
      <formula>NOT(ISERROR(SEARCH("Muy alto",P142)))</formula>
    </cfRule>
    <cfRule type="containsText" dxfId="6702" priority="10836" stopIfTrue="1" operator="containsText" text="Bajo">
      <formula>NOT(ISERROR(SEARCH("Bajo",P142)))</formula>
    </cfRule>
  </conditionalFormatting>
  <conditionalFormatting sqref="P143">
    <cfRule type="containsText" dxfId="6701" priority="10982" stopIfTrue="1" operator="containsText" text="Alto">
      <formula>NOT(ISERROR(SEARCH("Alto",P143)))</formula>
    </cfRule>
    <cfRule type="containsText" dxfId="6700" priority="10979" stopIfTrue="1" operator="containsText" text="Muy alto">
      <formula>NOT(ISERROR(SEARCH("Muy alto",P143)))</formula>
    </cfRule>
    <cfRule type="containsText" dxfId="6699" priority="10981" stopIfTrue="1" operator="containsText" text="Medio">
      <formula>NOT(ISERROR(SEARCH("Medio",P143)))</formula>
    </cfRule>
    <cfRule type="containsText" dxfId="6698" priority="10980" stopIfTrue="1" operator="containsText" text="Bajo">
      <formula>NOT(ISERROR(SEARCH("Bajo",P143)))</formula>
    </cfRule>
  </conditionalFormatting>
  <conditionalFormatting sqref="P144">
    <cfRule type="containsText" dxfId="6697" priority="11046" stopIfTrue="1" operator="containsText" text="Bajo">
      <formula>NOT(ISERROR(SEARCH("Bajo",P144)))</formula>
    </cfRule>
    <cfRule type="containsText" dxfId="6696" priority="11047" stopIfTrue="1" operator="containsText" text="Medio">
      <formula>NOT(ISERROR(SEARCH("Medio",P144)))</formula>
    </cfRule>
    <cfRule type="containsText" dxfId="6695" priority="11045" stopIfTrue="1" operator="containsText" text="Muy alto">
      <formula>NOT(ISERROR(SEARCH("Muy alto",P144)))</formula>
    </cfRule>
    <cfRule type="containsText" dxfId="6694" priority="11048" stopIfTrue="1" operator="containsText" text="Alto">
      <formula>NOT(ISERROR(SEARCH("Alto",P144)))</formula>
    </cfRule>
  </conditionalFormatting>
  <conditionalFormatting sqref="P145">
    <cfRule type="containsText" dxfId="6693" priority="11162" stopIfTrue="1" operator="containsText" text="Muy alto">
      <formula>NOT(ISERROR(SEARCH("Muy alto",P145)))</formula>
    </cfRule>
    <cfRule type="containsText" dxfId="6692" priority="11163" stopIfTrue="1" operator="containsText" text="Bajo">
      <formula>NOT(ISERROR(SEARCH("Bajo",P145)))</formula>
    </cfRule>
    <cfRule type="containsText" dxfId="6691" priority="11164" stopIfTrue="1" operator="containsText" text="Medio">
      <formula>NOT(ISERROR(SEARCH("Medio",P145)))</formula>
    </cfRule>
    <cfRule type="containsText" dxfId="6690" priority="11165" stopIfTrue="1" operator="containsText" text="Alto">
      <formula>NOT(ISERROR(SEARCH("Alto",P145)))</formula>
    </cfRule>
  </conditionalFormatting>
  <conditionalFormatting sqref="P146">
    <cfRule type="containsText" dxfId="6689" priority="11106" stopIfTrue="1" operator="containsText" text="Muy alto">
      <formula>NOT(ISERROR(SEARCH("Muy alto",P146)))</formula>
    </cfRule>
    <cfRule type="containsText" dxfId="6688" priority="11107" stopIfTrue="1" operator="containsText" text="Bajo">
      <formula>NOT(ISERROR(SEARCH("Bajo",P146)))</formula>
    </cfRule>
    <cfRule type="containsText" dxfId="6687" priority="11108" stopIfTrue="1" operator="containsText" text="Medio">
      <formula>NOT(ISERROR(SEARCH("Medio",P146)))</formula>
    </cfRule>
    <cfRule type="containsText" dxfId="6686" priority="11109" stopIfTrue="1" operator="containsText" text="Alto">
      <formula>NOT(ISERROR(SEARCH("Alto",P146)))</formula>
    </cfRule>
  </conditionalFormatting>
  <conditionalFormatting sqref="P147">
    <cfRule type="containsText" dxfId="6685" priority="11085" stopIfTrue="1" operator="containsText" text="Alto">
      <formula>NOT(ISERROR(SEARCH("Alto",P147)))</formula>
    </cfRule>
    <cfRule type="containsText" dxfId="6684" priority="11083" stopIfTrue="1" operator="containsText" text="Bajo">
      <formula>NOT(ISERROR(SEARCH("Bajo",P147)))</formula>
    </cfRule>
    <cfRule type="containsText" dxfId="6683" priority="11084" stopIfTrue="1" operator="containsText" text="Medio">
      <formula>NOT(ISERROR(SEARCH("Medio",P147)))</formula>
    </cfRule>
    <cfRule type="containsText" dxfId="6682" priority="11082" stopIfTrue="1" operator="containsText" text="Muy alto">
      <formula>NOT(ISERROR(SEARCH("Muy alto",P147)))</formula>
    </cfRule>
  </conditionalFormatting>
  <conditionalFormatting sqref="P148">
    <cfRule type="containsText" dxfId="6681" priority="10878" stopIfTrue="1" operator="containsText" text="Medio">
      <formula>NOT(ISERROR(SEARCH("Medio",P148)))</formula>
    </cfRule>
    <cfRule type="containsText" dxfId="6680" priority="10877" stopIfTrue="1" operator="containsText" text="Bajo">
      <formula>NOT(ISERROR(SEARCH("Bajo",P148)))</formula>
    </cfRule>
    <cfRule type="containsText" dxfId="6679" priority="10879" stopIfTrue="1" operator="containsText" text="Alto">
      <formula>NOT(ISERROR(SEARCH("Alto",P148)))</formula>
    </cfRule>
    <cfRule type="containsText" dxfId="6678" priority="10876" stopIfTrue="1" operator="containsText" text="Muy alto">
      <formula>NOT(ISERROR(SEARCH("Muy alto",P148)))</formula>
    </cfRule>
  </conditionalFormatting>
  <conditionalFormatting sqref="P149">
    <cfRule type="containsText" dxfId="6677" priority="10915" stopIfTrue="1" operator="containsText" text="Muy alto">
      <formula>NOT(ISERROR(SEARCH("Muy alto",P149)))</formula>
    </cfRule>
    <cfRule type="containsText" dxfId="6676" priority="10918" stopIfTrue="1" operator="containsText" text="Alto">
      <formula>NOT(ISERROR(SEARCH("Alto",P149)))</formula>
    </cfRule>
    <cfRule type="containsText" dxfId="6675" priority="10916" stopIfTrue="1" operator="containsText" text="Bajo">
      <formula>NOT(ISERROR(SEARCH("Bajo",P149)))</formula>
    </cfRule>
    <cfRule type="containsText" dxfId="6674" priority="10917" stopIfTrue="1" operator="containsText" text="Medio">
      <formula>NOT(ISERROR(SEARCH("Medio",P149)))</formula>
    </cfRule>
  </conditionalFormatting>
  <conditionalFormatting sqref="P150">
    <cfRule type="containsText" dxfId="6673" priority="10955" stopIfTrue="1" operator="containsText" text="Bajo">
      <formula>NOT(ISERROR(SEARCH("Bajo",P150)))</formula>
    </cfRule>
    <cfRule type="containsText" dxfId="6672" priority="10954" stopIfTrue="1" operator="containsText" text="Muy alto">
      <formula>NOT(ISERROR(SEARCH("Muy alto",P150)))</formula>
    </cfRule>
    <cfRule type="containsText" dxfId="6671" priority="10957" stopIfTrue="1" operator="containsText" text="Alto">
      <formula>NOT(ISERROR(SEARCH("Alto",P150)))</formula>
    </cfRule>
    <cfRule type="containsText" dxfId="6670" priority="10956" stopIfTrue="1" operator="containsText" text="Medio">
      <formula>NOT(ISERROR(SEARCH("Medio",P150)))</formula>
    </cfRule>
  </conditionalFormatting>
  <conditionalFormatting sqref="P151:P152">
    <cfRule type="containsText" dxfId="6669" priority="10757" stopIfTrue="1" operator="containsText" text="Alto">
      <formula>NOT(ISERROR(SEARCH("Alto",P151)))</formula>
    </cfRule>
    <cfRule type="containsText" dxfId="6668" priority="10754" stopIfTrue="1" operator="containsText" text="Muy alto">
      <formula>NOT(ISERROR(SEARCH("Muy alto",P151)))</formula>
    </cfRule>
    <cfRule type="containsText" dxfId="6667" priority="10755" stopIfTrue="1" operator="containsText" text="Bajo">
      <formula>NOT(ISERROR(SEARCH("Bajo",P151)))</formula>
    </cfRule>
    <cfRule type="containsText" dxfId="6666" priority="10756" stopIfTrue="1" operator="containsText" text="Medio">
      <formula>NOT(ISERROR(SEARCH("Medio",P151)))</formula>
    </cfRule>
  </conditionalFormatting>
  <conditionalFormatting sqref="P153">
    <cfRule type="containsText" dxfId="6665" priority="10715" stopIfTrue="1" operator="containsText" text="Bajo">
      <formula>NOT(ISERROR(SEARCH("Bajo",P153)))</formula>
    </cfRule>
    <cfRule type="containsText" dxfId="6664" priority="10714" stopIfTrue="1" operator="containsText" text="Muy alto">
      <formula>NOT(ISERROR(SEARCH("Muy alto",P153)))</formula>
    </cfRule>
    <cfRule type="containsText" dxfId="6663" priority="10717" stopIfTrue="1" operator="containsText" text="Alto">
      <formula>NOT(ISERROR(SEARCH("Alto",P153)))</formula>
    </cfRule>
    <cfRule type="containsText" dxfId="6662" priority="10716" stopIfTrue="1" operator="containsText" text="Medio">
      <formula>NOT(ISERROR(SEARCH("Medio",P153)))</formula>
    </cfRule>
  </conditionalFormatting>
  <conditionalFormatting sqref="P154">
    <cfRule type="containsText" dxfId="6661" priority="10672" stopIfTrue="1" operator="containsText" text="Muy alto">
      <formula>NOT(ISERROR(SEARCH("Muy alto",P154)))</formula>
    </cfRule>
    <cfRule type="containsText" dxfId="6660" priority="10675" stopIfTrue="1" operator="containsText" text="Alto">
      <formula>NOT(ISERROR(SEARCH("Alto",P154)))</formula>
    </cfRule>
    <cfRule type="containsText" dxfId="6659" priority="10674" stopIfTrue="1" operator="containsText" text="Medio">
      <formula>NOT(ISERROR(SEARCH("Medio",P154)))</formula>
    </cfRule>
    <cfRule type="containsText" dxfId="6658" priority="10673" stopIfTrue="1" operator="containsText" text="Bajo">
      <formula>NOT(ISERROR(SEARCH("Bajo",P154)))</formula>
    </cfRule>
  </conditionalFormatting>
  <conditionalFormatting sqref="P156">
    <cfRule type="containsText" dxfId="6657" priority="10534" stopIfTrue="1" operator="containsText" text="Medio">
      <formula>NOT(ISERROR(SEARCH("Medio",P156)))</formula>
    </cfRule>
    <cfRule type="containsText" dxfId="6656" priority="10535" stopIfTrue="1" operator="containsText" text="Alto">
      <formula>NOT(ISERROR(SEARCH("Alto",P156)))</formula>
    </cfRule>
    <cfRule type="containsText" dxfId="6655" priority="10532" stopIfTrue="1" operator="containsText" text="Muy alto">
      <formula>NOT(ISERROR(SEARCH("Muy alto",P156)))</formula>
    </cfRule>
    <cfRule type="containsText" dxfId="6654" priority="10533" stopIfTrue="1" operator="containsText" text="Bajo">
      <formula>NOT(ISERROR(SEARCH("Bajo",P156)))</formula>
    </cfRule>
  </conditionalFormatting>
  <conditionalFormatting sqref="P157">
    <cfRule type="containsText" dxfId="6653" priority="10487" stopIfTrue="1" operator="containsText" text="Muy alto">
      <formula>NOT(ISERROR(SEARCH("Muy alto",P157)))</formula>
    </cfRule>
    <cfRule type="containsText" dxfId="6652" priority="10488" stopIfTrue="1" operator="containsText" text="Bajo">
      <formula>NOT(ISERROR(SEARCH("Bajo",P157)))</formula>
    </cfRule>
    <cfRule type="containsText" dxfId="6651" priority="10489" stopIfTrue="1" operator="containsText" text="Medio">
      <formula>NOT(ISERROR(SEARCH("Medio",P157)))</formula>
    </cfRule>
    <cfRule type="containsText" dxfId="6650" priority="10490" stopIfTrue="1" operator="containsText" text="Alto">
      <formula>NOT(ISERROR(SEARCH("Alto",P157)))</formula>
    </cfRule>
  </conditionalFormatting>
  <conditionalFormatting sqref="P158">
    <cfRule type="containsText" dxfId="6649" priority="10639" stopIfTrue="1" operator="containsText" text="Muy alto">
      <formula>NOT(ISERROR(SEARCH("Muy alto",P158)))</formula>
    </cfRule>
    <cfRule type="containsText" dxfId="6648" priority="10642" stopIfTrue="1" operator="containsText" text="Alto">
      <formula>NOT(ISERROR(SEARCH("Alto",P158)))</formula>
    </cfRule>
    <cfRule type="containsText" dxfId="6647" priority="10640" stopIfTrue="1" operator="containsText" text="Bajo">
      <formula>NOT(ISERROR(SEARCH("Bajo",P158)))</formula>
    </cfRule>
    <cfRule type="containsText" dxfId="6646" priority="10641" stopIfTrue="1" operator="containsText" text="Medio">
      <formula>NOT(ISERROR(SEARCH("Medio",P158)))</formula>
    </cfRule>
  </conditionalFormatting>
  <conditionalFormatting sqref="P159">
    <cfRule type="containsText" dxfId="6645" priority="10442" stopIfTrue="1" operator="containsText" text="Muy alto">
      <formula>NOT(ISERROR(SEARCH("Muy alto",P159)))</formula>
    </cfRule>
    <cfRule type="containsText" dxfId="6644" priority="10443" stopIfTrue="1" operator="containsText" text="Bajo">
      <formula>NOT(ISERROR(SEARCH("Bajo",P159)))</formula>
    </cfRule>
    <cfRule type="containsText" dxfId="6643" priority="10445" stopIfTrue="1" operator="containsText" text="Alto">
      <formula>NOT(ISERROR(SEARCH("Alto",P159)))</formula>
    </cfRule>
    <cfRule type="containsText" dxfId="6642" priority="10444" stopIfTrue="1" operator="containsText" text="Medio">
      <formula>NOT(ISERROR(SEARCH("Medio",P159)))</formula>
    </cfRule>
  </conditionalFormatting>
  <conditionalFormatting sqref="P160">
    <cfRule type="containsText" dxfId="6641" priority="10400" stopIfTrue="1" operator="containsText" text="Alto">
      <formula>NOT(ISERROR(SEARCH("Alto",P160)))</formula>
    </cfRule>
    <cfRule type="containsText" dxfId="6640" priority="10397" stopIfTrue="1" operator="containsText" text="Muy alto">
      <formula>NOT(ISERROR(SEARCH("Muy alto",P160)))</formula>
    </cfRule>
    <cfRule type="containsText" dxfId="6639" priority="10398" stopIfTrue="1" operator="containsText" text="Bajo">
      <formula>NOT(ISERROR(SEARCH("Bajo",P160)))</formula>
    </cfRule>
    <cfRule type="containsText" dxfId="6638" priority="10399" stopIfTrue="1" operator="containsText" text="Medio">
      <formula>NOT(ISERROR(SEARCH("Medio",P160)))</formula>
    </cfRule>
  </conditionalFormatting>
  <conditionalFormatting sqref="P161">
    <cfRule type="containsText" dxfId="6637" priority="10008" stopIfTrue="1" operator="containsText" text="Alto">
      <formula>NOT(ISERROR(SEARCH("Alto",P161)))</formula>
    </cfRule>
    <cfRule type="containsText" dxfId="6636" priority="10007" stopIfTrue="1" operator="containsText" text="Medio">
      <formula>NOT(ISERROR(SEARCH("Medio",P161)))</formula>
    </cfRule>
    <cfRule type="containsText" dxfId="6635" priority="10005" stopIfTrue="1" operator="containsText" text="Muy alto">
      <formula>NOT(ISERROR(SEARCH("Muy alto",P161)))</formula>
    </cfRule>
    <cfRule type="containsText" dxfId="6634" priority="10006" stopIfTrue="1" operator="containsText" text="Bajo">
      <formula>NOT(ISERROR(SEARCH("Bajo",P161)))</formula>
    </cfRule>
  </conditionalFormatting>
  <conditionalFormatting sqref="P162">
    <cfRule type="containsText" dxfId="6633" priority="10042" stopIfTrue="1" operator="containsText" text="Muy alto">
      <formula>NOT(ISERROR(SEARCH("Muy alto",P162)))</formula>
    </cfRule>
    <cfRule type="containsText" dxfId="6632" priority="10043" stopIfTrue="1" operator="containsText" text="Bajo">
      <formula>NOT(ISERROR(SEARCH("Bajo",P162)))</formula>
    </cfRule>
    <cfRule type="containsText" dxfId="6631" priority="10045" stopIfTrue="1" operator="containsText" text="Alto">
      <formula>NOT(ISERROR(SEARCH("Alto",P162)))</formula>
    </cfRule>
    <cfRule type="containsText" dxfId="6630" priority="10044" stopIfTrue="1" operator="containsText" text="Medio">
      <formula>NOT(ISERROR(SEARCH("Medio",P162)))</formula>
    </cfRule>
  </conditionalFormatting>
  <conditionalFormatting sqref="P163">
    <cfRule type="containsText" dxfId="6629" priority="10186" stopIfTrue="1" operator="containsText" text="Muy alto">
      <formula>NOT(ISERROR(SEARCH("Muy alto",P163)))</formula>
    </cfRule>
    <cfRule type="containsText" dxfId="6628" priority="10189" stopIfTrue="1" operator="containsText" text="Alto">
      <formula>NOT(ISERROR(SEARCH("Alto",P163)))</formula>
    </cfRule>
    <cfRule type="containsText" dxfId="6627" priority="10188" stopIfTrue="1" operator="containsText" text="Medio">
      <formula>NOT(ISERROR(SEARCH("Medio",P163)))</formula>
    </cfRule>
    <cfRule type="containsText" dxfId="6626" priority="10187" stopIfTrue="1" operator="containsText" text="Bajo">
      <formula>NOT(ISERROR(SEARCH("Bajo",P163)))</formula>
    </cfRule>
  </conditionalFormatting>
  <conditionalFormatting sqref="P164">
    <cfRule type="containsText" dxfId="6625" priority="10253" stopIfTrue="1" operator="containsText" text="Bajo">
      <formula>NOT(ISERROR(SEARCH("Bajo",P164)))</formula>
    </cfRule>
    <cfRule type="containsText" dxfId="6624" priority="10255" stopIfTrue="1" operator="containsText" text="Alto">
      <formula>NOT(ISERROR(SEARCH("Alto",P164)))</formula>
    </cfRule>
    <cfRule type="containsText" dxfId="6623" priority="10254" stopIfTrue="1" operator="containsText" text="Medio">
      <formula>NOT(ISERROR(SEARCH("Medio",P164)))</formula>
    </cfRule>
    <cfRule type="containsText" dxfId="6622" priority="10252" stopIfTrue="1" operator="containsText" text="Muy alto">
      <formula>NOT(ISERROR(SEARCH("Muy alto",P164)))</formula>
    </cfRule>
  </conditionalFormatting>
  <conditionalFormatting sqref="P165">
    <cfRule type="containsText" dxfId="6621" priority="10372" stopIfTrue="1" operator="containsText" text="Alto">
      <formula>NOT(ISERROR(SEARCH("Alto",P165)))</formula>
    </cfRule>
    <cfRule type="containsText" dxfId="6620" priority="10371" stopIfTrue="1" operator="containsText" text="Medio">
      <formula>NOT(ISERROR(SEARCH("Medio",P165)))</formula>
    </cfRule>
    <cfRule type="containsText" dxfId="6619" priority="10370" stopIfTrue="1" operator="containsText" text="Bajo">
      <formula>NOT(ISERROR(SEARCH("Bajo",P165)))</formula>
    </cfRule>
    <cfRule type="containsText" dxfId="6618" priority="10369" stopIfTrue="1" operator="containsText" text="Muy alto">
      <formula>NOT(ISERROR(SEARCH("Muy alto",P165)))</formula>
    </cfRule>
  </conditionalFormatting>
  <conditionalFormatting sqref="P166">
    <cfRule type="containsText" dxfId="6617" priority="10314" stopIfTrue="1" operator="containsText" text="Bajo">
      <formula>NOT(ISERROR(SEARCH("Bajo",P166)))</formula>
    </cfRule>
    <cfRule type="containsText" dxfId="6616" priority="10316" stopIfTrue="1" operator="containsText" text="Alto">
      <formula>NOT(ISERROR(SEARCH("Alto",P166)))</formula>
    </cfRule>
    <cfRule type="containsText" dxfId="6615" priority="10315" stopIfTrue="1" operator="containsText" text="Medio">
      <formula>NOT(ISERROR(SEARCH("Medio",P166)))</formula>
    </cfRule>
    <cfRule type="containsText" dxfId="6614" priority="10313" stopIfTrue="1" operator="containsText" text="Muy alto">
      <formula>NOT(ISERROR(SEARCH("Muy alto",P166)))</formula>
    </cfRule>
  </conditionalFormatting>
  <conditionalFormatting sqref="P167">
    <cfRule type="containsText" dxfId="6613" priority="10290" stopIfTrue="1" operator="containsText" text="Bajo">
      <formula>NOT(ISERROR(SEARCH("Bajo",P167)))</formula>
    </cfRule>
    <cfRule type="containsText" dxfId="6612" priority="10289" stopIfTrue="1" operator="containsText" text="Muy alto">
      <formula>NOT(ISERROR(SEARCH("Muy alto",P167)))</formula>
    </cfRule>
    <cfRule type="containsText" dxfId="6611" priority="10291" stopIfTrue="1" operator="containsText" text="Medio">
      <formula>NOT(ISERROR(SEARCH("Medio",P167)))</formula>
    </cfRule>
    <cfRule type="containsText" dxfId="6610" priority="10292" stopIfTrue="1" operator="containsText" text="Alto">
      <formula>NOT(ISERROR(SEARCH("Alto",P167)))</formula>
    </cfRule>
  </conditionalFormatting>
  <conditionalFormatting sqref="P168">
    <cfRule type="containsText" dxfId="6609" priority="9881" stopIfTrue="1" operator="containsText" text="Alto">
      <formula>NOT(ISERROR(SEARCH("Alto",P168)))</formula>
    </cfRule>
    <cfRule type="containsText" dxfId="6608" priority="9879" stopIfTrue="1" operator="containsText" text="Bajo">
      <formula>NOT(ISERROR(SEARCH("Bajo",P168)))</formula>
    </cfRule>
    <cfRule type="containsText" dxfId="6607" priority="9880" stopIfTrue="1" operator="containsText" text="Medio">
      <formula>NOT(ISERROR(SEARCH("Medio",P168)))</formula>
    </cfRule>
    <cfRule type="containsText" dxfId="6606" priority="9878" stopIfTrue="1" operator="containsText" text="Muy alto">
      <formula>NOT(ISERROR(SEARCH("Muy alto",P168)))</formula>
    </cfRule>
  </conditionalFormatting>
  <conditionalFormatting sqref="P169">
    <cfRule type="containsText" dxfId="6605" priority="10161" stopIfTrue="1" operator="containsText" text="Muy alto">
      <formula>NOT(ISERROR(SEARCH("Muy alto",P169)))</formula>
    </cfRule>
    <cfRule type="containsText" dxfId="6604" priority="10164" stopIfTrue="1" operator="containsText" text="Alto">
      <formula>NOT(ISERROR(SEARCH("Alto",P169)))</formula>
    </cfRule>
    <cfRule type="containsText" dxfId="6603" priority="10162" stopIfTrue="1" operator="containsText" text="Bajo">
      <formula>NOT(ISERROR(SEARCH("Bajo",P169)))</formula>
    </cfRule>
    <cfRule type="containsText" dxfId="6602" priority="10163" stopIfTrue="1" operator="containsText" text="Medio">
      <formula>NOT(ISERROR(SEARCH("Medio",P169)))</formula>
    </cfRule>
  </conditionalFormatting>
  <conditionalFormatting sqref="P170:P171">
    <cfRule type="containsText" dxfId="6601" priority="9963" stopIfTrue="1" operator="containsText" text="Medio">
      <formula>NOT(ISERROR(SEARCH("Medio",P170)))</formula>
    </cfRule>
    <cfRule type="containsText" dxfId="6600" priority="9962" stopIfTrue="1" operator="containsText" text="Bajo">
      <formula>NOT(ISERROR(SEARCH("Bajo",P170)))</formula>
    </cfRule>
    <cfRule type="containsText" dxfId="6599" priority="9961" stopIfTrue="1" operator="containsText" text="Muy alto">
      <formula>NOT(ISERROR(SEARCH("Muy alto",P170)))</formula>
    </cfRule>
    <cfRule type="containsText" dxfId="6598" priority="9964" stopIfTrue="1" operator="containsText" text="Alto">
      <formula>NOT(ISERROR(SEARCH("Alto",P170)))</formula>
    </cfRule>
  </conditionalFormatting>
  <conditionalFormatting sqref="P172">
    <cfRule type="containsText" dxfId="6597" priority="9835" stopIfTrue="1" operator="containsText" text="Alto">
      <formula>NOT(ISERROR(SEARCH("Alto",P172)))</formula>
    </cfRule>
    <cfRule type="containsText" dxfId="6596" priority="9832" stopIfTrue="1" operator="containsText" text="Muy alto">
      <formula>NOT(ISERROR(SEARCH("Muy alto",P172)))</formula>
    </cfRule>
    <cfRule type="containsText" dxfId="6595" priority="9834" stopIfTrue="1" operator="containsText" text="Medio">
      <formula>NOT(ISERROR(SEARCH("Medio",P172)))</formula>
    </cfRule>
    <cfRule type="containsText" dxfId="6594" priority="9833" stopIfTrue="1" operator="containsText" text="Bajo">
      <formula>NOT(ISERROR(SEARCH("Bajo",P172)))</formula>
    </cfRule>
  </conditionalFormatting>
  <conditionalFormatting sqref="P173 P155 P136">
    <cfRule type="containsText" dxfId="6593" priority="8660" stopIfTrue="1" operator="containsText" text="Alto">
      <formula>NOT(ISERROR(SEARCH("Alto",P136)))</formula>
    </cfRule>
    <cfRule type="containsText" dxfId="6592" priority="8657" stopIfTrue="1" operator="containsText" text="Muy alto">
      <formula>NOT(ISERROR(SEARCH("Muy alto",P136)))</formula>
    </cfRule>
    <cfRule type="containsText" dxfId="6591" priority="8658" stopIfTrue="1" operator="containsText" text="Bajo">
      <formula>NOT(ISERROR(SEARCH("Bajo",P136)))</formula>
    </cfRule>
    <cfRule type="containsText" dxfId="6590" priority="8659" stopIfTrue="1" operator="containsText" text="Medio">
      <formula>NOT(ISERROR(SEARCH("Medio",P136)))</formula>
    </cfRule>
  </conditionalFormatting>
  <conditionalFormatting sqref="P174">
    <cfRule type="containsText" dxfId="6589" priority="9694" stopIfTrue="1" operator="containsText" text="Medio">
      <formula>NOT(ISERROR(SEARCH("Medio",P174)))</formula>
    </cfRule>
    <cfRule type="containsText" dxfId="6588" priority="9695" stopIfTrue="1" operator="containsText" text="Alto">
      <formula>NOT(ISERROR(SEARCH("Alto",P174)))</formula>
    </cfRule>
    <cfRule type="containsText" dxfId="6587" priority="9693" stopIfTrue="1" operator="containsText" text="Bajo">
      <formula>NOT(ISERROR(SEARCH("Bajo",P174)))</formula>
    </cfRule>
    <cfRule type="containsText" dxfId="6586" priority="9692" stopIfTrue="1" operator="containsText" text="Muy alto">
      <formula>NOT(ISERROR(SEARCH("Muy alto",P174)))</formula>
    </cfRule>
  </conditionalFormatting>
  <conditionalFormatting sqref="P175">
    <cfRule type="containsText" dxfId="6585" priority="9649" stopIfTrue="1" operator="containsText" text="Medio">
      <formula>NOT(ISERROR(SEARCH("Medio",P175)))</formula>
    </cfRule>
    <cfRule type="containsText" dxfId="6584" priority="9650" stopIfTrue="1" operator="containsText" text="Alto">
      <formula>NOT(ISERROR(SEARCH("Alto",P175)))</formula>
    </cfRule>
    <cfRule type="containsText" dxfId="6583" priority="9647" stopIfTrue="1" operator="containsText" text="Muy alto">
      <formula>NOT(ISERROR(SEARCH("Muy alto",P175)))</formula>
    </cfRule>
    <cfRule type="containsText" dxfId="6582" priority="9648" stopIfTrue="1" operator="containsText" text="Bajo">
      <formula>NOT(ISERROR(SEARCH("Bajo",P175)))</formula>
    </cfRule>
  </conditionalFormatting>
  <conditionalFormatting sqref="P176">
    <cfRule type="containsText" dxfId="6581" priority="9802" stopIfTrue="1" operator="containsText" text="Alto">
      <formula>NOT(ISERROR(SEARCH("Alto",P176)))</formula>
    </cfRule>
    <cfRule type="containsText" dxfId="6580" priority="9801" stopIfTrue="1" operator="containsText" text="Medio">
      <formula>NOT(ISERROR(SEARCH("Medio",P176)))</formula>
    </cfRule>
    <cfRule type="containsText" dxfId="6579" priority="9800" stopIfTrue="1" operator="containsText" text="Bajo">
      <formula>NOT(ISERROR(SEARCH("Bajo",P176)))</formula>
    </cfRule>
    <cfRule type="containsText" dxfId="6578" priority="9799" stopIfTrue="1" operator="containsText" text="Muy alto">
      <formula>NOT(ISERROR(SEARCH("Muy alto",P176)))</formula>
    </cfRule>
  </conditionalFormatting>
  <conditionalFormatting sqref="P177">
    <cfRule type="containsText" dxfId="6577" priority="9605" stopIfTrue="1" operator="containsText" text="Alto">
      <formula>NOT(ISERROR(SEARCH("Alto",P177)))</formula>
    </cfRule>
    <cfRule type="containsText" dxfId="6576" priority="9604" stopIfTrue="1" operator="containsText" text="Medio">
      <formula>NOT(ISERROR(SEARCH("Medio",P177)))</formula>
    </cfRule>
    <cfRule type="containsText" dxfId="6575" priority="9603" stopIfTrue="1" operator="containsText" text="Bajo">
      <formula>NOT(ISERROR(SEARCH("Bajo",P177)))</formula>
    </cfRule>
    <cfRule type="containsText" dxfId="6574" priority="9602" stopIfTrue="1" operator="containsText" text="Muy alto">
      <formula>NOT(ISERROR(SEARCH("Muy alto",P177)))</formula>
    </cfRule>
  </conditionalFormatting>
  <conditionalFormatting sqref="P178">
    <cfRule type="containsText" dxfId="6573" priority="9557" stopIfTrue="1" operator="containsText" text="Muy alto">
      <formula>NOT(ISERROR(SEARCH("Muy alto",P178)))</formula>
    </cfRule>
    <cfRule type="containsText" dxfId="6572" priority="9560" stopIfTrue="1" operator="containsText" text="Alto">
      <formula>NOT(ISERROR(SEARCH("Alto",P178)))</formula>
    </cfRule>
    <cfRule type="containsText" dxfId="6571" priority="9559" stopIfTrue="1" operator="containsText" text="Medio">
      <formula>NOT(ISERROR(SEARCH("Medio",P178)))</formula>
    </cfRule>
    <cfRule type="containsText" dxfId="6570" priority="9558" stopIfTrue="1" operator="containsText" text="Bajo">
      <formula>NOT(ISERROR(SEARCH("Bajo",P178)))</formula>
    </cfRule>
  </conditionalFormatting>
  <conditionalFormatting sqref="P179">
    <cfRule type="containsText" dxfId="6569" priority="9249" stopIfTrue="1" operator="containsText" text="Medio">
      <formula>NOT(ISERROR(SEARCH("Medio",P179)))</formula>
    </cfRule>
    <cfRule type="containsText" dxfId="6568" priority="9248" stopIfTrue="1" operator="containsText" text="Bajo">
      <formula>NOT(ISERROR(SEARCH("Bajo",P179)))</formula>
    </cfRule>
    <cfRule type="containsText" dxfId="6567" priority="9247" stopIfTrue="1" operator="containsText" text="Muy alto">
      <formula>NOT(ISERROR(SEARCH("Muy alto",P179)))</formula>
    </cfRule>
    <cfRule type="containsText" dxfId="6566" priority="9250" stopIfTrue="1" operator="containsText" text="Alto">
      <formula>NOT(ISERROR(SEARCH("Alto",P179)))</formula>
    </cfRule>
  </conditionalFormatting>
  <conditionalFormatting sqref="P180">
    <cfRule type="containsText" dxfId="6565" priority="9284" stopIfTrue="1" operator="containsText" text="Muy alto">
      <formula>NOT(ISERROR(SEARCH("Muy alto",P180)))</formula>
    </cfRule>
    <cfRule type="containsText" dxfId="6564" priority="9285" stopIfTrue="1" operator="containsText" text="Bajo">
      <formula>NOT(ISERROR(SEARCH("Bajo",P180)))</formula>
    </cfRule>
    <cfRule type="containsText" dxfId="6563" priority="9286" stopIfTrue="1" operator="containsText" text="Medio">
      <formula>NOT(ISERROR(SEARCH("Medio",P180)))</formula>
    </cfRule>
    <cfRule type="containsText" dxfId="6562" priority="9287" stopIfTrue="1" operator="containsText" text="Alto">
      <formula>NOT(ISERROR(SEARCH("Alto",P180)))</formula>
    </cfRule>
  </conditionalFormatting>
  <conditionalFormatting sqref="P181">
    <cfRule type="containsText" dxfId="6561" priority="9346" stopIfTrue="1" operator="containsText" text="Muy alto">
      <formula>NOT(ISERROR(SEARCH("Muy alto",P181)))</formula>
    </cfRule>
    <cfRule type="containsText" dxfId="6560" priority="9347" stopIfTrue="1" operator="containsText" text="Bajo">
      <formula>NOT(ISERROR(SEARCH("Bajo",P181)))</formula>
    </cfRule>
    <cfRule type="containsText" dxfId="6559" priority="9348" stopIfTrue="1" operator="containsText" text="Medio">
      <formula>NOT(ISERROR(SEARCH("Medio",P181)))</formula>
    </cfRule>
    <cfRule type="containsText" dxfId="6558" priority="9349" stopIfTrue="1" operator="containsText" text="Alto">
      <formula>NOT(ISERROR(SEARCH("Alto",P181)))</formula>
    </cfRule>
  </conditionalFormatting>
  <conditionalFormatting sqref="P182">
    <cfRule type="containsText" dxfId="6557" priority="9414" stopIfTrue="1" operator="containsText" text="Medio">
      <formula>NOT(ISERROR(SEARCH("Medio",P182)))</formula>
    </cfRule>
    <cfRule type="containsText" dxfId="6556" priority="9413" stopIfTrue="1" operator="containsText" text="Bajo">
      <formula>NOT(ISERROR(SEARCH("Bajo",P182)))</formula>
    </cfRule>
    <cfRule type="containsText" dxfId="6555" priority="9412" stopIfTrue="1" operator="containsText" text="Muy alto">
      <formula>NOT(ISERROR(SEARCH("Muy alto",P182)))</formula>
    </cfRule>
    <cfRule type="containsText" dxfId="6554" priority="9415" stopIfTrue="1" operator="containsText" text="Alto">
      <formula>NOT(ISERROR(SEARCH("Alto",P182)))</formula>
    </cfRule>
  </conditionalFormatting>
  <conditionalFormatting sqref="P183">
    <cfRule type="containsText" dxfId="6553" priority="9531" stopIfTrue="1" operator="containsText" text="Medio">
      <formula>NOT(ISERROR(SEARCH("Medio",P183)))</formula>
    </cfRule>
    <cfRule type="containsText" dxfId="6552" priority="9530" stopIfTrue="1" operator="containsText" text="Bajo">
      <formula>NOT(ISERROR(SEARCH("Bajo",P183)))</formula>
    </cfRule>
    <cfRule type="containsText" dxfId="6551" priority="9532" stopIfTrue="1" operator="containsText" text="Alto">
      <formula>NOT(ISERROR(SEARCH("Alto",P183)))</formula>
    </cfRule>
    <cfRule type="containsText" dxfId="6550" priority="9529" stopIfTrue="1" operator="containsText" text="Muy alto">
      <formula>NOT(ISERROR(SEARCH("Muy alto",P183)))</formula>
    </cfRule>
  </conditionalFormatting>
  <conditionalFormatting sqref="P184">
    <cfRule type="containsText" dxfId="6549" priority="9473" stopIfTrue="1" operator="containsText" text="Muy alto">
      <formula>NOT(ISERROR(SEARCH("Muy alto",P184)))</formula>
    </cfRule>
    <cfRule type="containsText" dxfId="6548" priority="9474" stopIfTrue="1" operator="containsText" text="Bajo">
      <formula>NOT(ISERROR(SEARCH("Bajo",P184)))</formula>
    </cfRule>
    <cfRule type="containsText" dxfId="6547" priority="9475" stopIfTrue="1" operator="containsText" text="Medio">
      <formula>NOT(ISERROR(SEARCH("Medio",P184)))</formula>
    </cfRule>
    <cfRule type="containsText" dxfId="6546" priority="9476" stopIfTrue="1" operator="containsText" text="Alto">
      <formula>NOT(ISERROR(SEARCH("Alto",P184)))</formula>
    </cfRule>
  </conditionalFormatting>
  <conditionalFormatting sqref="P185">
    <cfRule type="containsText" dxfId="6545" priority="9450" stopIfTrue="1" operator="containsText" text="Bajo">
      <formula>NOT(ISERROR(SEARCH("Bajo",P185)))</formula>
    </cfRule>
    <cfRule type="containsText" dxfId="6544" priority="9451" stopIfTrue="1" operator="containsText" text="Medio">
      <formula>NOT(ISERROR(SEARCH("Medio",P185)))</formula>
    </cfRule>
    <cfRule type="containsText" dxfId="6543" priority="9452" stopIfTrue="1" operator="containsText" text="Alto">
      <formula>NOT(ISERROR(SEARCH("Alto",P185)))</formula>
    </cfRule>
    <cfRule type="containsText" dxfId="6542" priority="9449" stopIfTrue="1" operator="containsText" text="Muy alto">
      <formula>NOT(ISERROR(SEARCH("Muy alto",P185)))</formula>
    </cfRule>
  </conditionalFormatting>
  <conditionalFormatting sqref="P186">
    <cfRule type="containsText" dxfId="6541" priority="9166" stopIfTrue="1" operator="containsText" text="Alto">
      <formula>NOT(ISERROR(SEARCH("Alto",P186)))</formula>
    </cfRule>
    <cfRule type="containsText" dxfId="6540" priority="9165" stopIfTrue="1" operator="containsText" text="Medio">
      <formula>NOT(ISERROR(SEARCH("Medio",P186)))</formula>
    </cfRule>
    <cfRule type="containsText" dxfId="6539" priority="9163" stopIfTrue="1" operator="containsText" text="Muy alto">
      <formula>NOT(ISERROR(SEARCH("Muy alto",P186)))</formula>
    </cfRule>
    <cfRule type="containsText" dxfId="6538" priority="9164" stopIfTrue="1" operator="containsText" text="Bajo">
      <formula>NOT(ISERROR(SEARCH("Bajo",P186)))</formula>
    </cfRule>
  </conditionalFormatting>
  <conditionalFormatting sqref="P187">
    <cfRule type="containsText" dxfId="6537" priority="9324" stopIfTrue="1" operator="containsText" text="Alto">
      <formula>NOT(ISERROR(SEARCH("Alto",P187)))</formula>
    </cfRule>
    <cfRule type="containsText" dxfId="6536" priority="9323" stopIfTrue="1" operator="containsText" text="Medio">
      <formula>NOT(ISERROR(SEARCH("Medio",P187)))</formula>
    </cfRule>
    <cfRule type="containsText" dxfId="6535" priority="9322" stopIfTrue="1" operator="containsText" text="Bajo">
      <formula>NOT(ISERROR(SEARCH("Bajo",P187)))</formula>
    </cfRule>
    <cfRule type="containsText" dxfId="6534" priority="9321" stopIfTrue="1" operator="containsText" text="Muy alto">
      <formula>NOT(ISERROR(SEARCH("Muy alto",P187)))</formula>
    </cfRule>
  </conditionalFormatting>
  <conditionalFormatting sqref="P188:P189">
    <cfRule type="containsText" dxfId="6533" priority="9205" stopIfTrue="1" operator="containsText" text="Medio">
      <formula>NOT(ISERROR(SEARCH("Medio",P188)))</formula>
    </cfRule>
    <cfRule type="containsText" dxfId="6532" priority="9203" stopIfTrue="1" operator="containsText" text="Muy alto">
      <formula>NOT(ISERROR(SEARCH("Muy alto",P188)))</formula>
    </cfRule>
    <cfRule type="containsText" dxfId="6531" priority="9204" stopIfTrue="1" operator="containsText" text="Bajo">
      <formula>NOT(ISERROR(SEARCH("Bajo",P188)))</formula>
    </cfRule>
    <cfRule type="containsText" dxfId="6530" priority="9206" stopIfTrue="1" operator="containsText" text="Alto">
      <formula>NOT(ISERROR(SEARCH("Alto",P188)))</formula>
    </cfRule>
  </conditionalFormatting>
  <conditionalFormatting sqref="P190">
    <cfRule type="containsText" dxfId="6529" priority="9107" stopIfTrue="1" operator="containsText" text="Medio">
      <formula>NOT(ISERROR(SEARCH("Medio",P190)))</formula>
    </cfRule>
    <cfRule type="containsText" dxfId="6528" priority="9108" stopIfTrue="1" operator="containsText" text="Alto">
      <formula>NOT(ISERROR(SEARCH("Alto",P190)))</formula>
    </cfRule>
    <cfRule type="containsText" dxfId="6527" priority="9106" stopIfTrue="1" operator="containsText" text="Bajo">
      <formula>NOT(ISERROR(SEARCH("Bajo",P190)))</formula>
    </cfRule>
    <cfRule type="containsText" dxfId="6526" priority="9105" stopIfTrue="1" operator="containsText" text="Muy alto">
      <formula>NOT(ISERROR(SEARCH("Muy alto",P190)))</formula>
    </cfRule>
  </conditionalFormatting>
  <conditionalFormatting sqref="P191">
    <cfRule type="containsText" dxfId="6525" priority="9068" stopIfTrue="1" operator="containsText" text="Bajo">
      <formula>NOT(ISERROR(SEARCH("Bajo",P191)))</formula>
    </cfRule>
    <cfRule type="containsText" dxfId="6524" priority="9069" stopIfTrue="1" operator="containsText" text="Medio">
      <formula>NOT(ISERROR(SEARCH("Medio",P191)))</formula>
    </cfRule>
    <cfRule type="containsText" dxfId="6523" priority="9070" stopIfTrue="1" operator="containsText" text="Alto">
      <formula>NOT(ISERROR(SEARCH("Alto",P191)))</formula>
    </cfRule>
    <cfRule type="containsText" dxfId="6522" priority="9067" stopIfTrue="1" operator="containsText" text="Muy alto">
      <formula>NOT(ISERROR(SEARCH("Muy alto",P191)))</formula>
    </cfRule>
  </conditionalFormatting>
  <conditionalFormatting sqref="P192">
    <cfRule type="containsText" dxfId="6521" priority="9028" stopIfTrue="1" operator="containsText" text="Alto">
      <formula>NOT(ISERROR(SEARCH("Alto",P192)))</formula>
    </cfRule>
    <cfRule type="containsText" dxfId="6520" priority="9025" stopIfTrue="1" operator="containsText" text="Muy alto">
      <formula>NOT(ISERROR(SEARCH("Muy alto",P192)))</formula>
    </cfRule>
    <cfRule type="containsText" dxfId="6519" priority="9027" stopIfTrue="1" operator="containsText" text="Medio">
      <formula>NOT(ISERROR(SEARCH("Medio",P192)))</formula>
    </cfRule>
    <cfRule type="containsText" dxfId="6518" priority="9026" stopIfTrue="1" operator="containsText" text="Bajo">
      <formula>NOT(ISERROR(SEARCH("Bajo",P192)))</formula>
    </cfRule>
  </conditionalFormatting>
  <conditionalFormatting sqref="P193">
    <cfRule type="containsText" dxfId="6517" priority="8991" stopIfTrue="1" operator="containsText" text="Muy alto">
      <formula>NOT(ISERROR(SEARCH("Muy alto",P193)))</formula>
    </cfRule>
    <cfRule type="containsText" dxfId="6516" priority="8992" stopIfTrue="1" operator="containsText" text="Bajo">
      <formula>NOT(ISERROR(SEARCH("Bajo",P193)))</formula>
    </cfRule>
    <cfRule type="containsText" dxfId="6515" priority="8993" stopIfTrue="1" operator="containsText" text="Medio">
      <formula>NOT(ISERROR(SEARCH("Medio",P193)))</formula>
    </cfRule>
    <cfRule type="containsText" dxfId="6514" priority="8994" stopIfTrue="1" operator="containsText" text="Alto">
      <formula>NOT(ISERROR(SEARCH("Alto",P193)))</formula>
    </cfRule>
  </conditionalFormatting>
  <conditionalFormatting sqref="P194">
    <cfRule type="containsText" dxfId="6513" priority="8963" stopIfTrue="1" operator="containsText" text="Medio">
      <formula>NOT(ISERROR(SEARCH("Medio",P194)))</formula>
    </cfRule>
    <cfRule type="containsText" dxfId="6512" priority="8961" stopIfTrue="1" operator="containsText" text="Muy alto">
      <formula>NOT(ISERROR(SEARCH("Muy alto",P194)))</formula>
    </cfRule>
    <cfRule type="containsText" dxfId="6511" priority="8962" stopIfTrue="1" operator="containsText" text="Bajo">
      <formula>NOT(ISERROR(SEARCH("Bajo",P194)))</formula>
    </cfRule>
    <cfRule type="containsText" dxfId="6510" priority="8964" stopIfTrue="1" operator="containsText" text="Alto">
      <formula>NOT(ISERROR(SEARCH("Alto",P194)))</formula>
    </cfRule>
  </conditionalFormatting>
  <conditionalFormatting sqref="P195">
    <cfRule type="containsText" dxfId="6509" priority="8909" stopIfTrue="1" operator="containsText" text="Muy alto">
      <formula>NOT(ISERROR(SEARCH("Muy alto",P195)))</formula>
    </cfRule>
    <cfRule type="containsText" dxfId="6508" priority="8910" stopIfTrue="1" operator="containsText" text="Bajo">
      <formula>NOT(ISERROR(SEARCH("Bajo",P195)))</formula>
    </cfRule>
    <cfRule type="containsText" dxfId="6507" priority="8912" stopIfTrue="1" operator="containsText" text="Alto">
      <formula>NOT(ISERROR(SEARCH("Alto",P195)))</formula>
    </cfRule>
    <cfRule type="containsText" dxfId="6506" priority="8911" stopIfTrue="1" operator="containsText" text="Medio">
      <formula>NOT(ISERROR(SEARCH("Medio",P195)))</formula>
    </cfRule>
  </conditionalFormatting>
  <conditionalFormatting sqref="P196">
    <cfRule type="containsText" dxfId="6505" priority="8935" stopIfTrue="1" operator="containsText" text="Muy alto">
      <formula>NOT(ISERROR(SEARCH("Muy alto",P196)))</formula>
    </cfRule>
    <cfRule type="containsText" dxfId="6504" priority="8936" stopIfTrue="1" operator="containsText" text="Bajo">
      <formula>NOT(ISERROR(SEARCH("Bajo",P196)))</formula>
    </cfRule>
    <cfRule type="containsText" dxfId="6503" priority="8937" stopIfTrue="1" operator="containsText" text="Medio">
      <formula>NOT(ISERROR(SEARCH("Medio",P196)))</formula>
    </cfRule>
    <cfRule type="containsText" dxfId="6502" priority="8938" stopIfTrue="1" operator="containsText" text="Alto">
      <formula>NOT(ISERROR(SEARCH("Alto",P196)))</formula>
    </cfRule>
  </conditionalFormatting>
  <conditionalFormatting sqref="P197">
    <cfRule type="containsText" dxfId="6501" priority="8886" stopIfTrue="1" operator="containsText" text="Alto">
      <formula>NOT(ISERROR(SEARCH("Alto",P197)))</formula>
    </cfRule>
    <cfRule type="containsText" dxfId="6500" priority="8885" stopIfTrue="1" operator="containsText" text="Medio">
      <formula>NOT(ISERROR(SEARCH("Medio",P197)))</formula>
    </cfRule>
    <cfRule type="containsText" dxfId="6499" priority="8884" stopIfTrue="1" operator="containsText" text="Bajo">
      <formula>NOT(ISERROR(SEARCH("Bajo",P197)))</formula>
    </cfRule>
    <cfRule type="containsText" dxfId="6498" priority="8883" stopIfTrue="1" operator="containsText" text="Muy alto">
      <formula>NOT(ISERROR(SEARCH("Muy alto",P197)))</formula>
    </cfRule>
  </conditionalFormatting>
  <conditionalFormatting sqref="P198">
    <cfRule type="containsText" dxfId="6497" priority="8860" stopIfTrue="1" operator="containsText" text="Alto">
      <formula>NOT(ISERROR(SEARCH("Alto",P198)))</formula>
    </cfRule>
    <cfRule type="containsText" dxfId="6496" priority="8857" stopIfTrue="1" operator="containsText" text="Muy alto">
      <formula>NOT(ISERROR(SEARCH("Muy alto",P198)))</formula>
    </cfRule>
    <cfRule type="containsText" dxfId="6495" priority="8858" stopIfTrue="1" operator="containsText" text="Bajo">
      <formula>NOT(ISERROR(SEARCH("Bajo",P198)))</formula>
    </cfRule>
    <cfRule type="containsText" dxfId="6494" priority="8859" stopIfTrue="1" operator="containsText" text="Medio">
      <formula>NOT(ISERROR(SEARCH("Medio",P198)))</formula>
    </cfRule>
  </conditionalFormatting>
  <conditionalFormatting sqref="P199">
    <cfRule type="containsText" dxfId="6493" priority="8618" stopIfTrue="1" operator="containsText" text="Alto">
      <formula>NOT(ISERROR(SEARCH("Alto",P199)))</formula>
    </cfRule>
    <cfRule type="containsText" dxfId="6492" priority="8617" stopIfTrue="1" operator="containsText" text="Medio">
      <formula>NOT(ISERROR(SEARCH("Medio",P199)))</formula>
    </cfRule>
    <cfRule type="containsText" dxfId="6491" priority="8616" stopIfTrue="1" operator="containsText" text="Bajo">
      <formula>NOT(ISERROR(SEARCH("Bajo",P199)))</formula>
    </cfRule>
    <cfRule type="containsText" dxfId="6490" priority="8615" stopIfTrue="1" operator="containsText" text="Muy alto">
      <formula>NOT(ISERROR(SEARCH("Muy alto",P199)))</formula>
    </cfRule>
  </conditionalFormatting>
  <conditionalFormatting sqref="P200">
    <cfRule type="containsText" dxfId="6489" priority="8520" stopIfTrue="1" operator="containsText" text="Muy alto">
      <formula>NOT(ISERROR(SEARCH("Muy alto",P200)))</formula>
    </cfRule>
    <cfRule type="containsText" dxfId="6488" priority="8521" stopIfTrue="1" operator="containsText" text="Bajo">
      <formula>NOT(ISERROR(SEARCH("Bajo",P200)))</formula>
    </cfRule>
    <cfRule type="containsText" dxfId="6487" priority="8523" stopIfTrue="1" operator="containsText" text="Alto">
      <formula>NOT(ISERROR(SEARCH("Alto",P200)))</formula>
    </cfRule>
    <cfRule type="containsText" dxfId="6486" priority="8522" stopIfTrue="1" operator="containsText" text="Medio">
      <formula>NOT(ISERROR(SEARCH("Medio",P200)))</formula>
    </cfRule>
  </conditionalFormatting>
  <conditionalFormatting sqref="P201">
    <cfRule type="containsText" dxfId="6485" priority="8127" stopIfTrue="1" operator="containsText" text="Bajo">
      <formula>NOT(ISERROR(SEARCH("Bajo",P201)))</formula>
    </cfRule>
    <cfRule type="containsText" dxfId="6484" priority="8126" stopIfTrue="1" operator="containsText" text="Muy alto">
      <formula>NOT(ISERROR(SEARCH("Muy alto",P201)))</formula>
    </cfRule>
    <cfRule type="containsText" dxfId="6483" priority="8129" stopIfTrue="1" operator="containsText" text="Alto">
      <formula>NOT(ISERROR(SEARCH("Alto",P201)))</formula>
    </cfRule>
    <cfRule type="containsText" dxfId="6482" priority="8128" stopIfTrue="1" operator="containsText" text="Medio">
      <formula>NOT(ISERROR(SEARCH("Medio",P201)))</formula>
    </cfRule>
  </conditionalFormatting>
  <conditionalFormatting sqref="P202">
    <cfRule type="containsText" dxfId="6481" priority="8093" stopIfTrue="1" operator="containsText" text="Alto">
      <formula>NOT(ISERROR(SEARCH("Alto",P202)))</formula>
    </cfRule>
    <cfRule type="containsText" dxfId="6480" priority="8092" stopIfTrue="1" operator="containsText" text="Medio">
      <formula>NOT(ISERROR(SEARCH("Medio",P202)))</formula>
    </cfRule>
    <cfRule type="containsText" dxfId="6479" priority="8091" stopIfTrue="1" operator="containsText" text="Bajo">
      <formula>NOT(ISERROR(SEARCH("Bajo",P202)))</formula>
    </cfRule>
    <cfRule type="containsText" dxfId="6478" priority="8090" stopIfTrue="1" operator="containsText" text="Muy alto">
      <formula>NOT(ISERROR(SEARCH("Muy alto",P202)))</formula>
    </cfRule>
  </conditionalFormatting>
  <conditionalFormatting sqref="P203">
    <cfRule type="containsText" dxfId="6477" priority="8475" stopIfTrue="1" operator="containsText" text="Muy alto">
      <formula>NOT(ISERROR(SEARCH("Muy alto",P203)))</formula>
    </cfRule>
    <cfRule type="containsText" dxfId="6476" priority="8476" stopIfTrue="1" operator="containsText" text="Bajo">
      <formula>NOT(ISERROR(SEARCH("Bajo",P203)))</formula>
    </cfRule>
    <cfRule type="containsText" dxfId="6475" priority="8477" stopIfTrue="1" operator="containsText" text="Medio">
      <formula>NOT(ISERROR(SEARCH("Medio",P203)))</formula>
    </cfRule>
    <cfRule type="containsText" dxfId="6474" priority="8478" stopIfTrue="1" operator="containsText" text="Alto">
      <formula>NOT(ISERROR(SEARCH("Alto",P203)))</formula>
    </cfRule>
  </conditionalFormatting>
  <conditionalFormatting sqref="P204">
    <cfRule type="containsText" dxfId="6473" priority="8583" stopIfTrue="1" operator="containsText" text="Bajo">
      <formula>NOT(ISERROR(SEARCH("Bajo",P204)))</formula>
    </cfRule>
    <cfRule type="containsText" dxfId="6472" priority="8584" stopIfTrue="1" operator="containsText" text="Medio">
      <formula>NOT(ISERROR(SEARCH("Medio",P204)))</formula>
    </cfRule>
    <cfRule type="containsText" dxfId="6471" priority="8585" stopIfTrue="1" operator="containsText" text="Alto">
      <formula>NOT(ISERROR(SEARCH("Alto",P204)))</formula>
    </cfRule>
    <cfRule type="containsText" dxfId="6470" priority="8582" stopIfTrue="1" operator="containsText" text="Muy alto">
      <formula>NOT(ISERROR(SEARCH("Muy alto",P204)))</formula>
    </cfRule>
  </conditionalFormatting>
  <conditionalFormatting sqref="P205">
    <cfRule type="containsText" dxfId="6469" priority="8432" stopIfTrue="1" operator="containsText" text="Medio">
      <formula>NOT(ISERROR(SEARCH("Medio",P205)))</formula>
    </cfRule>
    <cfRule type="containsText" dxfId="6468" priority="8431" stopIfTrue="1" operator="containsText" text="Bajo">
      <formula>NOT(ISERROR(SEARCH("Bajo",P205)))</formula>
    </cfRule>
    <cfRule type="containsText" dxfId="6467" priority="8430" stopIfTrue="1" operator="containsText" text="Muy alto">
      <formula>NOT(ISERROR(SEARCH("Muy alto",P205)))</formula>
    </cfRule>
    <cfRule type="containsText" dxfId="6466" priority="8433" stopIfTrue="1" operator="containsText" text="Alto">
      <formula>NOT(ISERROR(SEARCH("Alto",P205)))</formula>
    </cfRule>
  </conditionalFormatting>
  <conditionalFormatting sqref="P206">
    <cfRule type="containsText" dxfId="6465" priority="8260" stopIfTrue="1" operator="containsText" text="Medio">
      <formula>NOT(ISERROR(SEARCH("Medio",P206)))</formula>
    </cfRule>
    <cfRule type="containsText" dxfId="6464" priority="8259" stopIfTrue="1" operator="containsText" text="Bajo">
      <formula>NOT(ISERROR(SEARCH("Bajo",P206)))</formula>
    </cfRule>
    <cfRule type="containsText" dxfId="6463" priority="8261" stopIfTrue="1" operator="containsText" text="Alto">
      <formula>NOT(ISERROR(SEARCH("Alto",P206)))</formula>
    </cfRule>
    <cfRule type="containsText" dxfId="6462" priority="8258" stopIfTrue="1" operator="containsText" text="Muy alto">
      <formula>NOT(ISERROR(SEARCH("Muy alto",P206)))</formula>
    </cfRule>
  </conditionalFormatting>
  <conditionalFormatting sqref="P207">
    <cfRule type="containsText" dxfId="6461" priority="8180" stopIfTrue="1" operator="containsText" text="Bajo">
      <formula>NOT(ISERROR(SEARCH("Bajo",P207)))</formula>
    </cfRule>
    <cfRule type="containsText" dxfId="6460" priority="8181" stopIfTrue="1" operator="containsText" text="Medio">
      <formula>NOT(ISERROR(SEARCH("Medio",P207)))</formula>
    </cfRule>
    <cfRule type="containsText" dxfId="6459" priority="8179" stopIfTrue="1" operator="containsText" text="Muy alto">
      <formula>NOT(ISERROR(SEARCH("Muy alto",P207)))</formula>
    </cfRule>
    <cfRule type="containsText" dxfId="6458" priority="8182" stopIfTrue="1" operator="containsText" text="Alto">
      <formula>NOT(ISERROR(SEARCH("Alto",P207)))</formula>
    </cfRule>
  </conditionalFormatting>
  <conditionalFormatting sqref="P208">
    <cfRule type="containsText" dxfId="6457" priority="8153" stopIfTrue="1" operator="containsText" text="Medio">
      <formula>NOT(ISERROR(SEARCH("Medio",P208)))</formula>
    </cfRule>
    <cfRule type="containsText" dxfId="6456" priority="8154" stopIfTrue="1" operator="containsText" text="Alto">
      <formula>NOT(ISERROR(SEARCH("Alto",P208)))</formula>
    </cfRule>
    <cfRule type="containsText" dxfId="6455" priority="8151" stopIfTrue="1" operator="containsText" text="Muy alto">
      <formula>NOT(ISERROR(SEARCH("Muy alto",P208)))</formula>
    </cfRule>
    <cfRule type="containsText" dxfId="6454" priority="8152" stopIfTrue="1" operator="containsText" text="Bajo">
      <formula>NOT(ISERROR(SEARCH("Bajo",P208)))</formula>
    </cfRule>
  </conditionalFormatting>
  <conditionalFormatting sqref="P209">
    <cfRule type="containsText" dxfId="6453" priority="8339" stopIfTrue="1" operator="containsText" text="Muy alto">
      <formula>NOT(ISERROR(SEARCH("Muy alto",P209)))</formula>
    </cfRule>
    <cfRule type="containsText" dxfId="6452" priority="8340" stopIfTrue="1" operator="containsText" text="Bajo">
      <formula>NOT(ISERROR(SEARCH("Bajo",P209)))</formula>
    </cfRule>
    <cfRule type="containsText" dxfId="6451" priority="8342" stopIfTrue="1" operator="containsText" text="Alto">
      <formula>NOT(ISERROR(SEARCH("Alto",P209)))</formula>
    </cfRule>
    <cfRule type="containsText" dxfId="6450" priority="8341" stopIfTrue="1" operator="containsText" text="Medio">
      <formula>NOT(ISERROR(SEARCH("Medio",P209)))</formula>
    </cfRule>
  </conditionalFormatting>
  <conditionalFormatting sqref="P210">
    <cfRule type="containsText" dxfId="6449" priority="8317" stopIfTrue="1" operator="containsText" text="Alto">
      <formula>NOT(ISERROR(SEARCH("Alto",P210)))</formula>
    </cfRule>
    <cfRule type="containsText" dxfId="6448" priority="8316" stopIfTrue="1" operator="containsText" text="Medio">
      <formula>NOT(ISERROR(SEARCH("Medio",P210)))</formula>
    </cfRule>
    <cfRule type="containsText" dxfId="6447" priority="8315" stopIfTrue="1" operator="containsText" text="Bajo">
      <formula>NOT(ISERROR(SEARCH("Bajo",P210)))</formula>
    </cfRule>
    <cfRule type="containsText" dxfId="6446" priority="8314" stopIfTrue="1" operator="containsText" text="Muy alto">
      <formula>NOT(ISERROR(SEARCH("Muy alto",P210)))</formula>
    </cfRule>
  </conditionalFormatting>
  <conditionalFormatting sqref="P211">
    <cfRule type="containsText" dxfId="6445" priority="8396" stopIfTrue="1" operator="containsText" text="Muy alto">
      <formula>NOT(ISERROR(SEARCH("Muy alto",P211)))</formula>
    </cfRule>
    <cfRule type="containsText" dxfId="6444" priority="8397" stopIfTrue="1" operator="containsText" text="Bajo">
      <formula>NOT(ISERROR(SEARCH("Bajo",P211)))</formula>
    </cfRule>
    <cfRule type="containsText" dxfId="6443" priority="8398" stopIfTrue="1" operator="containsText" text="Medio">
      <formula>NOT(ISERROR(SEARCH("Medio",P211)))</formula>
    </cfRule>
    <cfRule type="containsText" dxfId="6442" priority="8399" stopIfTrue="1" operator="containsText" text="Alto">
      <formula>NOT(ISERROR(SEARCH("Alto",P211)))</formula>
    </cfRule>
  </conditionalFormatting>
  <conditionalFormatting sqref="P212">
    <cfRule type="containsText" dxfId="6441" priority="8223" stopIfTrue="1" operator="containsText" text="Bajo">
      <formula>NOT(ISERROR(SEARCH("Bajo",P212)))</formula>
    </cfRule>
    <cfRule type="containsText" dxfId="6440" priority="8225" stopIfTrue="1" operator="containsText" text="Alto">
      <formula>NOT(ISERROR(SEARCH("Alto",P212)))</formula>
    </cfRule>
    <cfRule type="containsText" dxfId="6439" priority="8222" stopIfTrue="1" operator="containsText" text="Muy alto">
      <formula>NOT(ISERROR(SEARCH("Muy alto",P212)))</formula>
    </cfRule>
    <cfRule type="containsText" dxfId="6438" priority="8224" stopIfTrue="1" operator="containsText" text="Medio">
      <formula>NOT(ISERROR(SEARCH("Medio",P212)))</formula>
    </cfRule>
  </conditionalFormatting>
  <conditionalFormatting sqref="P213">
    <cfRule type="containsText" dxfId="6437" priority="7997" stopIfTrue="1" operator="containsText" text="Alto">
      <formula>NOT(ISERROR(SEARCH("Alto",P213)))</formula>
    </cfRule>
    <cfRule type="containsText" dxfId="6436" priority="7994" stopIfTrue="1" operator="containsText" text="Muy alto">
      <formula>NOT(ISERROR(SEARCH("Muy alto",P213)))</formula>
    </cfRule>
    <cfRule type="containsText" dxfId="6435" priority="7996" stopIfTrue="1" operator="containsText" text="Medio">
      <formula>NOT(ISERROR(SEARCH("Medio",P213)))</formula>
    </cfRule>
    <cfRule type="containsText" dxfId="6434" priority="7995" stopIfTrue="1" operator="containsText" text="Bajo">
      <formula>NOT(ISERROR(SEARCH("Bajo",P213)))</formula>
    </cfRule>
  </conditionalFormatting>
  <conditionalFormatting sqref="P214">
    <cfRule type="containsText" dxfId="6433" priority="7566" stopIfTrue="1" operator="containsText" text="Alto">
      <formula>NOT(ISERROR(SEARCH("Alto",P214)))</formula>
    </cfRule>
    <cfRule type="containsText" dxfId="6432" priority="7563" stopIfTrue="1" operator="containsText" text="Muy alto">
      <formula>NOT(ISERROR(SEARCH("Muy alto",P214)))</formula>
    </cfRule>
    <cfRule type="containsText" dxfId="6431" priority="7564" stopIfTrue="1" operator="containsText" text="Bajo">
      <formula>NOT(ISERROR(SEARCH("Bajo",P214)))</formula>
    </cfRule>
    <cfRule type="containsText" dxfId="6430" priority="7565" stopIfTrue="1" operator="containsText" text="Medio">
      <formula>NOT(ISERROR(SEARCH("Medio",P214)))</formula>
    </cfRule>
  </conditionalFormatting>
  <conditionalFormatting sqref="P215">
    <cfRule type="containsText" dxfId="6429" priority="7527" stopIfTrue="1" operator="containsText" text="Muy alto">
      <formula>NOT(ISERROR(SEARCH("Muy alto",P215)))</formula>
    </cfRule>
    <cfRule type="containsText" dxfId="6428" priority="7528" stopIfTrue="1" operator="containsText" text="Bajo">
      <formula>NOT(ISERROR(SEARCH("Bajo",P215)))</formula>
    </cfRule>
    <cfRule type="containsText" dxfId="6427" priority="7529" stopIfTrue="1" operator="containsText" text="Medio">
      <formula>NOT(ISERROR(SEARCH("Medio",P215)))</formula>
    </cfRule>
    <cfRule type="containsText" dxfId="6426" priority="7530" stopIfTrue="1" operator="containsText" text="Alto">
      <formula>NOT(ISERROR(SEARCH("Alto",P215)))</formula>
    </cfRule>
  </conditionalFormatting>
  <conditionalFormatting sqref="P216">
    <cfRule type="containsText" dxfId="6425" priority="7949" stopIfTrue="1" operator="containsText" text="Muy alto">
      <formula>NOT(ISERROR(SEARCH("Muy alto",P216)))</formula>
    </cfRule>
    <cfRule type="containsText" dxfId="6424" priority="7950" stopIfTrue="1" operator="containsText" text="Bajo">
      <formula>NOT(ISERROR(SEARCH("Bajo",P216)))</formula>
    </cfRule>
    <cfRule type="containsText" dxfId="6423" priority="7952" stopIfTrue="1" operator="containsText" text="Alto">
      <formula>NOT(ISERROR(SEARCH("Alto",P216)))</formula>
    </cfRule>
    <cfRule type="containsText" dxfId="6422" priority="7951" stopIfTrue="1" operator="containsText" text="Medio">
      <formula>NOT(ISERROR(SEARCH("Medio",P216)))</formula>
    </cfRule>
  </conditionalFormatting>
  <conditionalFormatting sqref="P217">
    <cfRule type="containsText" dxfId="6421" priority="8043" stopIfTrue="1" operator="containsText" text="Medio">
      <formula>NOT(ISERROR(SEARCH("Medio",P217)))</formula>
    </cfRule>
    <cfRule type="containsText" dxfId="6420" priority="8042" stopIfTrue="1" operator="containsText" text="Bajo">
      <formula>NOT(ISERROR(SEARCH("Bajo",P217)))</formula>
    </cfRule>
    <cfRule type="containsText" dxfId="6419" priority="8041" stopIfTrue="1" operator="containsText" text="Muy alto">
      <formula>NOT(ISERROR(SEARCH("Muy alto",P217)))</formula>
    </cfRule>
    <cfRule type="containsText" dxfId="6418" priority="8044" stopIfTrue="1" operator="containsText" text="Alto">
      <formula>NOT(ISERROR(SEARCH("Alto",P217)))</formula>
    </cfRule>
  </conditionalFormatting>
  <conditionalFormatting sqref="P218">
    <cfRule type="containsText" dxfId="6417" priority="7906" stopIfTrue="1" operator="containsText" text="Medio">
      <formula>NOT(ISERROR(SEARCH("Medio",P218)))</formula>
    </cfRule>
    <cfRule type="containsText" dxfId="6416" priority="7907" stopIfTrue="1" operator="containsText" text="Alto">
      <formula>NOT(ISERROR(SEARCH("Alto",P218)))</formula>
    </cfRule>
    <cfRule type="containsText" dxfId="6415" priority="7905" stopIfTrue="1" operator="containsText" text="Bajo">
      <formula>NOT(ISERROR(SEARCH("Bajo",P218)))</formula>
    </cfRule>
    <cfRule type="containsText" dxfId="6414" priority="7904" stopIfTrue="1" operator="containsText" text="Muy alto">
      <formula>NOT(ISERROR(SEARCH("Muy alto",P218)))</formula>
    </cfRule>
  </conditionalFormatting>
  <conditionalFormatting sqref="P219">
    <cfRule type="containsText" dxfId="6413" priority="7711" stopIfTrue="1" operator="containsText" text="Alto">
      <formula>NOT(ISERROR(SEARCH("Alto",P219)))</formula>
    </cfRule>
    <cfRule type="containsText" dxfId="6412" priority="7708" stopIfTrue="1" operator="containsText" text="Muy alto">
      <formula>NOT(ISERROR(SEARCH("Muy alto",P219)))</formula>
    </cfRule>
    <cfRule type="containsText" dxfId="6411" priority="7709" stopIfTrue="1" operator="containsText" text="Bajo">
      <formula>NOT(ISERROR(SEARCH("Bajo",P219)))</formula>
    </cfRule>
    <cfRule type="containsText" dxfId="6410" priority="7710" stopIfTrue="1" operator="containsText" text="Medio">
      <formula>NOT(ISERROR(SEARCH("Medio",P219)))</formula>
    </cfRule>
  </conditionalFormatting>
  <conditionalFormatting sqref="P220">
    <cfRule type="containsText" dxfId="6409" priority="7749" stopIfTrue="1" operator="containsText" text="Muy alto">
      <formula>NOT(ISERROR(SEARCH("Muy alto",P220)))</formula>
    </cfRule>
    <cfRule type="containsText" dxfId="6408" priority="7750" stopIfTrue="1" operator="containsText" text="Bajo">
      <formula>NOT(ISERROR(SEARCH("Bajo",P220)))</formula>
    </cfRule>
    <cfRule type="containsText" dxfId="6407" priority="7751" stopIfTrue="1" operator="containsText" text="Medio">
      <formula>NOT(ISERROR(SEARCH("Medio",P220)))</formula>
    </cfRule>
    <cfRule type="containsText" dxfId="6406" priority="7752" stopIfTrue="1" operator="containsText" text="Alto">
      <formula>NOT(ISERROR(SEARCH("Alto",P220)))</formula>
    </cfRule>
  </conditionalFormatting>
  <conditionalFormatting sqref="P221">
    <cfRule type="containsText" dxfId="6405" priority="7669" stopIfTrue="1" operator="containsText" text="Medio">
      <formula>NOT(ISERROR(SEARCH("Medio",P221)))</formula>
    </cfRule>
    <cfRule type="containsText" dxfId="6404" priority="7670" stopIfTrue="1" operator="containsText" text="Alto">
      <formula>NOT(ISERROR(SEARCH("Alto",P221)))</formula>
    </cfRule>
    <cfRule type="containsText" dxfId="6403" priority="7667" stopIfTrue="1" operator="containsText" text="Muy alto">
      <formula>NOT(ISERROR(SEARCH("Muy alto",P221)))</formula>
    </cfRule>
    <cfRule type="containsText" dxfId="6402" priority="7668" stopIfTrue="1" operator="containsText" text="Bajo">
      <formula>NOT(ISERROR(SEARCH("Bajo",P221)))</formula>
    </cfRule>
  </conditionalFormatting>
  <conditionalFormatting sqref="P222:P223">
    <cfRule type="containsText" dxfId="6401" priority="7813" stopIfTrue="1" operator="containsText" text="Muy alto">
      <formula>NOT(ISERROR(SEARCH("Muy alto",P222)))</formula>
    </cfRule>
    <cfRule type="containsText" dxfId="6400" priority="7816" stopIfTrue="1" operator="containsText" text="Alto">
      <formula>NOT(ISERROR(SEARCH("Alto",P222)))</formula>
    </cfRule>
    <cfRule type="containsText" dxfId="6399" priority="7815" stopIfTrue="1" operator="containsText" text="Medio">
      <formula>NOT(ISERROR(SEARCH("Medio",P222)))</formula>
    </cfRule>
    <cfRule type="containsText" dxfId="6398" priority="7814" stopIfTrue="1" operator="containsText" text="Bajo">
      <formula>NOT(ISERROR(SEARCH("Bajo",P222)))</formula>
    </cfRule>
  </conditionalFormatting>
  <conditionalFormatting sqref="P224">
    <cfRule type="containsText" dxfId="6397" priority="7791" stopIfTrue="1" operator="containsText" text="Alto">
      <formula>NOT(ISERROR(SEARCH("Alto",P224)))</formula>
    </cfRule>
    <cfRule type="containsText" dxfId="6396" priority="7788" stopIfTrue="1" operator="containsText" text="Muy alto">
      <formula>NOT(ISERROR(SEARCH("Muy alto",P224)))</formula>
    </cfRule>
    <cfRule type="containsText" dxfId="6395" priority="7789" stopIfTrue="1" operator="containsText" text="Bajo">
      <formula>NOT(ISERROR(SEARCH("Bajo",P224)))</formula>
    </cfRule>
    <cfRule type="containsText" dxfId="6394" priority="7790" stopIfTrue="1" operator="containsText" text="Medio">
      <formula>NOT(ISERROR(SEARCH("Medio",P224)))</formula>
    </cfRule>
  </conditionalFormatting>
  <conditionalFormatting sqref="P225">
    <cfRule type="containsText" dxfId="6393" priority="7604" stopIfTrue="1" operator="containsText" text="Bajo">
      <formula>NOT(ISERROR(SEARCH("Bajo",P225)))</formula>
    </cfRule>
    <cfRule type="containsText" dxfId="6392" priority="7603" stopIfTrue="1" operator="containsText" text="Muy alto">
      <formula>NOT(ISERROR(SEARCH("Muy alto",P225)))</formula>
    </cfRule>
    <cfRule type="containsText" dxfId="6391" priority="7606" stopIfTrue="1" operator="containsText" text="Alto">
      <formula>NOT(ISERROR(SEARCH("Alto",P225)))</formula>
    </cfRule>
    <cfRule type="containsText" dxfId="6390" priority="7605" stopIfTrue="1" operator="containsText" text="Medio">
      <formula>NOT(ISERROR(SEARCH("Medio",P225)))</formula>
    </cfRule>
  </conditionalFormatting>
  <conditionalFormatting sqref="P226">
    <cfRule type="containsText" dxfId="6389" priority="7873" stopIfTrue="1" operator="containsText" text="Alto">
      <formula>NOT(ISERROR(SEARCH("Alto",P226)))</formula>
    </cfRule>
    <cfRule type="containsText" dxfId="6388" priority="7872" stopIfTrue="1" operator="containsText" text="Medio">
      <formula>NOT(ISERROR(SEARCH("Medio",P226)))</formula>
    </cfRule>
    <cfRule type="containsText" dxfId="6387" priority="7871" stopIfTrue="1" operator="containsText" text="Bajo">
      <formula>NOT(ISERROR(SEARCH("Bajo",P226)))</formula>
    </cfRule>
    <cfRule type="containsText" dxfId="6386" priority="7870" stopIfTrue="1" operator="containsText" text="Muy alto">
      <formula>NOT(ISERROR(SEARCH("Muy alto",P226)))</formula>
    </cfRule>
  </conditionalFormatting>
  <conditionalFormatting sqref="P227">
    <cfRule type="containsText" dxfId="6385" priority="7646" stopIfTrue="1" operator="containsText" text="Medio">
      <formula>NOT(ISERROR(SEARCH("Medio",P227)))</formula>
    </cfRule>
    <cfRule type="containsText" dxfId="6384" priority="7644" stopIfTrue="1" operator="containsText" text="Muy alto">
      <formula>NOT(ISERROR(SEARCH("Muy alto",P227)))</formula>
    </cfRule>
    <cfRule type="containsText" dxfId="6383" priority="7645" stopIfTrue="1" operator="containsText" text="Bajo">
      <formula>NOT(ISERROR(SEARCH("Bajo",P227)))</formula>
    </cfRule>
    <cfRule type="containsText" dxfId="6382" priority="7647" stopIfTrue="1" operator="containsText" text="Alto">
      <formula>NOT(ISERROR(SEARCH("Alto",P227)))</formula>
    </cfRule>
  </conditionalFormatting>
  <conditionalFormatting sqref="P228">
    <cfRule type="containsText" dxfId="6381" priority="7488" stopIfTrue="1" operator="containsText" text="Alto">
      <formula>NOT(ISERROR(SEARCH("Alto",P228)))</formula>
    </cfRule>
    <cfRule type="containsText" dxfId="6380" priority="7486" stopIfTrue="1" operator="containsText" text="Bajo">
      <formula>NOT(ISERROR(SEARCH("Bajo",P228)))</formula>
    </cfRule>
    <cfRule type="containsText" dxfId="6379" priority="7487" stopIfTrue="1" operator="containsText" text="Medio">
      <formula>NOT(ISERROR(SEARCH("Medio",P228)))</formula>
    </cfRule>
    <cfRule type="containsText" dxfId="6378" priority="7485" stopIfTrue="1" operator="containsText" text="Muy alto">
      <formula>NOT(ISERROR(SEARCH("Muy alto",P228)))</formula>
    </cfRule>
  </conditionalFormatting>
  <conditionalFormatting sqref="P229">
    <cfRule type="containsText" dxfId="6377" priority="7390" stopIfTrue="1" operator="containsText" text="Muy alto">
      <formula>NOT(ISERROR(SEARCH("Muy alto",P229)))</formula>
    </cfRule>
    <cfRule type="containsText" dxfId="6376" priority="7393" stopIfTrue="1" operator="containsText" text="Alto">
      <formula>NOT(ISERROR(SEARCH("Alto",P229)))</formula>
    </cfRule>
    <cfRule type="containsText" dxfId="6375" priority="7392" stopIfTrue="1" operator="containsText" text="Medio">
      <formula>NOT(ISERROR(SEARCH("Medio",P229)))</formula>
    </cfRule>
    <cfRule type="containsText" dxfId="6374" priority="7391" stopIfTrue="1" operator="containsText" text="Bajo">
      <formula>NOT(ISERROR(SEARCH("Bajo",P229)))</formula>
    </cfRule>
  </conditionalFormatting>
  <conditionalFormatting sqref="P230">
    <cfRule type="containsText" dxfId="6373" priority="6959" stopIfTrue="1" operator="containsText" text="Muy alto">
      <formula>NOT(ISERROR(SEARCH("Muy alto",P230)))</formula>
    </cfRule>
    <cfRule type="containsText" dxfId="6372" priority="6961" stopIfTrue="1" operator="containsText" text="Medio">
      <formula>NOT(ISERROR(SEARCH("Medio",P230)))</formula>
    </cfRule>
    <cfRule type="containsText" dxfId="6371" priority="6960" stopIfTrue="1" operator="containsText" text="Bajo">
      <formula>NOT(ISERROR(SEARCH("Bajo",P230)))</formula>
    </cfRule>
    <cfRule type="containsText" dxfId="6370" priority="6962" stopIfTrue="1" operator="containsText" text="Alto">
      <formula>NOT(ISERROR(SEARCH("Alto",P230)))</formula>
    </cfRule>
  </conditionalFormatting>
  <conditionalFormatting sqref="P231">
    <cfRule type="containsText" dxfId="6369" priority="6927" stopIfTrue="1" operator="containsText" text="Muy alto">
      <formula>NOT(ISERROR(SEARCH("Muy alto",P231)))</formula>
    </cfRule>
    <cfRule type="containsText" dxfId="6368" priority="6928" stopIfTrue="1" operator="containsText" text="Bajo">
      <formula>NOT(ISERROR(SEARCH("Bajo",P231)))</formula>
    </cfRule>
    <cfRule type="containsText" dxfId="6367" priority="6929" stopIfTrue="1" operator="containsText" text="Medio">
      <formula>NOT(ISERROR(SEARCH("Medio",P231)))</formula>
    </cfRule>
    <cfRule type="containsText" dxfId="6366" priority="6930" stopIfTrue="1" operator="containsText" text="Alto">
      <formula>NOT(ISERROR(SEARCH("Alto",P231)))</formula>
    </cfRule>
  </conditionalFormatting>
  <conditionalFormatting sqref="P232">
    <cfRule type="containsText" dxfId="6365" priority="7345" stopIfTrue="1" operator="containsText" text="Muy alto">
      <formula>NOT(ISERROR(SEARCH("Muy alto",P232)))</formula>
    </cfRule>
    <cfRule type="containsText" dxfId="6364" priority="7348" stopIfTrue="1" operator="containsText" text="Alto">
      <formula>NOT(ISERROR(SEARCH("Alto",P232)))</formula>
    </cfRule>
    <cfRule type="containsText" dxfId="6363" priority="7347" stopIfTrue="1" operator="containsText" text="Medio">
      <formula>NOT(ISERROR(SEARCH("Medio",P232)))</formula>
    </cfRule>
    <cfRule type="containsText" dxfId="6362" priority="7346" stopIfTrue="1" operator="containsText" text="Bajo">
      <formula>NOT(ISERROR(SEARCH("Bajo",P232)))</formula>
    </cfRule>
  </conditionalFormatting>
  <conditionalFormatting sqref="P233">
    <cfRule type="containsText" dxfId="6361" priority="7452" stopIfTrue="1" operator="containsText" text="Muy alto">
      <formula>NOT(ISERROR(SEARCH("Muy alto",P233)))</formula>
    </cfRule>
    <cfRule type="containsText" dxfId="6360" priority="7453" stopIfTrue="1" operator="containsText" text="Bajo">
      <formula>NOT(ISERROR(SEARCH("Bajo",P233)))</formula>
    </cfRule>
    <cfRule type="containsText" dxfId="6359" priority="7454" stopIfTrue="1" operator="containsText" text="Medio">
      <formula>NOT(ISERROR(SEARCH("Medio",P233)))</formula>
    </cfRule>
    <cfRule type="containsText" dxfId="6358" priority="7455" stopIfTrue="1" operator="containsText" text="Alto">
      <formula>NOT(ISERROR(SEARCH("Alto",P233)))</formula>
    </cfRule>
  </conditionalFormatting>
  <conditionalFormatting sqref="P234">
    <cfRule type="containsText" dxfId="6357" priority="7300" stopIfTrue="1" operator="containsText" text="Muy alto">
      <formula>NOT(ISERROR(SEARCH("Muy alto",P234)))</formula>
    </cfRule>
    <cfRule type="containsText" dxfId="6356" priority="7303" stopIfTrue="1" operator="containsText" text="Alto">
      <formula>NOT(ISERROR(SEARCH("Alto",P234)))</formula>
    </cfRule>
    <cfRule type="containsText" dxfId="6355" priority="7302" stopIfTrue="1" operator="containsText" text="Medio">
      <formula>NOT(ISERROR(SEARCH("Medio",P234)))</formula>
    </cfRule>
    <cfRule type="containsText" dxfId="6354" priority="7301" stopIfTrue="1" operator="containsText" text="Bajo">
      <formula>NOT(ISERROR(SEARCH("Bajo",P234)))</formula>
    </cfRule>
  </conditionalFormatting>
  <conditionalFormatting sqref="P235">
    <cfRule type="containsText" dxfId="6353" priority="7104" stopIfTrue="1" operator="containsText" text="Muy alto">
      <formula>NOT(ISERROR(SEARCH("Muy alto",P235)))</formula>
    </cfRule>
    <cfRule type="containsText" dxfId="6352" priority="7106" stopIfTrue="1" operator="containsText" text="Medio">
      <formula>NOT(ISERROR(SEARCH("Medio",P235)))</formula>
    </cfRule>
    <cfRule type="containsText" dxfId="6351" priority="7107" stopIfTrue="1" operator="containsText" text="Alto">
      <formula>NOT(ISERROR(SEARCH("Alto",P235)))</formula>
    </cfRule>
    <cfRule type="containsText" dxfId="6350" priority="7105" stopIfTrue="1" operator="containsText" text="Bajo">
      <formula>NOT(ISERROR(SEARCH("Bajo",P235)))</formula>
    </cfRule>
  </conditionalFormatting>
  <conditionalFormatting sqref="P236">
    <cfRule type="containsText" dxfId="6349" priority="7146" stopIfTrue="1" operator="containsText" text="Bajo">
      <formula>NOT(ISERROR(SEARCH("Bajo",P236)))</formula>
    </cfRule>
    <cfRule type="containsText" dxfId="6348" priority="7145" stopIfTrue="1" operator="containsText" text="Muy alto">
      <formula>NOT(ISERROR(SEARCH("Muy alto",P236)))</formula>
    </cfRule>
    <cfRule type="containsText" dxfId="6347" priority="7148" stopIfTrue="1" operator="containsText" text="Alto">
      <formula>NOT(ISERROR(SEARCH("Alto",P236)))</formula>
    </cfRule>
    <cfRule type="containsText" dxfId="6346" priority="7147" stopIfTrue="1" operator="containsText" text="Medio">
      <formula>NOT(ISERROR(SEARCH("Medio",P236)))</formula>
    </cfRule>
  </conditionalFormatting>
  <conditionalFormatting sqref="P237">
    <cfRule type="containsText" dxfId="6345" priority="7066" stopIfTrue="1" operator="containsText" text="Alto">
      <formula>NOT(ISERROR(SEARCH("Alto",P237)))</formula>
    </cfRule>
    <cfRule type="containsText" dxfId="6344" priority="7064" stopIfTrue="1" operator="containsText" text="Bajo">
      <formula>NOT(ISERROR(SEARCH("Bajo",P237)))</formula>
    </cfRule>
    <cfRule type="containsText" dxfId="6343" priority="7065" stopIfTrue="1" operator="containsText" text="Medio">
      <formula>NOT(ISERROR(SEARCH("Medio",P237)))</formula>
    </cfRule>
    <cfRule type="containsText" dxfId="6342" priority="7063" stopIfTrue="1" operator="containsText" text="Muy alto">
      <formula>NOT(ISERROR(SEARCH("Muy alto",P237)))</formula>
    </cfRule>
  </conditionalFormatting>
  <conditionalFormatting sqref="P238">
    <cfRule type="containsText" dxfId="6341" priority="7209" stopIfTrue="1" operator="containsText" text="Muy alto">
      <formula>NOT(ISERROR(SEARCH("Muy alto",P238)))</formula>
    </cfRule>
    <cfRule type="containsText" dxfId="6340" priority="7210" stopIfTrue="1" operator="containsText" text="Bajo">
      <formula>NOT(ISERROR(SEARCH("Bajo",P238)))</formula>
    </cfRule>
    <cfRule type="containsText" dxfId="6339" priority="7211" stopIfTrue="1" operator="containsText" text="Medio">
      <formula>NOT(ISERROR(SEARCH("Medio",P238)))</formula>
    </cfRule>
    <cfRule type="containsText" dxfId="6338" priority="7212" stopIfTrue="1" operator="containsText" text="Alto">
      <formula>NOT(ISERROR(SEARCH("Alto",P238)))</formula>
    </cfRule>
  </conditionalFormatting>
  <conditionalFormatting sqref="P239">
    <cfRule type="containsText" dxfId="6337" priority="7185" stopIfTrue="1" operator="containsText" text="Bajo">
      <formula>NOT(ISERROR(SEARCH("Bajo",P239)))</formula>
    </cfRule>
    <cfRule type="containsText" dxfId="6336" priority="7186" stopIfTrue="1" operator="containsText" text="Medio">
      <formula>NOT(ISERROR(SEARCH("Medio",P239)))</formula>
    </cfRule>
    <cfRule type="containsText" dxfId="6335" priority="7187" stopIfTrue="1" operator="containsText" text="Alto">
      <formula>NOT(ISERROR(SEARCH("Alto",P239)))</formula>
    </cfRule>
    <cfRule type="containsText" dxfId="6334" priority="7184" stopIfTrue="1" operator="containsText" text="Muy alto">
      <formula>NOT(ISERROR(SEARCH("Muy alto",P239)))</formula>
    </cfRule>
  </conditionalFormatting>
  <conditionalFormatting sqref="P240">
    <cfRule type="containsText" dxfId="6333" priority="7000" stopIfTrue="1" operator="containsText" text="Bajo">
      <formula>NOT(ISERROR(SEARCH("Bajo",P240)))</formula>
    </cfRule>
    <cfRule type="containsText" dxfId="6332" priority="7001" stopIfTrue="1" operator="containsText" text="Medio">
      <formula>NOT(ISERROR(SEARCH("Medio",P240)))</formula>
    </cfRule>
    <cfRule type="containsText" dxfId="6331" priority="7002" stopIfTrue="1" operator="containsText" text="Alto">
      <formula>NOT(ISERROR(SEARCH("Alto",P240)))</formula>
    </cfRule>
    <cfRule type="containsText" dxfId="6330" priority="6999" stopIfTrue="1" operator="containsText" text="Muy alto">
      <formula>NOT(ISERROR(SEARCH("Muy alto",P240)))</formula>
    </cfRule>
  </conditionalFormatting>
  <conditionalFormatting sqref="P241">
    <cfRule type="containsText" dxfId="6329" priority="7269" stopIfTrue="1" operator="containsText" text="Alto">
      <formula>NOT(ISERROR(SEARCH("Alto",P241)))</formula>
    </cfRule>
    <cfRule type="containsText" dxfId="6328" priority="7267" stopIfTrue="1" operator="containsText" text="Bajo">
      <formula>NOT(ISERROR(SEARCH("Bajo",P241)))</formula>
    </cfRule>
    <cfRule type="containsText" dxfId="6327" priority="7266" stopIfTrue="1" operator="containsText" text="Muy alto">
      <formula>NOT(ISERROR(SEARCH("Muy alto",P241)))</formula>
    </cfRule>
    <cfRule type="containsText" dxfId="6326" priority="7268" stopIfTrue="1" operator="containsText" text="Medio">
      <formula>NOT(ISERROR(SEARCH("Medio",P241)))</formula>
    </cfRule>
  </conditionalFormatting>
  <conditionalFormatting sqref="P242">
    <cfRule type="containsText" dxfId="6325" priority="7043" stopIfTrue="1" operator="containsText" text="Alto">
      <formula>NOT(ISERROR(SEARCH("Alto",P242)))</formula>
    </cfRule>
    <cfRule type="containsText" dxfId="6324" priority="7040" stopIfTrue="1" operator="containsText" text="Muy alto">
      <formula>NOT(ISERROR(SEARCH("Muy alto",P242)))</formula>
    </cfRule>
    <cfRule type="containsText" dxfId="6323" priority="7041" stopIfTrue="1" operator="containsText" text="Bajo">
      <formula>NOT(ISERROR(SEARCH("Bajo",P242)))</formula>
    </cfRule>
    <cfRule type="containsText" dxfId="6322" priority="7042" stopIfTrue="1" operator="containsText" text="Medio">
      <formula>NOT(ISERROR(SEARCH("Medio",P242)))</formula>
    </cfRule>
  </conditionalFormatting>
  <conditionalFormatting sqref="P243">
    <cfRule type="containsText" dxfId="6321" priority="6882" stopIfTrue="1" operator="containsText" text="Bajo">
      <formula>NOT(ISERROR(SEARCH("Bajo",P243)))</formula>
    </cfRule>
    <cfRule type="containsText" dxfId="6320" priority="6883" stopIfTrue="1" operator="containsText" text="Medio">
      <formula>NOT(ISERROR(SEARCH("Medio",P243)))</formula>
    </cfRule>
    <cfRule type="containsText" dxfId="6319" priority="6884" stopIfTrue="1" operator="containsText" text="Alto">
      <formula>NOT(ISERROR(SEARCH("Alto",P243)))</formula>
    </cfRule>
    <cfRule type="containsText" dxfId="6318" priority="6881" stopIfTrue="1" operator="containsText" text="Muy alto">
      <formula>NOT(ISERROR(SEARCH("Muy alto",P243)))</formula>
    </cfRule>
  </conditionalFormatting>
  <conditionalFormatting sqref="P244">
    <cfRule type="containsText" dxfId="6317" priority="6786" stopIfTrue="1" operator="containsText" text="Muy alto">
      <formula>NOT(ISERROR(SEARCH("Muy alto",P244)))</formula>
    </cfRule>
    <cfRule type="containsText" dxfId="6316" priority="6788" stopIfTrue="1" operator="containsText" text="Medio">
      <formula>NOT(ISERROR(SEARCH("Medio",P244)))</formula>
    </cfRule>
    <cfRule type="containsText" dxfId="6315" priority="6787" stopIfTrue="1" operator="containsText" text="Bajo">
      <formula>NOT(ISERROR(SEARCH("Bajo",P244)))</formula>
    </cfRule>
    <cfRule type="containsText" dxfId="6314" priority="6789" stopIfTrue="1" operator="containsText" text="Alto">
      <formula>NOT(ISERROR(SEARCH("Alto",P244)))</formula>
    </cfRule>
  </conditionalFormatting>
  <conditionalFormatting sqref="P245">
    <cfRule type="containsText" dxfId="6313" priority="6355" stopIfTrue="1" operator="containsText" text="Muy alto">
      <formula>NOT(ISERROR(SEARCH("Muy alto",P245)))</formula>
    </cfRule>
    <cfRule type="containsText" dxfId="6312" priority="6357" stopIfTrue="1" operator="containsText" text="Medio">
      <formula>NOT(ISERROR(SEARCH("Medio",P245)))</formula>
    </cfRule>
    <cfRule type="containsText" dxfId="6311" priority="6358" stopIfTrue="1" operator="containsText" text="Alto">
      <formula>NOT(ISERROR(SEARCH("Alto",P245)))</formula>
    </cfRule>
    <cfRule type="containsText" dxfId="6310" priority="6356" stopIfTrue="1" operator="containsText" text="Bajo">
      <formula>NOT(ISERROR(SEARCH("Bajo",P245)))</formula>
    </cfRule>
  </conditionalFormatting>
  <conditionalFormatting sqref="P246">
    <cfRule type="containsText" dxfId="6309" priority="6326" stopIfTrue="1" operator="containsText" text="Alto">
      <formula>NOT(ISERROR(SEARCH("Alto",P246)))</formula>
    </cfRule>
    <cfRule type="containsText" dxfId="6308" priority="6325" stopIfTrue="1" operator="containsText" text="Medio">
      <formula>NOT(ISERROR(SEARCH("Medio",P246)))</formula>
    </cfRule>
    <cfRule type="containsText" dxfId="6307" priority="6324" stopIfTrue="1" operator="containsText" text="Bajo">
      <formula>NOT(ISERROR(SEARCH("Bajo",P246)))</formula>
    </cfRule>
    <cfRule type="containsText" dxfId="6306" priority="6323" stopIfTrue="1" operator="containsText" text="Muy alto">
      <formula>NOT(ISERROR(SEARCH("Muy alto",P246)))</formula>
    </cfRule>
  </conditionalFormatting>
  <conditionalFormatting sqref="P247">
    <cfRule type="containsText" dxfId="6305" priority="6744" stopIfTrue="1" operator="containsText" text="Alto">
      <formula>NOT(ISERROR(SEARCH("Alto",P247)))</formula>
    </cfRule>
    <cfRule type="containsText" dxfId="6304" priority="6743" stopIfTrue="1" operator="containsText" text="Medio">
      <formula>NOT(ISERROR(SEARCH("Medio",P247)))</formula>
    </cfRule>
    <cfRule type="containsText" dxfId="6303" priority="6742" stopIfTrue="1" operator="containsText" text="Bajo">
      <formula>NOT(ISERROR(SEARCH("Bajo",P247)))</formula>
    </cfRule>
    <cfRule type="containsText" dxfId="6302" priority="6741" stopIfTrue="1" operator="containsText" text="Muy alto">
      <formula>NOT(ISERROR(SEARCH("Muy alto",P247)))</formula>
    </cfRule>
  </conditionalFormatting>
  <conditionalFormatting sqref="P248">
    <cfRule type="containsText" dxfId="6301" priority="6848" stopIfTrue="1" operator="containsText" text="Muy alto">
      <formula>NOT(ISERROR(SEARCH("Muy alto",P248)))</formula>
    </cfRule>
    <cfRule type="containsText" dxfId="6300" priority="6849" stopIfTrue="1" operator="containsText" text="Bajo">
      <formula>NOT(ISERROR(SEARCH("Bajo",P248)))</formula>
    </cfRule>
    <cfRule type="containsText" dxfId="6299" priority="6850" stopIfTrue="1" operator="containsText" text="Medio">
      <formula>NOT(ISERROR(SEARCH("Medio",P248)))</formula>
    </cfRule>
    <cfRule type="containsText" dxfId="6298" priority="6851" stopIfTrue="1" operator="containsText" text="Alto">
      <formula>NOT(ISERROR(SEARCH("Alto",P248)))</formula>
    </cfRule>
  </conditionalFormatting>
  <conditionalFormatting sqref="P249">
    <cfRule type="containsText" dxfId="6297" priority="6699" stopIfTrue="1" operator="containsText" text="Alto">
      <formula>NOT(ISERROR(SEARCH("Alto",P249)))</formula>
    </cfRule>
    <cfRule type="containsText" dxfId="6296" priority="6698" stopIfTrue="1" operator="containsText" text="Medio">
      <formula>NOT(ISERROR(SEARCH("Medio",P249)))</formula>
    </cfRule>
    <cfRule type="containsText" dxfId="6295" priority="6697" stopIfTrue="1" operator="containsText" text="Bajo">
      <formula>NOT(ISERROR(SEARCH("Bajo",P249)))</formula>
    </cfRule>
    <cfRule type="containsText" dxfId="6294" priority="6696" stopIfTrue="1" operator="containsText" text="Muy alto">
      <formula>NOT(ISERROR(SEARCH("Muy alto",P249)))</formula>
    </cfRule>
  </conditionalFormatting>
  <conditionalFormatting sqref="P250">
    <cfRule type="containsText" dxfId="6293" priority="6500" stopIfTrue="1" operator="containsText" text="Muy alto">
      <formula>NOT(ISERROR(SEARCH("Muy alto",P250)))</formula>
    </cfRule>
    <cfRule type="containsText" dxfId="6292" priority="6501" stopIfTrue="1" operator="containsText" text="Bajo">
      <formula>NOT(ISERROR(SEARCH("Bajo",P250)))</formula>
    </cfRule>
    <cfRule type="containsText" dxfId="6291" priority="6502" stopIfTrue="1" operator="containsText" text="Medio">
      <formula>NOT(ISERROR(SEARCH("Medio",P250)))</formula>
    </cfRule>
    <cfRule type="containsText" dxfId="6290" priority="6503" stopIfTrue="1" operator="containsText" text="Alto">
      <formula>NOT(ISERROR(SEARCH("Alto",P250)))</formula>
    </cfRule>
  </conditionalFormatting>
  <conditionalFormatting sqref="P251">
    <cfRule type="containsText" dxfId="6289" priority="6542" stopIfTrue="1" operator="containsText" text="Bajo">
      <formula>NOT(ISERROR(SEARCH("Bajo",P251)))</formula>
    </cfRule>
    <cfRule type="containsText" dxfId="6288" priority="6543" stopIfTrue="1" operator="containsText" text="Medio">
      <formula>NOT(ISERROR(SEARCH("Medio",P251)))</formula>
    </cfRule>
    <cfRule type="containsText" dxfId="6287" priority="6544" stopIfTrue="1" operator="containsText" text="Alto">
      <formula>NOT(ISERROR(SEARCH("Alto",P251)))</formula>
    </cfRule>
    <cfRule type="containsText" dxfId="6286" priority="6541" stopIfTrue="1" operator="containsText" text="Muy alto">
      <formula>NOT(ISERROR(SEARCH("Muy alto",P251)))</formula>
    </cfRule>
  </conditionalFormatting>
  <conditionalFormatting sqref="P252">
    <cfRule type="containsText" dxfId="6285" priority="6462" stopIfTrue="1" operator="containsText" text="Alto">
      <formula>NOT(ISERROR(SEARCH("Alto",P252)))</formula>
    </cfRule>
    <cfRule type="containsText" dxfId="6284" priority="6461" stopIfTrue="1" operator="containsText" text="Medio">
      <formula>NOT(ISERROR(SEARCH("Medio",P252)))</formula>
    </cfRule>
    <cfRule type="containsText" dxfId="6283" priority="6459" stopIfTrue="1" operator="containsText" text="Muy alto">
      <formula>NOT(ISERROR(SEARCH("Muy alto",P252)))</formula>
    </cfRule>
    <cfRule type="containsText" dxfId="6282" priority="6460" stopIfTrue="1" operator="containsText" text="Bajo">
      <formula>NOT(ISERROR(SEARCH("Bajo",P252)))</formula>
    </cfRule>
  </conditionalFormatting>
  <conditionalFormatting sqref="P253">
    <cfRule type="containsText" dxfId="6281" priority="6607" stopIfTrue="1" operator="containsText" text="Medio">
      <formula>NOT(ISERROR(SEARCH("Medio",P253)))</formula>
    </cfRule>
    <cfRule type="containsText" dxfId="6280" priority="6608" stopIfTrue="1" operator="containsText" text="Alto">
      <formula>NOT(ISERROR(SEARCH("Alto",P253)))</formula>
    </cfRule>
    <cfRule type="containsText" dxfId="6279" priority="6606" stopIfTrue="1" operator="containsText" text="Bajo">
      <formula>NOT(ISERROR(SEARCH("Bajo",P253)))</formula>
    </cfRule>
    <cfRule type="containsText" dxfId="6278" priority="6605" stopIfTrue="1" operator="containsText" text="Muy alto">
      <formula>NOT(ISERROR(SEARCH("Muy alto",P253)))</formula>
    </cfRule>
  </conditionalFormatting>
  <conditionalFormatting sqref="P254">
    <cfRule type="containsText" dxfId="6277" priority="6580" stopIfTrue="1" operator="containsText" text="Muy alto">
      <formula>NOT(ISERROR(SEARCH("Muy alto",P254)))</formula>
    </cfRule>
    <cfRule type="containsText" dxfId="6276" priority="6582" stopIfTrue="1" operator="containsText" text="Medio">
      <formula>NOT(ISERROR(SEARCH("Medio",P254)))</formula>
    </cfRule>
    <cfRule type="containsText" dxfId="6275" priority="6583" stopIfTrue="1" operator="containsText" text="Alto">
      <formula>NOT(ISERROR(SEARCH("Alto",P254)))</formula>
    </cfRule>
    <cfRule type="containsText" dxfId="6274" priority="6581" stopIfTrue="1" operator="containsText" text="Bajo">
      <formula>NOT(ISERROR(SEARCH("Bajo",P254)))</formula>
    </cfRule>
  </conditionalFormatting>
  <conditionalFormatting sqref="P255">
    <cfRule type="containsText" dxfId="6273" priority="6396" stopIfTrue="1" operator="containsText" text="Bajo">
      <formula>NOT(ISERROR(SEARCH("Bajo",P255)))</formula>
    </cfRule>
    <cfRule type="containsText" dxfId="6272" priority="6398" stopIfTrue="1" operator="containsText" text="Alto">
      <formula>NOT(ISERROR(SEARCH("Alto",P255)))</formula>
    </cfRule>
    <cfRule type="containsText" dxfId="6271" priority="6397" stopIfTrue="1" operator="containsText" text="Medio">
      <formula>NOT(ISERROR(SEARCH("Medio",P255)))</formula>
    </cfRule>
    <cfRule type="containsText" dxfId="6270" priority="6395" stopIfTrue="1" operator="containsText" text="Muy alto">
      <formula>NOT(ISERROR(SEARCH("Muy alto",P255)))</formula>
    </cfRule>
  </conditionalFormatting>
  <conditionalFormatting sqref="P256">
    <cfRule type="containsText" dxfId="6269" priority="6665" stopIfTrue="1" operator="containsText" text="Alto">
      <formula>NOT(ISERROR(SEARCH("Alto",P256)))</formula>
    </cfRule>
    <cfRule type="containsText" dxfId="6268" priority="6664" stopIfTrue="1" operator="containsText" text="Medio">
      <formula>NOT(ISERROR(SEARCH("Medio",P256)))</formula>
    </cfRule>
    <cfRule type="containsText" dxfId="6267" priority="6663" stopIfTrue="1" operator="containsText" text="Bajo">
      <formula>NOT(ISERROR(SEARCH("Bajo",P256)))</formula>
    </cfRule>
    <cfRule type="containsText" dxfId="6266" priority="6662" stopIfTrue="1" operator="containsText" text="Muy alto">
      <formula>NOT(ISERROR(SEARCH("Muy alto",P256)))</formula>
    </cfRule>
  </conditionalFormatting>
  <conditionalFormatting sqref="P257">
    <cfRule type="containsText" dxfId="6265" priority="6439" stopIfTrue="1" operator="containsText" text="Alto">
      <formula>NOT(ISERROR(SEARCH("Alto",P257)))</formula>
    </cfRule>
    <cfRule type="containsText" dxfId="6264" priority="6436" stopIfTrue="1" operator="containsText" text="Muy alto">
      <formula>NOT(ISERROR(SEARCH("Muy alto",P257)))</formula>
    </cfRule>
    <cfRule type="containsText" dxfId="6263" priority="6437" stopIfTrue="1" operator="containsText" text="Bajo">
      <formula>NOT(ISERROR(SEARCH("Bajo",P257)))</formula>
    </cfRule>
    <cfRule type="containsText" dxfId="6262" priority="6438" stopIfTrue="1" operator="containsText" text="Medio">
      <formula>NOT(ISERROR(SEARCH("Medio",P257)))</formula>
    </cfRule>
  </conditionalFormatting>
  <conditionalFormatting sqref="P258">
    <cfRule type="containsText" dxfId="6261" priority="6213" stopIfTrue="1" operator="containsText" text="Alto">
      <formula>NOT(ISERROR(SEARCH("Alto",P258)))</formula>
    </cfRule>
    <cfRule type="containsText" dxfId="6260" priority="6212" stopIfTrue="1" operator="containsText" text="Medio">
      <formula>NOT(ISERROR(SEARCH("Medio",P258)))</formula>
    </cfRule>
    <cfRule type="containsText" dxfId="6259" priority="6211" stopIfTrue="1" operator="containsText" text="Bajo">
      <formula>NOT(ISERROR(SEARCH("Bajo",P258)))</formula>
    </cfRule>
    <cfRule type="containsText" dxfId="6258" priority="6210" stopIfTrue="1" operator="containsText" text="Muy alto">
      <formula>NOT(ISERROR(SEARCH("Muy alto",P258)))</formula>
    </cfRule>
  </conditionalFormatting>
  <conditionalFormatting sqref="P259">
    <cfRule type="containsText" dxfId="6257" priority="5866" stopIfTrue="1" operator="containsText" text="Alto">
      <formula>NOT(ISERROR(SEARCH("Alto",P259)))</formula>
    </cfRule>
    <cfRule type="containsText" dxfId="6256" priority="5863" stopIfTrue="1" operator="containsText" text="Muy alto">
      <formula>NOT(ISERROR(SEARCH("Muy alto",P259)))</formula>
    </cfRule>
    <cfRule type="containsText" dxfId="6255" priority="5864" stopIfTrue="1" operator="containsText" text="Bajo">
      <formula>NOT(ISERROR(SEARCH("Bajo",P259)))</formula>
    </cfRule>
    <cfRule type="containsText" dxfId="6254" priority="5865" stopIfTrue="1" operator="containsText" text="Medio">
      <formula>NOT(ISERROR(SEARCH("Medio",P259)))</formula>
    </cfRule>
  </conditionalFormatting>
  <conditionalFormatting sqref="P260">
    <cfRule type="containsText" dxfId="6253" priority="5833" stopIfTrue="1" operator="containsText" text="Medio">
      <formula>NOT(ISERROR(SEARCH("Medio",P260)))</formula>
    </cfRule>
    <cfRule type="containsText" dxfId="6252" priority="5832" stopIfTrue="1" operator="containsText" text="Bajo">
      <formula>NOT(ISERROR(SEARCH("Bajo",P260)))</formula>
    </cfRule>
    <cfRule type="containsText" dxfId="6251" priority="5831" stopIfTrue="1" operator="containsText" text="Muy alto">
      <formula>NOT(ISERROR(SEARCH("Muy alto",P260)))</formula>
    </cfRule>
    <cfRule type="containsText" dxfId="6250" priority="5834" stopIfTrue="1" operator="containsText" text="Alto">
      <formula>NOT(ISERROR(SEARCH("Alto",P260)))</formula>
    </cfRule>
  </conditionalFormatting>
  <conditionalFormatting sqref="P261">
    <cfRule type="containsText" dxfId="6249" priority="6167" stopIfTrue="1" operator="containsText" text="Medio">
      <formula>NOT(ISERROR(SEARCH("Medio",P261)))</formula>
    </cfRule>
    <cfRule type="containsText" dxfId="6248" priority="6168" stopIfTrue="1" operator="containsText" text="Alto">
      <formula>NOT(ISERROR(SEARCH("Alto",P261)))</formula>
    </cfRule>
    <cfRule type="containsText" dxfId="6247" priority="6166" stopIfTrue="1" operator="containsText" text="Bajo">
      <formula>NOT(ISERROR(SEARCH("Bajo",P261)))</formula>
    </cfRule>
    <cfRule type="containsText" dxfId="6246" priority="6165" stopIfTrue="1" operator="containsText" text="Muy alto">
      <formula>NOT(ISERROR(SEARCH("Muy alto",P261)))</formula>
    </cfRule>
  </conditionalFormatting>
  <conditionalFormatting sqref="P262">
    <cfRule type="containsText" dxfId="6245" priority="6257" stopIfTrue="1" operator="containsText" text="Muy alto">
      <formula>NOT(ISERROR(SEARCH("Muy alto",P262)))</formula>
    </cfRule>
    <cfRule type="containsText" dxfId="6244" priority="6258" stopIfTrue="1" operator="containsText" text="Bajo">
      <formula>NOT(ISERROR(SEARCH("Bajo",P262)))</formula>
    </cfRule>
    <cfRule type="containsText" dxfId="6243" priority="6259" stopIfTrue="1" operator="containsText" text="Medio">
      <formula>NOT(ISERROR(SEARCH("Medio",P262)))</formula>
    </cfRule>
    <cfRule type="containsText" dxfId="6242" priority="6260" stopIfTrue="1" operator="containsText" text="Alto">
      <formula>NOT(ISERROR(SEARCH("Alto",P262)))</formula>
    </cfRule>
  </conditionalFormatting>
  <conditionalFormatting sqref="P263">
    <cfRule type="containsText" dxfId="6241" priority="6120" stopIfTrue="1" operator="containsText" text="Muy alto">
      <formula>NOT(ISERROR(SEARCH("Muy alto",P263)))</formula>
    </cfRule>
    <cfRule type="containsText" dxfId="6240" priority="6123" stopIfTrue="1" operator="containsText" text="Alto">
      <formula>NOT(ISERROR(SEARCH("Alto",P263)))</formula>
    </cfRule>
    <cfRule type="containsText" dxfId="6239" priority="6122" stopIfTrue="1" operator="containsText" text="Medio">
      <formula>NOT(ISERROR(SEARCH("Medio",P263)))</formula>
    </cfRule>
    <cfRule type="containsText" dxfId="6238" priority="6121" stopIfTrue="1" operator="containsText" text="Bajo">
      <formula>NOT(ISERROR(SEARCH("Bajo",P263)))</formula>
    </cfRule>
  </conditionalFormatting>
  <conditionalFormatting sqref="P264">
    <cfRule type="containsText" dxfId="6237" priority="5965" stopIfTrue="1" operator="containsText" text="Medio">
      <formula>NOT(ISERROR(SEARCH("Medio",P264)))</formula>
    </cfRule>
    <cfRule type="containsText" dxfId="6236" priority="5963" stopIfTrue="1" operator="containsText" text="Muy alto">
      <formula>NOT(ISERROR(SEARCH("Muy alto",P264)))</formula>
    </cfRule>
    <cfRule type="containsText" dxfId="6235" priority="5964" stopIfTrue="1" operator="containsText" text="Bajo">
      <formula>NOT(ISERROR(SEARCH("Bajo",P264)))</formula>
    </cfRule>
    <cfRule type="containsText" dxfId="6234" priority="5966" stopIfTrue="1" operator="containsText" text="Alto">
      <formula>NOT(ISERROR(SEARCH("Alto",P264)))</formula>
    </cfRule>
  </conditionalFormatting>
  <conditionalFormatting sqref="P265">
    <cfRule type="containsText" dxfId="6233" priority="5923" stopIfTrue="1" operator="containsText" text="Bajo">
      <formula>NOT(ISERROR(SEARCH("Bajo",P265)))</formula>
    </cfRule>
    <cfRule type="containsText" dxfId="6232" priority="5925" stopIfTrue="1" operator="containsText" text="Alto">
      <formula>NOT(ISERROR(SEARCH("Alto",P265)))</formula>
    </cfRule>
    <cfRule type="containsText" dxfId="6231" priority="5924" stopIfTrue="1" operator="containsText" text="Medio">
      <formula>NOT(ISERROR(SEARCH("Medio",P265)))</formula>
    </cfRule>
    <cfRule type="containsText" dxfId="6230" priority="5922" stopIfTrue="1" operator="containsText" text="Muy alto">
      <formula>NOT(ISERROR(SEARCH("Muy alto",P265)))</formula>
    </cfRule>
  </conditionalFormatting>
  <conditionalFormatting sqref="P266">
    <cfRule type="containsText" dxfId="6229" priority="6029" stopIfTrue="1" operator="containsText" text="Muy alto">
      <formula>NOT(ISERROR(SEARCH("Muy alto",P266)))</formula>
    </cfRule>
    <cfRule type="containsText" dxfId="6228" priority="6032" stopIfTrue="1" operator="containsText" text="Alto">
      <formula>NOT(ISERROR(SEARCH("Alto",P266)))</formula>
    </cfRule>
    <cfRule type="containsText" dxfId="6227" priority="6030" stopIfTrue="1" operator="containsText" text="Bajo">
      <formula>NOT(ISERROR(SEARCH("Bajo",P266)))</formula>
    </cfRule>
    <cfRule type="containsText" dxfId="6226" priority="6031" stopIfTrue="1" operator="containsText" text="Medio">
      <formula>NOT(ISERROR(SEARCH("Medio",P266)))</formula>
    </cfRule>
  </conditionalFormatting>
  <conditionalFormatting sqref="P267">
    <cfRule type="containsText" dxfId="6225" priority="6007" stopIfTrue="1" operator="containsText" text="Alto">
      <formula>NOT(ISERROR(SEARCH("Alto",P267)))</formula>
    </cfRule>
    <cfRule type="containsText" dxfId="6224" priority="6006" stopIfTrue="1" operator="containsText" text="Medio">
      <formula>NOT(ISERROR(SEARCH("Medio",P267)))</formula>
    </cfRule>
    <cfRule type="containsText" dxfId="6223" priority="6005" stopIfTrue="1" operator="containsText" text="Bajo">
      <formula>NOT(ISERROR(SEARCH("Bajo",P267)))</formula>
    </cfRule>
    <cfRule type="containsText" dxfId="6222" priority="6004" stopIfTrue="1" operator="containsText" text="Muy alto">
      <formula>NOT(ISERROR(SEARCH("Muy alto",P267)))</formula>
    </cfRule>
  </conditionalFormatting>
  <conditionalFormatting sqref="P268">
    <cfRule type="containsText" dxfId="6221" priority="6088" stopIfTrue="1" operator="containsText" text="Medio">
      <formula>NOT(ISERROR(SEARCH("Medio",P268)))</formula>
    </cfRule>
    <cfRule type="containsText" dxfId="6220" priority="6087" stopIfTrue="1" operator="containsText" text="Bajo">
      <formula>NOT(ISERROR(SEARCH("Bajo",P268)))</formula>
    </cfRule>
    <cfRule type="containsText" dxfId="6219" priority="6086" stopIfTrue="1" operator="containsText" text="Muy alto">
      <formula>NOT(ISERROR(SEARCH("Muy alto",P268)))</formula>
    </cfRule>
    <cfRule type="containsText" dxfId="6218" priority="6089" stopIfTrue="1" operator="containsText" text="Alto">
      <formula>NOT(ISERROR(SEARCH("Alto",P268)))</formula>
    </cfRule>
  </conditionalFormatting>
  <conditionalFormatting sqref="P269">
    <cfRule type="containsText" dxfId="6217" priority="5901" stopIfTrue="1" operator="containsText" text="Medio">
      <formula>NOT(ISERROR(SEARCH("Medio",P269)))</formula>
    </cfRule>
    <cfRule type="containsText" dxfId="6216" priority="5900" stopIfTrue="1" operator="containsText" text="Bajo">
      <formula>NOT(ISERROR(SEARCH("Bajo",P269)))</formula>
    </cfRule>
    <cfRule type="containsText" dxfId="6215" priority="5899" stopIfTrue="1" operator="containsText" text="Muy alto">
      <formula>NOT(ISERROR(SEARCH("Muy alto",P269)))</formula>
    </cfRule>
    <cfRule type="containsText" dxfId="6214" priority="5902" stopIfTrue="1" operator="containsText" text="Alto">
      <formula>NOT(ISERROR(SEARCH("Alto",P269)))</formula>
    </cfRule>
  </conditionalFormatting>
  <conditionalFormatting sqref="P270">
    <cfRule type="containsText" dxfId="6213" priority="5731" stopIfTrue="1" operator="containsText" text="Muy alto">
      <formula>NOT(ISERROR(SEARCH("Muy alto",P270)))</formula>
    </cfRule>
    <cfRule type="containsText" dxfId="6212" priority="5733" stopIfTrue="1" operator="containsText" text="Medio">
      <formula>NOT(ISERROR(SEARCH("Medio",P270)))</formula>
    </cfRule>
    <cfRule type="containsText" dxfId="6211" priority="5734" stopIfTrue="1" operator="containsText" text="Alto">
      <formula>NOT(ISERROR(SEARCH("Alto",P270)))</formula>
    </cfRule>
    <cfRule type="containsText" dxfId="6210" priority="5732" stopIfTrue="1" operator="containsText" text="Bajo">
      <formula>NOT(ISERROR(SEARCH("Bajo",P270)))</formula>
    </cfRule>
  </conditionalFormatting>
  <conditionalFormatting sqref="P271">
    <cfRule type="containsText" dxfId="6209" priority="5303" stopIfTrue="1" operator="containsText" text="Alto">
      <formula>NOT(ISERROR(SEARCH("Alto",P271)))</formula>
    </cfRule>
    <cfRule type="containsText" dxfId="6208" priority="5302" stopIfTrue="1" operator="containsText" text="Medio">
      <formula>NOT(ISERROR(SEARCH("Medio",P271)))</formula>
    </cfRule>
    <cfRule type="containsText" dxfId="6207" priority="5300" stopIfTrue="1" operator="containsText" text="Muy alto">
      <formula>NOT(ISERROR(SEARCH("Muy alto",P271)))</formula>
    </cfRule>
    <cfRule type="containsText" dxfId="6206" priority="5301" stopIfTrue="1" operator="containsText" text="Bajo">
      <formula>NOT(ISERROR(SEARCH("Bajo",P271)))</formula>
    </cfRule>
  </conditionalFormatting>
  <conditionalFormatting sqref="P272">
    <cfRule type="containsText" dxfId="6205" priority="5271" stopIfTrue="1" operator="containsText" text="Alto">
      <formula>NOT(ISERROR(SEARCH("Alto",P272)))</formula>
    </cfRule>
    <cfRule type="containsText" dxfId="6204" priority="5270" stopIfTrue="1" operator="containsText" text="Medio">
      <formula>NOT(ISERROR(SEARCH("Medio",P272)))</formula>
    </cfRule>
    <cfRule type="containsText" dxfId="6203" priority="5269" stopIfTrue="1" operator="containsText" text="Bajo">
      <formula>NOT(ISERROR(SEARCH("Bajo",P272)))</formula>
    </cfRule>
    <cfRule type="containsText" dxfId="6202" priority="5268" stopIfTrue="1" operator="containsText" text="Muy alto">
      <formula>NOT(ISERROR(SEARCH("Muy alto",P272)))</formula>
    </cfRule>
  </conditionalFormatting>
  <conditionalFormatting sqref="P273">
    <cfRule type="containsText" dxfId="6201" priority="5686" stopIfTrue="1" operator="containsText" text="Muy alto">
      <formula>NOT(ISERROR(SEARCH("Muy alto",P273)))</formula>
    </cfRule>
    <cfRule type="containsText" dxfId="6200" priority="5687" stopIfTrue="1" operator="containsText" text="Bajo">
      <formula>NOT(ISERROR(SEARCH("Bajo",P273)))</formula>
    </cfRule>
    <cfRule type="containsText" dxfId="6199" priority="5689" stopIfTrue="1" operator="containsText" text="Alto">
      <formula>NOT(ISERROR(SEARCH("Alto",P273)))</formula>
    </cfRule>
    <cfRule type="containsText" dxfId="6198" priority="5688" stopIfTrue="1" operator="containsText" text="Medio">
      <formula>NOT(ISERROR(SEARCH("Medio",P273)))</formula>
    </cfRule>
  </conditionalFormatting>
  <conditionalFormatting sqref="P274">
    <cfRule type="containsText" dxfId="6197" priority="5778" stopIfTrue="1" operator="containsText" text="Muy alto">
      <formula>NOT(ISERROR(SEARCH("Muy alto",P274)))</formula>
    </cfRule>
    <cfRule type="containsText" dxfId="6196" priority="5779" stopIfTrue="1" operator="containsText" text="Bajo">
      <formula>NOT(ISERROR(SEARCH("Bajo",P274)))</formula>
    </cfRule>
    <cfRule type="containsText" dxfId="6195" priority="5780" stopIfTrue="1" operator="containsText" text="Medio">
      <formula>NOT(ISERROR(SEARCH("Medio",P274)))</formula>
    </cfRule>
    <cfRule type="containsText" dxfId="6194" priority="5781" stopIfTrue="1" operator="containsText" text="Alto">
      <formula>NOT(ISERROR(SEARCH("Alto",P274)))</formula>
    </cfRule>
  </conditionalFormatting>
  <conditionalFormatting sqref="P275">
    <cfRule type="containsText" dxfId="6193" priority="5641" stopIfTrue="1" operator="containsText" text="Muy alto">
      <formula>NOT(ISERROR(SEARCH("Muy alto",P275)))</formula>
    </cfRule>
    <cfRule type="containsText" dxfId="6192" priority="5642" stopIfTrue="1" operator="containsText" text="Bajo">
      <formula>NOT(ISERROR(SEARCH("Bajo",P275)))</formula>
    </cfRule>
    <cfRule type="containsText" dxfId="6191" priority="5644" stopIfTrue="1" operator="containsText" text="Alto">
      <formula>NOT(ISERROR(SEARCH("Alto",P275)))</formula>
    </cfRule>
    <cfRule type="containsText" dxfId="6190" priority="5643" stopIfTrue="1" operator="containsText" text="Medio">
      <formula>NOT(ISERROR(SEARCH("Medio",P275)))</formula>
    </cfRule>
  </conditionalFormatting>
  <conditionalFormatting sqref="P276">
    <cfRule type="containsText" dxfId="6189" priority="5448" stopIfTrue="1" operator="containsText" text="Alto">
      <formula>NOT(ISERROR(SEARCH("Alto",P276)))</formula>
    </cfRule>
    <cfRule type="containsText" dxfId="6188" priority="5446" stopIfTrue="1" operator="containsText" text="Bajo">
      <formula>NOT(ISERROR(SEARCH("Bajo",P276)))</formula>
    </cfRule>
    <cfRule type="containsText" dxfId="6187" priority="5447" stopIfTrue="1" operator="containsText" text="Medio">
      <formula>NOT(ISERROR(SEARCH("Medio",P276)))</formula>
    </cfRule>
    <cfRule type="containsText" dxfId="6186" priority="5445" stopIfTrue="1" operator="containsText" text="Muy alto">
      <formula>NOT(ISERROR(SEARCH("Muy alto",P276)))</formula>
    </cfRule>
  </conditionalFormatting>
  <conditionalFormatting sqref="P277">
    <cfRule type="containsText" dxfId="6185" priority="5489" stopIfTrue="1" operator="containsText" text="Alto">
      <formula>NOT(ISERROR(SEARCH("Alto",P277)))</formula>
    </cfRule>
    <cfRule type="containsText" dxfId="6184" priority="5487" stopIfTrue="1" operator="containsText" text="Bajo">
      <formula>NOT(ISERROR(SEARCH("Bajo",P277)))</formula>
    </cfRule>
    <cfRule type="containsText" dxfId="6183" priority="5486" stopIfTrue="1" operator="containsText" text="Muy alto">
      <formula>NOT(ISERROR(SEARCH("Muy alto",P277)))</formula>
    </cfRule>
    <cfRule type="containsText" dxfId="6182" priority="5488" stopIfTrue="1" operator="containsText" text="Medio">
      <formula>NOT(ISERROR(SEARCH("Medio",P277)))</formula>
    </cfRule>
  </conditionalFormatting>
  <conditionalFormatting sqref="P278">
    <cfRule type="containsText" dxfId="6181" priority="5406" stopIfTrue="1" operator="containsText" text="Medio">
      <formula>NOT(ISERROR(SEARCH("Medio",P278)))</formula>
    </cfRule>
    <cfRule type="containsText" dxfId="6180" priority="5407" stopIfTrue="1" operator="containsText" text="Alto">
      <formula>NOT(ISERROR(SEARCH("Alto",P278)))</formula>
    </cfRule>
    <cfRule type="containsText" dxfId="6179" priority="5405" stopIfTrue="1" operator="containsText" text="Bajo">
      <formula>NOT(ISERROR(SEARCH("Bajo",P278)))</formula>
    </cfRule>
    <cfRule type="containsText" dxfId="6178" priority="5404" stopIfTrue="1" operator="containsText" text="Muy alto">
      <formula>NOT(ISERROR(SEARCH("Muy alto",P278)))</formula>
    </cfRule>
  </conditionalFormatting>
  <conditionalFormatting sqref="P279">
    <cfRule type="containsText" dxfId="6177" priority="5551" stopIfTrue="1" operator="containsText" text="Bajo">
      <formula>NOT(ISERROR(SEARCH("Bajo",P279)))</formula>
    </cfRule>
    <cfRule type="containsText" dxfId="6176" priority="5550" stopIfTrue="1" operator="containsText" text="Muy alto">
      <formula>NOT(ISERROR(SEARCH("Muy alto",P279)))</formula>
    </cfRule>
    <cfRule type="containsText" dxfId="6175" priority="5552" stopIfTrue="1" operator="containsText" text="Medio">
      <formula>NOT(ISERROR(SEARCH("Medio",P279)))</formula>
    </cfRule>
    <cfRule type="containsText" dxfId="6174" priority="5553" stopIfTrue="1" operator="containsText" text="Alto">
      <formula>NOT(ISERROR(SEARCH("Alto",P279)))</formula>
    </cfRule>
  </conditionalFormatting>
  <conditionalFormatting sqref="P280">
    <cfRule type="containsText" dxfId="6173" priority="5528" stopIfTrue="1" operator="containsText" text="Alto">
      <formula>NOT(ISERROR(SEARCH("Alto",P280)))</formula>
    </cfRule>
    <cfRule type="containsText" dxfId="6172" priority="5527" stopIfTrue="1" operator="containsText" text="Medio">
      <formula>NOT(ISERROR(SEARCH("Medio",P280)))</formula>
    </cfRule>
    <cfRule type="containsText" dxfId="6171" priority="5525" stopIfTrue="1" operator="containsText" text="Muy alto">
      <formula>NOT(ISERROR(SEARCH("Muy alto",P280)))</formula>
    </cfRule>
    <cfRule type="containsText" dxfId="6170" priority="5526" stopIfTrue="1" operator="containsText" text="Bajo">
      <formula>NOT(ISERROR(SEARCH("Bajo",P280)))</formula>
    </cfRule>
  </conditionalFormatting>
  <conditionalFormatting sqref="P281">
    <cfRule type="containsText" dxfId="6169" priority="5343" stopIfTrue="1" operator="containsText" text="Alto">
      <formula>NOT(ISERROR(SEARCH("Alto",P281)))</formula>
    </cfRule>
    <cfRule type="containsText" dxfId="6168" priority="5342" stopIfTrue="1" operator="containsText" text="Medio">
      <formula>NOT(ISERROR(SEARCH("Medio",P281)))</formula>
    </cfRule>
    <cfRule type="containsText" dxfId="6167" priority="5341" stopIfTrue="1" operator="containsText" text="Bajo">
      <formula>NOT(ISERROR(SEARCH("Bajo",P281)))</formula>
    </cfRule>
    <cfRule type="containsText" dxfId="6166" priority="5340" stopIfTrue="1" operator="containsText" text="Muy alto">
      <formula>NOT(ISERROR(SEARCH("Muy alto",P281)))</formula>
    </cfRule>
  </conditionalFormatting>
  <conditionalFormatting sqref="P282">
    <cfRule type="containsText" dxfId="6165" priority="5607" stopIfTrue="1" operator="containsText" text="Muy alto">
      <formula>NOT(ISERROR(SEARCH("Muy alto",P282)))</formula>
    </cfRule>
    <cfRule type="containsText" dxfId="6164" priority="5608" stopIfTrue="1" operator="containsText" text="Bajo">
      <formula>NOT(ISERROR(SEARCH("Bajo",P282)))</formula>
    </cfRule>
    <cfRule type="containsText" dxfId="6163" priority="5609" stopIfTrue="1" operator="containsText" text="Medio">
      <formula>NOT(ISERROR(SEARCH("Medio",P282)))</formula>
    </cfRule>
    <cfRule type="containsText" dxfId="6162" priority="5610" stopIfTrue="1" operator="containsText" text="Alto">
      <formula>NOT(ISERROR(SEARCH("Alto",P282)))</formula>
    </cfRule>
  </conditionalFormatting>
  <conditionalFormatting sqref="P283">
    <cfRule type="containsText" dxfId="6161" priority="5381" stopIfTrue="1" operator="containsText" text="Muy alto">
      <formula>NOT(ISERROR(SEARCH("Muy alto",P283)))</formula>
    </cfRule>
    <cfRule type="containsText" dxfId="6160" priority="5382" stopIfTrue="1" operator="containsText" text="Bajo">
      <formula>NOT(ISERROR(SEARCH("Bajo",P283)))</formula>
    </cfRule>
    <cfRule type="containsText" dxfId="6159" priority="5384" stopIfTrue="1" operator="containsText" text="Alto">
      <formula>NOT(ISERROR(SEARCH("Alto",P283)))</formula>
    </cfRule>
    <cfRule type="containsText" dxfId="6158" priority="5383" stopIfTrue="1" operator="containsText" text="Medio">
      <formula>NOT(ISERROR(SEARCH("Medio",P283)))</formula>
    </cfRule>
  </conditionalFormatting>
  <conditionalFormatting sqref="P284">
    <cfRule type="containsText" dxfId="6157" priority="5170" stopIfTrue="1" operator="containsText" text="Medio">
      <formula>NOT(ISERROR(SEARCH("Medio",P284)))</formula>
    </cfRule>
    <cfRule type="containsText" dxfId="6156" priority="5171" stopIfTrue="1" operator="containsText" text="Alto">
      <formula>NOT(ISERROR(SEARCH("Alto",P284)))</formula>
    </cfRule>
    <cfRule type="containsText" dxfId="6155" priority="5169" stopIfTrue="1" operator="containsText" text="Bajo">
      <formula>NOT(ISERROR(SEARCH("Bajo",P284)))</formula>
    </cfRule>
    <cfRule type="containsText" dxfId="6154" priority="5168" stopIfTrue="1" operator="containsText" text="Muy alto">
      <formula>NOT(ISERROR(SEARCH("Muy alto",P284)))</formula>
    </cfRule>
  </conditionalFormatting>
  <conditionalFormatting sqref="P285">
    <cfRule type="containsText" dxfId="6153" priority="4740" stopIfTrue="1" operator="containsText" text="Alto">
      <formula>NOT(ISERROR(SEARCH("Alto",P285)))</formula>
    </cfRule>
    <cfRule type="containsText" dxfId="6152" priority="4739" stopIfTrue="1" operator="containsText" text="Medio">
      <formula>NOT(ISERROR(SEARCH("Medio",P285)))</formula>
    </cfRule>
    <cfRule type="containsText" dxfId="6151" priority="4738" stopIfTrue="1" operator="containsText" text="Bajo">
      <formula>NOT(ISERROR(SEARCH("Bajo",P285)))</formula>
    </cfRule>
    <cfRule type="containsText" dxfId="6150" priority="4737" stopIfTrue="1" operator="containsText" text="Muy alto">
      <formula>NOT(ISERROR(SEARCH("Muy alto",P285)))</formula>
    </cfRule>
  </conditionalFormatting>
  <conditionalFormatting sqref="P286">
    <cfRule type="containsText" dxfId="6149" priority="4707" stopIfTrue="1" operator="containsText" text="Medio">
      <formula>NOT(ISERROR(SEARCH("Medio",P286)))</formula>
    </cfRule>
    <cfRule type="containsText" dxfId="6148" priority="4706" stopIfTrue="1" operator="containsText" text="Bajo">
      <formula>NOT(ISERROR(SEARCH("Bajo",P286)))</formula>
    </cfRule>
    <cfRule type="containsText" dxfId="6147" priority="4705" stopIfTrue="1" operator="containsText" text="Muy alto">
      <formula>NOT(ISERROR(SEARCH("Muy alto",P286)))</formula>
    </cfRule>
    <cfRule type="containsText" dxfId="6146" priority="4708" stopIfTrue="1" operator="containsText" text="Alto">
      <formula>NOT(ISERROR(SEARCH("Alto",P286)))</formula>
    </cfRule>
  </conditionalFormatting>
  <conditionalFormatting sqref="P287">
    <cfRule type="containsText" dxfId="6145" priority="5126" stopIfTrue="1" operator="containsText" text="Alto">
      <formula>NOT(ISERROR(SEARCH("Alto",P287)))</formula>
    </cfRule>
    <cfRule type="containsText" dxfId="6144" priority="5123" stopIfTrue="1" operator="containsText" text="Muy alto">
      <formula>NOT(ISERROR(SEARCH("Muy alto",P287)))</formula>
    </cfRule>
    <cfRule type="containsText" dxfId="6143" priority="5124" stopIfTrue="1" operator="containsText" text="Bajo">
      <formula>NOT(ISERROR(SEARCH("Bajo",P287)))</formula>
    </cfRule>
    <cfRule type="containsText" dxfId="6142" priority="5125" stopIfTrue="1" operator="containsText" text="Medio">
      <formula>NOT(ISERROR(SEARCH("Medio",P287)))</formula>
    </cfRule>
  </conditionalFormatting>
  <conditionalFormatting sqref="P288">
    <cfRule type="containsText" dxfId="6141" priority="5218" stopIfTrue="1" operator="containsText" text="Alto">
      <formula>NOT(ISERROR(SEARCH("Alto",P288)))</formula>
    </cfRule>
    <cfRule type="containsText" dxfId="6140" priority="5216" stopIfTrue="1" operator="containsText" text="Bajo">
      <formula>NOT(ISERROR(SEARCH("Bajo",P288)))</formula>
    </cfRule>
    <cfRule type="containsText" dxfId="6139" priority="5217" stopIfTrue="1" operator="containsText" text="Medio">
      <formula>NOT(ISERROR(SEARCH("Medio",P288)))</formula>
    </cfRule>
    <cfRule type="containsText" dxfId="6138" priority="5215" stopIfTrue="1" operator="containsText" text="Muy alto">
      <formula>NOT(ISERROR(SEARCH("Muy alto",P288)))</formula>
    </cfRule>
  </conditionalFormatting>
  <conditionalFormatting sqref="P289">
    <cfRule type="containsText" dxfId="6137" priority="5081" stopIfTrue="1" operator="containsText" text="Alto">
      <formula>NOT(ISERROR(SEARCH("Alto",P289)))</formula>
    </cfRule>
    <cfRule type="containsText" dxfId="6136" priority="5079" stopIfTrue="1" operator="containsText" text="Bajo">
      <formula>NOT(ISERROR(SEARCH("Bajo",P289)))</formula>
    </cfRule>
    <cfRule type="containsText" dxfId="6135" priority="5078" stopIfTrue="1" operator="containsText" text="Muy alto">
      <formula>NOT(ISERROR(SEARCH("Muy alto",P289)))</formula>
    </cfRule>
    <cfRule type="containsText" dxfId="6134" priority="5080" stopIfTrue="1" operator="containsText" text="Medio">
      <formula>NOT(ISERROR(SEARCH("Medio",P289)))</formula>
    </cfRule>
  </conditionalFormatting>
  <conditionalFormatting sqref="P290">
    <cfRule type="containsText" dxfId="6133" priority="4885" stopIfTrue="1" operator="containsText" text="Alto">
      <formula>NOT(ISERROR(SEARCH("Alto",P290)))</formula>
    </cfRule>
    <cfRule type="containsText" dxfId="6132" priority="4884" stopIfTrue="1" operator="containsText" text="Medio">
      <formula>NOT(ISERROR(SEARCH("Medio",P290)))</formula>
    </cfRule>
    <cfRule type="containsText" dxfId="6131" priority="4883" stopIfTrue="1" operator="containsText" text="Bajo">
      <formula>NOT(ISERROR(SEARCH("Bajo",P290)))</formula>
    </cfRule>
    <cfRule type="containsText" dxfId="6130" priority="4882" stopIfTrue="1" operator="containsText" text="Muy alto">
      <formula>NOT(ISERROR(SEARCH("Muy alto",P290)))</formula>
    </cfRule>
  </conditionalFormatting>
  <conditionalFormatting sqref="P291">
    <cfRule type="containsText" dxfId="6129" priority="4925" stopIfTrue="1" operator="containsText" text="Medio">
      <formula>NOT(ISERROR(SEARCH("Medio",P291)))</formula>
    </cfRule>
    <cfRule type="containsText" dxfId="6128" priority="4923" stopIfTrue="1" operator="containsText" text="Muy alto">
      <formula>NOT(ISERROR(SEARCH("Muy alto",P291)))</formula>
    </cfRule>
    <cfRule type="containsText" dxfId="6127" priority="4924" stopIfTrue="1" operator="containsText" text="Bajo">
      <formula>NOT(ISERROR(SEARCH("Bajo",P291)))</formula>
    </cfRule>
    <cfRule type="containsText" dxfId="6126" priority="4926" stopIfTrue="1" operator="containsText" text="Alto">
      <formula>NOT(ISERROR(SEARCH("Alto",P291)))</formula>
    </cfRule>
  </conditionalFormatting>
  <conditionalFormatting sqref="P292">
    <cfRule type="containsText" dxfId="6125" priority="4843" stopIfTrue="1" operator="containsText" text="Medio">
      <formula>NOT(ISERROR(SEARCH("Medio",P292)))</formula>
    </cfRule>
    <cfRule type="containsText" dxfId="6124" priority="4841" stopIfTrue="1" operator="containsText" text="Muy alto">
      <formula>NOT(ISERROR(SEARCH("Muy alto",P292)))</formula>
    </cfRule>
    <cfRule type="containsText" dxfId="6123" priority="4844" stopIfTrue="1" operator="containsText" text="Alto">
      <formula>NOT(ISERROR(SEARCH("Alto",P292)))</formula>
    </cfRule>
    <cfRule type="containsText" dxfId="6122" priority="4842" stopIfTrue="1" operator="containsText" text="Bajo">
      <formula>NOT(ISERROR(SEARCH("Bajo",P292)))</formula>
    </cfRule>
  </conditionalFormatting>
  <conditionalFormatting sqref="P293">
    <cfRule type="containsText" dxfId="6121" priority="4988" stopIfTrue="1" operator="containsText" text="Bajo">
      <formula>NOT(ISERROR(SEARCH("Bajo",P293)))</formula>
    </cfRule>
    <cfRule type="containsText" dxfId="6120" priority="4987" stopIfTrue="1" operator="containsText" text="Muy alto">
      <formula>NOT(ISERROR(SEARCH("Muy alto",P293)))</formula>
    </cfRule>
    <cfRule type="containsText" dxfId="6119" priority="4989" stopIfTrue="1" operator="containsText" text="Medio">
      <formula>NOT(ISERROR(SEARCH("Medio",P293)))</formula>
    </cfRule>
    <cfRule type="containsText" dxfId="6118" priority="4990" stopIfTrue="1" operator="containsText" text="Alto">
      <formula>NOT(ISERROR(SEARCH("Alto",P293)))</formula>
    </cfRule>
  </conditionalFormatting>
  <conditionalFormatting sqref="P294">
    <cfRule type="containsText" dxfId="6117" priority="4962" stopIfTrue="1" operator="containsText" text="Muy alto">
      <formula>NOT(ISERROR(SEARCH("Muy alto",P294)))</formula>
    </cfRule>
    <cfRule type="containsText" dxfId="6116" priority="4964" stopIfTrue="1" operator="containsText" text="Medio">
      <formula>NOT(ISERROR(SEARCH("Medio",P294)))</formula>
    </cfRule>
    <cfRule type="containsText" dxfId="6115" priority="4965" stopIfTrue="1" operator="containsText" text="Alto">
      <formula>NOT(ISERROR(SEARCH("Alto",P294)))</formula>
    </cfRule>
    <cfRule type="containsText" dxfId="6114" priority="4963" stopIfTrue="1" operator="containsText" text="Bajo">
      <formula>NOT(ISERROR(SEARCH("Bajo",P294)))</formula>
    </cfRule>
  </conditionalFormatting>
  <conditionalFormatting sqref="P295">
    <cfRule type="containsText" dxfId="6113" priority="4780" stopIfTrue="1" operator="containsText" text="Alto">
      <formula>NOT(ISERROR(SEARCH("Alto",P295)))</formula>
    </cfRule>
    <cfRule type="containsText" dxfId="6112" priority="4777" stopIfTrue="1" operator="containsText" text="Muy alto">
      <formula>NOT(ISERROR(SEARCH("Muy alto",P295)))</formula>
    </cfRule>
    <cfRule type="containsText" dxfId="6111" priority="4778" stopIfTrue="1" operator="containsText" text="Bajo">
      <formula>NOT(ISERROR(SEARCH("Bajo",P295)))</formula>
    </cfRule>
    <cfRule type="containsText" dxfId="6110" priority="4779" stopIfTrue="1" operator="containsText" text="Medio">
      <formula>NOT(ISERROR(SEARCH("Medio",P295)))</formula>
    </cfRule>
  </conditionalFormatting>
  <conditionalFormatting sqref="P296">
    <cfRule type="containsText" dxfId="6109" priority="5044" stopIfTrue="1" operator="containsText" text="Muy alto">
      <formula>NOT(ISERROR(SEARCH("Muy alto",P296)))</formula>
    </cfRule>
    <cfRule type="containsText" dxfId="6108" priority="5046" stopIfTrue="1" operator="containsText" text="Medio">
      <formula>NOT(ISERROR(SEARCH("Medio",P296)))</formula>
    </cfRule>
    <cfRule type="containsText" dxfId="6107" priority="5045" stopIfTrue="1" operator="containsText" text="Bajo">
      <formula>NOT(ISERROR(SEARCH("Bajo",P296)))</formula>
    </cfRule>
    <cfRule type="containsText" dxfId="6106" priority="5047" stopIfTrue="1" operator="containsText" text="Alto">
      <formula>NOT(ISERROR(SEARCH("Alto",P296)))</formula>
    </cfRule>
  </conditionalFormatting>
  <conditionalFormatting sqref="P297">
    <cfRule type="containsText" dxfId="6105" priority="4820" stopIfTrue="1" operator="containsText" text="Medio">
      <formula>NOT(ISERROR(SEARCH("Medio",P297)))</formula>
    </cfRule>
    <cfRule type="containsText" dxfId="6104" priority="4818" stopIfTrue="1" operator="containsText" text="Muy alto">
      <formula>NOT(ISERROR(SEARCH("Muy alto",P297)))</formula>
    </cfRule>
    <cfRule type="containsText" dxfId="6103" priority="4821" stopIfTrue="1" operator="containsText" text="Alto">
      <formula>NOT(ISERROR(SEARCH("Alto",P297)))</formula>
    </cfRule>
    <cfRule type="containsText" dxfId="6102" priority="4819" stopIfTrue="1" operator="containsText" text="Bajo">
      <formula>NOT(ISERROR(SEARCH("Bajo",P297)))</formula>
    </cfRule>
  </conditionalFormatting>
  <conditionalFormatting sqref="P298">
    <cfRule type="containsText" dxfId="6101" priority="4607" stopIfTrue="1" operator="containsText" text="Medio">
      <formula>NOT(ISERROR(SEARCH("Medio",P298)))</formula>
    </cfRule>
    <cfRule type="containsText" dxfId="6100" priority="4606" stopIfTrue="1" operator="containsText" text="Bajo">
      <formula>NOT(ISERROR(SEARCH("Bajo",P298)))</formula>
    </cfRule>
    <cfRule type="containsText" dxfId="6099" priority="4608" stopIfTrue="1" operator="containsText" text="Alto">
      <formula>NOT(ISERROR(SEARCH("Alto",P298)))</formula>
    </cfRule>
    <cfRule type="containsText" dxfId="6098" priority="4605" stopIfTrue="1" operator="containsText" text="Muy alto">
      <formula>NOT(ISERROR(SEARCH("Muy alto",P298)))</formula>
    </cfRule>
  </conditionalFormatting>
  <conditionalFormatting sqref="P299">
    <cfRule type="containsText" dxfId="6097" priority="4177" stopIfTrue="1" operator="containsText" text="Alto">
      <formula>NOT(ISERROR(SEARCH("Alto",P299)))</formula>
    </cfRule>
    <cfRule type="containsText" dxfId="6096" priority="4174" stopIfTrue="1" operator="containsText" text="Muy alto">
      <formula>NOT(ISERROR(SEARCH("Muy alto",P299)))</formula>
    </cfRule>
    <cfRule type="containsText" dxfId="6095" priority="4175" stopIfTrue="1" operator="containsText" text="Bajo">
      <formula>NOT(ISERROR(SEARCH("Bajo",P299)))</formula>
    </cfRule>
    <cfRule type="containsText" dxfId="6094" priority="4176" stopIfTrue="1" operator="containsText" text="Medio">
      <formula>NOT(ISERROR(SEARCH("Medio",P299)))</formula>
    </cfRule>
  </conditionalFormatting>
  <conditionalFormatting sqref="P300">
    <cfRule type="containsText" dxfId="6093" priority="4142" stopIfTrue="1" operator="containsText" text="Muy alto">
      <formula>NOT(ISERROR(SEARCH("Muy alto",P300)))</formula>
    </cfRule>
    <cfRule type="containsText" dxfId="6092" priority="4143" stopIfTrue="1" operator="containsText" text="Bajo">
      <formula>NOT(ISERROR(SEARCH("Bajo",P300)))</formula>
    </cfRule>
    <cfRule type="containsText" dxfId="6091" priority="4144" stopIfTrue="1" operator="containsText" text="Medio">
      <formula>NOT(ISERROR(SEARCH("Medio",P300)))</formula>
    </cfRule>
    <cfRule type="containsText" dxfId="6090" priority="4145" stopIfTrue="1" operator="containsText" text="Alto">
      <formula>NOT(ISERROR(SEARCH("Alto",P300)))</formula>
    </cfRule>
  </conditionalFormatting>
  <conditionalFormatting sqref="P301">
    <cfRule type="containsText" dxfId="6089" priority="4560" stopIfTrue="1" operator="containsText" text="Muy alto">
      <formula>NOT(ISERROR(SEARCH("Muy alto",P301)))</formula>
    </cfRule>
    <cfRule type="containsText" dxfId="6088" priority="4561" stopIfTrue="1" operator="containsText" text="Bajo">
      <formula>NOT(ISERROR(SEARCH("Bajo",P301)))</formula>
    </cfRule>
    <cfRule type="containsText" dxfId="6087" priority="4562" stopIfTrue="1" operator="containsText" text="Medio">
      <formula>NOT(ISERROR(SEARCH("Medio",P301)))</formula>
    </cfRule>
    <cfRule type="containsText" dxfId="6086" priority="4563" stopIfTrue="1" operator="containsText" text="Alto">
      <formula>NOT(ISERROR(SEARCH("Alto",P301)))</formula>
    </cfRule>
  </conditionalFormatting>
  <conditionalFormatting sqref="P302">
    <cfRule type="containsText" dxfId="6085" priority="4655" stopIfTrue="1" operator="containsText" text="Alto">
      <formula>NOT(ISERROR(SEARCH("Alto",P302)))</formula>
    </cfRule>
    <cfRule type="containsText" dxfId="6084" priority="4654" stopIfTrue="1" operator="containsText" text="Medio">
      <formula>NOT(ISERROR(SEARCH("Medio",P302)))</formula>
    </cfRule>
    <cfRule type="containsText" dxfId="6083" priority="4653" stopIfTrue="1" operator="containsText" text="Bajo">
      <formula>NOT(ISERROR(SEARCH("Bajo",P302)))</formula>
    </cfRule>
    <cfRule type="containsText" dxfId="6082" priority="4652" stopIfTrue="1" operator="containsText" text="Muy alto">
      <formula>NOT(ISERROR(SEARCH("Muy alto",P302)))</formula>
    </cfRule>
  </conditionalFormatting>
  <conditionalFormatting sqref="P303">
    <cfRule type="containsText" dxfId="6081" priority="4515" stopIfTrue="1" operator="containsText" text="Muy alto">
      <formula>NOT(ISERROR(SEARCH("Muy alto",P303)))</formula>
    </cfRule>
    <cfRule type="containsText" dxfId="6080" priority="4518" stopIfTrue="1" operator="containsText" text="Alto">
      <formula>NOT(ISERROR(SEARCH("Alto",P303)))</formula>
    </cfRule>
    <cfRule type="containsText" dxfId="6079" priority="4517" stopIfTrue="1" operator="containsText" text="Medio">
      <formula>NOT(ISERROR(SEARCH("Medio",P303)))</formula>
    </cfRule>
    <cfRule type="containsText" dxfId="6078" priority="4516" stopIfTrue="1" operator="containsText" text="Bajo">
      <formula>NOT(ISERROR(SEARCH("Bajo",P303)))</formula>
    </cfRule>
  </conditionalFormatting>
  <conditionalFormatting sqref="P304">
    <cfRule type="containsText" dxfId="6077" priority="4321" stopIfTrue="1" operator="containsText" text="Medio">
      <formula>NOT(ISERROR(SEARCH("Medio",P304)))</formula>
    </cfRule>
    <cfRule type="containsText" dxfId="6076" priority="4322" stopIfTrue="1" operator="containsText" text="Alto">
      <formula>NOT(ISERROR(SEARCH("Alto",P304)))</formula>
    </cfRule>
    <cfRule type="containsText" dxfId="6075" priority="4320" stopIfTrue="1" operator="containsText" text="Bajo">
      <formula>NOT(ISERROR(SEARCH("Bajo",P304)))</formula>
    </cfRule>
    <cfRule type="containsText" dxfId="6074" priority="4319" stopIfTrue="1" operator="containsText" text="Muy alto">
      <formula>NOT(ISERROR(SEARCH("Muy alto",P304)))</formula>
    </cfRule>
  </conditionalFormatting>
  <conditionalFormatting sqref="P305">
    <cfRule type="containsText" dxfId="6073" priority="4360" stopIfTrue="1" operator="containsText" text="Muy alto">
      <formula>NOT(ISERROR(SEARCH("Muy alto",P305)))</formula>
    </cfRule>
    <cfRule type="containsText" dxfId="6072" priority="4361" stopIfTrue="1" operator="containsText" text="Bajo">
      <formula>NOT(ISERROR(SEARCH("Bajo",P305)))</formula>
    </cfRule>
    <cfRule type="containsText" dxfId="6071" priority="4362" stopIfTrue="1" operator="containsText" text="Medio">
      <formula>NOT(ISERROR(SEARCH("Medio",P305)))</formula>
    </cfRule>
    <cfRule type="containsText" dxfId="6070" priority="4363" stopIfTrue="1" operator="containsText" text="Alto">
      <formula>NOT(ISERROR(SEARCH("Alto",P305)))</formula>
    </cfRule>
  </conditionalFormatting>
  <conditionalFormatting sqref="P306">
    <cfRule type="containsText" dxfId="6069" priority="4281" stopIfTrue="1" operator="containsText" text="Alto">
      <formula>NOT(ISERROR(SEARCH("Alto",P306)))</formula>
    </cfRule>
    <cfRule type="containsText" dxfId="6068" priority="4280" stopIfTrue="1" operator="containsText" text="Medio">
      <formula>NOT(ISERROR(SEARCH("Medio",P306)))</formula>
    </cfRule>
    <cfRule type="containsText" dxfId="6067" priority="4278" stopIfTrue="1" operator="containsText" text="Muy alto">
      <formula>NOT(ISERROR(SEARCH("Muy alto",P306)))</formula>
    </cfRule>
    <cfRule type="containsText" dxfId="6066" priority="4279" stopIfTrue="1" operator="containsText" text="Bajo">
      <formula>NOT(ISERROR(SEARCH("Bajo",P306)))</formula>
    </cfRule>
  </conditionalFormatting>
  <conditionalFormatting sqref="P307">
    <cfRule type="containsText" dxfId="6065" priority="4426" stopIfTrue="1" operator="containsText" text="Medio">
      <formula>NOT(ISERROR(SEARCH("Medio",P307)))</formula>
    </cfRule>
    <cfRule type="containsText" dxfId="6064" priority="4425" stopIfTrue="1" operator="containsText" text="Bajo">
      <formula>NOT(ISERROR(SEARCH("Bajo",P307)))</formula>
    </cfRule>
    <cfRule type="containsText" dxfId="6063" priority="4424" stopIfTrue="1" operator="containsText" text="Muy alto">
      <formula>NOT(ISERROR(SEARCH("Muy alto",P307)))</formula>
    </cfRule>
    <cfRule type="containsText" dxfId="6062" priority="4427" stopIfTrue="1" operator="containsText" text="Alto">
      <formula>NOT(ISERROR(SEARCH("Alto",P307)))</formula>
    </cfRule>
  </conditionalFormatting>
  <conditionalFormatting sqref="P308">
    <cfRule type="containsText" dxfId="6061" priority="4399" stopIfTrue="1" operator="containsText" text="Muy alto">
      <formula>NOT(ISERROR(SEARCH("Muy alto",P308)))</formula>
    </cfRule>
    <cfRule type="containsText" dxfId="6060" priority="4402" stopIfTrue="1" operator="containsText" text="Alto">
      <formula>NOT(ISERROR(SEARCH("Alto",P308)))</formula>
    </cfRule>
    <cfRule type="containsText" dxfId="6059" priority="4401" stopIfTrue="1" operator="containsText" text="Medio">
      <formula>NOT(ISERROR(SEARCH("Medio",P308)))</formula>
    </cfRule>
    <cfRule type="containsText" dxfId="6058" priority="4400" stopIfTrue="1" operator="containsText" text="Bajo">
      <formula>NOT(ISERROR(SEARCH("Bajo",P308)))</formula>
    </cfRule>
  </conditionalFormatting>
  <conditionalFormatting sqref="P309">
    <cfRule type="containsText" dxfId="6057" priority="4215" stopIfTrue="1" operator="containsText" text="Bajo">
      <formula>NOT(ISERROR(SEARCH("Bajo",P309)))</formula>
    </cfRule>
    <cfRule type="containsText" dxfId="6056" priority="4214" stopIfTrue="1" operator="containsText" text="Muy alto">
      <formula>NOT(ISERROR(SEARCH("Muy alto",P309)))</formula>
    </cfRule>
    <cfRule type="containsText" dxfId="6055" priority="4216" stopIfTrue="1" operator="containsText" text="Medio">
      <formula>NOT(ISERROR(SEARCH("Medio",P309)))</formula>
    </cfRule>
    <cfRule type="containsText" dxfId="6054" priority="4217" stopIfTrue="1" operator="containsText" text="Alto">
      <formula>NOT(ISERROR(SEARCH("Alto",P309)))</formula>
    </cfRule>
  </conditionalFormatting>
  <conditionalFormatting sqref="P310">
    <cfRule type="containsText" dxfId="6053" priority="4483" stopIfTrue="1" operator="containsText" text="Medio">
      <formula>NOT(ISERROR(SEARCH("Medio",P310)))</formula>
    </cfRule>
    <cfRule type="containsText" dxfId="6052" priority="4481" stopIfTrue="1" operator="containsText" text="Muy alto">
      <formula>NOT(ISERROR(SEARCH("Muy alto",P310)))</formula>
    </cfRule>
    <cfRule type="containsText" dxfId="6051" priority="4482" stopIfTrue="1" operator="containsText" text="Bajo">
      <formula>NOT(ISERROR(SEARCH("Bajo",P310)))</formula>
    </cfRule>
    <cfRule type="containsText" dxfId="6050" priority="4484" stopIfTrue="1" operator="containsText" text="Alto">
      <formula>NOT(ISERROR(SEARCH("Alto",P310)))</formula>
    </cfRule>
  </conditionalFormatting>
  <conditionalFormatting sqref="P311">
    <cfRule type="containsText" dxfId="6049" priority="4256" stopIfTrue="1" operator="containsText" text="Bajo">
      <formula>NOT(ISERROR(SEARCH("Bajo",P311)))</formula>
    </cfRule>
    <cfRule type="containsText" dxfId="6048" priority="4255" stopIfTrue="1" operator="containsText" text="Muy alto">
      <formula>NOT(ISERROR(SEARCH("Muy alto",P311)))</formula>
    </cfRule>
    <cfRule type="containsText" dxfId="6047" priority="4257" stopIfTrue="1" operator="containsText" text="Medio">
      <formula>NOT(ISERROR(SEARCH("Medio",P311)))</formula>
    </cfRule>
    <cfRule type="containsText" dxfId="6046" priority="4258" stopIfTrue="1" operator="containsText" text="Alto">
      <formula>NOT(ISERROR(SEARCH("Alto",P311)))</formula>
    </cfRule>
  </conditionalFormatting>
  <conditionalFormatting sqref="P312">
    <cfRule type="containsText" dxfId="6045" priority="4038" stopIfTrue="1" operator="containsText" text="Bajo">
      <formula>NOT(ISERROR(SEARCH("Bajo",P312)))</formula>
    </cfRule>
    <cfRule type="containsText" dxfId="6044" priority="4037" stopIfTrue="1" operator="containsText" text="Muy alto">
      <formula>NOT(ISERROR(SEARCH("Muy alto",P312)))</formula>
    </cfRule>
    <cfRule type="containsText" dxfId="6043" priority="4039" stopIfTrue="1" operator="containsText" text="Medio">
      <formula>NOT(ISERROR(SEARCH("Medio",P312)))</formula>
    </cfRule>
    <cfRule type="containsText" dxfId="6042" priority="4040" stopIfTrue="1" operator="containsText" text="Alto">
      <formula>NOT(ISERROR(SEARCH("Alto",P312)))</formula>
    </cfRule>
  </conditionalFormatting>
  <conditionalFormatting sqref="P313">
    <cfRule type="containsText" dxfId="6041" priority="3726" stopIfTrue="1" operator="containsText" text="Muy alto">
      <formula>NOT(ISERROR(SEARCH("Muy alto",P313)))</formula>
    </cfRule>
    <cfRule type="containsText" dxfId="6040" priority="3727" stopIfTrue="1" operator="containsText" text="Bajo">
      <formula>NOT(ISERROR(SEARCH("Bajo",P313)))</formula>
    </cfRule>
    <cfRule type="containsText" dxfId="6039" priority="3728" stopIfTrue="1" operator="containsText" text="Medio">
      <formula>NOT(ISERROR(SEARCH("Medio",P313)))</formula>
    </cfRule>
    <cfRule type="containsText" dxfId="6038" priority="3729" stopIfTrue="1" operator="containsText" text="Alto">
      <formula>NOT(ISERROR(SEARCH("Alto",P313)))</formula>
    </cfRule>
  </conditionalFormatting>
  <conditionalFormatting sqref="P314">
    <cfRule type="containsText" dxfId="6037" priority="3691" stopIfTrue="1" operator="containsText" text="Bajo">
      <formula>NOT(ISERROR(SEARCH("Bajo",P314)))</formula>
    </cfRule>
    <cfRule type="containsText" dxfId="6036" priority="3692" stopIfTrue="1" operator="containsText" text="Medio">
      <formula>NOT(ISERROR(SEARCH("Medio",P314)))</formula>
    </cfRule>
    <cfRule type="containsText" dxfId="6035" priority="3693" stopIfTrue="1" operator="containsText" text="Alto">
      <formula>NOT(ISERROR(SEARCH("Alto",P314)))</formula>
    </cfRule>
    <cfRule type="containsText" dxfId="6034" priority="3690" stopIfTrue="1" operator="containsText" text="Muy alto">
      <formula>NOT(ISERROR(SEARCH("Muy alto",P314)))</formula>
    </cfRule>
  </conditionalFormatting>
  <conditionalFormatting sqref="P315">
    <cfRule type="containsText" dxfId="6033" priority="3999" stopIfTrue="1" operator="containsText" text="Alto">
      <formula>NOT(ISERROR(SEARCH("Alto",P315)))</formula>
    </cfRule>
    <cfRule type="containsText" dxfId="6032" priority="3998" stopIfTrue="1" operator="containsText" text="Medio">
      <formula>NOT(ISERROR(SEARCH("Medio",P315)))</formula>
    </cfRule>
    <cfRule type="containsText" dxfId="6031" priority="3997" stopIfTrue="1" operator="containsText" text="Bajo">
      <formula>NOT(ISERROR(SEARCH("Bajo",P315)))</formula>
    </cfRule>
    <cfRule type="containsText" dxfId="6030" priority="3996" stopIfTrue="1" operator="containsText" text="Muy alto">
      <formula>NOT(ISERROR(SEARCH("Muy alto",P315)))</formula>
    </cfRule>
  </conditionalFormatting>
  <conditionalFormatting sqref="P316">
    <cfRule type="containsText" dxfId="6029" priority="4080" stopIfTrue="1" operator="containsText" text="Muy alto">
      <formula>NOT(ISERROR(SEARCH("Muy alto",P316)))</formula>
    </cfRule>
    <cfRule type="containsText" dxfId="6028" priority="4081" stopIfTrue="1" operator="containsText" text="Bajo">
      <formula>NOT(ISERROR(SEARCH("Bajo",P316)))</formula>
    </cfRule>
    <cfRule type="containsText" dxfId="6027" priority="4082" stopIfTrue="1" operator="containsText" text="Medio">
      <formula>NOT(ISERROR(SEARCH("Medio",P316)))</formula>
    </cfRule>
    <cfRule type="containsText" dxfId="6026" priority="4083" stopIfTrue="1" operator="containsText" text="Alto">
      <formula>NOT(ISERROR(SEARCH("Alto",P316)))</formula>
    </cfRule>
  </conditionalFormatting>
  <conditionalFormatting sqref="P317">
    <cfRule type="containsText" dxfId="6025" priority="3956" stopIfTrue="1" operator="containsText" text="Bajo">
      <formula>NOT(ISERROR(SEARCH("Bajo",P317)))</formula>
    </cfRule>
    <cfRule type="containsText" dxfId="6024" priority="3955" stopIfTrue="1" operator="containsText" text="Muy alto">
      <formula>NOT(ISERROR(SEARCH("Muy alto",P317)))</formula>
    </cfRule>
    <cfRule type="containsText" dxfId="6023" priority="3958" stopIfTrue="1" operator="containsText" text="Alto">
      <formula>NOT(ISERROR(SEARCH("Alto",P317)))</formula>
    </cfRule>
    <cfRule type="containsText" dxfId="6022" priority="3957" stopIfTrue="1" operator="containsText" text="Medio">
      <formula>NOT(ISERROR(SEARCH("Medio",P317)))</formula>
    </cfRule>
  </conditionalFormatting>
  <conditionalFormatting sqref="P318">
    <cfRule type="containsText" dxfId="6021" priority="3807" stopIfTrue="1" operator="containsText" text="Bajo">
      <formula>NOT(ISERROR(SEARCH("Bajo",P318)))</formula>
    </cfRule>
    <cfRule type="containsText" dxfId="6020" priority="3806" stopIfTrue="1" operator="containsText" text="Muy alto">
      <formula>NOT(ISERROR(SEARCH("Muy alto",P318)))</formula>
    </cfRule>
    <cfRule type="containsText" dxfId="6019" priority="3808" stopIfTrue="1" operator="containsText" text="Medio">
      <formula>NOT(ISERROR(SEARCH("Medio",P318)))</formula>
    </cfRule>
    <cfRule type="containsText" dxfId="6018" priority="3809" stopIfTrue="1" operator="containsText" text="Alto">
      <formula>NOT(ISERROR(SEARCH("Alto",P318)))</formula>
    </cfRule>
  </conditionalFormatting>
  <conditionalFormatting sqref="P319">
    <cfRule type="containsText" dxfId="6017" priority="3772" stopIfTrue="1" operator="containsText" text="Alto">
      <formula>NOT(ISERROR(SEARCH("Alto",P319)))</formula>
    </cfRule>
    <cfRule type="containsText" dxfId="6016" priority="3771" stopIfTrue="1" operator="containsText" text="Medio">
      <formula>NOT(ISERROR(SEARCH("Medio",P319)))</formula>
    </cfRule>
    <cfRule type="containsText" dxfId="6015" priority="3770" stopIfTrue="1" operator="containsText" text="Bajo">
      <formula>NOT(ISERROR(SEARCH("Bajo",P319)))</formula>
    </cfRule>
    <cfRule type="containsText" dxfId="6014" priority="3769" stopIfTrue="1" operator="containsText" text="Muy alto">
      <formula>NOT(ISERROR(SEARCH("Muy alto",P319)))</formula>
    </cfRule>
  </conditionalFormatting>
  <conditionalFormatting sqref="P320">
    <cfRule type="containsText" dxfId="6013" priority="3875" stopIfTrue="1" operator="containsText" text="Alto">
      <formula>NOT(ISERROR(SEARCH("Alto",P320)))</formula>
    </cfRule>
    <cfRule type="containsText" dxfId="6012" priority="3873" stopIfTrue="1" operator="containsText" text="Bajo">
      <formula>NOT(ISERROR(SEARCH("Bajo",P320)))</formula>
    </cfRule>
    <cfRule type="containsText" dxfId="6011" priority="3874" stopIfTrue="1" operator="containsText" text="Medio">
      <formula>NOT(ISERROR(SEARCH("Medio",P320)))</formula>
    </cfRule>
    <cfRule type="containsText" dxfId="6010" priority="3872" stopIfTrue="1" operator="containsText" text="Muy alto">
      <formula>NOT(ISERROR(SEARCH("Muy alto",P320)))</formula>
    </cfRule>
  </conditionalFormatting>
  <conditionalFormatting sqref="P321">
    <cfRule type="containsText" dxfId="6009" priority="3849" stopIfTrue="1" operator="containsText" text="Medio">
      <formula>NOT(ISERROR(SEARCH("Medio",P321)))</formula>
    </cfRule>
    <cfRule type="containsText" dxfId="6008" priority="3848" stopIfTrue="1" operator="containsText" text="Bajo">
      <formula>NOT(ISERROR(SEARCH("Bajo",P321)))</formula>
    </cfRule>
    <cfRule type="containsText" dxfId="6007" priority="3847" stopIfTrue="1" operator="containsText" text="Muy alto">
      <formula>NOT(ISERROR(SEARCH("Muy alto",P321)))</formula>
    </cfRule>
    <cfRule type="containsText" dxfId="6006" priority="3850" stopIfTrue="1" operator="containsText" text="Alto">
      <formula>NOT(ISERROR(SEARCH("Alto",P321)))</formula>
    </cfRule>
  </conditionalFormatting>
  <conditionalFormatting sqref="P322">
    <cfRule type="containsText" dxfId="6005" priority="3927" stopIfTrue="1" operator="containsText" text="Medio">
      <formula>NOT(ISERROR(SEARCH("Medio",P322)))</formula>
    </cfRule>
    <cfRule type="containsText" dxfId="6004" priority="3926" stopIfTrue="1" operator="containsText" text="Bajo">
      <formula>NOT(ISERROR(SEARCH("Bajo",P322)))</formula>
    </cfRule>
    <cfRule type="containsText" dxfId="6003" priority="3925" stopIfTrue="1" operator="containsText" text="Muy alto">
      <formula>NOT(ISERROR(SEARCH("Muy alto",P322)))</formula>
    </cfRule>
    <cfRule type="containsText" dxfId="6002" priority="3928" stopIfTrue="1" operator="containsText" text="Alto">
      <formula>NOT(ISERROR(SEARCH("Alto",P322)))</formula>
    </cfRule>
  </conditionalFormatting>
  <conditionalFormatting sqref="P323">
    <cfRule type="containsText" dxfId="6001" priority="3757" stopIfTrue="1" operator="containsText" text="Alto">
      <formula>NOT(ISERROR(SEARCH("Alto",P323)))</formula>
    </cfRule>
    <cfRule type="containsText" dxfId="6000" priority="3756" stopIfTrue="1" operator="containsText" text="Medio">
      <formula>NOT(ISERROR(SEARCH("Medio",P323)))</formula>
    </cfRule>
    <cfRule type="containsText" dxfId="5999" priority="3755" stopIfTrue="1" operator="containsText" text="Bajo">
      <formula>NOT(ISERROR(SEARCH("Bajo",P323)))</formula>
    </cfRule>
    <cfRule type="containsText" dxfId="5998" priority="3754" stopIfTrue="1" operator="containsText" text="Muy alto">
      <formula>NOT(ISERROR(SEARCH("Muy alto",P323)))</formula>
    </cfRule>
  </conditionalFormatting>
  <conditionalFormatting sqref="P324">
    <cfRule type="containsText" dxfId="5997" priority="3594" stopIfTrue="1" operator="containsText" text="Muy alto">
      <formula>NOT(ISERROR(SEARCH("Muy alto",P324)))</formula>
    </cfRule>
    <cfRule type="containsText" dxfId="5996" priority="3595" stopIfTrue="1" operator="containsText" text="Bajo">
      <formula>NOT(ISERROR(SEARCH("Bajo",P324)))</formula>
    </cfRule>
    <cfRule type="containsText" dxfId="5995" priority="3596" stopIfTrue="1" operator="containsText" text="Medio">
      <formula>NOT(ISERROR(SEARCH("Medio",P324)))</formula>
    </cfRule>
    <cfRule type="containsText" dxfId="5994" priority="3597" stopIfTrue="1" operator="containsText" text="Alto">
      <formula>NOT(ISERROR(SEARCH("Alto",P324)))</formula>
    </cfRule>
  </conditionalFormatting>
  <conditionalFormatting sqref="P325">
    <cfRule type="containsText" dxfId="5993" priority="3163" stopIfTrue="1" operator="containsText" text="Muy alto">
      <formula>NOT(ISERROR(SEARCH("Muy alto",P325)))</formula>
    </cfRule>
    <cfRule type="containsText" dxfId="5992" priority="3164" stopIfTrue="1" operator="containsText" text="Bajo">
      <formula>NOT(ISERROR(SEARCH("Bajo",P325)))</formula>
    </cfRule>
    <cfRule type="containsText" dxfId="5991" priority="3165" stopIfTrue="1" operator="containsText" text="Medio">
      <formula>NOT(ISERROR(SEARCH("Medio",P325)))</formula>
    </cfRule>
    <cfRule type="containsText" dxfId="5990" priority="3166" stopIfTrue="1" operator="containsText" text="Alto">
      <formula>NOT(ISERROR(SEARCH("Alto",P325)))</formula>
    </cfRule>
  </conditionalFormatting>
  <conditionalFormatting sqref="P326">
    <cfRule type="containsText" dxfId="5989" priority="3127" stopIfTrue="1" operator="containsText" text="Muy alto">
      <formula>NOT(ISERROR(SEARCH("Muy alto",P326)))</formula>
    </cfRule>
    <cfRule type="containsText" dxfId="5988" priority="3128" stopIfTrue="1" operator="containsText" text="Bajo">
      <formula>NOT(ISERROR(SEARCH("Bajo",P326)))</formula>
    </cfRule>
    <cfRule type="containsText" dxfId="5987" priority="3129" stopIfTrue="1" operator="containsText" text="Medio">
      <formula>NOT(ISERROR(SEARCH("Medio",P326)))</formula>
    </cfRule>
    <cfRule type="containsText" dxfId="5986" priority="3130" stopIfTrue="1" operator="containsText" text="Alto">
      <formula>NOT(ISERROR(SEARCH("Alto",P326)))</formula>
    </cfRule>
  </conditionalFormatting>
  <conditionalFormatting sqref="P327">
    <cfRule type="containsText" dxfId="5985" priority="3550" stopIfTrue="1" operator="containsText" text="Bajo">
      <formula>NOT(ISERROR(SEARCH("Bajo",P327)))</formula>
    </cfRule>
    <cfRule type="containsText" dxfId="5984" priority="3551" stopIfTrue="1" operator="containsText" text="Medio">
      <formula>NOT(ISERROR(SEARCH("Medio",P327)))</formula>
    </cfRule>
    <cfRule type="containsText" dxfId="5983" priority="3552" stopIfTrue="1" operator="containsText" text="Alto">
      <formula>NOT(ISERROR(SEARCH("Alto",P327)))</formula>
    </cfRule>
    <cfRule type="containsText" dxfId="5982" priority="3549" stopIfTrue="1" operator="containsText" text="Muy alto">
      <formula>NOT(ISERROR(SEARCH("Muy alto",P327)))</formula>
    </cfRule>
  </conditionalFormatting>
  <conditionalFormatting sqref="P328">
    <cfRule type="containsText" dxfId="5981" priority="3643" stopIfTrue="1" operator="containsText" text="Medio">
      <formula>NOT(ISERROR(SEARCH("Medio",P328)))</formula>
    </cfRule>
    <cfRule type="containsText" dxfId="5980" priority="3644" stopIfTrue="1" operator="containsText" text="Alto">
      <formula>NOT(ISERROR(SEARCH("Alto",P328)))</formula>
    </cfRule>
    <cfRule type="containsText" dxfId="5979" priority="3642" stopIfTrue="1" operator="containsText" text="Bajo">
      <formula>NOT(ISERROR(SEARCH("Bajo",P328)))</formula>
    </cfRule>
    <cfRule type="containsText" dxfId="5978" priority="3641" stopIfTrue="1" operator="containsText" text="Muy alto">
      <formula>NOT(ISERROR(SEARCH("Muy alto",P328)))</formula>
    </cfRule>
  </conditionalFormatting>
  <conditionalFormatting sqref="P329">
    <cfRule type="containsText" dxfId="5977" priority="3506" stopIfTrue="1" operator="containsText" text="Medio">
      <formula>NOT(ISERROR(SEARCH("Medio",P329)))</formula>
    </cfRule>
    <cfRule type="containsText" dxfId="5976" priority="3507" stopIfTrue="1" operator="containsText" text="Alto">
      <formula>NOT(ISERROR(SEARCH("Alto",P329)))</formula>
    </cfRule>
    <cfRule type="containsText" dxfId="5975" priority="3505" stopIfTrue="1" operator="containsText" text="Bajo">
      <formula>NOT(ISERROR(SEARCH("Bajo",P329)))</formula>
    </cfRule>
    <cfRule type="containsText" dxfId="5974" priority="3504" stopIfTrue="1" operator="containsText" text="Muy alto">
      <formula>NOT(ISERROR(SEARCH("Muy alto",P329)))</formula>
    </cfRule>
  </conditionalFormatting>
  <conditionalFormatting sqref="P330">
    <cfRule type="containsText" dxfId="5973" priority="3309" stopIfTrue="1" operator="containsText" text="Bajo">
      <formula>NOT(ISERROR(SEARCH("Bajo",P330)))</formula>
    </cfRule>
    <cfRule type="containsText" dxfId="5972" priority="3310" stopIfTrue="1" operator="containsText" text="Medio">
      <formula>NOT(ISERROR(SEARCH("Medio",P330)))</formula>
    </cfRule>
    <cfRule type="containsText" dxfId="5971" priority="3311" stopIfTrue="1" operator="containsText" text="Alto">
      <formula>NOT(ISERROR(SEARCH("Alto",P330)))</formula>
    </cfRule>
    <cfRule type="containsText" dxfId="5970" priority="3308" stopIfTrue="1" operator="containsText" text="Muy alto">
      <formula>NOT(ISERROR(SEARCH("Muy alto",P330)))</formula>
    </cfRule>
  </conditionalFormatting>
  <conditionalFormatting sqref="P331">
    <cfRule type="containsText" dxfId="5969" priority="3352" stopIfTrue="1" operator="containsText" text="Alto">
      <formula>NOT(ISERROR(SEARCH("Alto",P331)))</formula>
    </cfRule>
    <cfRule type="containsText" dxfId="5968" priority="3351" stopIfTrue="1" operator="containsText" text="Medio">
      <formula>NOT(ISERROR(SEARCH("Medio",P331)))</formula>
    </cfRule>
    <cfRule type="containsText" dxfId="5967" priority="3350" stopIfTrue="1" operator="containsText" text="Bajo">
      <formula>NOT(ISERROR(SEARCH("Bajo",P331)))</formula>
    </cfRule>
    <cfRule type="containsText" dxfId="5966" priority="3349" stopIfTrue="1" operator="containsText" text="Muy alto">
      <formula>NOT(ISERROR(SEARCH("Muy alto",P331)))</formula>
    </cfRule>
  </conditionalFormatting>
  <conditionalFormatting sqref="P332">
    <cfRule type="containsText" dxfId="5965" priority="3268" stopIfTrue="1" operator="containsText" text="Bajo">
      <formula>NOT(ISERROR(SEARCH("Bajo",P332)))</formula>
    </cfRule>
    <cfRule type="containsText" dxfId="5964" priority="3270" stopIfTrue="1" operator="containsText" text="Alto">
      <formula>NOT(ISERROR(SEARCH("Alto",P332)))</formula>
    </cfRule>
    <cfRule type="containsText" dxfId="5963" priority="3269" stopIfTrue="1" operator="containsText" text="Medio">
      <formula>NOT(ISERROR(SEARCH("Medio",P332)))</formula>
    </cfRule>
    <cfRule type="containsText" dxfId="5962" priority="3267" stopIfTrue="1" operator="containsText" text="Muy alto">
      <formula>NOT(ISERROR(SEARCH("Muy alto",P332)))</formula>
    </cfRule>
  </conditionalFormatting>
  <conditionalFormatting sqref="P333">
    <cfRule type="containsText" dxfId="5961" priority="3413" stopIfTrue="1" operator="containsText" text="Muy alto">
      <formula>NOT(ISERROR(SEARCH("Muy alto",P333)))</formula>
    </cfRule>
    <cfRule type="containsText" dxfId="5960" priority="3415" stopIfTrue="1" operator="containsText" text="Medio">
      <formula>NOT(ISERROR(SEARCH("Medio",P333)))</formula>
    </cfRule>
    <cfRule type="containsText" dxfId="5959" priority="3416" stopIfTrue="1" operator="containsText" text="Alto">
      <formula>NOT(ISERROR(SEARCH("Alto",P333)))</formula>
    </cfRule>
    <cfRule type="containsText" dxfId="5958" priority="3414" stopIfTrue="1" operator="containsText" text="Bajo">
      <formula>NOT(ISERROR(SEARCH("Bajo",P333)))</formula>
    </cfRule>
  </conditionalFormatting>
  <conditionalFormatting sqref="P334">
    <cfRule type="containsText" dxfId="5957" priority="3391" stopIfTrue="1" operator="containsText" text="Alto">
      <formula>NOT(ISERROR(SEARCH("Alto",P334)))</formula>
    </cfRule>
    <cfRule type="containsText" dxfId="5956" priority="3389" stopIfTrue="1" operator="containsText" text="Bajo">
      <formula>NOT(ISERROR(SEARCH("Bajo",P334)))</formula>
    </cfRule>
    <cfRule type="containsText" dxfId="5955" priority="3388" stopIfTrue="1" operator="containsText" text="Muy alto">
      <formula>NOT(ISERROR(SEARCH("Muy alto",P334)))</formula>
    </cfRule>
    <cfRule type="containsText" dxfId="5954" priority="3390" stopIfTrue="1" operator="containsText" text="Medio">
      <formula>NOT(ISERROR(SEARCH("Medio",P334)))</formula>
    </cfRule>
  </conditionalFormatting>
  <conditionalFormatting sqref="P335">
    <cfRule type="containsText" dxfId="5953" priority="3203" stopIfTrue="1" operator="containsText" text="Muy alto">
      <formula>NOT(ISERROR(SEARCH("Muy alto",P335)))</formula>
    </cfRule>
    <cfRule type="containsText" dxfId="5952" priority="3204" stopIfTrue="1" operator="containsText" text="Bajo">
      <formula>NOT(ISERROR(SEARCH("Bajo",P335)))</formula>
    </cfRule>
    <cfRule type="containsText" dxfId="5951" priority="3206" stopIfTrue="1" operator="containsText" text="Alto">
      <formula>NOT(ISERROR(SEARCH("Alto",P335)))</formula>
    </cfRule>
    <cfRule type="containsText" dxfId="5950" priority="3205" stopIfTrue="1" operator="containsText" text="Medio">
      <formula>NOT(ISERROR(SEARCH("Medio",P335)))</formula>
    </cfRule>
  </conditionalFormatting>
  <conditionalFormatting sqref="P336">
    <cfRule type="containsText" dxfId="5949" priority="3471" stopIfTrue="1" operator="containsText" text="Bajo">
      <formula>NOT(ISERROR(SEARCH("Bajo",P336)))</formula>
    </cfRule>
    <cfRule type="containsText" dxfId="5948" priority="3472" stopIfTrue="1" operator="containsText" text="Medio">
      <formula>NOT(ISERROR(SEARCH("Medio",P336)))</formula>
    </cfRule>
    <cfRule type="containsText" dxfId="5947" priority="3473" stopIfTrue="1" operator="containsText" text="Alto">
      <formula>NOT(ISERROR(SEARCH("Alto",P336)))</formula>
    </cfRule>
    <cfRule type="containsText" dxfId="5946" priority="3470" stopIfTrue="1" operator="containsText" text="Muy alto">
      <formula>NOT(ISERROR(SEARCH("Muy alto",P336)))</formula>
    </cfRule>
  </conditionalFormatting>
  <conditionalFormatting sqref="P337">
    <cfRule type="containsText" dxfId="5945" priority="3245" stopIfTrue="1" operator="containsText" text="Bajo">
      <formula>NOT(ISERROR(SEARCH("Bajo",P337)))</formula>
    </cfRule>
    <cfRule type="containsText" dxfId="5944" priority="3246" stopIfTrue="1" operator="containsText" text="Medio">
      <formula>NOT(ISERROR(SEARCH("Medio",P337)))</formula>
    </cfRule>
    <cfRule type="containsText" dxfId="5943" priority="3244" stopIfTrue="1" operator="containsText" text="Muy alto">
      <formula>NOT(ISERROR(SEARCH("Muy alto",P337)))</formula>
    </cfRule>
    <cfRule type="containsText" dxfId="5942" priority="3247" stopIfTrue="1" operator="containsText" text="Alto">
      <formula>NOT(ISERROR(SEARCH("Alto",P337)))</formula>
    </cfRule>
  </conditionalFormatting>
  <conditionalFormatting sqref="P338">
    <cfRule type="containsText" dxfId="5941" priority="3032" stopIfTrue="1" operator="containsText" text="Bajo">
      <formula>NOT(ISERROR(SEARCH("Bajo",P338)))</formula>
    </cfRule>
    <cfRule type="containsText" dxfId="5940" priority="3031" stopIfTrue="1" operator="containsText" text="Muy alto">
      <formula>NOT(ISERROR(SEARCH("Muy alto",P338)))</formula>
    </cfRule>
    <cfRule type="containsText" dxfId="5939" priority="3033" stopIfTrue="1" operator="containsText" text="Medio">
      <formula>NOT(ISERROR(SEARCH("Medio",P338)))</formula>
    </cfRule>
    <cfRule type="containsText" dxfId="5938" priority="3034" stopIfTrue="1" operator="containsText" text="Alto">
      <formula>NOT(ISERROR(SEARCH("Alto",P338)))</formula>
    </cfRule>
  </conditionalFormatting>
  <conditionalFormatting sqref="P339">
    <cfRule type="containsText" dxfId="5937" priority="2601" stopIfTrue="1" operator="containsText" text="Bajo">
      <formula>NOT(ISERROR(SEARCH("Bajo",P339)))</formula>
    </cfRule>
    <cfRule type="containsText" dxfId="5936" priority="2602" stopIfTrue="1" operator="containsText" text="Medio">
      <formula>NOT(ISERROR(SEARCH("Medio",P339)))</formula>
    </cfRule>
    <cfRule type="containsText" dxfId="5935" priority="2603" stopIfTrue="1" operator="containsText" text="Alto">
      <formula>NOT(ISERROR(SEARCH("Alto",P339)))</formula>
    </cfRule>
    <cfRule type="containsText" dxfId="5934" priority="2600" stopIfTrue="1" operator="containsText" text="Muy alto">
      <formula>NOT(ISERROR(SEARCH("Muy alto",P339)))</formula>
    </cfRule>
  </conditionalFormatting>
  <conditionalFormatting sqref="P340">
    <cfRule type="containsText" dxfId="5933" priority="2566" stopIfTrue="1" operator="containsText" text="Medio">
      <formula>NOT(ISERROR(SEARCH("Medio",P340)))</formula>
    </cfRule>
    <cfRule type="containsText" dxfId="5932" priority="2567" stopIfTrue="1" operator="containsText" text="Alto">
      <formula>NOT(ISERROR(SEARCH("Alto",P340)))</formula>
    </cfRule>
    <cfRule type="containsText" dxfId="5931" priority="2564" stopIfTrue="1" operator="containsText" text="Muy alto">
      <formula>NOT(ISERROR(SEARCH("Muy alto",P340)))</formula>
    </cfRule>
    <cfRule type="containsText" dxfId="5930" priority="2565" stopIfTrue="1" operator="containsText" text="Bajo">
      <formula>NOT(ISERROR(SEARCH("Bajo",P340)))</formula>
    </cfRule>
  </conditionalFormatting>
  <conditionalFormatting sqref="P341">
    <cfRule type="containsText" dxfId="5929" priority="2989" stopIfTrue="1" operator="containsText" text="Alto">
      <formula>NOT(ISERROR(SEARCH("Alto",P341)))</formula>
    </cfRule>
    <cfRule type="containsText" dxfId="5928" priority="2988" stopIfTrue="1" operator="containsText" text="Medio">
      <formula>NOT(ISERROR(SEARCH("Medio",P341)))</formula>
    </cfRule>
    <cfRule type="containsText" dxfId="5927" priority="2987" stopIfTrue="1" operator="containsText" text="Bajo">
      <formula>NOT(ISERROR(SEARCH("Bajo",P341)))</formula>
    </cfRule>
    <cfRule type="containsText" dxfId="5926" priority="2986" stopIfTrue="1" operator="containsText" text="Muy alto">
      <formula>NOT(ISERROR(SEARCH("Muy alto",P341)))</formula>
    </cfRule>
  </conditionalFormatting>
  <conditionalFormatting sqref="P342">
    <cfRule type="containsText" dxfId="5925" priority="3080" stopIfTrue="1" operator="containsText" text="Medio">
      <formula>NOT(ISERROR(SEARCH("Medio",P342)))</formula>
    </cfRule>
    <cfRule type="containsText" dxfId="5924" priority="3078" stopIfTrue="1" operator="containsText" text="Muy alto">
      <formula>NOT(ISERROR(SEARCH("Muy alto",P342)))</formula>
    </cfRule>
    <cfRule type="containsText" dxfId="5923" priority="3079" stopIfTrue="1" operator="containsText" text="Bajo">
      <formula>NOT(ISERROR(SEARCH("Bajo",P342)))</formula>
    </cfRule>
    <cfRule type="containsText" dxfId="5922" priority="3081" stopIfTrue="1" operator="containsText" text="Alto">
      <formula>NOT(ISERROR(SEARCH("Alto",P342)))</formula>
    </cfRule>
  </conditionalFormatting>
  <conditionalFormatting sqref="P343">
    <cfRule type="containsText" dxfId="5921" priority="2941" stopIfTrue="1" operator="containsText" text="Muy alto">
      <formula>NOT(ISERROR(SEARCH("Muy alto",P343)))</formula>
    </cfRule>
    <cfRule type="containsText" dxfId="5920" priority="2942" stopIfTrue="1" operator="containsText" text="Bajo">
      <formula>NOT(ISERROR(SEARCH("Bajo",P343)))</formula>
    </cfRule>
    <cfRule type="containsText" dxfId="5919" priority="2943" stopIfTrue="1" operator="containsText" text="Medio">
      <formula>NOT(ISERROR(SEARCH("Medio",P343)))</formula>
    </cfRule>
    <cfRule type="containsText" dxfId="5918" priority="2944" stopIfTrue="1" operator="containsText" text="Alto">
      <formula>NOT(ISERROR(SEARCH("Alto",P343)))</formula>
    </cfRule>
  </conditionalFormatting>
  <conditionalFormatting sqref="P344">
    <cfRule type="containsText" dxfId="5917" priority="2746" stopIfTrue="1" operator="containsText" text="Bajo">
      <formula>NOT(ISERROR(SEARCH("Bajo",P344)))</formula>
    </cfRule>
    <cfRule type="containsText" dxfId="5916" priority="2748" stopIfTrue="1" operator="containsText" text="Alto">
      <formula>NOT(ISERROR(SEARCH("Alto",P344)))</formula>
    </cfRule>
    <cfRule type="containsText" dxfId="5915" priority="2747" stopIfTrue="1" operator="containsText" text="Medio">
      <formula>NOT(ISERROR(SEARCH("Medio",P344)))</formula>
    </cfRule>
    <cfRule type="containsText" dxfId="5914" priority="2745" stopIfTrue="1" operator="containsText" text="Muy alto">
      <formula>NOT(ISERROR(SEARCH("Muy alto",P344)))</formula>
    </cfRule>
  </conditionalFormatting>
  <conditionalFormatting sqref="P345">
    <cfRule type="containsText" dxfId="5913" priority="2789" stopIfTrue="1" operator="containsText" text="Alto">
      <formula>NOT(ISERROR(SEARCH("Alto",P345)))</formula>
    </cfRule>
    <cfRule type="containsText" dxfId="5912" priority="2788" stopIfTrue="1" operator="containsText" text="Medio">
      <formula>NOT(ISERROR(SEARCH("Medio",P345)))</formula>
    </cfRule>
    <cfRule type="containsText" dxfId="5911" priority="2787" stopIfTrue="1" operator="containsText" text="Bajo">
      <formula>NOT(ISERROR(SEARCH("Bajo",P345)))</formula>
    </cfRule>
    <cfRule type="containsText" dxfId="5910" priority="2786" stopIfTrue="1" operator="containsText" text="Muy alto">
      <formula>NOT(ISERROR(SEARCH("Muy alto",P345)))</formula>
    </cfRule>
  </conditionalFormatting>
  <conditionalFormatting sqref="P346">
    <cfRule type="containsText" dxfId="5909" priority="2707" stopIfTrue="1" operator="containsText" text="Alto">
      <formula>NOT(ISERROR(SEARCH("Alto",P346)))</formula>
    </cfRule>
    <cfRule type="containsText" dxfId="5908" priority="2705" stopIfTrue="1" operator="containsText" text="Bajo">
      <formula>NOT(ISERROR(SEARCH("Bajo",P346)))</formula>
    </cfRule>
    <cfRule type="containsText" dxfId="5907" priority="2706" stopIfTrue="1" operator="containsText" text="Medio">
      <formula>NOT(ISERROR(SEARCH("Medio",P346)))</formula>
    </cfRule>
    <cfRule type="containsText" dxfId="5906" priority="2704" stopIfTrue="1" operator="containsText" text="Muy alto">
      <formula>NOT(ISERROR(SEARCH("Muy alto",P346)))</formula>
    </cfRule>
  </conditionalFormatting>
  <conditionalFormatting sqref="P347">
    <cfRule type="containsText" dxfId="5905" priority="2852" stopIfTrue="1" operator="containsText" text="Medio">
      <formula>NOT(ISERROR(SEARCH("Medio",P347)))</formula>
    </cfRule>
    <cfRule type="containsText" dxfId="5904" priority="2853" stopIfTrue="1" operator="containsText" text="Alto">
      <formula>NOT(ISERROR(SEARCH("Alto",P347)))</formula>
    </cfRule>
    <cfRule type="containsText" dxfId="5903" priority="2850" stopIfTrue="1" operator="containsText" text="Muy alto">
      <formula>NOT(ISERROR(SEARCH("Muy alto",P347)))</formula>
    </cfRule>
    <cfRule type="containsText" dxfId="5902" priority="2851" stopIfTrue="1" operator="containsText" text="Bajo">
      <formula>NOT(ISERROR(SEARCH("Bajo",P347)))</formula>
    </cfRule>
  </conditionalFormatting>
  <conditionalFormatting sqref="P348">
    <cfRule type="containsText" dxfId="5901" priority="2828" stopIfTrue="1" operator="containsText" text="Alto">
      <formula>NOT(ISERROR(SEARCH("Alto",P348)))</formula>
    </cfRule>
    <cfRule type="containsText" dxfId="5900" priority="2827" stopIfTrue="1" operator="containsText" text="Medio">
      <formula>NOT(ISERROR(SEARCH("Medio",P348)))</formula>
    </cfRule>
    <cfRule type="containsText" dxfId="5899" priority="2826" stopIfTrue="1" operator="containsText" text="Bajo">
      <formula>NOT(ISERROR(SEARCH("Bajo",P348)))</formula>
    </cfRule>
    <cfRule type="containsText" dxfId="5898" priority="2825" stopIfTrue="1" operator="containsText" text="Muy alto">
      <formula>NOT(ISERROR(SEARCH("Muy alto",P348)))</formula>
    </cfRule>
  </conditionalFormatting>
  <conditionalFormatting sqref="P349">
    <cfRule type="containsText" dxfId="5897" priority="2641" stopIfTrue="1" operator="containsText" text="Bajo">
      <formula>NOT(ISERROR(SEARCH("Bajo",P349)))</formula>
    </cfRule>
    <cfRule type="containsText" dxfId="5896" priority="2640" stopIfTrue="1" operator="containsText" text="Muy alto">
      <formula>NOT(ISERROR(SEARCH("Muy alto",P349)))</formula>
    </cfRule>
    <cfRule type="containsText" dxfId="5895" priority="2643" stopIfTrue="1" operator="containsText" text="Alto">
      <formula>NOT(ISERROR(SEARCH("Alto",P349)))</formula>
    </cfRule>
    <cfRule type="containsText" dxfId="5894" priority="2642" stopIfTrue="1" operator="containsText" text="Medio">
      <formula>NOT(ISERROR(SEARCH("Medio",P349)))</formula>
    </cfRule>
  </conditionalFormatting>
  <conditionalFormatting sqref="P350">
    <cfRule type="containsText" dxfId="5893" priority="2910" stopIfTrue="1" operator="containsText" text="Alto">
      <formula>NOT(ISERROR(SEARCH("Alto",P350)))</formula>
    </cfRule>
    <cfRule type="containsText" dxfId="5892" priority="2909" stopIfTrue="1" operator="containsText" text="Medio">
      <formula>NOT(ISERROR(SEARCH("Medio",P350)))</formula>
    </cfRule>
    <cfRule type="containsText" dxfId="5891" priority="2908" stopIfTrue="1" operator="containsText" text="Bajo">
      <formula>NOT(ISERROR(SEARCH("Bajo",P350)))</formula>
    </cfRule>
    <cfRule type="containsText" dxfId="5890" priority="2907" stopIfTrue="1" operator="containsText" text="Muy alto">
      <formula>NOT(ISERROR(SEARCH("Muy alto",P350)))</formula>
    </cfRule>
  </conditionalFormatting>
  <conditionalFormatting sqref="P351">
    <cfRule type="containsText" dxfId="5889" priority="2681" stopIfTrue="1" operator="containsText" text="Muy alto">
      <formula>NOT(ISERROR(SEARCH("Muy alto",P351)))</formula>
    </cfRule>
    <cfRule type="containsText" dxfId="5888" priority="2682" stopIfTrue="1" operator="containsText" text="Bajo">
      <formula>NOT(ISERROR(SEARCH("Bajo",P351)))</formula>
    </cfRule>
    <cfRule type="containsText" dxfId="5887" priority="2683" stopIfTrue="1" operator="containsText" text="Medio">
      <formula>NOT(ISERROR(SEARCH("Medio",P351)))</formula>
    </cfRule>
    <cfRule type="containsText" dxfId="5886" priority="2684" stopIfTrue="1" operator="containsText" text="Alto">
      <formula>NOT(ISERROR(SEARCH("Alto",P351)))</formula>
    </cfRule>
  </conditionalFormatting>
  <conditionalFormatting sqref="P352">
    <cfRule type="containsText" dxfId="5885" priority="2451" stopIfTrue="1" operator="containsText" text="Muy alto">
      <formula>NOT(ISERROR(SEARCH("Muy alto",P352)))</formula>
    </cfRule>
    <cfRule type="containsText" dxfId="5884" priority="2454" stopIfTrue="1" operator="containsText" text="Alto">
      <formula>NOT(ISERROR(SEARCH("Alto",P352)))</formula>
    </cfRule>
    <cfRule type="containsText" dxfId="5883" priority="2452" stopIfTrue="1" operator="containsText" text="Bajo">
      <formula>NOT(ISERROR(SEARCH("Bajo",P352)))</formula>
    </cfRule>
    <cfRule type="containsText" dxfId="5882" priority="2453" stopIfTrue="1" operator="containsText" text="Medio">
      <formula>NOT(ISERROR(SEARCH("Medio",P352)))</formula>
    </cfRule>
  </conditionalFormatting>
  <conditionalFormatting sqref="P353">
    <cfRule type="containsText" dxfId="5881" priority="2107" stopIfTrue="1" operator="containsText" text="Medio">
      <formula>NOT(ISERROR(SEARCH("Medio",P353)))</formula>
    </cfRule>
    <cfRule type="containsText" dxfId="5880" priority="2108" stopIfTrue="1" operator="containsText" text="Alto">
      <formula>NOT(ISERROR(SEARCH("Alto",P353)))</formula>
    </cfRule>
    <cfRule type="containsText" dxfId="5879" priority="2106" stopIfTrue="1" operator="containsText" text="Bajo">
      <formula>NOT(ISERROR(SEARCH("Bajo",P353)))</formula>
    </cfRule>
    <cfRule type="containsText" dxfId="5878" priority="2105" stopIfTrue="1" operator="containsText" text="Muy alto">
      <formula>NOT(ISERROR(SEARCH("Muy alto",P353)))</formula>
    </cfRule>
  </conditionalFormatting>
  <conditionalFormatting sqref="P354">
    <cfRule type="containsText" dxfId="5877" priority="2142" stopIfTrue="1" operator="containsText" text="Bajo">
      <formula>NOT(ISERROR(SEARCH("Bajo",P354)))</formula>
    </cfRule>
    <cfRule type="containsText" dxfId="5876" priority="2141" stopIfTrue="1" operator="containsText" text="Muy alto">
      <formula>NOT(ISERROR(SEARCH("Muy alto",P354)))</formula>
    </cfRule>
    <cfRule type="containsText" dxfId="5875" priority="2144" stopIfTrue="1" operator="containsText" text="Alto">
      <formula>NOT(ISERROR(SEARCH("Alto",P354)))</formula>
    </cfRule>
    <cfRule type="containsText" dxfId="5874" priority="2143" stopIfTrue="1" operator="containsText" text="Medio">
      <formula>NOT(ISERROR(SEARCH("Medio",P354)))</formula>
    </cfRule>
  </conditionalFormatting>
  <conditionalFormatting sqref="P355">
    <cfRule type="containsText" dxfId="5873" priority="2031" stopIfTrue="1" operator="containsText" text="Muy alto">
      <formula>NOT(ISERROR(SEARCH("Muy alto",P355)))</formula>
    </cfRule>
    <cfRule type="containsText" dxfId="5872" priority="2033" stopIfTrue="1" operator="containsText" text="Medio">
      <formula>NOT(ISERROR(SEARCH("Medio",P355)))</formula>
    </cfRule>
    <cfRule type="containsText" dxfId="5871" priority="2032" stopIfTrue="1" operator="containsText" text="Bajo">
      <formula>NOT(ISERROR(SEARCH("Bajo",P355)))</formula>
    </cfRule>
    <cfRule type="containsText" dxfId="5870" priority="2034" stopIfTrue="1" operator="containsText" text="Alto">
      <formula>NOT(ISERROR(SEARCH("Alto",P355)))</formula>
    </cfRule>
  </conditionalFormatting>
  <conditionalFormatting sqref="P356">
    <cfRule type="containsText" dxfId="5869" priority="2406" stopIfTrue="1" operator="containsText" text="Muy alto">
      <formula>NOT(ISERROR(SEARCH("Muy alto",P356)))</formula>
    </cfRule>
    <cfRule type="containsText" dxfId="5868" priority="2407" stopIfTrue="1" operator="containsText" text="Bajo">
      <formula>NOT(ISERROR(SEARCH("Bajo",P356)))</formula>
    </cfRule>
    <cfRule type="containsText" dxfId="5867" priority="2408" stopIfTrue="1" operator="containsText" text="Medio">
      <formula>NOT(ISERROR(SEARCH("Medio",P356)))</formula>
    </cfRule>
    <cfRule type="containsText" dxfId="5866" priority="2409" stopIfTrue="1" operator="containsText" text="Alto">
      <formula>NOT(ISERROR(SEARCH("Alto",P356)))</formula>
    </cfRule>
  </conditionalFormatting>
  <conditionalFormatting sqref="P357">
    <cfRule type="containsText" dxfId="5865" priority="2499" stopIfTrue="1" operator="containsText" text="Bajo">
      <formula>NOT(ISERROR(SEARCH("Bajo",P357)))</formula>
    </cfRule>
    <cfRule type="containsText" dxfId="5864" priority="2498" stopIfTrue="1" operator="containsText" text="Muy alto">
      <formula>NOT(ISERROR(SEARCH("Muy alto",P357)))</formula>
    </cfRule>
    <cfRule type="containsText" dxfId="5863" priority="2501" stopIfTrue="1" operator="containsText" text="Alto">
      <formula>NOT(ISERROR(SEARCH("Alto",P357)))</formula>
    </cfRule>
    <cfRule type="containsText" dxfId="5862" priority="2500" stopIfTrue="1" operator="containsText" text="Medio">
      <formula>NOT(ISERROR(SEARCH("Medio",P357)))</formula>
    </cfRule>
  </conditionalFormatting>
  <conditionalFormatting sqref="P358">
    <cfRule type="containsText" dxfId="5861" priority="2361" stopIfTrue="1" operator="containsText" text="Muy alto">
      <formula>NOT(ISERROR(SEARCH("Muy alto",P358)))</formula>
    </cfRule>
    <cfRule type="containsText" dxfId="5860" priority="2364" stopIfTrue="1" operator="containsText" text="Alto">
      <formula>NOT(ISERROR(SEARCH("Alto",P358)))</formula>
    </cfRule>
    <cfRule type="containsText" dxfId="5859" priority="2363" stopIfTrue="1" operator="containsText" text="Medio">
      <formula>NOT(ISERROR(SEARCH("Medio",P358)))</formula>
    </cfRule>
    <cfRule type="containsText" dxfId="5858" priority="2362" stopIfTrue="1" operator="containsText" text="Bajo">
      <formula>NOT(ISERROR(SEARCH("Bajo",P358)))</formula>
    </cfRule>
  </conditionalFormatting>
  <conditionalFormatting sqref="P359">
    <cfRule type="containsText" dxfId="5857" priority="2200" stopIfTrue="1" operator="containsText" text="Muy alto">
      <formula>NOT(ISERROR(SEARCH("Muy alto",P359)))</formula>
    </cfRule>
    <cfRule type="containsText" dxfId="5856" priority="2203" stopIfTrue="1" operator="containsText" text="Alto">
      <formula>NOT(ISERROR(SEARCH("Alto",P359)))</formula>
    </cfRule>
    <cfRule type="containsText" dxfId="5855" priority="2202" stopIfTrue="1" operator="containsText" text="Medio">
      <formula>NOT(ISERROR(SEARCH("Medio",P359)))</formula>
    </cfRule>
    <cfRule type="containsText" dxfId="5854" priority="2201" stopIfTrue="1" operator="containsText" text="Bajo">
      <formula>NOT(ISERROR(SEARCH("Bajo",P359)))</formula>
    </cfRule>
  </conditionalFormatting>
  <conditionalFormatting sqref="P360">
    <cfRule type="containsText" dxfId="5853" priority="2272" stopIfTrue="1" operator="containsText" text="Medio">
      <formula>NOT(ISERROR(SEARCH("Medio",P360)))</formula>
    </cfRule>
    <cfRule type="containsText" dxfId="5852" priority="2271" stopIfTrue="1" operator="containsText" text="Bajo">
      <formula>NOT(ISERROR(SEARCH("Bajo",P360)))</formula>
    </cfRule>
    <cfRule type="containsText" dxfId="5851" priority="2270" stopIfTrue="1" operator="containsText" text="Muy alto">
      <formula>NOT(ISERROR(SEARCH("Muy alto",P360)))</formula>
    </cfRule>
    <cfRule type="containsText" dxfId="5850" priority="2273" stopIfTrue="1" operator="containsText" text="Alto">
      <formula>NOT(ISERROR(SEARCH("Alto",P360)))</formula>
    </cfRule>
  </conditionalFormatting>
  <conditionalFormatting sqref="P361">
    <cfRule type="containsText" dxfId="5849" priority="2058" stopIfTrue="1" operator="containsText" text="Alto">
      <formula>NOT(ISERROR(SEARCH("Alto",P361)))</formula>
    </cfRule>
    <cfRule type="containsText" dxfId="5848" priority="2055" stopIfTrue="1" operator="containsText" text="Muy alto">
      <formula>NOT(ISERROR(SEARCH("Muy alto",P361)))</formula>
    </cfRule>
    <cfRule type="containsText" dxfId="5847" priority="2056" stopIfTrue="1" operator="containsText" text="Bajo">
      <formula>NOT(ISERROR(SEARCH("Bajo",P361)))</formula>
    </cfRule>
    <cfRule type="containsText" dxfId="5846" priority="2057" stopIfTrue="1" operator="containsText" text="Medio">
      <formula>NOT(ISERROR(SEARCH("Medio",P361)))</formula>
    </cfRule>
  </conditionalFormatting>
  <conditionalFormatting sqref="P362">
    <cfRule type="containsText" dxfId="5845" priority="2245" stopIfTrue="1" operator="containsText" text="Muy alto">
      <formula>NOT(ISERROR(SEARCH("Muy alto",P362)))</formula>
    </cfRule>
    <cfRule type="containsText" dxfId="5844" priority="2246" stopIfTrue="1" operator="containsText" text="Bajo">
      <formula>NOT(ISERROR(SEARCH("Bajo",P362)))</formula>
    </cfRule>
    <cfRule type="containsText" dxfId="5843" priority="2247" stopIfTrue="1" operator="containsText" text="Medio">
      <formula>NOT(ISERROR(SEARCH("Medio",P362)))</formula>
    </cfRule>
    <cfRule type="containsText" dxfId="5842" priority="2248" stopIfTrue="1" operator="containsText" text="Alto">
      <formula>NOT(ISERROR(SEARCH("Alto",P362)))</formula>
    </cfRule>
  </conditionalFormatting>
  <conditionalFormatting sqref="P363">
    <cfRule type="containsText" dxfId="5841" priority="2330" stopIfTrue="1" operator="containsText" text="Alto">
      <formula>NOT(ISERROR(SEARCH("Alto",P363)))</formula>
    </cfRule>
    <cfRule type="containsText" dxfId="5840" priority="2329" stopIfTrue="1" operator="containsText" text="Medio">
      <formula>NOT(ISERROR(SEARCH("Medio",P363)))</formula>
    </cfRule>
    <cfRule type="containsText" dxfId="5839" priority="2328" stopIfTrue="1" operator="containsText" text="Bajo">
      <formula>NOT(ISERROR(SEARCH("Bajo",P363)))</formula>
    </cfRule>
    <cfRule type="containsText" dxfId="5838" priority="2327" stopIfTrue="1" operator="containsText" text="Muy alto">
      <formula>NOT(ISERROR(SEARCH("Muy alto",P363)))</formula>
    </cfRule>
  </conditionalFormatting>
  <conditionalFormatting sqref="P364:P365">
    <cfRule type="containsText" dxfId="5837" priority="2179" stopIfTrue="1" operator="containsText" text="Medio">
      <formula>NOT(ISERROR(SEARCH("Medio",P364)))</formula>
    </cfRule>
    <cfRule type="containsText" dxfId="5836" priority="2180" stopIfTrue="1" operator="containsText" text="Alto">
      <formula>NOT(ISERROR(SEARCH("Alto",P364)))</formula>
    </cfRule>
    <cfRule type="containsText" dxfId="5835" priority="2178" stopIfTrue="1" operator="containsText" text="Bajo">
      <formula>NOT(ISERROR(SEARCH("Bajo",P364)))</formula>
    </cfRule>
    <cfRule type="containsText" dxfId="5834" priority="2177" stopIfTrue="1" operator="containsText" text="Muy alto">
      <formula>NOT(ISERROR(SEARCH("Muy alto",P364)))</formula>
    </cfRule>
  </conditionalFormatting>
  <conditionalFormatting sqref="P366">
    <cfRule type="containsText" dxfId="5833" priority="1922" stopIfTrue="1" operator="containsText" text="Muy alto">
      <formula>NOT(ISERROR(SEARCH("Muy alto",P366)))</formula>
    </cfRule>
    <cfRule type="containsText" dxfId="5832" priority="1925" stopIfTrue="1" operator="containsText" text="Alto">
      <formula>NOT(ISERROR(SEARCH("Alto",P366)))</formula>
    </cfRule>
    <cfRule type="containsText" dxfId="5831" priority="1924" stopIfTrue="1" operator="containsText" text="Medio">
      <formula>NOT(ISERROR(SEARCH("Medio",P366)))</formula>
    </cfRule>
    <cfRule type="containsText" dxfId="5830" priority="1923" stopIfTrue="1" operator="containsText" text="Bajo">
      <formula>NOT(ISERROR(SEARCH("Bajo",P366)))</formula>
    </cfRule>
  </conditionalFormatting>
  <conditionalFormatting sqref="P367">
    <cfRule type="containsText" dxfId="5829" priority="1578" stopIfTrue="1" operator="containsText" text="Alto">
      <formula>NOT(ISERROR(SEARCH("Alto",P367)))</formula>
    </cfRule>
    <cfRule type="containsText" dxfId="5828" priority="1576" stopIfTrue="1" operator="containsText" text="Bajo">
      <formula>NOT(ISERROR(SEARCH("Bajo",P367)))</formula>
    </cfRule>
    <cfRule type="containsText" dxfId="5827" priority="1577" stopIfTrue="1" operator="containsText" text="Medio">
      <formula>NOT(ISERROR(SEARCH("Medio",P367)))</formula>
    </cfRule>
    <cfRule type="containsText" dxfId="5826" priority="1575" stopIfTrue="1" operator="containsText" text="Muy alto">
      <formula>NOT(ISERROR(SEARCH("Muy alto",P367)))</formula>
    </cfRule>
  </conditionalFormatting>
  <conditionalFormatting sqref="P368">
    <cfRule type="containsText" dxfId="5825" priority="1545" stopIfTrue="1" operator="containsText" text="Medio">
      <formula>NOT(ISERROR(SEARCH("Medio",P368)))</formula>
    </cfRule>
    <cfRule type="containsText" dxfId="5824" priority="1546" stopIfTrue="1" operator="containsText" text="Alto">
      <formula>NOT(ISERROR(SEARCH("Alto",P368)))</formula>
    </cfRule>
    <cfRule type="containsText" dxfId="5823" priority="1543" stopIfTrue="1" operator="containsText" text="Muy alto">
      <formula>NOT(ISERROR(SEARCH("Muy alto",P368)))</formula>
    </cfRule>
    <cfRule type="containsText" dxfId="5822" priority="1544" stopIfTrue="1" operator="containsText" text="Bajo">
      <formula>NOT(ISERROR(SEARCH("Bajo",P368)))</formula>
    </cfRule>
  </conditionalFormatting>
  <conditionalFormatting sqref="P369">
    <cfRule type="containsText" dxfId="5821" priority="1877" stopIfTrue="1" operator="containsText" text="Muy alto">
      <formula>NOT(ISERROR(SEARCH("Muy alto",P369)))</formula>
    </cfRule>
    <cfRule type="containsText" dxfId="5820" priority="1880" stopIfTrue="1" operator="containsText" text="Alto">
      <formula>NOT(ISERROR(SEARCH("Alto",P369)))</formula>
    </cfRule>
    <cfRule type="containsText" dxfId="5819" priority="1878" stopIfTrue="1" operator="containsText" text="Bajo">
      <formula>NOT(ISERROR(SEARCH("Bajo",P369)))</formula>
    </cfRule>
    <cfRule type="containsText" dxfId="5818" priority="1879" stopIfTrue="1" operator="containsText" text="Medio">
      <formula>NOT(ISERROR(SEARCH("Medio",P369)))</formula>
    </cfRule>
  </conditionalFormatting>
  <conditionalFormatting sqref="P370">
    <cfRule type="containsText" dxfId="5817" priority="1972" stopIfTrue="1" operator="containsText" text="Alto">
      <formula>NOT(ISERROR(SEARCH("Alto",P370)))</formula>
    </cfRule>
    <cfRule type="containsText" dxfId="5816" priority="1969" stopIfTrue="1" operator="containsText" text="Muy alto">
      <formula>NOT(ISERROR(SEARCH("Muy alto",P370)))</formula>
    </cfRule>
    <cfRule type="containsText" dxfId="5815" priority="1971" stopIfTrue="1" operator="containsText" text="Medio">
      <formula>NOT(ISERROR(SEARCH("Medio",P370)))</formula>
    </cfRule>
    <cfRule type="containsText" dxfId="5814" priority="1970" stopIfTrue="1" operator="containsText" text="Bajo">
      <formula>NOT(ISERROR(SEARCH("Bajo",P370)))</formula>
    </cfRule>
  </conditionalFormatting>
  <conditionalFormatting sqref="P371">
    <cfRule type="containsText" dxfId="5813" priority="1835" stopIfTrue="1" operator="containsText" text="Alto">
      <formula>NOT(ISERROR(SEARCH("Alto",P371)))</formula>
    </cfRule>
    <cfRule type="containsText" dxfId="5812" priority="1832" stopIfTrue="1" operator="containsText" text="Muy alto">
      <formula>NOT(ISERROR(SEARCH("Muy alto",P371)))</formula>
    </cfRule>
    <cfRule type="containsText" dxfId="5811" priority="1833" stopIfTrue="1" operator="containsText" text="Bajo">
      <formula>NOT(ISERROR(SEARCH("Bajo",P371)))</formula>
    </cfRule>
    <cfRule type="containsText" dxfId="5810" priority="1834" stopIfTrue="1" operator="containsText" text="Medio">
      <formula>NOT(ISERROR(SEARCH("Medio",P371)))</formula>
    </cfRule>
  </conditionalFormatting>
  <conditionalFormatting sqref="P372">
    <cfRule type="containsText" dxfId="5809" priority="1678" stopIfTrue="1" operator="containsText" text="Alto">
      <formula>NOT(ISERROR(SEARCH("Alto",P372)))</formula>
    </cfRule>
    <cfRule type="containsText" dxfId="5808" priority="1675" stopIfTrue="1" operator="containsText" text="Muy alto">
      <formula>NOT(ISERROR(SEARCH("Muy alto",P372)))</formula>
    </cfRule>
    <cfRule type="containsText" dxfId="5807" priority="1676" stopIfTrue="1" operator="containsText" text="Bajo">
      <formula>NOT(ISERROR(SEARCH("Bajo",P372)))</formula>
    </cfRule>
    <cfRule type="containsText" dxfId="5806" priority="1677" stopIfTrue="1" operator="containsText" text="Medio">
      <formula>NOT(ISERROR(SEARCH("Medio",P372)))</formula>
    </cfRule>
  </conditionalFormatting>
  <conditionalFormatting sqref="P373">
    <cfRule type="containsText" dxfId="5805" priority="1636" stopIfTrue="1" operator="containsText" text="Medio">
      <formula>NOT(ISERROR(SEARCH("Medio",P373)))</formula>
    </cfRule>
    <cfRule type="containsText" dxfId="5804" priority="1635" stopIfTrue="1" operator="containsText" text="Bajo">
      <formula>NOT(ISERROR(SEARCH("Bajo",P373)))</formula>
    </cfRule>
    <cfRule type="containsText" dxfId="5803" priority="1637" stopIfTrue="1" operator="containsText" text="Alto">
      <formula>NOT(ISERROR(SEARCH("Alto",P373)))</formula>
    </cfRule>
    <cfRule type="containsText" dxfId="5802" priority="1634" stopIfTrue="1" operator="containsText" text="Muy alto">
      <formula>NOT(ISERROR(SEARCH("Muy alto",P373)))</formula>
    </cfRule>
  </conditionalFormatting>
  <conditionalFormatting sqref="P374">
    <cfRule type="containsText" dxfId="5801" priority="1743" stopIfTrue="1" operator="containsText" text="Medio">
      <formula>NOT(ISERROR(SEARCH("Medio",P374)))</formula>
    </cfRule>
    <cfRule type="containsText" dxfId="5800" priority="1742" stopIfTrue="1" operator="containsText" text="Bajo">
      <formula>NOT(ISERROR(SEARCH("Bajo",P374)))</formula>
    </cfRule>
    <cfRule type="containsText" dxfId="5799" priority="1741" stopIfTrue="1" operator="containsText" text="Muy alto">
      <formula>NOT(ISERROR(SEARCH("Muy alto",P374)))</formula>
    </cfRule>
    <cfRule type="containsText" dxfId="5798" priority="1744" stopIfTrue="1" operator="containsText" text="Alto">
      <formula>NOT(ISERROR(SEARCH("Alto",P374)))</formula>
    </cfRule>
  </conditionalFormatting>
  <conditionalFormatting sqref="P375">
    <cfRule type="containsText" dxfId="5797" priority="1719" stopIfTrue="1" operator="containsText" text="Alto">
      <formula>NOT(ISERROR(SEARCH("Alto",P375)))</formula>
    </cfRule>
    <cfRule type="containsText" dxfId="5796" priority="1718" stopIfTrue="1" operator="containsText" text="Medio">
      <formula>NOT(ISERROR(SEARCH("Medio",P375)))</formula>
    </cfRule>
    <cfRule type="containsText" dxfId="5795" priority="1717" stopIfTrue="1" operator="containsText" text="Bajo">
      <formula>NOT(ISERROR(SEARCH("Bajo",P375)))</formula>
    </cfRule>
    <cfRule type="containsText" dxfId="5794" priority="1716" stopIfTrue="1" operator="containsText" text="Muy alto">
      <formula>NOT(ISERROR(SEARCH("Muy alto",P375)))</formula>
    </cfRule>
  </conditionalFormatting>
  <conditionalFormatting sqref="P376">
    <cfRule type="containsText" dxfId="5793" priority="1798" stopIfTrue="1" operator="containsText" text="Muy alto">
      <formula>NOT(ISERROR(SEARCH("Muy alto",P376)))</formula>
    </cfRule>
    <cfRule type="containsText" dxfId="5792" priority="1801" stopIfTrue="1" operator="containsText" text="Alto">
      <formula>NOT(ISERROR(SEARCH("Alto",P376)))</formula>
    </cfRule>
    <cfRule type="containsText" dxfId="5791" priority="1799" stopIfTrue="1" operator="containsText" text="Bajo">
      <formula>NOT(ISERROR(SEARCH("Bajo",P376)))</formula>
    </cfRule>
    <cfRule type="containsText" dxfId="5790" priority="1800" stopIfTrue="1" operator="containsText" text="Medio">
      <formula>NOT(ISERROR(SEARCH("Medio",P376)))</formula>
    </cfRule>
  </conditionalFormatting>
  <conditionalFormatting sqref="P377">
    <cfRule type="containsText" dxfId="5789" priority="1613" stopIfTrue="1" operator="containsText" text="Medio">
      <formula>NOT(ISERROR(SEARCH("Medio",P377)))</formula>
    </cfRule>
    <cfRule type="containsText" dxfId="5788" priority="1614" stopIfTrue="1" operator="containsText" text="Alto">
      <formula>NOT(ISERROR(SEARCH("Alto",P377)))</formula>
    </cfRule>
    <cfRule type="containsText" dxfId="5787" priority="1612" stopIfTrue="1" operator="containsText" text="Bajo">
      <formula>NOT(ISERROR(SEARCH("Bajo",P377)))</formula>
    </cfRule>
    <cfRule type="containsText" dxfId="5786" priority="1611" stopIfTrue="1" operator="containsText" text="Muy alto">
      <formula>NOT(ISERROR(SEARCH("Muy alto",P377)))</formula>
    </cfRule>
  </conditionalFormatting>
  <conditionalFormatting sqref="P378">
    <cfRule type="containsText" dxfId="5785" priority="1184" stopIfTrue="1" operator="containsText" text="Medio">
      <formula>NOT(ISERROR(SEARCH("Medio",P378)))</formula>
    </cfRule>
    <cfRule type="containsText" dxfId="5784" priority="1183" stopIfTrue="1" operator="containsText" text="Bajo">
      <formula>NOT(ISERROR(SEARCH("Bajo",P378)))</formula>
    </cfRule>
    <cfRule type="containsText" dxfId="5783" priority="1182" stopIfTrue="1" operator="containsText" text="Muy alto">
      <formula>NOT(ISERROR(SEARCH("Muy alto",P378)))</formula>
    </cfRule>
    <cfRule type="containsText" dxfId="5782" priority="1185" stopIfTrue="1" operator="containsText" text="Alto">
      <formula>NOT(ISERROR(SEARCH("Alto",P378)))</formula>
    </cfRule>
  </conditionalFormatting>
  <conditionalFormatting sqref="P379">
    <cfRule type="containsText" dxfId="5781" priority="1147" stopIfTrue="1" operator="containsText" text="Bajo">
      <formula>NOT(ISERROR(SEARCH("Bajo",P379)))</formula>
    </cfRule>
    <cfRule type="containsText" dxfId="5780" priority="1148" stopIfTrue="1" operator="containsText" text="Medio">
      <formula>NOT(ISERROR(SEARCH("Medio",P379)))</formula>
    </cfRule>
    <cfRule type="containsText" dxfId="5779" priority="1149" stopIfTrue="1" operator="containsText" text="Alto">
      <formula>NOT(ISERROR(SEARCH("Alto",P379)))</formula>
    </cfRule>
    <cfRule type="containsText" dxfId="5778" priority="1146" stopIfTrue="1" operator="containsText" text="Muy alto">
      <formula>NOT(ISERROR(SEARCH("Muy alto",P379)))</formula>
    </cfRule>
  </conditionalFormatting>
  <conditionalFormatting sqref="P380">
    <cfRule type="containsText" dxfId="5777" priority="1441" stopIfTrue="1" operator="containsText" text="Muy alto">
      <formula>NOT(ISERROR(SEARCH("Muy alto",P380)))</formula>
    </cfRule>
    <cfRule type="containsText" dxfId="5776" priority="1442" stopIfTrue="1" operator="containsText" text="Bajo">
      <formula>NOT(ISERROR(SEARCH("Bajo",P380)))</formula>
    </cfRule>
    <cfRule type="containsText" dxfId="5775" priority="1443" stopIfTrue="1" operator="containsText" text="Medio">
      <formula>NOT(ISERROR(SEARCH("Medio",P380)))</formula>
    </cfRule>
    <cfRule type="containsText" dxfId="5774" priority="1444" stopIfTrue="1" operator="containsText" text="Alto">
      <formula>NOT(ISERROR(SEARCH("Alto",P380)))</formula>
    </cfRule>
  </conditionalFormatting>
  <conditionalFormatting sqref="P381">
    <cfRule type="containsText" dxfId="5773" priority="1488" stopIfTrue="1" operator="containsText" text="Medio">
      <formula>NOT(ISERROR(SEARCH("Medio",P381)))</formula>
    </cfRule>
    <cfRule type="containsText" dxfId="5772" priority="1486" stopIfTrue="1" operator="containsText" text="Muy alto">
      <formula>NOT(ISERROR(SEARCH("Muy alto",P381)))</formula>
    </cfRule>
    <cfRule type="containsText" dxfId="5771" priority="1487" stopIfTrue="1" operator="containsText" text="Bajo">
      <formula>NOT(ISERROR(SEARCH("Bajo",P381)))</formula>
    </cfRule>
    <cfRule type="containsText" dxfId="5770" priority="1489" stopIfTrue="1" operator="containsText" text="Alto">
      <formula>NOT(ISERROR(SEARCH("Alto",P381)))</formula>
    </cfRule>
  </conditionalFormatting>
  <conditionalFormatting sqref="P382">
    <cfRule type="containsText" dxfId="5769" priority="1289" stopIfTrue="1" operator="containsText" text="Alto">
      <formula>NOT(ISERROR(SEARCH("Alto",P382)))</formula>
    </cfRule>
    <cfRule type="containsText" dxfId="5768" priority="1288" stopIfTrue="1" operator="containsText" text="Medio">
      <formula>NOT(ISERROR(SEARCH("Medio",P382)))</formula>
    </cfRule>
    <cfRule type="containsText" dxfId="5767" priority="1287" stopIfTrue="1" operator="containsText" text="Bajo">
      <formula>NOT(ISERROR(SEARCH("Bajo",P382)))</formula>
    </cfRule>
    <cfRule type="containsText" dxfId="5766" priority="1286" stopIfTrue="1" operator="containsText" text="Muy alto">
      <formula>NOT(ISERROR(SEARCH("Muy alto",P382)))</formula>
    </cfRule>
  </conditionalFormatting>
  <conditionalFormatting sqref="P383">
    <cfRule type="containsText" dxfId="5765" priority="1241" stopIfTrue="1" operator="containsText" text="Muy alto">
      <formula>NOT(ISERROR(SEARCH("Muy alto",P383)))</formula>
    </cfRule>
    <cfRule type="containsText" dxfId="5764" priority="1242" stopIfTrue="1" operator="containsText" text="Bajo">
      <formula>NOT(ISERROR(SEARCH("Bajo",P383)))</formula>
    </cfRule>
    <cfRule type="containsText" dxfId="5763" priority="1244" stopIfTrue="1" operator="containsText" text="Alto">
      <formula>NOT(ISERROR(SEARCH("Alto",P383)))</formula>
    </cfRule>
    <cfRule type="containsText" dxfId="5762" priority="1243" stopIfTrue="1" operator="containsText" text="Medio">
      <formula>NOT(ISERROR(SEARCH("Medio",P383)))</formula>
    </cfRule>
  </conditionalFormatting>
  <conditionalFormatting sqref="P384">
    <cfRule type="containsText" dxfId="5761" priority="1353" stopIfTrue="1" operator="containsText" text="Alto">
      <formula>NOT(ISERROR(SEARCH("Alto",P384)))</formula>
    </cfRule>
    <cfRule type="containsText" dxfId="5760" priority="1352" stopIfTrue="1" operator="containsText" text="Medio">
      <formula>NOT(ISERROR(SEARCH("Medio",P384)))</formula>
    </cfRule>
    <cfRule type="containsText" dxfId="5759" priority="1351" stopIfTrue="1" operator="containsText" text="Bajo">
      <formula>NOT(ISERROR(SEARCH("Bajo",P384)))</formula>
    </cfRule>
    <cfRule type="containsText" dxfId="5758" priority="1350" stopIfTrue="1" operator="containsText" text="Muy alto">
      <formula>NOT(ISERROR(SEARCH("Muy alto",P384)))</formula>
    </cfRule>
  </conditionalFormatting>
  <conditionalFormatting sqref="P385">
    <cfRule type="containsText" dxfId="5757" priority="1328" stopIfTrue="1" operator="containsText" text="Alto">
      <formula>NOT(ISERROR(SEARCH("Alto",P385)))</formula>
    </cfRule>
    <cfRule type="containsText" dxfId="5756" priority="1327" stopIfTrue="1" operator="containsText" text="Medio">
      <formula>NOT(ISERROR(SEARCH("Medio",P385)))</formula>
    </cfRule>
    <cfRule type="containsText" dxfId="5755" priority="1325" stopIfTrue="1" operator="containsText" text="Muy alto">
      <formula>NOT(ISERROR(SEARCH("Muy alto",P385)))</formula>
    </cfRule>
    <cfRule type="containsText" dxfId="5754" priority="1326" stopIfTrue="1" operator="containsText" text="Bajo">
      <formula>NOT(ISERROR(SEARCH("Bajo",P385)))</formula>
    </cfRule>
  </conditionalFormatting>
  <conditionalFormatting sqref="P386">
    <cfRule type="containsText" dxfId="5753" priority="1410" stopIfTrue="1" operator="containsText" text="Alto">
      <formula>NOT(ISERROR(SEARCH("Alto",P386)))</formula>
    </cfRule>
    <cfRule type="containsText" dxfId="5752" priority="1409" stopIfTrue="1" operator="containsText" text="Medio">
      <formula>NOT(ISERROR(SEARCH("Medio",P386)))</formula>
    </cfRule>
    <cfRule type="containsText" dxfId="5751" priority="1408" stopIfTrue="1" operator="containsText" text="Bajo">
      <formula>NOT(ISERROR(SEARCH("Bajo",P386)))</formula>
    </cfRule>
    <cfRule type="containsText" dxfId="5750" priority="1407" stopIfTrue="1" operator="containsText" text="Muy alto">
      <formula>NOT(ISERROR(SEARCH("Muy alto",P386)))</formula>
    </cfRule>
  </conditionalFormatting>
  <conditionalFormatting sqref="P387">
    <cfRule type="containsText" dxfId="5749" priority="1221" stopIfTrue="1" operator="containsText" text="Alto">
      <formula>NOT(ISERROR(SEARCH("Alto",P387)))</formula>
    </cfRule>
    <cfRule type="containsText" dxfId="5748" priority="1220" stopIfTrue="1" operator="containsText" text="Medio">
      <formula>NOT(ISERROR(SEARCH("Medio",P387)))</formula>
    </cfRule>
    <cfRule type="containsText" dxfId="5747" priority="1219" stopIfTrue="1" operator="containsText" text="Bajo">
      <formula>NOT(ISERROR(SEARCH("Bajo",P387)))</formula>
    </cfRule>
    <cfRule type="containsText" dxfId="5746" priority="1218" stopIfTrue="1" operator="containsText" text="Muy alto">
      <formula>NOT(ISERROR(SEARCH("Muy alto",P387)))</formula>
    </cfRule>
  </conditionalFormatting>
  <conditionalFormatting sqref="P388">
    <cfRule type="containsText" dxfId="5745" priority="1039" stopIfTrue="1" operator="containsText" text="Medio">
      <formula>NOT(ISERROR(SEARCH("Medio",P388)))</formula>
    </cfRule>
    <cfRule type="containsText" dxfId="5744" priority="1040" stopIfTrue="1" operator="containsText" text="Alto">
      <formula>NOT(ISERROR(SEARCH("Alto",P388)))</formula>
    </cfRule>
    <cfRule type="containsText" dxfId="5743" priority="1037" stopIfTrue="1" operator="containsText" text="Muy alto">
      <formula>NOT(ISERROR(SEARCH("Muy alto",P388)))</formula>
    </cfRule>
    <cfRule type="containsText" dxfId="5742" priority="1038" stopIfTrue="1" operator="containsText" text="Bajo">
      <formula>NOT(ISERROR(SEARCH("Bajo",P388)))</formula>
    </cfRule>
  </conditionalFormatting>
  <conditionalFormatting sqref="P389">
    <cfRule type="containsText" dxfId="5741" priority="691" stopIfTrue="1" operator="containsText" text="Bajo">
      <formula>NOT(ISERROR(SEARCH("Bajo",P389)))</formula>
    </cfRule>
    <cfRule type="containsText" dxfId="5740" priority="692" stopIfTrue="1" operator="containsText" text="Medio">
      <formula>NOT(ISERROR(SEARCH("Medio",P389)))</formula>
    </cfRule>
    <cfRule type="containsText" dxfId="5739" priority="690" stopIfTrue="1" operator="containsText" text="Muy alto">
      <formula>NOT(ISERROR(SEARCH("Muy alto",P389)))</formula>
    </cfRule>
    <cfRule type="containsText" dxfId="5738" priority="693" stopIfTrue="1" operator="containsText" text="Alto">
      <formula>NOT(ISERROR(SEARCH("Alto",P389)))</formula>
    </cfRule>
  </conditionalFormatting>
  <conditionalFormatting sqref="P390">
    <cfRule type="containsText" dxfId="5737" priority="660" stopIfTrue="1" operator="containsText" text="Medio">
      <formula>NOT(ISERROR(SEARCH("Medio",P390)))</formula>
    </cfRule>
    <cfRule type="containsText" dxfId="5736" priority="661" stopIfTrue="1" operator="containsText" text="Alto">
      <formula>NOT(ISERROR(SEARCH("Alto",P390)))</formula>
    </cfRule>
    <cfRule type="containsText" dxfId="5735" priority="658" stopIfTrue="1" operator="containsText" text="Muy alto">
      <formula>NOT(ISERROR(SEARCH("Muy alto",P390)))</formula>
    </cfRule>
    <cfRule type="containsText" dxfId="5734" priority="659" stopIfTrue="1" operator="containsText" text="Bajo">
      <formula>NOT(ISERROR(SEARCH("Bajo",P390)))</formula>
    </cfRule>
  </conditionalFormatting>
  <conditionalFormatting sqref="P391">
    <cfRule type="containsText" dxfId="5733" priority="992" stopIfTrue="1" operator="containsText" text="Muy alto">
      <formula>NOT(ISERROR(SEARCH("Muy alto",P391)))</formula>
    </cfRule>
    <cfRule type="containsText" dxfId="5732" priority="994" stopIfTrue="1" operator="containsText" text="Medio">
      <formula>NOT(ISERROR(SEARCH("Medio",P391)))</formula>
    </cfRule>
    <cfRule type="containsText" dxfId="5731" priority="995" stopIfTrue="1" operator="containsText" text="Alto">
      <formula>NOT(ISERROR(SEARCH("Alto",P391)))</formula>
    </cfRule>
    <cfRule type="containsText" dxfId="5730" priority="993" stopIfTrue="1" operator="containsText" text="Bajo">
      <formula>NOT(ISERROR(SEARCH("Bajo",P391)))</formula>
    </cfRule>
  </conditionalFormatting>
  <conditionalFormatting sqref="P392">
    <cfRule type="containsText" dxfId="5729" priority="1084" stopIfTrue="1" operator="containsText" text="Muy alto">
      <formula>NOT(ISERROR(SEARCH("Muy alto",P392)))</formula>
    </cfRule>
    <cfRule type="containsText" dxfId="5728" priority="1086" stopIfTrue="1" operator="containsText" text="Medio">
      <formula>NOT(ISERROR(SEARCH("Medio",P392)))</formula>
    </cfRule>
    <cfRule type="containsText" dxfId="5727" priority="1087" stopIfTrue="1" operator="containsText" text="Alto">
      <formula>NOT(ISERROR(SEARCH("Alto",P392)))</formula>
    </cfRule>
    <cfRule type="containsText" dxfId="5726" priority="1085" stopIfTrue="1" operator="containsText" text="Bajo">
      <formula>NOT(ISERROR(SEARCH("Bajo",P392)))</formula>
    </cfRule>
  </conditionalFormatting>
  <conditionalFormatting sqref="P393">
    <cfRule type="containsText" dxfId="5725" priority="949" stopIfTrue="1" operator="containsText" text="Medio">
      <formula>NOT(ISERROR(SEARCH("Medio",P393)))</formula>
    </cfRule>
    <cfRule type="containsText" dxfId="5724" priority="947" stopIfTrue="1" operator="containsText" text="Muy alto">
      <formula>NOT(ISERROR(SEARCH("Muy alto",P393)))</formula>
    </cfRule>
    <cfRule type="containsText" dxfId="5723" priority="948" stopIfTrue="1" operator="containsText" text="Bajo">
      <formula>NOT(ISERROR(SEARCH("Bajo",P393)))</formula>
    </cfRule>
    <cfRule type="containsText" dxfId="5722" priority="950" stopIfTrue="1" operator="containsText" text="Alto">
      <formula>NOT(ISERROR(SEARCH("Alto",P393)))</formula>
    </cfRule>
  </conditionalFormatting>
  <conditionalFormatting sqref="P394">
    <cfRule type="containsText" dxfId="5721" priority="792" stopIfTrue="1" operator="containsText" text="Medio">
      <formula>NOT(ISERROR(SEARCH("Medio",P394)))</formula>
    </cfRule>
    <cfRule type="containsText" dxfId="5720" priority="791" stopIfTrue="1" operator="containsText" text="Bajo">
      <formula>NOT(ISERROR(SEARCH("Bajo",P394)))</formula>
    </cfRule>
    <cfRule type="containsText" dxfId="5719" priority="790" stopIfTrue="1" operator="containsText" text="Muy alto">
      <formula>NOT(ISERROR(SEARCH("Muy alto",P394)))</formula>
    </cfRule>
    <cfRule type="containsText" dxfId="5718" priority="793" stopIfTrue="1" operator="containsText" text="Alto">
      <formula>NOT(ISERROR(SEARCH("Alto",P394)))</formula>
    </cfRule>
  </conditionalFormatting>
  <conditionalFormatting sqref="P395">
    <cfRule type="containsText" dxfId="5717" priority="751" stopIfTrue="1" operator="containsText" text="Medio">
      <formula>NOT(ISERROR(SEARCH("Medio",P395)))</formula>
    </cfRule>
    <cfRule type="containsText" dxfId="5716" priority="749" stopIfTrue="1" operator="containsText" text="Muy alto">
      <formula>NOT(ISERROR(SEARCH("Muy alto",P395)))</formula>
    </cfRule>
    <cfRule type="containsText" dxfId="5715" priority="750" stopIfTrue="1" operator="containsText" text="Bajo">
      <formula>NOT(ISERROR(SEARCH("Bajo",P395)))</formula>
    </cfRule>
    <cfRule type="containsText" dxfId="5714" priority="752" stopIfTrue="1" operator="containsText" text="Alto">
      <formula>NOT(ISERROR(SEARCH("Alto",P395)))</formula>
    </cfRule>
  </conditionalFormatting>
  <conditionalFormatting sqref="P396">
    <cfRule type="containsText" dxfId="5713" priority="857" stopIfTrue="1" operator="containsText" text="Bajo">
      <formula>NOT(ISERROR(SEARCH("Bajo",P396)))</formula>
    </cfRule>
    <cfRule type="containsText" dxfId="5712" priority="856" stopIfTrue="1" operator="containsText" text="Muy alto">
      <formula>NOT(ISERROR(SEARCH("Muy alto",P396)))</formula>
    </cfRule>
    <cfRule type="containsText" dxfId="5711" priority="859" stopIfTrue="1" operator="containsText" text="Alto">
      <formula>NOT(ISERROR(SEARCH("Alto",P396)))</formula>
    </cfRule>
    <cfRule type="containsText" dxfId="5710" priority="858" stopIfTrue="1" operator="containsText" text="Medio">
      <formula>NOT(ISERROR(SEARCH("Medio",P396)))</formula>
    </cfRule>
  </conditionalFormatting>
  <conditionalFormatting sqref="P397">
    <cfRule type="containsText" dxfId="5709" priority="834" stopIfTrue="1" operator="containsText" text="Alto">
      <formula>NOT(ISERROR(SEARCH("Alto",P397)))</formula>
    </cfRule>
    <cfRule type="containsText" dxfId="5708" priority="833" stopIfTrue="1" operator="containsText" text="Medio">
      <formula>NOT(ISERROR(SEARCH("Medio",P397)))</formula>
    </cfRule>
    <cfRule type="containsText" dxfId="5707" priority="832" stopIfTrue="1" operator="containsText" text="Bajo">
      <formula>NOT(ISERROR(SEARCH("Bajo",P397)))</formula>
    </cfRule>
    <cfRule type="containsText" dxfId="5706" priority="831" stopIfTrue="1" operator="containsText" text="Muy alto">
      <formula>NOT(ISERROR(SEARCH("Muy alto",P397)))</formula>
    </cfRule>
  </conditionalFormatting>
  <conditionalFormatting sqref="P398">
    <cfRule type="containsText" dxfId="5705" priority="916" stopIfTrue="1" operator="containsText" text="Alto">
      <formula>NOT(ISERROR(SEARCH("Alto",P398)))</formula>
    </cfRule>
    <cfRule type="containsText" dxfId="5704" priority="915" stopIfTrue="1" operator="containsText" text="Medio">
      <formula>NOT(ISERROR(SEARCH("Medio",P398)))</formula>
    </cfRule>
    <cfRule type="containsText" dxfId="5703" priority="913" stopIfTrue="1" operator="containsText" text="Muy alto">
      <formula>NOT(ISERROR(SEARCH("Muy alto",P398)))</formula>
    </cfRule>
    <cfRule type="containsText" dxfId="5702" priority="914" stopIfTrue="1" operator="containsText" text="Bajo">
      <formula>NOT(ISERROR(SEARCH("Bajo",P398)))</formula>
    </cfRule>
  </conditionalFormatting>
  <conditionalFormatting sqref="P399">
    <cfRule type="containsText" dxfId="5701" priority="727" stopIfTrue="1" operator="containsText" text="Bajo">
      <formula>NOT(ISERROR(SEARCH("Bajo",P399)))</formula>
    </cfRule>
    <cfRule type="containsText" dxfId="5700" priority="728" stopIfTrue="1" operator="containsText" text="Medio">
      <formula>NOT(ISERROR(SEARCH("Medio",P399)))</formula>
    </cfRule>
    <cfRule type="containsText" dxfId="5699" priority="729" stopIfTrue="1" operator="containsText" text="Alto">
      <formula>NOT(ISERROR(SEARCH("Alto",P399)))</formula>
    </cfRule>
    <cfRule type="containsText" dxfId="5698" priority="726" stopIfTrue="1" operator="containsText" text="Muy alto">
      <formula>NOT(ISERROR(SEARCH("Muy alto",P399)))</formula>
    </cfRule>
  </conditionalFormatting>
  <conditionalFormatting sqref="P400">
    <cfRule type="containsText" dxfId="5697" priority="620" stopIfTrue="1" operator="containsText" text="Muy alto">
      <formula>NOT(ISERROR(SEARCH("Muy alto",P400)))</formula>
    </cfRule>
    <cfRule type="containsText" dxfId="5696" priority="621" stopIfTrue="1" operator="containsText" text="Bajo">
      <formula>NOT(ISERROR(SEARCH("Bajo",P400)))</formula>
    </cfRule>
    <cfRule type="containsText" dxfId="5695" priority="622" stopIfTrue="1" operator="containsText" text="Medio">
      <formula>NOT(ISERROR(SEARCH("Medio",P400)))</formula>
    </cfRule>
    <cfRule type="containsText" dxfId="5694" priority="623" stopIfTrue="1" operator="containsText" text="Alto">
      <formula>NOT(ISERROR(SEARCH("Alto",P400)))</formula>
    </cfRule>
  </conditionalFormatting>
  <conditionalFormatting sqref="P401">
    <cfRule type="containsText" dxfId="5693" priority="510" stopIfTrue="1" operator="containsText" text="Alto">
      <formula>NOT(ISERROR(SEARCH("Alto",P401)))</formula>
    </cfRule>
    <cfRule type="containsText" dxfId="5692" priority="508" stopIfTrue="1" operator="containsText" text="Bajo">
      <formula>NOT(ISERROR(SEARCH("Bajo",P401)))</formula>
    </cfRule>
    <cfRule type="containsText" dxfId="5691" priority="509" stopIfTrue="1" operator="containsText" text="Medio">
      <formula>NOT(ISERROR(SEARCH("Medio",P401)))</formula>
    </cfRule>
    <cfRule type="containsText" dxfId="5690" priority="507" stopIfTrue="1" operator="containsText" text="Muy alto">
      <formula>NOT(ISERROR(SEARCH("Muy alto",P401)))</formula>
    </cfRule>
  </conditionalFormatting>
  <conditionalFormatting sqref="P402">
    <cfRule type="containsText" dxfId="5689" priority="163" stopIfTrue="1" operator="containsText" text="Alto">
      <formula>NOT(ISERROR(SEARCH("Alto",P402)))</formula>
    </cfRule>
    <cfRule type="containsText" dxfId="5688" priority="161" stopIfTrue="1" operator="containsText" text="Bajo">
      <formula>NOT(ISERROR(SEARCH("Bajo",P402)))</formula>
    </cfRule>
    <cfRule type="containsText" dxfId="5687" priority="162" stopIfTrue="1" operator="containsText" text="Medio">
      <formula>NOT(ISERROR(SEARCH("Medio",P402)))</formula>
    </cfRule>
    <cfRule type="containsText" dxfId="5686" priority="160" stopIfTrue="1" operator="containsText" text="Muy alto">
      <formula>NOT(ISERROR(SEARCH("Muy alto",P402)))</formula>
    </cfRule>
  </conditionalFormatting>
  <conditionalFormatting sqref="P403">
    <cfRule type="containsText" dxfId="5685" priority="129" stopIfTrue="1" operator="containsText" text="Bajo">
      <formula>NOT(ISERROR(SEARCH("Bajo",P403)))</formula>
    </cfRule>
    <cfRule type="containsText" dxfId="5684" priority="130" stopIfTrue="1" operator="containsText" text="Medio">
      <formula>NOT(ISERROR(SEARCH("Medio",P403)))</formula>
    </cfRule>
    <cfRule type="containsText" dxfId="5683" priority="131" stopIfTrue="1" operator="containsText" text="Alto">
      <formula>NOT(ISERROR(SEARCH("Alto",P403)))</formula>
    </cfRule>
    <cfRule type="containsText" dxfId="5682" priority="128" stopIfTrue="1" operator="containsText" text="Muy alto">
      <formula>NOT(ISERROR(SEARCH("Muy alto",P403)))</formula>
    </cfRule>
  </conditionalFormatting>
  <conditionalFormatting sqref="P404">
    <cfRule type="containsText" dxfId="5681" priority="465" stopIfTrue="1" operator="containsText" text="Alto">
      <formula>NOT(ISERROR(SEARCH("Alto",P404)))</formula>
    </cfRule>
    <cfRule type="containsText" dxfId="5680" priority="462" stopIfTrue="1" operator="containsText" text="Muy alto">
      <formula>NOT(ISERROR(SEARCH("Muy alto",P404)))</formula>
    </cfRule>
    <cfRule type="containsText" dxfId="5679" priority="463" stopIfTrue="1" operator="containsText" text="Bajo">
      <formula>NOT(ISERROR(SEARCH("Bajo",P404)))</formula>
    </cfRule>
    <cfRule type="containsText" dxfId="5678" priority="464" stopIfTrue="1" operator="containsText" text="Medio">
      <formula>NOT(ISERROR(SEARCH("Medio",P404)))</formula>
    </cfRule>
  </conditionalFormatting>
  <conditionalFormatting sqref="P405">
    <cfRule type="containsText" dxfId="5677" priority="556" stopIfTrue="1" operator="containsText" text="Medio">
      <formula>NOT(ISERROR(SEARCH("Medio",P405)))</formula>
    </cfRule>
    <cfRule type="containsText" dxfId="5676" priority="557" stopIfTrue="1" operator="containsText" text="Alto">
      <formula>NOT(ISERROR(SEARCH("Alto",P405)))</formula>
    </cfRule>
    <cfRule type="containsText" dxfId="5675" priority="554" stopIfTrue="1" operator="containsText" text="Muy alto">
      <formula>NOT(ISERROR(SEARCH("Muy alto",P405)))</formula>
    </cfRule>
    <cfRule type="containsText" dxfId="5674" priority="555" stopIfTrue="1" operator="containsText" text="Bajo">
      <formula>NOT(ISERROR(SEARCH("Bajo",P405)))</formula>
    </cfRule>
  </conditionalFormatting>
  <conditionalFormatting sqref="P406">
    <cfRule type="containsText" dxfId="5673" priority="420" stopIfTrue="1" operator="containsText" text="Alto">
      <formula>NOT(ISERROR(SEARCH("Alto",P406)))</formula>
    </cfRule>
    <cfRule type="containsText" dxfId="5672" priority="417" stopIfTrue="1" operator="containsText" text="Muy alto">
      <formula>NOT(ISERROR(SEARCH("Muy alto",P406)))</formula>
    </cfRule>
    <cfRule type="containsText" dxfId="5671" priority="419" stopIfTrue="1" operator="containsText" text="Medio">
      <formula>NOT(ISERROR(SEARCH("Medio",P406)))</formula>
    </cfRule>
    <cfRule type="containsText" dxfId="5670" priority="418" stopIfTrue="1" operator="containsText" text="Bajo">
      <formula>NOT(ISERROR(SEARCH("Bajo",P406)))</formula>
    </cfRule>
  </conditionalFormatting>
  <conditionalFormatting sqref="P407">
    <cfRule type="containsText" dxfId="5669" priority="263" stopIfTrue="1" operator="containsText" text="Alto">
      <formula>NOT(ISERROR(SEARCH("Alto",P407)))</formula>
    </cfRule>
    <cfRule type="containsText" dxfId="5668" priority="262" stopIfTrue="1" operator="containsText" text="Medio">
      <formula>NOT(ISERROR(SEARCH("Medio",P407)))</formula>
    </cfRule>
    <cfRule type="containsText" dxfId="5667" priority="261" stopIfTrue="1" operator="containsText" text="Bajo">
      <formula>NOT(ISERROR(SEARCH("Bajo",P407)))</formula>
    </cfRule>
    <cfRule type="containsText" dxfId="5666" priority="260" stopIfTrue="1" operator="containsText" text="Muy alto">
      <formula>NOT(ISERROR(SEARCH("Muy alto",P407)))</formula>
    </cfRule>
  </conditionalFormatting>
  <conditionalFormatting sqref="P408">
    <cfRule type="containsText" dxfId="5665" priority="219" stopIfTrue="1" operator="containsText" text="Muy alto">
      <formula>NOT(ISERROR(SEARCH("Muy alto",P408)))</formula>
    </cfRule>
    <cfRule type="containsText" dxfId="5664" priority="222" stopIfTrue="1" operator="containsText" text="Alto">
      <formula>NOT(ISERROR(SEARCH("Alto",P408)))</formula>
    </cfRule>
    <cfRule type="containsText" dxfId="5663" priority="221" stopIfTrue="1" operator="containsText" text="Medio">
      <formula>NOT(ISERROR(SEARCH("Medio",P408)))</formula>
    </cfRule>
    <cfRule type="containsText" dxfId="5662" priority="220" stopIfTrue="1" operator="containsText" text="Bajo">
      <formula>NOT(ISERROR(SEARCH("Bajo",P408)))</formula>
    </cfRule>
  </conditionalFormatting>
  <conditionalFormatting sqref="P409">
    <cfRule type="containsText" dxfId="5661" priority="327" stopIfTrue="1" operator="containsText" text="Bajo">
      <formula>NOT(ISERROR(SEARCH("Bajo",P409)))</formula>
    </cfRule>
    <cfRule type="containsText" dxfId="5660" priority="328" stopIfTrue="1" operator="containsText" text="Medio">
      <formula>NOT(ISERROR(SEARCH("Medio",P409)))</formula>
    </cfRule>
    <cfRule type="containsText" dxfId="5659" priority="329" stopIfTrue="1" operator="containsText" text="Alto">
      <formula>NOT(ISERROR(SEARCH("Alto",P409)))</formula>
    </cfRule>
    <cfRule type="containsText" dxfId="5658" priority="326" stopIfTrue="1" operator="containsText" text="Muy alto">
      <formula>NOT(ISERROR(SEARCH("Muy alto",P409)))</formula>
    </cfRule>
  </conditionalFormatting>
  <conditionalFormatting sqref="P410">
    <cfRule type="containsText" dxfId="5657" priority="302" stopIfTrue="1" operator="containsText" text="Bajo">
      <formula>NOT(ISERROR(SEARCH("Bajo",P410)))</formula>
    </cfRule>
    <cfRule type="containsText" dxfId="5656" priority="303" stopIfTrue="1" operator="containsText" text="Medio">
      <formula>NOT(ISERROR(SEARCH("Medio",P410)))</formula>
    </cfRule>
    <cfRule type="containsText" dxfId="5655" priority="304" stopIfTrue="1" operator="containsText" text="Alto">
      <formula>NOT(ISERROR(SEARCH("Alto",P410)))</formula>
    </cfRule>
    <cfRule type="containsText" dxfId="5654" priority="301" stopIfTrue="1" operator="containsText" text="Muy alto">
      <formula>NOT(ISERROR(SEARCH("Muy alto",P410)))</formula>
    </cfRule>
  </conditionalFormatting>
  <conditionalFormatting sqref="P411">
    <cfRule type="containsText" dxfId="5653" priority="383" stopIfTrue="1" operator="containsText" text="Muy alto">
      <formula>NOT(ISERROR(SEARCH("Muy alto",P411)))</formula>
    </cfRule>
    <cfRule type="containsText" dxfId="5652" priority="386" stopIfTrue="1" operator="containsText" text="Alto">
      <formula>NOT(ISERROR(SEARCH("Alto",P411)))</formula>
    </cfRule>
    <cfRule type="containsText" dxfId="5651" priority="385" stopIfTrue="1" operator="containsText" text="Medio">
      <formula>NOT(ISERROR(SEARCH("Medio",P411)))</formula>
    </cfRule>
    <cfRule type="containsText" dxfId="5650" priority="384" stopIfTrue="1" operator="containsText" text="Bajo">
      <formula>NOT(ISERROR(SEARCH("Bajo",P411)))</formula>
    </cfRule>
  </conditionalFormatting>
  <conditionalFormatting sqref="P412">
    <cfRule type="containsText" dxfId="5649" priority="199" stopIfTrue="1" operator="containsText" text="Alto">
      <formula>NOT(ISERROR(SEARCH("Alto",P412)))</formula>
    </cfRule>
    <cfRule type="containsText" dxfId="5648" priority="198" stopIfTrue="1" operator="containsText" text="Medio">
      <formula>NOT(ISERROR(SEARCH("Medio",P412)))</formula>
    </cfRule>
    <cfRule type="containsText" dxfId="5647" priority="196" stopIfTrue="1" operator="containsText" text="Muy alto">
      <formula>NOT(ISERROR(SEARCH("Muy alto",P412)))</formula>
    </cfRule>
    <cfRule type="containsText" dxfId="5646" priority="197" stopIfTrue="1" operator="containsText" text="Bajo">
      <formula>NOT(ISERROR(SEARCH("Bajo",P412)))</formula>
    </cfRule>
  </conditionalFormatting>
  <conditionalFormatting sqref="P413:P415">
    <cfRule type="containsText" dxfId="5645" priority="91" stopIfTrue="1" operator="containsText" text="Bajo">
      <formula>NOT(ISERROR(SEARCH("Bajo",P413)))</formula>
    </cfRule>
    <cfRule type="containsText" dxfId="5644" priority="93" stopIfTrue="1" operator="containsText" text="Alto">
      <formula>NOT(ISERROR(SEARCH("Alto",P413)))</formula>
    </cfRule>
    <cfRule type="containsText" dxfId="5643" priority="90" stopIfTrue="1" operator="containsText" text="Muy alto">
      <formula>NOT(ISERROR(SEARCH("Muy alto",P413)))</formula>
    </cfRule>
    <cfRule type="containsText" dxfId="5642" priority="92" stopIfTrue="1" operator="containsText" text="Medio">
      <formula>NOT(ISERROR(SEARCH("Medio",P413)))</formula>
    </cfRule>
  </conditionalFormatting>
  <conditionalFormatting sqref="P416:P439">
    <cfRule type="containsText" dxfId="5641" priority="55" stopIfTrue="1" operator="containsText" text="Muy alto">
      <formula>NOT(ISERROR(SEARCH("Muy alto",P416)))</formula>
    </cfRule>
    <cfRule type="containsText" dxfId="5640" priority="56" stopIfTrue="1" operator="containsText" text="Bajo">
      <formula>NOT(ISERROR(SEARCH("Bajo",P416)))</formula>
    </cfRule>
    <cfRule type="containsText" dxfId="5639" priority="57" stopIfTrue="1" operator="containsText" text="Medio">
      <formula>NOT(ISERROR(SEARCH("Medio",P416)))</formula>
    </cfRule>
    <cfRule type="containsText" dxfId="5638" priority="58" stopIfTrue="1" operator="containsText" text="Alto">
      <formula>NOT(ISERROR(SEARCH("Alto",P416)))</formula>
    </cfRule>
  </conditionalFormatting>
  <conditionalFormatting sqref="R7:R324">
    <cfRule type="containsText" dxfId="5637" priority="3580" stopIfTrue="1" operator="containsText" text="Frecuente">
      <formula>NOT(ISERROR(SEARCH("Frecuente",R7)))</formula>
    </cfRule>
    <cfRule type="containsText" dxfId="5636" priority="3579" stopIfTrue="1" operator="containsText" text="Ocasional">
      <formula>NOT(ISERROR(SEARCH("Ocasional",R7)))</formula>
    </cfRule>
    <cfRule type="containsText" dxfId="5635" priority="3581" stopIfTrue="1" operator="containsText" text="Continua">
      <formula>NOT(ISERROR(SEARCH("Continua",R7)))</formula>
    </cfRule>
  </conditionalFormatting>
  <conditionalFormatting sqref="R7:R377">
    <cfRule type="containsText" dxfId="5634" priority="1523" stopIfTrue="1" operator="containsText" text="Esporádica">
      <formula>NOT(ISERROR(SEARCH("Esporádica",R7)))</formula>
    </cfRule>
  </conditionalFormatting>
  <conditionalFormatting sqref="R325">
    <cfRule type="containsText" dxfId="5633" priority="3161" stopIfTrue="1" operator="containsText" text="Frecuente">
      <formula>NOT(ISERROR(SEARCH("Frecuente",R325)))</formula>
    </cfRule>
    <cfRule type="containsText" dxfId="5632" priority="3162" stopIfTrue="1" operator="containsText" text="Continua">
      <formula>NOT(ISERROR(SEARCH("Continua",R325)))</formula>
    </cfRule>
    <cfRule type="containsText" dxfId="5631" priority="3160" stopIfTrue="1" operator="containsText" text="Ocasional">
      <formula>NOT(ISERROR(SEARCH("Ocasional",R325)))</formula>
    </cfRule>
  </conditionalFormatting>
  <conditionalFormatting sqref="R326">
    <cfRule type="containsText" dxfId="5630" priority="3126" stopIfTrue="1" operator="containsText" text="Continua">
      <formula>NOT(ISERROR(SEARCH("Continua",R326)))</formula>
    </cfRule>
    <cfRule type="containsText" dxfId="5629" priority="3124" stopIfTrue="1" operator="containsText" text="Ocasional">
      <formula>NOT(ISERROR(SEARCH("Ocasional",R326)))</formula>
    </cfRule>
    <cfRule type="containsText" dxfId="5628" priority="3125" stopIfTrue="1" operator="containsText" text="Frecuente">
      <formula>NOT(ISERROR(SEARCH("Frecuente",R326)))</formula>
    </cfRule>
  </conditionalFormatting>
  <conditionalFormatting sqref="R327:R328">
    <cfRule type="containsText" dxfId="5627" priority="3546" stopIfTrue="1" operator="containsText" text="Ocasional">
      <formula>NOT(ISERROR(SEARCH("Ocasional",R327)))</formula>
    </cfRule>
    <cfRule type="containsText" dxfId="5626" priority="3548" stopIfTrue="1" operator="containsText" text="Continua">
      <formula>NOT(ISERROR(SEARCH("Continua",R327)))</formula>
    </cfRule>
    <cfRule type="containsText" dxfId="5625" priority="3547" stopIfTrue="1" operator="containsText" text="Frecuente">
      <formula>NOT(ISERROR(SEARCH("Frecuente",R327)))</formula>
    </cfRule>
  </conditionalFormatting>
  <conditionalFormatting sqref="R329">
    <cfRule type="containsText" dxfId="5624" priority="3501" stopIfTrue="1" operator="containsText" text="Ocasional">
      <formula>NOT(ISERROR(SEARCH("Ocasional",R329)))</formula>
    </cfRule>
    <cfRule type="containsText" dxfId="5623" priority="3503" stopIfTrue="1" operator="containsText" text="Continua">
      <formula>NOT(ISERROR(SEARCH("Continua",R329)))</formula>
    </cfRule>
    <cfRule type="containsText" dxfId="5622" priority="3502" stopIfTrue="1" operator="containsText" text="Frecuente">
      <formula>NOT(ISERROR(SEARCH("Frecuente",R329)))</formula>
    </cfRule>
  </conditionalFormatting>
  <conditionalFormatting sqref="R330">
    <cfRule type="containsText" dxfId="5621" priority="3326" stopIfTrue="1" operator="containsText" text="Ocasional">
      <formula>NOT(ISERROR(SEARCH("Ocasional",R330)))</formula>
    </cfRule>
    <cfRule type="containsText" dxfId="5620" priority="3327" stopIfTrue="1" operator="containsText" text="Frecuente">
      <formula>NOT(ISERROR(SEARCH("Frecuente",R330)))</formula>
    </cfRule>
    <cfRule type="containsText" dxfId="5619" priority="3328" stopIfTrue="1" operator="containsText" text="Continua">
      <formula>NOT(ISERROR(SEARCH("Continua",R330)))</formula>
    </cfRule>
  </conditionalFormatting>
  <conditionalFormatting sqref="R331">
    <cfRule type="containsText" dxfId="5618" priority="3365" stopIfTrue="1" operator="containsText" text="Ocasional">
      <formula>NOT(ISERROR(SEARCH("Ocasional",R331)))</formula>
    </cfRule>
    <cfRule type="containsText" dxfId="5617" priority="3366" stopIfTrue="1" operator="containsText" text="Frecuente">
      <formula>NOT(ISERROR(SEARCH("Frecuente",R331)))</formula>
    </cfRule>
    <cfRule type="containsText" dxfId="5616" priority="3367" stopIfTrue="1" operator="containsText" text="Continua">
      <formula>NOT(ISERROR(SEARCH("Continua",R331)))</formula>
    </cfRule>
  </conditionalFormatting>
  <conditionalFormatting sqref="R332">
    <cfRule type="containsText" dxfId="5615" priority="3285" stopIfTrue="1" operator="containsText" text="Continua">
      <formula>NOT(ISERROR(SEARCH("Continua",R332)))</formula>
    </cfRule>
    <cfRule type="containsText" dxfId="5614" priority="3284" stopIfTrue="1" operator="containsText" text="Frecuente">
      <formula>NOT(ISERROR(SEARCH("Frecuente",R332)))</formula>
    </cfRule>
    <cfRule type="containsText" dxfId="5613" priority="3283" stopIfTrue="1" operator="containsText" text="Ocasional">
      <formula>NOT(ISERROR(SEARCH("Ocasional",R332)))</formula>
    </cfRule>
  </conditionalFormatting>
  <conditionalFormatting sqref="R333">
    <cfRule type="containsText" dxfId="5612" priority="3426" stopIfTrue="1" operator="containsText" text="Ocasional">
      <formula>NOT(ISERROR(SEARCH("Ocasional",R333)))</formula>
    </cfRule>
    <cfRule type="containsText" dxfId="5611" priority="3428" stopIfTrue="1" operator="containsText" text="Continua">
      <formula>NOT(ISERROR(SEARCH("Continua",R333)))</formula>
    </cfRule>
    <cfRule type="containsText" dxfId="5610" priority="3427" stopIfTrue="1" operator="containsText" text="Frecuente">
      <formula>NOT(ISERROR(SEARCH("Frecuente",R333)))</formula>
    </cfRule>
  </conditionalFormatting>
  <conditionalFormatting sqref="R334">
    <cfRule type="containsText" dxfId="5609" priority="3408" stopIfTrue="1" operator="containsText" text="Continua">
      <formula>NOT(ISERROR(SEARCH("Continua",R334)))</formula>
    </cfRule>
    <cfRule type="containsText" dxfId="5608" priority="3407" stopIfTrue="1" operator="containsText" text="Frecuente">
      <formula>NOT(ISERROR(SEARCH("Frecuente",R334)))</formula>
    </cfRule>
    <cfRule type="containsText" dxfId="5607" priority="3406" stopIfTrue="1" operator="containsText" text="Ocasional">
      <formula>NOT(ISERROR(SEARCH("Ocasional",R334)))</formula>
    </cfRule>
  </conditionalFormatting>
  <conditionalFormatting sqref="R335">
    <cfRule type="containsText" dxfId="5606" priority="3222" stopIfTrue="1" operator="containsText" text="Frecuente">
      <formula>NOT(ISERROR(SEARCH("Frecuente",R335)))</formula>
    </cfRule>
    <cfRule type="containsText" dxfId="5605" priority="3223" stopIfTrue="1" operator="containsText" text="Continua">
      <formula>NOT(ISERROR(SEARCH("Continua",R335)))</formula>
    </cfRule>
    <cfRule type="containsText" dxfId="5604" priority="3221" stopIfTrue="1" operator="containsText" text="Ocasional">
      <formula>NOT(ISERROR(SEARCH("Ocasional",R335)))</formula>
    </cfRule>
  </conditionalFormatting>
  <conditionalFormatting sqref="R336">
    <cfRule type="containsText" dxfId="5603" priority="3468" stopIfTrue="1" operator="containsText" text="Frecuente">
      <formula>NOT(ISERROR(SEARCH("Frecuente",R336)))</formula>
    </cfRule>
    <cfRule type="containsText" dxfId="5602" priority="3467" stopIfTrue="1" operator="containsText" text="Ocasional">
      <formula>NOT(ISERROR(SEARCH("Ocasional",R336)))</formula>
    </cfRule>
    <cfRule type="containsText" dxfId="5601" priority="3469" stopIfTrue="1" operator="containsText" text="Continua">
      <formula>NOT(ISERROR(SEARCH("Continua",R336)))</formula>
    </cfRule>
  </conditionalFormatting>
  <conditionalFormatting sqref="R337">
    <cfRule type="containsText" dxfId="5600" priority="3673" stopIfTrue="1" operator="containsText" text="Continua">
      <formula>NOT(ISERROR(SEARCH("Continua",R337)))</formula>
    </cfRule>
    <cfRule type="containsText" dxfId="5599" priority="3671" stopIfTrue="1" operator="containsText" text="Ocasional">
      <formula>NOT(ISERROR(SEARCH("Ocasional",R337)))</formula>
    </cfRule>
    <cfRule type="containsText" dxfId="5598" priority="3672" stopIfTrue="1" operator="containsText" text="Frecuente">
      <formula>NOT(ISERROR(SEARCH("Frecuente",R337)))</formula>
    </cfRule>
  </conditionalFormatting>
  <conditionalFormatting sqref="R338">
    <cfRule type="containsText" dxfId="5597" priority="3016" stopIfTrue="1" operator="containsText" text="Ocasional">
      <formula>NOT(ISERROR(SEARCH("Ocasional",R338)))</formula>
    </cfRule>
    <cfRule type="containsText" dxfId="5596" priority="3018" stopIfTrue="1" operator="containsText" text="Continua">
      <formula>NOT(ISERROR(SEARCH("Continua",R338)))</formula>
    </cfRule>
    <cfRule type="containsText" dxfId="5595" priority="3017" stopIfTrue="1" operator="containsText" text="Frecuente">
      <formula>NOT(ISERROR(SEARCH("Frecuente",R338)))</formula>
    </cfRule>
  </conditionalFormatting>
  <conditionalFormatting sqref="R339">
    <cfRule type="containsText" dxfId="5594" priority="2599" stopIfTrue="1" operator="containsText" text="Continua">
      <formula>NOT(ISERROR(SEARCH("Continua",R339)))</formula>
    </cfRule>
    <cfRule type="containsText" dxfId="5593" priority="2597" stopIfTrue="1" operator="containsText" text="Ocasional">
      <formula>NOT(ISERROR(SEARCH("Ocasional",R339)))</formula>
    </cfRule>
    <cfRule type="containsText" dxfId="5592" priority="2598" stopIfTrue="1" operator="containsText" text="Frecuente">
      <formula>NOT(ISERROR(SEARCH("Frecuente",R339)))</formula>
    </cfRule>
  </conditionalFormatting>
  <conditionalFormatting sqref="R340">
    <cfRule type="containsText" dxfId="5591" priority="2563" stopIfTrue="1" operator="containsText" text="Continua">
      <formula>NOT(ISERROR(SEARCH("Continua",R340)))</formula>
    </cfRule>
    <cfRule type="containsText" dxfId="5590" priority="2562" stopIfTrue="1" operator="containsText" text="Frecuente">
      <formula>NOT(ISERROR(SEARCH("Frecuente",R340)))</formula>
    </cfRule>
    <cfRule type="containsText" dxfId="5589" priority="2561" stopIfTrue="1" operator="containsText" text="Ocasional">
      <formula>NOT(ISERROR(SEARCH("Ocasional",R340)))</formula>
    </cfRule>
  </conditionalFormatting>
  <conditionalFormatting sqref="R341">
    <cfRule type="containsText" dxfId="5588" priority="2983" stopIfTrue="1" operator="containsText" text="Ocasional">
      <formula>NOT(ISERROR(SEARCH("Ocasional",R341)))</formula>
    </cfRule>
    <cfRule type="containsText" dxfId="5587" priority="2985" stopIfTrue="1" operator="containsText" text="Continua">
      <formula>NOT(ISERROR(SEARCH("Continua",R341)))</formula>
    </cfRule>
    <cfRule type="containsText" dxfId="5586" priority="2984" stopIfTrue="1" operator="containsText" text="Frecuente">
      <formula>NOT(ISERROR(SEARCH("Frecuente",R341)))</formula>
    </cfRule>
  </conditionalFormatting>
  <conditionalFormatting sqref="R342">
    <cfRule type="containsText" dxfId="5585" priority="3076" stopIfTrue="1" operator="containsText" text="Frecuente">
      <formula>NOT(ISERROR(SEARCH("Frecuente",R342)))</formula>
    </cfRule>
    <cfRule type="containsText" dxfId="5584" priority="3077" stopIfTrue="1" operator="containsText" text="Continua">
      <formula>NOT(ISERROR(SEARCH("Continua",R342)))</formula>
    </cfRule>
    <cfRule type="containsText" dxfId="5583" priority="3075" stopIfTrue="1" operator="containsText" text="Ocasional">
      <formula>NOT(ISERROR(SEARCH("Ocasional",R342)))</formula>
    </cfRule>
  </conditionalFormatting>
  <conditionalFormatting sqref="R343">
    <cfRule type="containsText" dxfId="5582" priority="2938" stopIfTrue="1" operator="containsText" text="Ocasional">
      <formula>NOT(ISERROR(SEARCH("Ocasional",R343)))</formula>
    </cfRule>
    <cfRule type="containsText" dxfId="5581" priority="2939" stopIfTrue="1" operator="containsText" text="Frecuente">
      <formula>NOT(ISERROR(SEARCH("Frecuente",R343)))</formula>
    </cfRule>
    <cfRule type="containsText" dxfId="5580" priority="2940" stopIfTrue="1" operator="containsText" text="Continua">
      <formula>NOT(ISERROR(SEARCH("Continua",R343)))</formula>
    </cfRule>
  </conditionalFormatting>
  <conditionalFormatting sqref="R344">
    <cfRule type="containsText" dxfId="5579" priority="2764" stopIfTrue="1" operator="containsText" text="Frecuente">
      <formula>NOT(ISERROR(SEARCH("Frecuente",R344)))</formula>
    </cfRule>
    <cfRule type="containsText" dxfId="5578" priority="2763" stopIfTrue="1" operator="containsText" text="Ocasional">
      <formula>NOT(ISERROR(SEARCH("Ocasional",R344)))</formula>
    </cfRule>
    <cfRule type="containsText" dxfId="5577" priority="2765" stopIfTrue="1" operator="containsText" text="Continua">
      <formula>NOT(ISERROR(SEARCH("Continua",R344)))</formula>
    </cfRule>
  </conditionalFormatting>
  <conditionalFormatting sqref="R345">
    <cfRule type="containsText" dxfId="5576" priority="2802" stopIfTrue="1" operator="containsText" text="Ocasional">
      <formula>NOT(ISERROR(SEARCH("Ocasional",R345)))</formula>
    </cfRule>
    <cfRule type="containsText" dxfId="5575" priority="2804" stopIfTrue="1" operator="containsText" text="Continua">
      <formula>NOT(ISERROR(SEARCH("Continua",R345)))</formula>
    </cfRule>
    <cfRule type="containsText" dxfId="5574" priority="2803" stopIfTrue="1" operator="containsText" text="Frecuente">
      <formula>NOT(ISERROR(SEARCH("Frecuente",R345)))</formula>
    </cfRule>
  </conditionalFormatting>
  <conditionalFormatting sqref="R346">
    <cfRule type="containsText" dxfId="5573" priority="2720" stopIfTrue="1" operator="containsText" text="Ocasional">
      <formula>NOT(ISERROR(SEARCH("Ocasional",R346)))</formula>
    </cfRule>
    <cfRule type="containsText" dxfId="5572" priority="2722" stopIfTrue="1" operator="containsText" text="Continua">
      <formula>NOT(ISERROR(SEARCH("Continua",R346)))</formula>
    </cfRule>
    <cfRule type="containsText" dxfId="5571" priority="2721" stopIfTrue="1" operator="containsText" text="Frecuente">
      <formula>NOT(ISERROR(SEARCH("Frecuente",R346)))</formula>
    </cfRule>
  </conditionalFormatting>
  <conditionalFormatting sqref="R347">
    <cfRule type="containsText" dxfId="5570" priority="2865" stopIfTrue="1" operator="containsText" text="Continua">
      <formula>NOT(ISERROR(SEARCH("Continua",R347)))</formula>
    </cfRule>
    <cfRule type="containsText" dxfId="5569" priority="2863" stopIfTrue="1" operator="containsText" text="Ocasional">
      <formula>NOT(ISERROR(SEARCH("Ocasional",R347)))</formula>
    </cfRule>
    <cfRule type="containsText" dxfId="5568" priority="2864" stopIfTrue="1" operator="containsText" text="Frecuente">
      <formula>NOT(ISERROR(SEARCH("Frecuente",R347)))</formula>
    </cfRule>
  </conditionalFormatting>
  <conditionalFormatting sqref="R348">
    <cfRule type="containsText" dxfId="5567" priority="2845" stopIfTrue="1" operator="containsText" text="Continua">
      <formula>NOT(ISERROR(SEARCH("Continua",R348)))</formula>
    </cfRule>
    <cfRule type="containsText" dxfId="5566" priority="2843" stopIfTrue="1" operator="containsText" text="Ocasional">
      <formula>NOT(ISERROR(SEARCH("Ocasional",R348)))</formula>
    </cfRule>
    <cfRule type="containsText" dxfId="5565" priority="2844" stopIfTrue="1" operator="containsText" text="Frecuente">
      <formula>NOT(ISERROR(SEARCH("Frecuente",R348)))</formula>
    </cfRule>
  </conditionalFormatting>
  <conditionalFormatting sqref="R349">
    <cfRule type="containsText" dxfId="5564" priority="2660" stopIfTrue="1" operator="containsText" text="Continua">
      <formula>NOT(ISERROR(SEARCH("Continua",R349)))</formula>
    </cfRule>
    <cfRule type="containsText" dxfId="5563" priority="2659" stopIfTrue="1" operator="containsText" text="Frecuente">
      <formula>NOT(ISERROR(SEARCH("Frecuente",R349)))</formula>
    </cfRule>
    <cfRule type="containsText" dxfId="5562" priority="2658" stopIfTrue="1" operator="containsText" text="Ocasional">
      <formula>NOT(ISERROR(SEARCH("Ocasional",R349)))</formula>
    </cfRule>
  </conditionalFormatting>
  <conditionalFormatting sqref="R350">
    <cfRule type="containsText" dxfId="5561" priority="2906" stopIfTrue="1" operator="containsText" text="Continua">
      <formula>NOT(ISERROR(SEARCH("Continua",R350)))</formula>
    </cfRule>
    <cfRule type="containsText" dxfId="5560" priority="2905" stopIfTrue="1" operator="containsText" text="Frecuente">
      <formula>NOT(ISERROR(SEARCH("Frecuente",R350)))</formula>
    </cfRule>
    <cfRule type="containsText" dxfId="5559" priority="2904" stopIfTrue="1" operator="containsText" text="Ocasional">
      <formula>NOT(ISERROR(SEARCH("Ocasional",R350)))</formula>
    </cfRule>
  </conditionalFormatting>
  <conditionalFormatting sqref="R351">
    <cfRule type="containsText" dxfId="5558" priority="3109" stopIfTrue="1" operator="containsText" text="Frecuente">
      <formula>NOT(ISERROR(SEARCH("Frecuente",R351)))</formula>
    </cfRule>
    <cfRule type="containsText" dxfId="5557" priority="3110" stopIfTrue="1" operator="containsText" text="Continua">
      <formula>NOT(ISERROR(SEARCH("Continua",R351)))</formula>
    </cfRule>
    <cfRule type="containsText" dxfId="5556" priority="3108" stopIfTrue="1" operator="containsText" text="Ocasional">
      <formula>NOT(ISERROR(SEARCH("Ocasional",R351)))</formula>
    </cfRule>
  </conditionalFormatting>
  <conditionalFormatting sqref="R352">
    <cfRule type="containsText" dxfId="5555" priority="2436" stopIfTrue="1" operator="containsText" text="Ocasional">
      <formula>NOT(ISERROR(SEARCH("Ocasional",R352)))</formula>
    </cfRule>
    <cfRule type="containsText" dxfId="5554" priority="2437" stopIfTrue="1" operator="containsText" text="Frecuente">
      <formula>NOT(ISERROR(SEARCH("Frecuente",R352)))</formula>
    </cfRule>
    <cfRule type="containsText" dxfId="5553" priority="2438" stopIfTrue="1" operator="containsText" text="Continua">
      <formula>NOT(ISERROR(SEARCH("Continua",R352)))</formula>
    </cfRule>
  </conditionalFormatting>
  <conditionalFormatting sqref="R353">
    <cfRule type="containsText" dxfId="5552" priority="2092" stopIfTrue="1" operator="containsText" text="Continua">
      <formula>NOT(ISERROR(SEARCH("Continua",R353)))</formula>
    </cfRule>
    <cfRule type="containsText" dxfId="5551" priority="2090" stopIfTrue="1" operator="containsText" text="Ocasional">
      <formula>NOT(ISERROR(SEARCH("Ocasional",R353)))</formula>
    </cfRule>
    <cfRule type="containsText" dxfId="5550" priority="2091" stopIfTrue="1" operator="containsText" text="Frecuente">
      <formula>NOT(ISERROR(SEARCH("Frecuente",R353)))</formula>
    </cfRule>
  </conditionalFormatting>
  <conditionalFormatting sqref="R354">
    <cfRule type="containsText" dxfId="5549" priority="2139" stopIfTrue="1" operator="containsText" text="Frecuente">
      <formula>NOT(ISERROR(SEARCH("Frecuente",R354)))</formula>
    </cfRule>
    <cfRule type="containsText" dxfId="5548" priority="2138" stopIfTrue="1" operator="containsText" text="Ocasional">
      <formula>NOT(ISERROR(SEARCH("Ocasional",R354)))</formula>
    </cfRule>
    <cfRule type="containsText" dxfId="5547" priority="2140" stopIfTrue="1" operator="containsText" text="Continua">
      <formula>NOT(ISERROR(SEARCH("Continua",R354)))</formula>
    </cfRule>
  </conditionalFormatting>
  <conditionalFormatting sqref="R355">
    <cfRule type="containsText" dxfId="5546" priority="2029" stopIfTrue="1" operator="containsText" text="Frecuente">
      <formula>NOT(ISERROR(SEARCH("Frecuente",R355)))</formula>
    </cfRule>
    <cfRule type="containsText" dxfId="5545" priority="2028" stopIfTrue="1" operator="containsText" text="Ocasional">
      <formula>NOT(ISERROR(SEARCH("Ocasional",R355)))</formula>
    </cfRule>
    <cfRule type="containsText" dxfId="5544" priority="2030" stopIfTrue="1" operator="containsText" text="Continua">
      <formula>NOT(ISERROR(SEARCH("Continua",R355)))</formula>
    </cfRule>
  </conditionalFormatting>
  <conditionalFormatting sqref="R356">
    <cfRule type="containsText" dxfId="5543" priority="2405" stopIfTrue="1" operator="containsText" text="Continua">
      <formula>NOT(ISERROR(SEARCH("Continua",R356)))</formula>
    </cfRule>
    <cfRule type="containsText" dxfId="5542" priority="2403" stopIfTrue="1" operator="containsText" text="Ocasional">
      <formula>NOT(ISERROR(SEARCH("Ocasional",R356)))</formula>
    </cfRule>
    <cfRule type="containsText" dxfId="5541" priority="2404" stopIfTrue="1" operator="containsText" text="Frecuente">
      <formula>NOT(ISERROR(SEARCH("Frecuente",R356)))</formula>
    </cfRule>
  </conditionalFormatting>
  <conditionalFormatting sqref="R357">
    <cfRule type="containsText" dxfId="5540" priority="2495" stopIfTrue="1" operator="containsText" text="Ocasional">
      <formula>NOT(ISERROR(SEARCH("Ocasional",R357)))</formula>
    </cfRule>
    <cfRule type="containsText" dxfId="5539" priority="2497" stopIfTrue="1" operator="containsText" text="Continua">
      <formula>NOT(ISERROR(SEARCH("Continua",R357)))</formula>
    </cfRule>
    <cfRule type="containsText" dxfId="5538" priority="2496" stopIfTrue="1" operator="containsText" text="Frecuente">
      <formula>NOT(ISERROR(SEARCH("Frecuente",R357)))</formula>
    </cfRule>
  </conditionalFormatting>
  <conditionalFormatting sqref="R358">
    <cfRule type="containsText" dxfId="5537" priority="2360" stopIfTrue="1" operator="containsText" text="Continua">
      <formula>NOT(ISERROR(SEARCH("Continua",R358)))</formula>
    </cfRule>
    <cfRule type="containsText" dxfId="5536" priority="2359" stopIfTrue="1" operator="containsText" text="Frecuente">
      <formula>NOT(ISERROR(SEARCH("Frecuente",R358)))</formula>
    </cfRule>
    <cfRule type="containsText" dxfId="5535" priority="2358" stopIfTrue="1" operator="containsText" text="Ocasional">
      <formula>NOT(ISERROR(SEARCH("Ocasional",R358)))</formula>
    </cfRule>
  </conditionalFormatting>
  <conditionalFormatting sqref="R359">
    <cfRule type="containsText" dxfId="5534" priority="2217" stopIfTrue="1" operator="containsText" text="Frecuente">
      <formula>NOT(ISERROR(SEARCH("Frecuente",R359)))</formula>
    </cfRule>
    <cfRule type="containsText" dxfId="5533" priority="2218" stopIfTrue="1" operator="containsText" text="Continua">
      <formula>NOT(ISERROR(SEARCH("Continua",R359)))</formula>
    </cfRule>
    <cfRule type="containsText" dxfId="5532" priority="2216" stopIfTrue="1" operator="containsText" text="Ocasional">
      <formula>NOT(ISERROR(SEARCH("Ocasional",R359)))</formula>
    </cfRule>
  </conditionalFormatting>
  <conditionalFormatting sqref="R360">
    <cfRule type="containsText" dxfId="5531" priority="2285" stopIfTrue="1" operator="containsText" text="Continua">
      <formula>NOT(ISERROR(SEARCH("Continua",R360)))</formula>
    </cfRule>
    <cfRule type="containsText" dxfId="5530" priority="2283" stopIfTrue="1" operator="containsText" text="Ocasional">
      <formula>NOT(ISERROR(SEARCH("Ocasional",R360)))</formula>
    </cfRule>
    <cfRule type="containsText" dxfId="5529" priority="2284" stopIfTrue="1" operator="containsText" text="Frecuente">
      <formula>NOT(ISERROR(SEARCH("Frecuente",R360)))</formula>
    </cfRule>
  </conditionalFormatting>
  <conditionalFormatting sqref="R361">
    <cfRule type="containsText" dxfId="5528" priority="2069" stopIfTrue="1" operator="containsText" text="Frecuente">
      <formula>NOT(ISERROR(SEARCH("Frecuente",R361)))</formula>
    </cfRule>
    <cfRule type="containsText" dxfId="5527" priority="2070" stopIfTrue="1" operator="containsText" text="Continua">
      <formula>NOT(ISERROR(SEARCH("Continua",R361)))</formula>
    </cfRule>
    <cfRule type="containsText" dxfId="5526" priority="2068" stopIfTrue="1" operator="containsText" text="Ocasional">
      <formula>NOT(ISERROR(SEARCH("Ocasional",R361)))</formula>
    </cfRule>
  </conditionalFormatting>
  <conditionalFormatting sqref="R362">
    <cfRule type="containsText" dxfId="5525" priority="2264" stopIfTrue="1" operator="containsText" text="Frecuente">
      <formula>NOT(ISERROR(SEARCH("Frecuente",R362)))</formula>
    </cfRule>
    <cfRule type="containsText" dxfId="5524" priority="2265" stopIfTrue="1" operator="containsText" text="Continua">
      <formula>NOT(ISERROR(SEARCH("Continua",R362)))</formula>
    </cfRule>
    <cfRule type="containsText" dxfId="5523" priority="2263" stopIfTrue="1" operator="containsText" text="Ocasional">
      <formula>NOT(ISERROR(SEARCH("Ocasional",R362)))</formula>
    </cfRule>
  </conditionalFormatting>
  <conditionalFormatting sqref="R363">
    <cfRule type="containsText" dxfId="5522" priority="2324" stopIfTrue="1" operator="containsText" text="Ocasional">
      <formula>NOT(ISERROR(SEARCH("Ocasional",R363)))</formula>
    </cfRule>
    <cfRule type="containsText" dxfId="5521" priority="2325" stopIfTrue="1" operator="containsText" text="Frecuente">
      <formula>NOT(ISERROR(SEARCH("Frecuente",R363)))</formula>
    </cfRule>
    <cfRule type="containsText" dxfId="5520" priority="2326" stopIfTrue="1" operator="containsText" text="Continua">
      <formula>NOT(ISERROR(SEARCH("Continua",R363)))</formula>
    </cfRule>
  </conditionalFormatting>
  <conditionalFormatting sqref="R364:R365">
    <cfRule type="containsText" dxfId="5519" priority="2528" stopIfTrue="1" operator="containsText" text="Ocasional">
      <formula>NOT(ISERROR(SEARCH("Ocasional",R364)))</formula>
    </cfRule>
    <cfRule type="containsText" dxfId="5518" priority="2529" stopIfTrue="1" operator="containsText" text="Frecuente">
      <formula>NOT(ISERROR(SEARCH("Frecuente",R364)))</formula>
    </cfRule>
    <cfRule type="containsText" dxfId="5517" priority="2530" stopIfTrue="1" operator="containsText" text="Continua">
      <formula>NOT(ISERROR(SEARCH("Continua",R364)))</formula>
    </cfRule>
  </conditionalFormatting>
  <conditionalFormatting sqref="R366">
    <cfRule type="containsText" dxfId="5516" priority="1908" stopIfTrue="1" operator="containsText" text="Frecuente">
      <formula>NOT(ISERROR(SEARCH("Frecuente",R366)))</formula>
    </cfRule>
    <cfRule type="containsText" dxfId="5515" priority="1907" stopIfTrue="1" operator="containsText" text="Ocasional">
      <formula>NOT(ISERROR(SEARCH("Ocasional",R366)))</formula>
    </cfRule>
    <cfRule type="containsText" dxfId="5514" priority="1909" stopIfTrue="1" operator="containsText" text="Continua">
      <formula>NOT(ISERROR(SEARCH("Continua",R366)))</formula>
    </cfRule>
  </conditionalFormatting>
  <conditionalFormatting sqref="R367">
    <cfRule type="containsText" dxfId="5513" priority="1524" stopIfTrue="1" operator="containsText" text="Ocasional">
      <formula>NOT(ISERROR(SEARCH("Ocasional",R367)))</formula>
    </cfRule>
    <cfRule type="containsText" dxfId="5512" priority="1526" stopIfTrue="1" operator="containsText" text="Continua">
      <formula>NOT(ISERROR(SEARCH("Continua",R367)))</formula>
    </cfRule>
    <cfRule type="containsText" dxfId="5511" priority="1525" stopIfTrue="1" operator="containsText" text="Frecuente">
      <formula>NOT(ISERROR(SEARCH("Frecuente",R367)))</formula>
    </cfRule>
  </conditionalFormatting>
  <conditionalFormatting sqref="R368">
    <cfRule type="containsText" dxfId="5510" priority="1540" stopIfTrue="1" operator="containsText" text="Ocasional">
      <formula>NOT(ISERROR(SEARCH("Ocasional",R368)))</formula>
    </cfRule>
    <cfRule type="containsText" dxfId="5509" priority="1541" stopIfTrue="1" operator="containsText" text="Frecuente">
      <formula>NOT(ISERROR(SEARCH("Frecuente",R368)))</formula>
    </cfRule>
    <cfRule type="containsText" dxfId="5508" priority="1542" stopIfTrue="1" operator="containsText" text="Continua">
      <formula>NOT(ISERROR(SEARCH("Continua",R368)))</formula>
    </cfRule>
  </conditionalFormatting>
  <conditionalFormatting sqref="R369">
    <cfRule type="containsText" dxfId="5507" priority="1874" stopIfTrue="1" operator="containsText" text="Ocasional">
      <formula>NOT(ISERROR(SEARCH("Ocasional",R369)))</formula>
    </cfRule>
    <cfRule type="containsText" dxfId="5506" priority="1876" stopIfTrue="1" operator="containsText" text="Continua">
      <formula>NOT(ISERROR(SEARCH("Continua",R369)))</formula>
    </cfRule>
    <cfRule type="containsText" dxfId="5505" priority="1875" stopIfTrue="1" operator="containsText" text="Frecuente">
      <formula>NOT(ISERROR(SEARCH("Frecuente",R369)))</formula>
    </cfRule>
  </conditionalFormatting>
  <conditionalFormatting sqref="R370">
    <cfRule type="containsText" dxfId="5504" priority="1966" stopIfTrue="1" operator="containsText" text="Ocasional">
      <formula>NOT(ISERROR(SEARCH("Ocasional",R370)))</formula>
    </cfRule>
    <cfRule type="containsText" dxfId="5503" priority="1967" stopIfTrue="1" operator="containsText" text="Frecuente">
      <formula>NOT(ISERROR(SEARCH("Frecuente",R370)))</formula>
    </cfRule>
    <cfRule type="containsText" dxfId="5502" priority="1968" stopIfTrue="1" operator="containsText" text="Continua">
      <formula>NOT(ISERROR(SEARCH("Continua",R370)))</formula>
    </cfRule>
  </conditionalFormatting>
  <conditionalFormatting sqref="R371">
    <cfRule type="containsText" dxfId="5501" priority="1830" stopIfTrue="1" operator="containsText" text="Frecuente">
      <formula>NOT(ISERROR(SEARCH("Frecuente",R371)))</formula>
    </cfRule>
    <cfRule type="containsText" dxfId="5500" priority="1831" stopIfTrue="1" operator="containsText" text="Continua">
      <formula>NOT(ISERROR(SEARCH("Continua",R371)))</formula>
    </cfRule>
    <cfRule type="containsText" dxfId="5499" priority="1829" stopIfTrue="1" operator="containsText" text="Ocasional">
      <formula>NOT(ISERROR(SEARCH("Ocasional",R371)))</formula>
    </cfRule>
  </conditionalFormatting>
  <conditionalFormatting sqref="R372">
    <cfRule type="containsText" dxfId="5498" priority="1693" stopIfTrue="1" operator="containsText" text="Ocasional">
      <formula>NOT(ISERROR(SEARCH("Ocasional",R372)))</formula>
    </cfRule>
    <cfRule type="containsText" dxfId="5497" priority="1694" stopIfTrue="1" operator="containsText" text="Frecuente">
      <formula>NOT(ISERROR(SEARCH("Frecuente",R372)))</formula>
    </cfRule>
    <cfRule type="containsText" dxfId="5496" priority="1695" stopIfTrue="1" operator="containsText" text="Continua">
      <formula>NOT(ISERROR(SEARCH("Continua",R372)))</formula>
    </cfRule>
  </conditionalFormatting>
  <conditionalFormatting sqref="R373">
    <cfRule type="containsText" dxfId="5495" priority="1651" stopIfTrue="1" operator="containsText" text="Frecuente">
      <formula>NOT(ISERROR(SEARCH("Frecuente",R373)))</formula>
    </cfRule>
    <cfRule type="containsText" dxfId="5494" priority="1650" stopIfTrue="1" operator="containsText" text="Ocasional">
      <formula>NOT(ISERROR(SEARCH("Ocasional",R373)))</formula>
    </cfRule>
    <cfRule type="containsText" dxfId="5493" priority="1652" stopIfTrue="1" operator="containsText" text="Continua">
      <formula>NOT(ISERROR(SEARCH("Continua",R373)))</formula>
    </cfRule>
  </conditionalFormatting>
  <conditionalFormatting sqref="R374">
    <cfRule type="containsText" dxfId="5492" priority="1755" stopIfTrue="1" operator="containsText" text="Frecuente">
      <formula>NOT(ISERROR(SEARCH("Frecuente",R374)))</formula>
    </cfRule>
    <cfRule type="containsText" dxfId="5491" priority="1754" stopIfTrue="1" operator="containsText" text="Ocasional">
      <formula>NOT(ISERROR(SEARCH("Ocasional",R374)))</formula>
    </cfRule>
    <cfRule type="containsText" dxfId="5490" priority="1756" stopIfTrue="1" operator="containsText" text="Continua">
      <formula>NOT(ISERROR(SEARCH("Continua",R374)))</formula>
    </cfRule>
  </conditionalFormatting>
  <conditionalFormatting sqref="R375">
    <cfRule type="containsText" dxfId="5489" priority="1734" stopIfTrue="1" operator="containsText" text="Ocasional">
      <formula>NOT(ISERROR(SEARCH("Ocasional",R375)))</formula>
    </cfRule>
    <cfRule type="containsText" dxfId="5488" priority="1735" stopIfTrue="1" operator="containsText" text="Frecuente">
      <formula>NOT(ISERROR(SEARCH("Frecuente",R375)))</formula>
    </cfRule>
    <cfRule type="containsText" dxfId="5487" priority="1736" stopIfTrue="1" operator="containsText" text="Continua">
      <formula>NOT(ISERROR(SEARCH("Continua",R375)))</formula>
    </cfRule>
  </conditionalFormatting>
  <conditionalFormatting sqref="R376">
    <cfRule type="containsText" dxfId="5486" priority="1796" stopIfTrue="1" operator="containsText" text="Frecuente">
      <formula>NOT(ISERROR(SEARCH("Frecuente",R376)))</formula>
    </cfRule>
    <cfRule type="containsText" dxfId="5485" priority="1795" stopIfTrue="1" operator="containsText" text="Ocasional">
      <formula>NOT(ISERROR(SEARCH("Ocasional",R376)))</formula>
    </cfRule>
    <cfRule type="containsText" dxfId="5484" priority="1797" stopIfTrue="1" operator="containsText" text="Continua">
      <formula>NOT(ISERROR(SEARCH("Continua",R376)))</formula>
    </cfRule>
  </conditionalFormatting>
  <conditionalFormatting sqref="R377">
    <cfRule type="containsText" dxfId="5483" priority="2012" stopIfTrue="1" operator="containsText" text="Ocasional">
      <formula>NOT(ISERROR(SEARCH("Ocasional",R377)))</formula>
    </cfRule>
    <cfRule type="containsText" dxfId="5482" priority="2014" stopIfTrue="1" operator="containsText" text="Continua">
      <formula>NOT(ISERROR(SEARCH("Continua",R377)))</formula>
    </cfRule>
    <cfRule type="containsText" dxfId="5481" priority="2013" stopIfTrue="1" operator="containsText" text="Frecuente">
      <formula>NOT(ISERROR(SEARCH("Frecuente",R377)))</formula>
    </cfRule>
  </conditionalFormatting>
  <conditionalFormatting sqref="R378">
    <cfRule type="containsText" dxfId="5480" priority="1179" stopIfTrue="1" operator="containsText" text="Ocasional">
      <formula>NOT(ISERROR(SEARCH("Ocasional",R378)))</formula>
    </cfRule>
    <cfRule type="containsText" dxfId="5479" priority="1178" stopIfTrue="1" operator="containsText" text="Esporádica">
      <formula>NOT(ISERROR(SEARCH("Esporádica",R378)))</formula>
    </cfRule>
    <cfRule type="containsText" dxfId="5478" priority="1180" stopIfTrue="1" operator="containsText" text="Frecuente">
      <formula>NOT(ISERROR(SEARCH("Frecuente",R378)))</formula>
    </cfRule>
    <cfRule type="containsText" dxfId="5477" priority="1181" stopIfTrue="1" operator="containsText" text="Continua">
      <formula>NOT(ISERROR(SEARCH("Continua",R378)))</formula>
    </cfRule>
  </conditionalFormatting>
  <conditionalFormatting sqref="R379">
    <cfRule type="containsText" dxfId="5476" priority="1145" stopIfTrue="1" operator="containsText" text="Continua">
      <formula>NOT(ISERROR(SEARCH("Continua",R379)))</formula>
    </cfRule>
    <cfRule type="containsText" dxfId="5475" priority="1142" stopIfTrue="1" operator="containsText" text="Esporádica">
      <formula>NOT(ISERROR(SEARCH("Esporádica",R379)))</formula>
    </cfRule>
    <cfRule type="containsText" dxfId="5474" priority="1144" stopIfTrue="1" operator="containsText" text="Frecuente">
      <formula>NOT(ISERROR(SEARCH("Frecuente",R379)))</formula>
    </cfRule>
    <cfRule type="containsText" dxfId="5473" priority="1143" stopIfTrue="1" operator="containsText" text="Ocasional">
      <formula>NOT(ISERROR(SEARCH("Ocasional",R379)))</formula>
    </cfRule>
  </conditionalFormatting>
  <conditionalFormatting sqref="R380">
    <cfRule type="containsText" dxfId="5472" priority="1439" stopIfTrue="1" operator="containsText" text="Frecuente">
      <formula>NOT(ISERROR(SEARCH("Frecuente",R380)))</formula>
    </cfRule>
    <cfRule type="containsText" dxfId="5471" priority="1440" stopIfTrue="1" operator="containsText" text="Continua">
      <formula>NOT(ISERROR(SEARCH("Continua",R380)))</formula>
    </cfRule>
    <cfRule type="containsText" dxfId="5470" priority="1437" stopIfTrue="1" operator="containsText" text="Esporádica">
      <formula>NOT(ISERROR(SEARCH("Esporádica",R380)))</formula>
    </cfRule>
    <cfRule type="containsText" dxfId="5469" priority="1438" stopIfTrue="1" operator="containsText" text="Ocasional">
      <formula>NOT(ISERROR(SEARCH("Ocasional",R380)))</formula>
    </cfRule>
  </conditionalFormatting>
  <conditionalFormatting sqref="R381">
    <cfRule type="containsText" dxfId="5468" priority="1485" stopIfTrue="1" operator="containsText" text="Continua">
      <formula>NOT(ISERROR(SEARCH("Continua",R381)))</formula>
    </cfRule>
    <cfRule type="containsText" dxfId="5467" priority="1484" stopIfTrue="1" operator="containsText" text="Frecuente">
      <formula>NOT(ISERROR(SEARCH("Frecuente",R381)))</formula>
    </cfRule>
    <cfRule type="containsText" dxfId="5466" priority="1483" stopIfTrue="1" operator="containsText" text="Ocasional">
      <formula>NOT(ISERROR(SEARCH("Ocasional",R381)))</formula>
    </cfRule>
    <cfRule type="containsText" dxfId="5465" priority="1482" stopIfTrue="1" operator="containsText" text="Esporádica">
      <formula>NOT(ISERROR(SEARCH("Esporádica",R381)))</formula>
    </cfRule>
  </conditionalFormatting>
  <conditionalFormatting sqref="R382">
    <cfRule type="containsText" dxfId="5464" priority="1304" stopIfTrue="1" operator="containsText" text="Continua">
      <formula>NOT(ISERROR(SEARCH("Continua",R382)))</formula>
    </cfRule>
    <cfRule type="containsText" dxfId="5463" priority="1303" stopIfTrue="1" operator="containsText" text="Frecuente">
      <formula>NOT(ISERROR(SEARCH("Frecuente",R382)))</formula>
    </cfRule>
    <cfRule type="containsText" dxfId="5462" priority="1302" stopIfTrue="1" operator="containsText" text="Ocasional">
      <formula>NOT(ISERROR(SEARCH("Ocasional",R382)))</formula>
    </cfRule>
    <cfRule type="containsText" dxfId="5461" priority="1301" stopIfTrue="1" operator="containsText" text="Esporádica">
      <formula>NOT(ISERROR(SEARCH("Esporádica",R382)))</formula>
    </cfRule>
  </conditionalFormatting>
  <conditionalFormatting sqref="R383">
    <cfRule type="containsText" dxfId="5460" priority="1256" stopIfTrue="1" operator="containsText" text="Esporádica">
      <formula>NOT(ISERROR(SEARCH("Esporádica",R383)))</formula>
    </cfRule>
    <cfRule type="containsText" dxfId="5459" priority="1257" stopIfTrue="1" operator="containsText" text="Ocasional">
      <formula>NOT(ISERROR(SEARCH("Ocasional",R383)))</formula>
    </cfRule>
    <cfRule type="containsText" dxfId="5458" priority="1259" stopIfTrue="1" operator="containsText" text="Continua">
      <formula>NOT(ISERROR(SEARCH("Continua",R383)))</formula>
    </cfRule>
    <cfRule type="containsText" dxfId="5457" priority="1258" stopIfTrue="1" operator="containsText" text="Frecuente">
      <formula>NOT(ISERROR(SEARCH("Frecuente",R383)))</formula>
    </cfRule>
  </conditionalFormatting>
  <conditionalFormatting sqref="R384">
    <cfRule type="containsText" dxfId="5456" priority="1364" stopIfTrue="1" operator="containsText" text="Frecuente">
      <formula>NOT(ISERROR(SEARCH("Frecuente",R384)))</formula>
    </cfRule>
    <cfRule type="containsText" dxfId="5455" priority="1363" stopIfTrue="1" operator="containsText" text="Ocasional">
      <formula>NOT(ISERROR(SEARCH("Ocasional",R384)))</formula>
    </cfRule>
    <cfRule type="containsText" dxfId="5454" priority="1365" stopIfTrue="1" operator="containsText" text="Continua">
      <formula>NOT(ISERROR(SEARCH("Continua",R384)))</formula>
    </cfRule>
    <cfRule type="containsText" dxfId="5453" priority="1362" stopIfTrue="1" operator="containsText" text="Esporádica">
      <formula>NOT(ISERROR(SEARCH("Esporádica",R384)))</formula>
    </cfRule>
  </conditionalFormatting>
  <conditionalFormatting sqref="R385">
    <cfRule type="containsText" dxfId="5452" priority="1344" stopIfTrue="1" operator="containsText" text="Frecuente">
      <formula>NOT(ISERROR(SEARCH("Frecuente",R385)))</formula>
    </cfRule>
    <cfRule type="containsText" dxfId="5451" priority="1345" stopIfTrue="1" operator="containsText" text="Continua">
      <formula>NOT(ISERROR(SEARCH("Continua",R385)))</formula>
    </cfRule>
    <cfRule type="containsText" dxfId="5450" priority="1342" stopIfTrue="1" operator="containsText" text="Esporádica">
      <formula>NOT(ISERROR(SEARCH("Esporádica",R385)))</formula>
    </cfRule>
    <cfRule type="containsText" dxfId="5449" priority="1343" stopIfTrue="1" operator="containsText" text="Ocasional">
      <formula>NOT(ISERROR(SEARCH("Ocasional",R385)))</formula>
    </cfRule>
  </conditionalFormatting>
  <conditionalFormatting sqref="R386">
    <cfRule type="containsText" dxfId="5448" priority="1404" stopIfTrue="1" operator="containsText" text="Ocasional">
      <formula>NOT(ISERROR(SEARCH("Ocasional",R386)))</formula>
    </cfRule>
    <cfRule type="containsText" dxfId="5447" priority="1405" stopIfTrue="1" operator="containsText" text="Frecuente">
      <formula>NOT(ISERROR(SEARCH("Frecuente",R386)))</formula>
    </cfRule>
    <cfRule type="containsText" dxfId="5446" priority="1406" stopIfTrue="1" operator="containsText" text="Continua">
      <formula>NOT(ISERROR(SEARCH("Continua",R386)))</formula>
    </cfRule>
    <cfRule type="containsText" dxfId="5445" priority="1403" stopIfTrue="1" operator="containsText" text="Esporádica">
      <formula>NOT(ISERROR(SEARCH("Esporádica",R386)))</formula>
    </cfRule>
  </conditionalFormatting>
  <conditionalFormatting sqref="R387">
    <cfRule type="containsText" dxfId="5444" priority="1518" stopIfTrue="1" operator="containsText" text="Continua">
      <formula>NOT(ISERROR(SEARCH("Continua",R387)))</formula>
    </cfRule>
    <cfRule type="containsText" dxfId="5443" priority="1517" stopIfTrue="1" operator="containsText" text="Frecuente">
      <formula>NOT(ISERROR(SEARCH("Frecuente",R387)))</formula>
    </cfRule>
    <cfRule type="containsText" dxfId="5442" priority="1516" stopIfTrue="1" operator="containsText" text="Ocasional">
      <formula>NOT(ISERROR(SEARCH("Ocasional",R387)))</formula>
    </cfRule>
    <cfRule type="containsText" dxfId="5441" priority="1515" stopIfTrue="1" operator="containsText" text="Esporádica">
      <formula>NOT(ISERROR(SEARCH("Esporádica",R387)))</formula>
    </cfRule>
  </conditionalFormatting>
  <conditionalFormatting sqref="R388">
    <cfRule type="containsText" dxfId="5440" priority="1023" stopIfTrue="1" operator="containsText" text="Frecuente">
      <formula>NOT(ISERROR(SEARCH("Frecuente",R388)))</formula>
    </cfRule>
    <cfRule type="containsText" dxfId="5439" priority="1024" stopIfTrue="1" operator="containsText" text="Continua">
      <formula>NOT(ISERROR(SEARCH("Continua",R388)))</formula>
    </cfRule>
    <cfRule type="containsText" dxfId="5438" priority="1022" stopIfTrue="1" operator="containsText" text="Ocasional">
      <formula>NOT(ISERROR(SEARCH("Ocasional",R388)))</formula>
    </cfRule>
    <cfRule type="containsText" dxfId="5437" priority="1021" stopIfTrue="1" operator="containsText" text="Esporádica">
      <formula>NOT(ISERROR(SEARCH("Esporádica",R388)))</formula>
    </cfRule>
  </conditionalFormatting>
  <conditionalFormatting sqref="R389">
    <cfRule type="containsText" dxfId="5436" priority="641" stopIfTrue="1" operator="containsText" text="Continua">
      <formula>NOT(ISERROR(SEARCH("Continua",R389)))</formula>
    </cfRule>
    <cfRule type="containsText" dxfId="5435" priority="638" stopIfTrue="1" operator="containsText" text="Esporádica">
      <formula>NOT(ISERROR(SEARCH("Esporádica",R389)))</formula>
    </cfRule>
    <cfRule type="containsText" dxfId="5434" priority="640" stopIfTrue="1" operator="containsText" text="Frecuente">
      <formula>NOT(ISERROR(SEARCH("Frecuente",R389)))</formula>
    </cfRule>
    <cfRule type="containsText" dxfId="5433" priority="639" stopIfTrue="1" operator="containsText" text="Ocasional">
      <formula>NOT(ISERROR(SEARCH("Ocasional",R389)))</formula>
    </cfRule>
  </conditionalFormatting>
  <conditionalFormatting sqref="R390">
    <cfRule type="containsText" dxfId="5432" priority="655" stopIfTrue="1" operator="containsText" text="Ocasional">
      <formula>NOT(ISERROR(SEARCH("Ocasional",R390)))</formula>
    </cfRule>
    <cfRule type="containsText" dxfId="5431" priority="656" stopIfTrue="1" operator="containsText" text="Frecuente">
      <formula>NOT(ISERROR(SEARCH("Frecuente",R390)))</formula>
    </cfRule>
    <cfRule type="containsText" dxfId="5430" priority="657" stopIfTrue="1" operator="containsText" text="Continua">
      <formula>NOT(ISERROR(SEARCH("Continua",R390)))</formula>
    </cfRule>
    <cfRule type="containsText" dxfId="5429" priority="654" stopIfTrue="1" operator="containsText" text="Esporádica">
      <formula>NOT(ISERROR(SEARCH("Esporádica",R390)))</formula>
    </cfRule>
  </conditionalFormatting>
  <conditionalFormatting sqref="R391">
    <cfRule type="containsText" dxfId="5428" priority="991" stopIfTrue="1" operator="containsText" text="Continua">
      <formula>NOT(ISERROR(SEARCH("Continua",R391)))</formula>
    </cfRule>
    <cfRule type="containsText" dxfId="5427" priority="990" stopIfTrue="1" operator="containsText" text="Frecuente">
      <formula>NOT(ISERROR(SEARCH("Frecuente",R391)))</formula>
    </cfRule>
    <cfRule type="containsText" dxfId="5426" priority="988" stopIfTrue="1" operator="containsText" text="Esporádica">
      <formula>NOT(ISERROR(SEARCH("Esporádica",R391)))</formula>
    </cfRule>
    <cfRule type="containsText" dxfId="5425" priority="989" stopIfTrue="1" operator="containsText" text="Ocasional">
      <formula>NOT(ISERROR(SEARCH("Ocasional",R391)))</formula>
    </cfRule>
  </conditionalFormatting>
  <conditionalFormatting sqref="R392">
    <cfRule type="containsText" dxfId="5424" priority="1080" stopIfTrue="1" operator="containsText" text="Esporádica">
      <formula>NOT(ISERROR(SEARCH("Esporádica",R392)))</formula>
    </cfRule>
    <cfRule type="containsText" dxfId="5423" priority="1081" stopIfTrue="1" operator="containsText" text="Ocasional">
      <formula>NOT(ISERROR(SEARCH("Ocasional",R392)))</formula>
    </cfRule>
    <cfRule type="containsText" dxfId="5422" priority="1082" stopIfTrue="1" operator="containsText" text="Frecuente">
      <formula>NOT(ISERROR(SEARCH("Frecuente",R392)))</formula>
    </cfRule>
    <cfRule type="containsText" dxfId="5421" priority="1083" stopIfTrue="1" operator="containsText" text="Continua">
      <formula>NOT(ISERROR(SEARCH("Continua",R392)))</formula>
    </cfRule>
  </conditionalFormatting>
  <conditionalFormatting sqref="R393">
    <cfRule type="containsText" dxfId="5420" priority="946" stopIfTrue="1" operator="containsText" text="Continua">
      <formula>NOT(ISERROR(SEARCH("Continua",R393)))</formula>
    </cfRule>
    <cfRule type="containsText" dxfId="5419" priority="945" stopIfTrue="1" operator="containsText" text="Frecuente">
      <formula>NOT(ISERROR(SEARCH("Frecuente",R393)))</formula>
    </cfRule>
    <cfRule type="containsText" dxfId="5418" priority="944" stopIfTrue="1" operator="containsText" text="Ocasional">
      <formula>NOT(ISERROR(SEARCH("Ocasional",R393)))</formula>
    </cfRule>
    <cfRule type="containsText" dxfId="5417" priority="943" stopIfTrue="1" operator="containsText" text="Esporádica">
      <formula>NOT(ISERROR(SEARCH("Esporádica",R393)))</formula>
    </cfRule>
  </conditionalFormatting>
  <conditionalFormatting sqref="R394">
    <cfRule type="containsText" dxfId="5416" priority="810" stopIfTrue="1" operator="containsText" text="Continua">
      <formula>NOT(ISERROR(SEARCH("Continua",R394)))</formula>
    </cfRule>
    <cfRule type="containsText" dxfId="5415" priority="809" stopIfTrue="1" operator="containsText" text="Frecuente">
      <formula>NOT(ISERROR(SEARCH("Frecuente",R394)))</formula>
    </cfRule>
    <cfRule type="containsText" dxfId="5414" priority="807" stopIfTrue="1" operator="containsText" text="Esporádica">
      <formula>NOT(ISERROR(SEARCH("Esporádica",R394)))</formula>
    </cfRule>
    <cfRule type="containsText" dxfId="5413" priority="808" stopIfTrue="1" operator="containsText" text="Ocasional">
      <formula>NOT(ISERROR(SEARCH("Ocasional",R394)))</formula>
    </cfRule>
  </conditionalFormatting>
  <conditionalFormatting sqref="R395">
    <cfRule type="containsText" dxfId="5412" priority="765" stopIfTrue="1" operator="containsText" text="Ocasional">
      <formula>NOT(ISERROR(SEARCH("Ocasional",R395)))</formula>
    </cfRule>
    <cfRule type="containsText" dxfId="5411" priority="766" stopIfTrue="1" operator="containsText" text="Frecuente">
      <formula>NOT(ISERROR(SEARCH("Frecuente",R395)))</formula>
    </cfRule>
    <cfRule type="containsText" dxfId="5410" priority="764" stopIfTrue="1" operator="containsText" text="Esporádica">
      <formula>NOT(ISERROR(SEARCH("Esporádica",R395)))</formula>
    </cfRule>
    <cfRule type="containsText" dxfId="5409" priority="767" stopIfTrue="1" operator="containsText" text="Continua">
      <formula>NOT(ISERROR(SEARCH("Continua",R395)))</formula>
    </cfRule>
  </conditionalFormatting>
  <conditionalFormatting sqref="R396">
    <cfRule type="containsText" dxfId="5408" priority="868" stopIfTrue="1" operator="containsText" text="Esporádica">
      <formula>NOT(ISERROR(SEARCH("Esporádica",R396)))</formula>
    </cfRule>
    <cfRule type="containsText" dxfId="5407" priority="871" stopIfTrue="1" operator="containsText" text="Continua">
      <formula>NOT(ISERROR(SEARCH("Continua",R396)))</formula>
    </cfRule>
    <cfRule type="containsText" dxfId="5406" priority="870" stopIfTrue="1" operator="containsText" text="Frecuente">
      <formula>NOT(ISERROR(SEARCH("Frecuente",R396)))</formula>
    </cfRule>
    <cfRule type="containsText" dxfId="5405" priority="869" stopIfTrue="1" operator="containsText" text="Ocasional">
      <formula>NOT(ISERROR(SEARCH("Ocasional",R396)))</formula>
    </cfRule>
  </conditionalFormatting>
  <conditionalFormatting sqref="R397">
    <cfRule type="containsText" dxfId="5404" priority="849" stopIfTrue="1" operator="containsText" text="Ocasional">
      <formula>NOT(ISERROR(SEARCH("Ocasional",R397)))</formula>
    </cfRule>
    <cfRule type="containsText" dxfId="5403" priority="850" stopIfTrue="1" operator="containsText" text="Frecuente">
      <formula>NOT(ISERROR(SEARCH("Frecuente",R397)))</formula>
    </cfRule>
    <cfRule type="containsText" dxfId="5402" priority="851" stopIfTrue="1" operator="containsText" text="Continua">
      <formula>NOT(ISERROR(SEARCH("Continua",R397)))</formula>
    </cfRule>
    <cfRule type="containsText" dxfId="5401" priority="848" stopIfTrue="1" operator="containsText" text="Esporádica">
      <formula>NOT(ISERROR(SEARCH("Esporádica",R397)))</formula>
    </cfRule>
  </conditionalFormatting>
  <conditionalFormatting sqref="R398">
    <cfRule type="containsText" dxfId="5400" priority="911" stopIfTrue="1" operator="containsText" text="Frecuente">
      <formula>NOT(ISERROR(SEARCH("Frecuente",R398)))</formula>
    </cfRule>
    <cfRule type="containsText" dxfId="5399" priority="910" stopIfTrue="1" operator="containsText" text="Ocasional">
      <formula>NOT(ISERROR(SEARCH("Ocasional",R398)))</formula>
    </cfRule>
    <cfRule type="containsText" dxfId="5398" priority="909" stopIfTrue="1" operator="containsText" text="Esporádica">
      <formula>NOT(ISERROR(SEARCH("Esporádica",R398)))</formula>
    </cfRule>
    <cfRule type="containsText" dxfId="5397" priority="912" stopIfTrue="1" operator="containsText" text="Continua">
      <formula>NOT(ISERROR(SEARCH("Continua",R398)))</formula>
    </cfRule>
  </conditionalFormatting>
  <conditionalFormatting sqref="R399">
    <cfRule type="containsText" dxfId="5396" priority="1129" stopIfTrue="1" operator="containsText" text="Continua">
      <formula>NOT(ISERROR(SEARCH("Continua",R399)))</formula>
    </cfRule>
    <cfRule type="containsText" dxfId="5395" priority="1128" stopIfTrue="1" operator="containsText" text="Frecuente">
      <formula>NOT(ISERROR(SEARCH("Frecuente",R399)))</formula>
    </cfRule>
    <cfRule type="containsText" dxfId="5394" priority="1126" stopIfTrue="1" operator="containsText" text="Esporádica">
      <formula>NOT(ISERROR(SEARCH("Esporádica",R399)))</formula>
    </cfRule>
    <cfRule type="containsText" dxfId="5393" priority="1127" stopIfTrue="1" operator="containsText" text="Ocasional">
      <formula>NOT(ISERROR(SEARCH("Ocasional",R399)))</formula>
    </cfRule>
  </conditionalFormatting>
  <conditionalFormatting sqref="R400">
    <cfRule type="containsText" dxfId="5392" priority="618" stopIfTrue="1" operator="containsText" text="Frecuente">
      <formula>NOT(ISERROR(SEARCH("Frecuente",R400)))</formula>
    </cfRule>
    <cfRule type="containsText" dxfId="5391" priority="617" stopIfTrue="1" operator="containsText" text="Ocasional">
      <formula>NOT(ISERROR(SEARCH("Ocasional",R400)))</formula>
    </cfRule>
    <cfRule type="containsText" dxfId="5390" priority="619" stopIfTrue="1" operator="containsText" text="Continua">
      <formula>NOT(ISERROR(SEARCH("Continua",R400)))</formula>
    </cfRule>
    <cfRule type="containsText" dxfId="5389" priority="616" stopIfTrue="1" operator="containsText" text="Esporádica">
      <formula>NOT(ISERROR(SEARCH("Esporádica",R400)))</formula>
    </cfRule>
  </conditionalFormatting>
  <conditionalFormatting sqref="R401">
    <cfRule type="containsText" dxfId="5388" priority="492" stopIfTrue="1" operator="containsText" text="Ocasional">
      <formula>NOT(ISERROR(SEARCH("Ocasional",R401)))</formula>
    </cfRule>
    <cfRule type="containsText" dxfId="5387" priority="494" stopIfTrue="1" operator="containsText" text="Continua">
      <formula>NOT(ISERROR(SEARCH("Continua",R401)))</formula>
    </cfRule>
    <cfRule type="containsText" dxfId="5386" priority="491" stopIfTrue="1" operator="containsText" text="Esporádica">
      <formula>NOT(ISERROR(SEARCH("Esporádica",R401)))</formula>
    </cfRule>
    <cfRule type="containsText" dxfId="5385" priority="493" stopIfTrue="1" operator="containsText" text="Frecuente">
      <formula>NOT(ISERROR(SEARCH("Frecuente",R401)))</formula>
    </cfRule>
  </conditionalFormatting>
  <conditionalFormatting sqref="R402">
    <cfRule type="containsText" dxfId="5384" priority="110" stopIfTrue="1" operator="containsText" text="Frecuente">
      <formula>NOT(ISERROR(SEARCH("Frecuente",R402)))</formula>
    </cfRule>
    <cfRule type="containsText" dxfId="5383" priority="109" stopIfTrue="1" operator="containsText" text="Ocasional">
      <formula>NOT(ISERROR(SEARCH("Ocasional",R402)))</formula>
    </cfRule>
    <cfRule type="containsText" dxfId="5382" priority="108" stopIfTrue="1" operator="containsText" text="Esporádica">
      <formula>NOT(ISERROR(SEARCH("Esporádica",R402)))</formula>
    </cfRule>
    <cfRule type="containsText" dxfId="5381" priority="111" stopIfTrue="1" operator="containsText" text="Continua">
      <formula>NOT(ISERROR(SEARCH("Continua",R402)))</formula>
    </cfRule>
  </conditionalFormatting>
  <conditionalFormatting sqref="R403">
    <cfRule type="containsText" dxfId="5380" priority="127" stopIfTrue="1" operator="containsText" text="Continua">
      <formula>NOT(ISERROR(SEARCH("Continua",R403)))</formula>
    </cfRule>
    <cfRule type="containsText" dxfId="5379" priority="124" stopIfTrue="1" operator="containsText" text="Esporádica">
      <formula>NOT(ISERROR(SEARCH("Esporádica",R403)))</formula>
    </cfRule>
    <cfRule type="containsText" dxfId="5378" priority="125" stopIfTrue="1" operator="containsText" text="Ocasional">
      <formula>NOT(ISERROR(SEARCH("Ocasional",R403)))</formula>
    </cfRule>
    <cfRule type="containsText" dxfId="5377" priority="126" stopIfTrue="1" operator="containsText" text="Frecuente">
      <formula>NOT(ISERROR(SEARCH("Frecuente",R403)))</formula>
    </cfRule>
  </conditionalFormatting>
  <conditionalFormatting sqref="R404">
    <cfRule type="containsText" dxfId="5376" priority="458" stopIfTrue="1" operator="containsText" text="Esporádica">
      <formula>NOT(ISERROR(SEARCH("Esporádica",R404)))</formula>
    </cfRule>
    <cfRule type="containsText" dxfId="5375" priority="459" stopIfTrue="1" operator="containsText" text="Ocasional">
      <formula>NOT(ISERROR(SEARCH("Ocasional",R404)))</formula>
    </cfRule>
    <cfRule type="containsText" dxfId="5374" priority="461" stopIfTrue="1" operator="containsText" text="Continua">
      <formula>NOT(ISERROR(SEARCH("Continua",R404)))</formula>
    </cfRule>
    <cfRule type="containsText" dxfId="5373" priority="460" stopIfTrue="1" operator="containsText" text="Frecuente">
      <formula>NOT(ISERROR(SEARCH("Frecuente",R404)))</formula>
    </cfRule>
  </conditionalFormatting>
  <conditionalFormatting sqref="R405">
    <cfRule type="containsText" dxfId="5372" priority="552" stopIfTrue="1" operator="containsText" text="Frecuente">
      <formula>NOT(ISERROR(SEARCH("Frecuente",R405)))</formula>
    </cfRule>
    <cfRule type="containsText" dxfId="5371" priority="553" stopIfTrue="1" operator="containsText" text="Continua">
      <formula>NOT(ISERROR(SEARCH("Continua",R405)))</formula>
    </cfRule>
    <cfRule type="containsText" dxfId="5370" priority="551" stopIfTrue="1" operator="containsText" text="Ocasional">
      <formula>NOT(ISERROR(SEARCH("Ocasional",R405)))</formula>
    </cfRule>
    <cfRule type="containsText" dxfId="5369" priority="550" stopIfTrue="1" operator="containsText" text="Esporádica">
      <formula>NOT(ISERROR(SEARCH("Esporádica",R405)))</formula>
    </cfRule>
  </conditionalFormatting>
  <conditionalFormatting sqref="R406">
    <cfRule type="containsText" dxfId="5368" priority="413" stopIfTrue="1" operator="containsText" text="Esporádica">
      <formula>NOT(ISERROR(SEARCH("Esporádica",R406)))</formula>
    </cfRule>
    <cfRule type="containsText" dxfId="5367" priority="416" stopIfTrue="1" operator="containsText" text="Continua">
      <formula>NOT(ISERROR(SEARCH("Continua",R406)))</formula>
    </cfRule>
    <cfRule type="containsText" dxfId="5366" priority="415" stopIfTrue="1" operator="containsText" text="Frecuente">
      <formula>NOT(ISERROR(SEARCH("Frecuente",R406)))</formula>
    </cfRule>
    <cfRule type="containsText" dxfId="5365" priority="414" stopIfTrue="1" operator="containsText" text="Ocasional">
      <formula>NOT(ISERROR(SEARCH("Ocasional",R406)))</formula>
    </cfRule>
  </conditionalFormatting>
  <conditionalFormatting sqref="R407">
    <cfRule type="containsText" dxfId="5364" priority="279" stopIfTrue="1" operator="containsText" text="Frecuente">
      <formula>NOT(ISERROR(SEARCH("Frecuente",R407)))</formula>
    </cfRule>
    <cfRule type="containsText" dxfId="5363" priority="277" stopIfTrue="1" operator="containsText" text="Esporádica">
      <formula>NOT(ISERROR(SEARCH("Esporádica",R407)))</formula>
    </cfRule>
    <cfRule type="containsText" dxfId="5362" priority="280" stopIfTrue="1" operator="containsText" text="Continua">
      <formula>NOT(ISERROR(SEARCH("Continua",R407)))</formula>
    </cfRule>
    <cfRule type="containsText" dxfId="5361" priority="278" stopIfTrue="1" operator="containsText" text="Ocasional">
      <formula>NOT(ISERROR(SEARCH("Ocasional",R407)))</formula>
    </cfRule>
  </conditionalFormatting>
  <conditionalFormatting sqref="R408">
    <cfRule type="containsText" dxfId="5360" priority="237" stopIfTrue="1" operator="containsText" text="Continua">
      <formula>NOT(ISERROR(SEARCH("Continua",R408)))</formula>
    </cfRule>
    <cfRule type="containsText" dxfId="5359" priority="236" stopIfTrue="1" operator="containsText" text="Frecuente">
      <formula>NOT(ISERROR(SEARCH("Frecuente",R408)))</formula>
    </cfRule>
    <cfRule type="containsText" dxfId="5358" priority="234" stopIfTrue="1" operator="containsText" text="Esporádica">
      <formula>NOT(ISERROR(SEARCH("Esporádica",R408)))</formula>
    </cfRule>
    <cfRule type="containsText" dxfId="5357" priority="235" stopIfTrue="1" operator="containsText" text="Ocasional">
      <formula>NOT(ISERROR(SEARCH("Ocasional",R408)))</formula>
    </cfRule>
  </conditionalFormatting>
  <conditionalFormatting sqref="R409">
    <cfRule type="containsText" dxfId="5356" priority="339" stopIfTrue="1" operator="containsText" text="Ocasional">
      <formula>NOT(ISERROR(SEARCH("Ocasional",R409)))</formula>
    </cfRule>
    <cfRule type="containsText" dxfId="5355" priority="340" stopIfTrue="1" operator="containsText" text="Frecuente">
      <formula>NOT(ISERROR(SEARCH("Frecuente",R409)))</formula>
    </cfRule>
    <cfRule type="containsText" dxfId="5354" priority="341" stopIfTrue="1" operator="containsText" text="Continua">
      <formula>NOT(ISERROR(SEARCH("Continua",R409)))</formula>
    </cfRule>
    <cfRule type="containsText" dxfId="5353" priority="338" stopIfTrue="1" operator="containsText" text="Esporádica">
      <formula>NOT(ISERROR(SEARCH("Esporádica",R409)))</formula>
    </cfRule>
  </conditionalFormatting>
  <conditionalFormatting sqref="R410">
    <cfRule type="containsText" dxfId="5352" priority="321" stopIfTrue="1" operator="containsText" text="Continua">
      <formula>NOT(ISERROR(SEARCH("Continua",R410)))</formula>
    </cfRule>
    <cfRule type="containsText" dxfId="5351" priority="320" stopIfTrue="1" operator="containsText" text="Frecuente">
      <formula>NOT(ISERROR(SEARCH("Frecuente",R410)))</formula>
    </cfRule>
    <cfRule type="containsText" dxfId="5350" priority="318" stopIfTrue="1" operator="containsText" text="Esporádica">
      <formula>NOT(ISERROR(SEARCH("Esporádica",R410)))</formula>
    </cfRule>
    <cfRule type="containsText" dxfId="5349" priority="319" stopIfTrue="1" operator="containsText" text="Ocasional">
      <formula>NOT(ISERROR(SEARCH("Ocasional",R410)))</formula>
    </cfRule>
  </conditionalFormatting>
  <conditionalFormatting sqref="R411">
    <cfRule type="containsText" dxfId="5348" priority="382" stopIfTrue="1" operator="containsText" text="Continua">
      <formula>NOT(ISERROR(SEARCH("Continua",R411)))</formula>
    </cfRule>
    <cfRule type="containsText" dxfId="5347" priority="379" stopIfTrue="1" operator="containsText" text="Esporádica">
      <formula>NOT(ISERROR(SEARCH("Esporádica",R411)))</formula>
    </cfRule>
    <cfRule type="containsText" dxfId="5346" priority="381" stopIfTrue="1" operator="containsText" text="Frecuente">
      <formula>NOT(ISERROR(SEARCH("Frecuente",R411)))</formula>
    </cfRule>
    <cfRule type="containsText" dxfId="5345" priority="380" stopIfTrue="1" operator="containsText" text="Ocasional">
      <formula>NOT(ISERROR(SEARCH("Ocasional",R411)))</formula>
    </cfRule>
  </conditionalFormatting>
  <conditionalFormatting sqref="R412">
    <cfRule type="containsText" dxfId="5344" priority="596" stopIfTrue="1" operator="containsText" text="Esporádica">
      <formula>NOT(ISERROR(SEARCH("Esporádica",R412)))</formula>
    </cfRule>
    <cfRule type="containsText" dxfId="5343" priority="598" stopIfTrue="1" operator="containsText" text="Frecuente">
      <formula>NOT(ISERROR(SEARCH("Frecuente",R412)))</formula>
    </cfRule>
    <cfRule type="containsText" dxfId="5342" priority="599" stopIfTrue="1" operator="containsText" text="Continua">
      <formula>NOT(ISERROR(SEARCH("Continua",R412)))</formula>
    </cfRule>
    <cfRule type="containsText" dxfId="5341" priority="597" stopIfTrue="1" operator="containsText" text="Ocasional">
      <formula>NOT(ISERROR(SEARCH("Ocasional",R412)))</formula>
    </cfRule>
  </conditionalFormatting>
  <conditionalFormatting sqref="R413:R415">
    <cfRule type="containsText" dxfId="5340" priority="86" stopIfTrue="1" operator="containsText" text="Esporádica">
      <formula>NOT(ISERROR(SEARCH("Esporádica",R413)))</formula>
    </cfRule>
    <cfRule type="containsText" dxfId="5339" priority="87" stopIfTrue="1" operator="containsText" text="Ocasional">
      <formula>NOT(ISERROR(SEARCH("Ocasional",R413)))</formula>
    </cfRule>
    <cfRule type="containsText" dxfId="5338" priority="88" stopIfTrue="1" operator="containsText" text="Frecuente">
      <formula>NOT(ISERROR(SEARCH("Frecuente",R413)))</formula>
    </cfRule>
    <cfRule type="containsText" dxfId="5337" priority="89" stopIfTrue="1" operator="containsText" text="Continua">
      <formula>NOT(ISERROR(SEARCH("Continua",R413)))</formula>
    </cfRule>
  </conditionalFormatting>
  <conditionalFormatting sqref="R416:R439">
    <cfRule type="containsText" dxfId="5336" priority="16" stopIfTrue="1" operator="containsText" text="Ocasional">
      <formula>NOT(ISERROR(SEARCH("Ocasional",R416)))</formula>
    </cfRule>
    <cfRule type="containsText" dxfId="5335" priority="68" stopIfTrue="1" operator="containsText" text="Frecuente">
      <formula>NOT(ISERROR(SEARCH("Frecuente",R416)))</formula>
    </cfRule>
    <cfRule type="containsText" dxfId="5334" priority="69" stopIfTrue="1" operator="containsText" text="Continua">
      <formula>NOT(ISERROR(SEARCH("Continua",R416)))</formula>
    </cfRule>
    <cfRule type="containsText" dxfId="5333" priority="15" stopIfTrue="1" operator="containsText" text="Esporádica">
      <formula>NOT(ISERROR(SEARCH("Esporádica",R416)))</formula>
    </cfRule>
  </conditionalFormatting>
  <conditionalFormatting sqref="U7:U14 U16:U19 U23:U24 U27:U30 U32:U37 U40:U43 U47:U48 U51:U53 U57:U60 U63:U65 U73:U75 U421:U433">
    <cfRule type="containsText" dxfId="5332" priority="14065" stopIfTrue="1" operator="containsText" text="Alto">
      <formula>NOT(ISERROR(SEARCH("Alto",U7)))</formula>
    </cfRule>
    <cfRule type="containsText" dxfId="5331" priority="14063" stopIfTrue="1" operator="containsText" text="Bajo">
      <formula>NOT(ISERROR(SEARCH("Bajo",U7)))</formula>
    </cfRule>
    <cfRule type="containsText" dxfId="5330" priority="14064" stopIfTrue="1" operator="containsText" text="Medio">
      <formula>NOT(ISERROR(SEARCH("Medio",U7)))</formula>
    </cfRule>
  </conditionalFormatting>
  <conditionalFormatting sqref="U15">
    <cfRule type="containsText" dxfId="5329" priority="14013" stopIfTrue="1" operator="containsText" text="Muy alto">
      <formula>NOT(ISERROR(SEARCH("Muy alto",U15)))</formula>
    </cfRule>
    <cfRule type="containsText" dxfId="5328" priority="14022" stopIfTrue="1" operator="containsText" text="Bajo">
      <formula>NOT(ISERROR(SEARCH("Bajo",U15)))</formula>
    </cfRule>
    <cfRule type="containsText" dxfId="5327" priority="14023" stopIfTrue="1" operator="containsText" text="Medio">
      <formula>NOT(ISERROR(SEARCH("Medio",U15)))</formula>
    </cfRule>
    <cfRule type="containsText" dxfId="5326" priority="14024" stopIfTrue="1" operator="containsText" text="Alto">
      <formula>NOT(ISERROR(SEARCH("Alto",U15)))</formula>
    </cfRule>
  </conditionalFormatting>
  <conditionalFormatting sqref="U20">
    <cfRule type="containsText" dxfId="5325" priority="14008" stopIfTrue="1" operator="containsText" text="Alto">
      <formula>NOT(ISERROR(SEARCH("Alto",U20)))</formula>
    </cfRule>
    <cfRule type="containsText" dxfId="5324" priority="14001" stopIfTrue="1" operator="containsText" text="Muy alto">
      <formula>NOT(ISERROR(SEARCH("Muy alto",U20)))</formula>
    </cfRule>
    <cfRule type="containsText" dxfId="5323" priority="14006" stopIfTrue="1" operator="containsText" text="Bajo">
      <formula>NOT(ISERROR(SEARCH("Bajo",U20)))</formula>
    </cfRule>
    <cfRule type="containsText" dxfId="5322" priority="14007" stopIfTrue="1" operator="containsText" text="Medio">
      <formula>NOT(ISERROR(SEARCH("Medio",U20)))</formula>
    </cfRule>
  </conditionalFormatting>
  <conditionalFormatting sqref="U21:U22">
    <cfRule type="containsText" dxfId="5321" priority="13981" stopIfTrue="1" operator="containsText" text="Medio">
      <formula>NOT(ISERROR(SEARCH("Medio",U21)))</formula>
    </cfRule>
    <cfRule type="containsText" dxfId="5320" priority="13982" stopIfTrue="1" operator="containsText" text="Alto">
      <formula>NOT(ISERROR(SEARCH("Alto",U21)))</formula>
    </cfRule>
    <cfRule type="containsText" dxfId="5319" priority="13975" stopIfTrue="1" operator="containsText" text="Muy alto">
      <formula>NOT(ISERROR(SEARCH("Muy alto",U21)))</formula>
    </cfRule>
    <cfRule type="containsText" dxfId="5318" priority="13980" stopIfTrue="1" operator="containsText" text="Bajo">
      <formula>NOT(ISERROR(SEARCH("Bajo",U21)))</formula>
    </cfRule>
  </conditionalFormatting>
  <conditionalFormatting sqref="U23:U24 U47:U48 U16:U19 U57:U60 U40:U43 U63:U65 U51:U53 U73:U75 U27:U30 U32:U37 U7:U14 U421:U433">
    <cfRule type="containsText" dxfId="5317" priority="14048" stopIfTrue="1" operator="containsText" text="Muy alto">
      <formula>NOT(ISERROR(SEARCH("Muy alto",U7)))</formula>
    </cfRule>
  </conditionalFormatting>
  <conditionalFormatting sqref="U25:U26">
    <cfRule type="containsText" dxfId="5316" priority="14029" stopIfTrue="1" operator="containsText" text="Muy alto">
      <formula>NOT(ISERROR(SEARCH("Muy alto",U25)))</formula>
    </cfRule>
    <cfRule type="containsText" dxfId="5315" priority="14034" stopIfTrue="1" operator="containsText" text="Bajo">
      <formula>NOT(ISERROR(SEARCH("Bajo",U25)))</formula>
    </cfRule>
    <cfRule type="containsText" dxfId="5314" priority="14036" stopIfTrue="1" operator="containsText" text="Alto">
      <formula>NOT(ISERROR(SEARCH("Alto",U25)))</formula>
    </cfRule>
    <cfRule type="containsText" dxfId="5313" priority="14035" stopIfTrue="1" operator="containsText" text="Medio">
      <formula>NOT(ISERROR(SEARCH("Medio",U25)))</formula>
    </cfRule>
  </conditionalFormatting>
  <conditionalFormatting sqref="U31">
    <cfRule type="containsText" dxfId="5312" priority="8809" stopIfTrue="1" operator="containsText" text="Alto">
      <formula>NOT(ISERROR(SEARCH("Alto",U31)))</formula>
    </cfRule>
    <cfRule type="containsText" dxfId="5311" priority="8802" stopIfTrue="1" operator="containsText" text="Muy alto">
      <formula>NOT(ISERROR(SEARCH("Muy alto",U31)))</formula>
    </cfRule>
    <cfRule type="containsText" dxfId="5310" priority="8807" stopIfTrue="1" operator="containsText" text="Bajo">
      <formula>NOT(ISERROR(SEARCH("Bajo",U31)))</formula>
    </cfRule>
    <cfRule type="containsText" dxfId="5309" priority="8808" stopIfTrue="1" operator="containsText" text="Medio">
      <formula>NOT(ISERROR(SEARCH("Medio",U31)))</formula>
    </cfRule>
  </conditionalFormatting>
  <conditionalFormatting sqref="U38">
    <cfRule type="containsText" dxfId="5308" priority="13948" stopIfTrue="1" operator="containsText" text="Alto">
      <formula>NOT(ISERROR(SEARCH("Alto",U38)))</formula>
    </cfRule>
    <cfRule type="containsText" dxfId="5307" priority="13947" stopIfTrue="1" operator="containsText" text="Medio">
      <formula>NOT(ISERROR(SEARCH("Medio",U38)))</formula>
    </cfRule>
    <cfRule type="containsText" dxfId="5306" priority="13946" stopIfTrue="1" operator="containsText" text="Bajo">
      <formula>NOT(ISERROR(SEARCH("Bajo",U38)))</formula>
    </cfRule>
    <cfRule type="containsText" dxfId="5305" priority="13931" stopIfTrue="1" operator="containsText" text="Muy alto">
      <formula>NOT(ISERROR(SEARCH("Muy alto",U38)))</formula>
    </cfRule>
  </conditionalFormatting>
  <conditionalFormatting sqref="U39">
    <cfRule type="containsText" dxfId="5304" priority="13913" stopIfTrue="1" operator="containsText" text="Bajo">
      <formula>NOT(ISERROR(SEARCH("Bajo",U39)))</formula>
    </cfRule>
    <cfRule type="containsText" dxfId="5303" priority="13904" stopIfTrue="1" operator="containsText" text="Muy alto">
      <formula>NOT(ISERROR(SEARCH("Muy alto",U39)))</formula>
    </cfRule>
    <cfRule type="containsText" dxfId="5302" priority="13915" stopIfTrue="1" operator="containsText" text="Alto">
      <formula>NOT(ISERROR(SEARCH("Alto",U39)))</formula>
    </cfRule>
    <cfRule type="containsText" dxfId="5301" priority="13914" stopIfTrue="1" operator="containsText" text="Medio">
      <formula>NOT(ISERROR(SEARCH("Medio",U39)))</formula>
    </cfRule>
  </conditionalFormatting>
  <conditionalFormatting sqref="U44">
    <cfRule type="containsText" dxfId="5300" priority="13897" stopIfTrue="1" operator="containsText" text="Bajo">
      <formula>NOT(ISERROR(SEARCH("Bajo",U44)))</formula>
    </cfRule>
    <cfRule type="containsText" dxfId="5299" priority="13899" stopIfTrue="1" operator="containsText" text="Alto">
      <formula>NOT(ISERROR(SEARCH("Alto",U44)))</formula>
    </cfRule>
    <cfRule type="containsText" dxfId="5298" priority="13892" stopIfTrue="1" operator="containsText" text="Muy alto">
      <formula>NOT(ISERROR(SEARCH("Muy alto",U44)))</formula>
    </cfRule>
    <cfRule type="containsText" dxfId="5297" priority="13898" stopIfTrue="1" operator="containsText" text="Medio">
      <formula>NOT(ISERROR(SEARCH("Medio",U44)))</formula>
    </cfRule>
  </conditionalFormatting>
  <conditionalFormatting sqref="U45:U46">
    <cfRule type="containsText" dxfId="5296" priority="13873" stopIfTrue="1" operator="containsText" text="Alto">
      <formula>NOT(ISERROR(SEARCH("Alto",U45)))</formula>
    </cfRule>
    <cfRule type="containsText" dxfId="5295" priority="13872" stopIfTrue="1" operator="containsText" text="Medio">
      <formula>NOT(ISERROR(SEARCH("Medio",U45)))</formula>
    </cfRule>
    <cfRule type="containsText" dxfId="5294" priority="13871" stopIfTrue="1" operator="containsText" text="Bajo">
      <formula>NOT(ISERROR(SEARCH("Bajo",U45)))</formula>
    </cfRule>
    <cfRule type="containsText" dxfId="5293" priority="13866" stopIfTrue="1" operator="containsText" text="Muy alto">
      <formula>NOT(ISERROR(SEARCH("Muy alto",U45)))</formula>
    </cfRule>
  </conditionalFormatting>
  <conditionalFormatting sqref="U49:U50">
    <cfRule type="containsText" dxfId="5292" priority="13960" stopIfTrue="1" operator="containsText" text="Alto">
      <formula>NOT(ISERROR(SEARCH("Alto",U49)))</formula>
    </cfRule>
    <cfRule type="containsText" dxfId="5291" priority="13959" stopIfTrue="1" operator="containsText" text="Medio">
      <formula>NOT(ISERROR(SEARCH("Medio",U49)))</formula>
    </cfRule>
    <cfRule type="containsText" dxfId="5290" priority="13958" stopIfTrue="1" operator="containsText" text="Bajo">
      <formula>NOT(ISERROR(SEARCH("Bajo",U49)))</formula>
    </cfRule>
    <cfRule type="containsText" dxfId="5289" priority="13953" stopIfTrue="1" operator="containsText" text="Muy alto">
      <formula>NOT(ISERROR(SEARCH("Muy alto",U49)))</formula>
    </cfRule>
  </conditionalFormatting>
  <conditionalFormatting sqref="U54:U56">
    <cfRule type="containsText" dxfId="5288" priority="13851" stopIfTrue="1" operator="containsText" text="Bajo">
      <formula>NOT(ISERROR(SEARCH("Bajo",U54)))</formula>
    </cfRule>
    <cfRule type="containsText" dxfId="5287" priority="13853" stopIfTrue="1" operator="containsText" text="Alto">
      <formula>NOT(ISERROR(SEARCH("Alto",U54)))</formula>
    </cfRule>
    <cfRule type="containsText" dxfId="5286" priority="13852" stopIfTrue="1" operator="containsText" text="Medio">
      <formula>NOT(ISERROR(SEARCH("Medio",U54)))</formula>
    </cfRule>
    <cfRule type="containsText" dxfId="5285" priority="13836" stopIfTrue="1" operator="containsText" text="Muy alto">
      <formula>NOT(ISERROR(SEARCH("Muy alto",U54)))</formula>
    </cfRule>
  </conditionalFormatting>
  <conditionalFormatting sqref="U61">
    <cfRule type="containsText" dxfId="5284" priority="13796" stopIfTrue="1" operator="containsText" text="Bajo">
      <formula>NOT(ISERROR(SEARCH("Bajo",U61)))</formula>
    </cfRule>
    <cfRule type="containsText" dxfId="5283" priority="13797" stopIfTrue="1" operator="containsText" text="Medio">
      <formula>NOT(ISERROR(SEARCH("Medio",U61)))</formula>
    </cfRule>
    <cfRule type="containsText" dxfId="5282" priority="13798" stopIfTrue="1" operator="containsText" text="Alto">
      <formula>NOT(ISERROR(SEARCH("Alto",U61)))</formula>
    </cfRule>
    <cfRule type="containsText" dxfId="5281" priority="13781" stopIfTrue="1" operator="containsText" text="Muy alto">
      <formula>NOT(ISERROR(SEARCH("Muy alto",U61)))</formula>
    </cfRule>
  </conditionalFormatting>
  <conditionalFormatting sqref="U62">
    <cfRule type="containsText" dxfId="5280" priority="13754" stopIfTrue="1" operator="containsText" text="Muy alto">
      <formula>NOT(ISERROR(SEARCH("Muy alto",U62)))</formula>
    </cfRule>
    <cfRule type="containsText" dxfId="5279" priority="13765" stopIfTrue="1" operator="containsText" text="Alto">
      <formula>NOT(ISERROR(SEARCH("Alto",U62)))</formula>
    </cfRule>
    <cfRule type="containsText" dxfId="5278" priority="13764" stopIfTrue="1" operator="containsText" text="Medio">
      <formula>NOT(ISERROR(SEARCH("Medio",U62)))</formula>
    </cfRule>
    <cfRule type="containsText" dxfId="5277" priority="13763" stopIfTrue="1" operator="containsText" text="Bajo">
      <formula>NOT(ISERROR(SEARCH("Bajo",U62)))</formula>
    </cfRule>
  </conditionalFormatting>
  <conditionalFormatting sqref="U66">
    <cfRule type="containsText" dxfId="5276" priority="13749" stopIfTrue="1" operator="containsText" text="Alto">
      <formula>NOT(ISERROR(SEARCH("Alto",U66)))</formula>
    </cfRule>
    <cfRule type="containsText" dxfId="5275" priority="13748" stopIfTrue="1" operator="containsText" text="Medio">
      <formula>NOT(ISERROR(SEARCH("Medio",U66)))</formula>
    </cfRule>
    <cfRule type="containsText" dxfId="5274" priority="13747" stopIfTrue="1" operator="containsText" text="Bajo">
      <formula>NOT(ISERROR(SEARCH("Bajo",U66)))</formula>
    </cfRule>
    <cfRule type="containsText" dxfId="5273" priority="13742" stopIfTrue="1" operator="containsText" text="Muy alto">
      <formula>NOT(ISERROR(SEARCH("Muy alto",U66)))</formula>
    </cfRule>
  </conditionalFormatting>
  <conditionalFormatting sqref="U67:U68">
    <cfRule type="containsText" dxfId="5272" priority="13716" stopIfTrue="1" operator="containsText" text="Muy alto">
      <formula>NOT(ISERROR(SEARCH("Muy alto",U67)))</formula>
    </cfRule>
    <cfRule type="containsText" dxfId="5271" priority="13723" stopIfTrue="1" operator="containsText" text="Alto">
      <formula>NOT(ISERROR(SEARCH("Alto",U67)))</formula>
    </cfRule>
    <cfRule type="containsText" dxfId="5270" priority="13722" stopIfTrue="1" operator="containsText" text="Medio">
      <formula>NOT(ISERROR(SEARCH("Medio",U67)))</formula>
    </cfRule>
    <cfRule type="containsText" dxfId="5269" priority="13721" stopIfTrue="1" operator="containsText" text="Bajo">
      <formula>NOT(ISERROR(SEARCH("Bajo",U67)))</formula>
    </cfRule>
  </conditionalFormatting>
  <conditionalFormatting sqref="U69:U70">
    <cfRule type="containsText" dxfId="5268" priority="13820" stopIfTrue="1" operator="containsText" text="Alto">
      <formula>NOT(ISERROR(SEARCH("Alto",U69)))</formula>
    </cfRule>
    <cfRule type="containsText" dxfId="5267" priority="13811" stopIfTrue="1" operator="containsText" text="Muy alto">
      <formula>NOT(ISERROR(SEARCH("Muy alto",U69)))</formula>
    </cfRule>
    <cfRule type="containsText" dxfId="5266" priority="13818" stopIfTrue="1" operator="containsText" text="Bajo">
      <formula>NOT(ISERROR(SEARCH("Bajo",U69)))</formula>
    </cfRule>
    <cfRule type="containsText" dxfId="5265" priority="13819" stopIfTrue="1" operator="containsText" text="Medio">
      <formula>NOT(ISERROR(SEARCH("Medio",U69)))</formula>
    </cfRule>
  </conditionalFormatting>
  <conditionalFormatting sqref="U71:U72">
    <cfRule type="containsText" dxfId="5264" priority="13810" stopIfTrue="1" operator="containsText" text="Alto">
      <formula>NOT(ISERROR(SEARCH("Alto",U71)))</formula>
    </cfRule>
    <cfRule type="containsText" dxfId="5263" priority="13809" stopIfTrue="1" operator="containsText" text="Medio">
      <formula>NOT(ISERROR(SEARCH("Medio",U71)))</formula>
    </cfRule>
    <cfRule type="containsText" dxfId="5262" priority="13808" stopIfTrue="1" operator="containsText" text="Bajo">
      <formula>NOT(ISERROR(SEARCH("Bajo",U71)))</formula>
    </cfRule>
    <cfRule type="containsText" dxfId="5261" priority="13803" stopIfTrue="1" operator="containsText" text="Muy alto">
      <formula>NOT(ISERROR(SEARCH("Muy alto",U71)))</formula>
    </cfRule>
  </conditionalFormatting>
  <conditionalFormatting sqref="U76">
    <cfRule type="containsText" dxfId="5260" priority="13677" stopIfTrue="1" operator="containsText" text="Medio">
      <formula>NOT(ISERROR(SEARCH("Medio",U76)))</formula>
    </cfRule>
    <cfRule type="containsText" dxfId="5259" priority="13676" stopIfTrue="1" operator="containsText" text="Bajo">
      <formula>NOT(ISERROR(SEARCH("Bajo",U76)))</formula>
    </cfRule>
    <cfRule type="containsText" dxfId="5258" priority="13671" stopIfTrue="1" operator="containsText" text="Muy alto">
      <formula>NOT(ISERROR(SEARCH("Muy alto",U76)))</formula>
    </cfRule>
    <cfRule type="containsText" dxfId="5257" priority="13678" stopIfTrue="1" operator="containsText" text="Alto">
      <formula>NOT(ISERROR(SEARCH("Alto",U76)))</formula>
    </cfRule>
  </conditionalFormatting>
  <conditionalFormatting sqref="U77">
    <cfRule type="containsText" dxfId="5256" priority="13635" stopIfTrue="1" operator="containsText" text="Alto">
      <formula>NOT(ISERROR(SEARCH("Alto",U77)))</formula>
    </cfRule>
    <cfRule type="containsText" dxfId="5255" priority="13633" stopIfTrue="1" operator="containsText" text="Bajo">
      <formula>NOT(ISERROR(SEARCH("Bajo",U77)))</formula>
    </cfRule>
    <cfRule type="containsText" dxfId="5254" priority="13628" stopIfTrue="1" operator="containsText" text="Muy alto">
      <formula>NOT(ISERROR(SEARCH("Muy alto",U77)))</formula>
    </cfRule>
    <cfRule type="containsText" dxfId="5253" priority="13634" stopIfTrue="1" operator="containsText" text="Medio">
      <formula>NOT(ISERROR(SEARCH("Medio",U77)))</formula>
    </cfRule>
  </conditionalFormatting>
  <conditionalFormatting sqref="U78">
    <cfRule type="containsText" dxfId="5252" priority="13553" stopIfTrue="1" operator="containsText" text="Alto">
      <formula>NOT(ISERROR(SEARCH("Alto",U78)))</formula>
    </cfRule>
    <cfRule type="containsText" dxfId="5251" priority="13546" stopIfTrue="1" operator="containsText" text="Muy alto">
      <formula>NOT(ISERROR(SEARCH("Muy alto",U78)))</formula>
    </cfRule>
    <cfRule type="containsText" dxfId="5250" priority="13551" stopIfTrue="1" operator="containsText" text="Bajo">
      <formula>NOT(ISERROR(SEARCH("Bajo",U78)))</formula>
    </cfRule>
    <cfRule type="containsText" dxfId="5249" priority="13552" stopIfTrue="1" operator="containsText" text="Medio">
      <formula>NOT(ISERROR(SEARCH("Medio",U78)))</formula>
    </cfRule>
  </conditionalFormatting>
  <conditionalFormatting sqref="U79">
    <cfRule type="containsText" dxfId="5248" priority="13522" stopIfTrue="1" operator="containsText" text="Alto">
      <formula>NOT(ISERROR(SEARCH("Alto",U79)))</formula>
    </cfRule>
    <cfRule type="containsText" dxfId="5247" priority="13521" stopIfTrue="1" operator="containsText" text="Medio">
      <formula>NOT(ISERROR(SEARCH("Medio",U79)))</formula>
    </cfRule>
    <cfRule type="containsText" dxfId="5246" priority="13520" stopIfTrue="1" operator="containsText" text="Bajo">
      <formula>NOT(ISERROR(SEARCH("Bajo",U79)))</formula>
    </cfRule>
    <cfRule type="containsText" dxfId="5245" priority="13515" stopIfTrue="1" operator="containsText" text="Muy alto">
      <formula>NOT(ISERROR(SEARCH("Muy alto",U79)))</formula>
    </cfRule>
  </conditionalFormatting>
  <conditionalFormatting sqref="U80">
    <cfRule type="containsText" dxfId="5244" priority="13505" stopIfTrue="1" operator="containsText" text="Medio">
      <formula>NOT(ISERROR(SEARCH("Medio",U80)))</formula>
    </cfRule>
    <cfRule type="containsText" dxfId="5243" priority="13506" stopIfTrue="1" operator="containsText" text="Alto">
      <formula>NOT(ISERROR(SEARCH("Alto",U80)))</formula>
    </cfRule>
    <cfRule type="containsText" dxfId="5242" priority="13504" stopIfTrue="1" operator="containsText" text="Bajo">
      <formula>NOT(ISERROR(SEARCH("Bajo",U80)))</formula>
    </cfRule>
    <cfRule type="containsText" dxfId="5241" priority="13499" stopIfTrue="1" operator="containsText" text="Muy alto">
      <formula>NOT(ISERROR(SEARCH("Muy alto",U80)))</formula>
    </cfRule>
  </conditionalFormatting>
  <conditionalFormatting sqref="U81:U82">
    <cfRule type="containsText" dxfId="5240" priority="13490" stopIfTrue="1" operator="containsText" text="Alto">
      <formula>NOT(ISERROR(SEARCH("Alto",U81)))</formula>
    </cfRule>
    <cfRule type="containsText" dxfId="5239" priority="13489" stopIfTrue="1" operator="containsText" text="Medio">
      <formula>NOT(ISERROR(SEARCH("Medio",U81)))</formula>
    </cfRule>
    <cfRule type="containsText" dxfId="5238" priority="13488" stopIfTrue="1" operator="containsText" text="Bajo">
      <formula>NOT(ISERROR(SEARCH("Bajo",U81)))</formula>
    </cfRule>
    <cfRule type="containsText" dxfId="5237" priority="13483" stopIfTrue="1" operator="containsText" text="Muy alto">
      <formula>NOT(ISERROR(SEARCH("Muy alto",U81)))</formula>
    </cfRule>
  </conditionalFormatting>
  <conditionalFormatting sqref="U83">
    <cfRule type="containsText" dxfId="5236" priority="13473" stopIfTrue="1" operator="containsText" text="Medio">
      <formula>NOT(ISERROR(SEARCH("Medio",U83)))</formula>
    </cfRule>
    <cfRule type="containsText" dxfId="5235" priority="13472" stopIfTrue="1" operator="containsText" text="Bajo">
      <formula>NOT(ISERROR(SEARCH("Bajo",U83)))</formula>
    </cfRule>
    <cfRule type="containsText" dxfId="5234" priority="13467" stopIfTrue="1" operator="containsText" text="Muy alto">
      <formula>NOT(ISERROR(SEARCH("Muy alto",U83)))</formula>
    </cfRule>
    <cfRule type="containsText" dxfId="5233" priority="13474" stopIfTrue="1" operator="containsText" text="Alto">
      <formula>NOT(ISERROR(SEARCH("Alto",U83)))</formula>
    </cfRule>
  </conditionalFormatting>
  <conditionalFormatting sqref="U84">
    <cfRule type="containsText" dxfId="5232" priority="13394" stopIfTrue="1" operator="containsText" text="Alto">
      <formula>NOT(ISERROR(SEARCH("Alto",U84)))</formula>
    </cfRule>
    <cfRule type="containsText" dxfId="5231" priority="13387" stopIfTrue="1" operator="containsText" text="Muy alto">
      <formula>NOT(ISERROR(SEARCH("Muy alto",U84)))</formula>
    </cfRule>
    <cfRule type="containsText" dxfId="5230" priority="13392" stopIfTrue="1" operator="containsText" text="Bajo">
      <formula>NOT(ISERROR(SEARCH("Bajo",U84)))</formula>
    </cfRule>
    <cfRule type="containsText" dxfId="5229" priority="13393" stopIfTrue="1" operator="containsText" text="Medio">
      <formula>NOT(ISERROR(SEARCH("Medio",U84)))</formula>
    </cfRule>
  </conditionalFormatting>
  <conditionalFormatting sqref="U85">
    <cfRule type="containsText" dxfId="5228" priority="13367" stopIfTrue="1" operator="containsText" text="Muy alto">
      <formula>NOT(ISERROR(SEARCH("Muy alto",U85)))</formula>
    </cfRule>
    <cfRule type="containsText" dxfId="5227" priority="13373" stopIfTrue="1" operator="containsText" text="Medio">
      <formula>NOT(ISERROR(SEARCH("Medio",U85)))</formula>
    </cfRule>
    <cfRule type="containsText" dxfId="5226" priority="13372" stopIfTrue="1" operator="containsText" text="Bajo">
      <formula>NOT(ISERROR(SEARCH("Bajo",U85)))</formula>
    </cfRule>
    <cfRule type="containsText" dxfId="5225" priority="13374" stopIfTrue="1" operator="containsText" text="Alto">
      <formula>NOT(ISERROR(SEARCH("Alto",U85)))</formula>
    </cfRule>
  </conditionalFormatting>
  <conditionalFormatting sqref="U86">
    <cfRule type="containsText" dxfId="5224" priority="13347" stopIfTrue="1" operator="containsText" text="Muy alto">
      <formula>NOT(ISERROR(SEARCH("Muy alto",U86)))</formula>
    </cfRule>
    <cfRule type="containsText" dxfId="5223" priority="13354" stopIfTrue="1" operator="containsText" text="Alto">
      <formula>NOT(ISERROR(SEARCH("Alto",U86)))</formula>
    </cfRule>
    <cfRule type="containsText" dxfId="5222" priority="13353" stopIfTrue="1" operator="containsText" text="Medio">
      <formula>NOT(ISERROR(SEARCH("Medio",U86)))</formula>
    </cfRule>
    <cfRule type="containsText" dxfId="5221" priority="13352" stopIfTrue="1" operator="containsText" text="Bajo">
      <formula>NOT(ISERROR(SEARCH("Bajo",U86)))</formula>
    </cfRule>
  </conditionalFormatting>
  <conditionalFormatting sqref="U87">
    <cfRule type="containsText" dxfId="5220" priority="13341" stopIfTrue="1" operator="containsText" text="Medio">
      <formula>NOT(ISERROR(SEARCH("Medio",U87)))</formula>
    </cfRule>
    <cfRule type="containsText" dxfId="5219" priority="13340" stopIfTrue="1" operator="containsText" text="Bajo">
      <formula>NOT(ISERROR(SEARCH("Bajo",U87)))</formula>
    </cfRule>
    <cfRule type="containsText" dxfId="5218" priority="13335" stopIfTrue="1" operator="containsText" text="Muy alto">
      <formula>NOT(ISERROR(SEARCH("Muy alto",U87)))</formula>
    </cfRule>
    <cfRule type="containsText" dxfId="5217" priority="13342" stopIfTrue="1" operator="containsText" text="Alto">
      <formula>NOT(ISERROR(SEARCH("Alto",U87)))</formula>
    </cfRule>
  </conditionalFormatting>
  <conditionalFormatting sqref="U88">
    <cfRule type="containsText" dxfId="5216" priority="13319" stopIfTrue="1" operator="containsText" text="Muy alto">
      <formula>NOT(ISERROR(SEARCH("Muy alto",U88)))</formula>
    </cfRule>
    <cfRule type="containsText" dxfId="5215" priority="13326" stopIfTrue="1" operator="containsText" text="Alto">
      <formula>NOT(ISERROR(SEARCH("Alto",U88)))</formula>
    </cfRule>
    <cfRule type="containsText" dxfId="5214" priority="13325" stopIfTrue="1" operator="containsText" text="Medio">
      <formula>NOT(ISERROR(SEARCH("Medio",U88)))</formula>
    </cfRule>
    <cfRule type="containsText" dxfId="5213" priority="13324" stopIfTrue="1" operator="containsText" text="Bajo">
      <formula>NOT(ISERROR(SEARCH("Bajo",U88)))</formula>
    </cfRule>
  </conditionalFormatting>
  <conditionalFormatting sqref="U89">
    <cfRule type="containsText" dxfId="5212" priority="13310" stopIfTrue="1" operator="containsText" text="Alto">
      <formula>NOT(ISERROR(SEARCH("Alto",U89)))</formula>
    </cfRule>
    <cfRule type="containsText" dxfId="5211" priority="13309" stopIfTrue="1" operator="containsText" text="Medio">
      <formula>NOT(ISERROR(SEARCH("Medio",U89)))</formula>
    </cfRule>
    <cfRule type="containsText" dxfId="5210" priority="13308" stopIfTrue="1" operator="containsText" text="Bajo">
      <formula>NOT(ISERROR(SEARCH("Bajo",U89)))</formula>
    </cfRule>
    <cfRule type="containsText" dxfId="5209" priority="13303" stopIfTrue="1" operator="containsText" text="Muy alto">
      <formula>NOT(ISERROR(SEARCH("Muy alto",U89)))</formula>
    </cfRule>
  </conditionalFormatting>
  <conditionalFormatting sqref="U90">
    <cfRule type="containsText" dxfId="5208" priority="13294" stopIfTrue="1" operator="containsText" text="Alto">
      <formula>NOT(ISERROR(SEARCH("Alto",U90)))</formula>
    </cfRule>
    <cfRule type="containsText" dxfId="5207" priority="13293" stopIfTrue="1" operator="containsText" text="Medio">
      <formula>NOT(ISERROR(SEARCH("Medio",U90)))</formula>
    </cfRule>
    <cfRule type="containsText" dxfId="5206" priority="13292" stopIfTrue="1" operator="containsText" text="Bajo">
      <formula>NOT(ISERROR(SEARCH("Bajo",U90)))</formula>
    </cfRule>
    <cfRule type="containsText" dxfId="5205" priority="13287" stopIfTrue="1" operator="containsText" text="Muy alto">
      <formula>NOT(ISERROR(SEARCH("Muy alto",U90)))</formula>
    </cfRule>
  </conditionalFormatting>
  <conditionalFormatting sqref="U91">
    <cfRule type="containsText" dxfId="5204" priority="13261" stopIfTrue="1" operator="containsText" text="Alto">
      <formula>NOT(ISERROR(SEARCH("Alto",U91)))</formula>
    </cfRule>
    <cfRule type="containsText" dxfId="5203" priority="13260" stopIfTrue="1" operator="containsText" text="Medio">
      <formula>NOT(ISERROR(SEARCH("Medio",U91)))</formula>
    </cfRule>
    <cfRule type="containsText" dxfId="5202" priority="13254" stopIfTrue="1" operator="containsText" text="Muy alto">
      <formula>NOT(ISERROR(SEARCH("Muy alto",U91)))</formula>
    </cfRule>
    <cfRule type="containsText" dxfId="5201" priority="13259" stopIfTrue="1" operator="containsText" text="Bajo">
      <formula>NOT(ISERROR(SEARCH("Bajo",U91)))</formula>
    </cfRule>
  </conditionalFormatting>
  <conditionalFormatting sqref="U92">
    <cfRule type="containsText" dxfId="5200" priority="13154" stopIfTrue="1" operator="containsText" text="Muy alto">
      <formula>NOT(ISERROR(SEARCH("Muy alto",U92)))</formula>
    </cfRule>
    <cfRule type="containsText" dxfId="5199" priority="13159" stopIfTrue="1" operator="containsText" text="Bajo">
      <formula>NOT(ISERROR(SEARCH("Bajo",U92)))</formula>
    </cfRule>
    <cfRule type="containsText" dxfId="5198" priority="13160" stopIfTrue="1" operator="containsText" text="Medio">
      <formula>NOT(ISERROR(SEARCH("Medio",U92)))</formula>
    </cfRule>
    <cfRule type="containsText" dxfId="5197" priority="13161" stopIfTrue="1" operator="containsText" text="Alto">
      <formula>NOT(ISERROR(SEARCH("Alto",U92)))</formula>
    </cfRule>
  </conditionalFormatting>
  <conditionalFormatting sqref="U93:U94">
    <cfRule type="containsText" dxfId="5196" priority="13120" stopIfTrue="1" operator="containsText" text="Bajo">
      <formula>NOT(ISERROR(SEARCH("Bajo",U93)))</formula>
    </cfRule>
    <cfRule type="containsText" dxfId="5195" priority="13122" stopIfTrue="1" operator="containsText" text="Alto">
      <formula>NOT(ISERROR(SEARCH("Alto",U93)))</formula>
    </cfRule>
    <cfRule type="containsText" dxfId="5194" priority="13121" stopIfTrue="1" operator="containsText" text="Medio">
      <formula>NOT(ISERROR(SEARCH("Medio",U93)))</formula>
    </cfRule>
    <cfRule type="containsText" dxfId="5193" priority="13115" stopIfTrue="1" operator="containsText" text="Muy alto">
      <formula>NOT(ISERROR(SEARCH("Muy alto",U93)))</formula>
    </cfRule>
  </conditionalFormatting>
  <conditionalFormatting sqref="U95:U96">
    <cfRule type="containsText" dxfId="5192" priority="13064" stopIfTrue="1" operator="containsText" text="Muy alto">
      <formula>NOT(ISERROR(SEARCH("Muy alto",U95)))</formula>
    </cfRule>
    <cfRule type="containsText" dxfId="5191" priority="13071" stopIfTrue="1" operator="containsText" text="Alto">
      <formula>NOT(ISERROR(SEARCH("Alto",U95)))</formula>
    </cfRule>
    <cfRule type="containsText" dxfId="5190" priority="13070" stopIfTrue="1" operator="containsText" text="Medio">
      <formula>NOT(ISERROR(SEARCH("Medio",U95)))</formula>
    </cfRule>
    <cfRule type="containsText" dxfId="5189" priority="13069" stopIfTrue="1" operator="containsText" text="Bajo">
      <formula>NOT(ISERROR(SEARCH("Bajo",U95)))</formula>
    </cfRule>
  </conditionalFormatting>
  <conditionalFormatting sqref="U97">
    <cfRule type="containsText" dxfId="5188" priority="12921" stopIfTrue="1" operator="containsText" text="Muy alto">
      <formula>NOT(ISERROR(SEARCH("Muy alto",U97)))</formula>
    </cfRule>
    <cfRule type="containsText" dxfId="5187" priority="12924" stopIfTrue="1" operator="containsText" text="Alto">
      <formula>NOT(ISERROR(SEARCH("Alto",U97)))</formula>
    </cfRule>
    <cfRule type="containsText" dxfId="5186" priority="12922" stopIfTrue="1" operator="containsText" text="Bajo">
      <formula>NOT(ISERROR(SEARCH("Bajo",U97)))</formula>
    </cfRule>
    <cfRule type="containsText" dxfId="5185" priority="12923" stopIfTrue="1" operator="containsText" text="Medio">
      <formula>NOT(ISERROR(SEARCH("Medio",U97)))</formula>
    </cfRule>
  </conditionalFormatting>
  <conditionalFormatting sqref="U98">
    <cfRule type="containsText" dxfId="5184" priority="8758" stopIfTrue="1" operator="containsText" text="Alto">
      <formula>NOT(ISERROR(SEARCH("Alto",U98)))</formula>
    </cfRule>
    <cfRule type="containsText" dxfId="5183" priority="8757" stopIfTrue="1" operator="containsText" text="Medio">
      <formula>NOT(ISERROR(SEARCH("Medio",U98)))</formula>
    </cfRule>
    <cfRule type="containsText" dxfId="5182" priority="8756" stopIfTrue="1" operator="containsText" text="Bajo">
      <formula>NOT(ISERROR(SEARCH("Bajo",U98)))</formula>
    </cfRule>
    <cfRule type="containsText" dxfId="5181" priority="8751" stopIfTrue="1" operator="containsText" text="Muy alto">
      <formula>NOT(ISERROR(SEARCH("Muy alto",U98)))</formula>
    </cfRule>
  </conditionalFormatting>
  <conditionalFormatting sqref="U99">
    <cfRule type="containsText" dxfId="5180" priority="12844" stopIfTrue="1" operator="containsText" text="Alto">
      <formula>NOT(ISERROR(SEARCH("Alto",U99)))</formula>
    </cfRule>
    <cfRule type="containsText" dxfId="5179" priority="12843" stopIfTrue="1" operator="containsText" text="Medio">
      <formula>NOT(ISERROR(SEARCH("Medio",U99)))</formula>
    </cfRule>
    <cfRule type="containsText" dxfId="5178" priority="12842" stopIfTrue="1" operator="containsText" text="Bajo">
      <formula>NOT(ISERROR(SEARCH("Bajo",U99)))</formula>
    </cfRule>
    <cfRule type="containsText" dxfId="5177" priority="12837" stopIfTrue="1" operator="containsText" text="Muy alto">
      <formula>NOT(ISERROR(SEARCH("Muy alto",U99)))</formula>
    </cfRule>
  </conditionalFormatting>
  <conditionalFormatting sqref="U100">
    <cfRule type="containsText" dxfId="5176" priority="12797" stopIfTrue="1" operator="containsText" text="Bajo">
      <formula>NOT(ISERROR(SEARCH("Bajo",U100)))</formula>
    </cfRule>
    <cfRule type="containsText" dxfId="5175" priority="12792" stopIfTrue="1" operator="containsText" text="Muy alto">
      <formula>NOT(ISERROR(SEARCH("Muy alto",U100)))</formula>
    </cfRule>
    <cfRule type="containsText" dxfId="5174" priority="12799" stopIfTrue="1" operator="containsText" text="Alto">
      <formula>NOT(ISERROR(SEARCH("Alto",U100)))</formula>
    </cfRule>
    <cfRule type="containsText" dxfId="5173" priority="12798" stopIfTrue="1" operator="containsText" text="Medio">
      <formula>NOT(ISERROR(SEARCH("Medio",U100)))</formula>
    </cfRule>
  </conditionalFormatting>
  <conditionalFormatting sqref="U101">
    <cfRule type="containsText" dxfId="5172" priority="12950" stopIfTrue="1" operator="containsText" text="Medio">
      <formula>NOT(ISERROR(SEARCH("Medio",U101)))</formula>
    </cfRule>
    <cfRule type="containsText" dxfId="5171" priority="12951" stopIfTrue="1" operator="containsText" text="Alto">
      <formula>NOT(ISERROR(SEARCH("Alto",U101)))</formula>
    </cfRule>
    <cfRule type="containsText" dxfId="5170" priority="12949" stopIfTrue="1" operator="containsText" text="Bajo">
      <formula>NOT(ISERROR(SEARCH("Bajo",U101)))</formula>
    </cfRule>
    <cfRule type="containsText" dxfId="5169" priority="12944" stopIfTrue="1" operator="containsText" text="Muy alto">
      <formula>NOT(ISERROR(SEARCH("Muy alto",U101)))</formula>
    </cfRule>
  </conditionalFormatting>
  <conditionalFormatting sqref="U102">
    <cfRule type="containsText" dxfId="5168" priority="12754" stopIfTrue="1" operator="containsText" text="Alto">
      <formula>NOT(ISERROR(SEARCH("Alto",U102)))</formula>
    </cfRule>
    <cfRule type="containsText" dxfId="5167" priority="12753" stopIfTrue="1" operator="containsText" text="Medio">
      <formula>NOT(ISERROR(SEARCH("Medio",U102)))</formula>
    </cfRule>
    <cfRule type="containsText" dxfId="5166" priority="12752" stopIfTrue="1" operator="containsText" text="Bajo">
      <formula>NOT(ISERROR(SEARCH("Bajo",U102)))</formula>
    </cfRule>
    <cfRule type="containsText" dxfId="5165" priority="12747" stopIfTrue="1" operator="containsText" text="Muy alto">
      <formula>NOT(ISERROR(SEARCH("Muy alto",U102)))</formula>
    </cfRule>
  </conditionalFormatting>
  <conditionalFormatting sqref="U103">
    <cfRule type="containsText" dxfId="5164" priority="12709" stopIfTrue="1" operator="containsText" text="Alto">
      <formula>NOT(ISERROR(SEARCH("Alto",U103)))</formula>
    </cfRule>
    <cfRule type="containsText" dxfId="5163" priority="12708" stopIfTrue="1" operator="containsText" text="Medio">
      <formula>NOT(ISERROR(SEARCH("Medio",U103)))</formula>
    </cfRule>
    <cfRule type="containsText" dxfId="5162" priority="12707" stopIfTrue="1" operator="containsText" text="Bajo">
      <formula>NOT(ISERROR(SEARCH("Bajo",U103)))</formula>
    </cfRule>
    <cfRule type="containsText" dxfId="5161" priority="12702" stopIfTrue="1" operator="containsText" text="Muy alto">
      <formula>NOT(ISERROR(SEARCH("Muy alto",U103)))</formula>
    </cfRule>
  </conditionalFormatting>
  <conditionalFormatting sqref="U104">
    <cfRule type="containsText" dxfId="5160" priority="12317" stopIfTrue="1" operator="containsText" text="Muy alto">
      <formula>NOT(ISERROR(SEARCH("Muy alto",U104)))</formula>
    </cfRule>
    <cfRule type="containsText" dxfId="5159" priority="12334" stopIfTrue="1" operator="containsText" text="Alto">
      <formula>NOT(ISERROR(SEARCH("Alto",U104)))</formula>
    </cfRule>
    <cfRule type="containsText" dxfId="5158" priority="12333" stopIfTrue="1" operator="containsText" text="Medio">
      <formula>NOT(ISERROR(SEARCH("Medio",U104)))</formula>
    </cfRule>
    <cfRule type="containsText" dxfId="5157" priority="12332" stopIfTrue="1" operator="containsText" text="Bajo">
      <formula>NOT(ISERROR(SEARCH("Bajo",U104)))</formula>
    </cfRule>
  </conditionalFormatting>
  <conditionalFormatting sqref="U105">
    <cfRule type="containsText" dxfId="5156" priority="12369" stopIfTrue="1" operator="containsText" text="Bajo">
      <formula>NOT(ISERROR(SEARCH("Bajo",U105)))</formula>
    </cfRule>
    <cfRule type="containsText" dxfId="5155" priority="12370" stopIfTrue="1" operator="containsText" text="Medio">
      <formula>NOT(ISERROR(SEARCH("Medio",U105)))</formula>
    </cfRule>
    <cfRule type="containsText" dxfId="5154" priority="12354" stopIfTrue="1" operator="containsText" text="Muy alto">
      <formula>NOT(ISERROR(SEARCH("Muy alto",U105)))</formula>
    </cfRule>
    <cfRule type="containsText" dxfId="5153" priority="12371" stopIfTrue="1" operator="containsText" text="Alto">
      <formula>NOT(ISERROR(SEARCH("Alto",U105)))</formula>
    </cfRule>
  </conditionalFormatting>
  <conditionalFormatting sqref="U106">
    <cfRule type="containsText" dxfId="5152" priority="12514" stopIfTrue="1" operator="containsText" text="Alto">
      <formula>NOT(ISERROR(SEARCH("Alto",U106)))</formula>
    </cfRule>
    <cfRule type="containsText" dxfId="5151" priority="12513" stopIfTrue="1" operator="containsText" text="Medio">
      <formula>NOT(ISERROR(SEARCH("Medio",U106)))</formula>
    </cfRule>
    <cfRule type="containsText" dxfId="5150" priority="12512" stopIfTrue="1" operator="containsText" text="Bajo">
      <formula>NOT(ISERROR(SEARCH("Bajo",U106)))</formula>
    </cfRule>
    <cfRule type="containsText" dxfId="5149" priority="12507" stopIfTrue="1" operator="containsText" text="Muy alto">
      <formula>NOT(ISERROR(SEARCH("Muy alto",U106)))</formula>
    </cfRule>
  </conditionalFormatting>
  <conditionalFormatting sqref="U107">
    <cfRule type="containsText" dxfId="5148" priority="12544" stopIfTrue="1" operator="containsText" text="Muy alto">
      <formula>NOT(ISERROR(SEARCH("Muy alto",U107)))</formula>
    </cfRule>
    <cfRule type="containsText" dxfId="5147" priority="12553" stopIfTrue="1" operator="containsText" text="Alto">
      <formula>NOT(ISERROR(SEARCH("Alto",U107)))</formula>
    </cfRule>
    <cfRule type="containsText" dxfId="5146" priority="12552" stopIfTrue="1" operator="containsText" text="Medio">
      <formula>NOT(ISERROR(SEARCH("Medio",U107)))</formula>
    </cfRule>
    <cfRule type="containsText" dxfId="5145" priority="12551" stopIfTrue="1" operator="containsText" text="Bajo">
      <formula>NOT(ISERROR(SEARCH("Bajo",U107)))</formula>
    </cfRule>
  </conditionalFormatting>
  <conditionalFormatting sqref="U108">
    <cfRule type="containsText" dxfId="5144" priority="12668" stopIfTrue="1" operator="containsText" text="Bajo">
      <formula>NOT(ISERROR(SEARCH("Bajo",U108)))</formula>
    </cfRule>
    <cfRule type="containsText" dxfId="5143" priority="12661" stopIfTrue="1" operator="containsText" text="Muy alto">
      <formula>NOT(ISERROR(SEARCH("Muy alto",U108)))</formula>
    </cfRule>
    <cfRule type="containsText" dxfId="5142" priority="12670" stopIfTrue="1" operator="containsText" text="Alto">
      <formula>NOT(ISERROR(SEARCH("Alto",U108)))</formula>
    </cfRule>
    <cfRule type="containsText" dxfId="5141" priority="12669" stopIfTrue="1" operator="containsText" text="Medio">
      <formula>NOT(ISERROR(SEARCH("Medio",U108)))</formula>
    </cfRule>
  </conditionalFormatting>
  <conditionalFormatting sqref="U109">
    <cfRule type="containsText" dxfId="5140" priority="12623" stopIfTrue="1" operator="containsText" text="Bajo">
      <formula>NOT(ISERROR(SEARCH("Bajo",U109)))</formula>
    </cfRule>
    <cfRule type="containsText" dxfId="5139" priority="12618" stopIfTrue="1" operator="containsText" text="Muy alto">
      <formula>NOT(ISERROR(SEARCH("Muy alto",U109)))</formula>
    </cfRule>
    <cfRule type="containsText" dxfId="5138" priority="12625" stopIfTrue="1" operator="containsText" text="Alto">
      <formula>NOT(ISERROR(SEARCH("Alto",U109)))</formula>
    </cfRule>
    <cfRule type="containsText" dxfId="5137" priority="12624" stopIfTrue="1" operator="containsText" text="Medio">
      <formula>NOT(ISERROR(SEARCH("Medio",U109)))</formula>
    </cfRule>
  </conditionalFormatting>
  <conditionalFormatting sqref="U110">
    <cfRule type="containsText" dxfId="5136" priority="12588" stopIfTrue="1" operator="containsText" text="Alto">
      <formula>NOT(ISERROR(SEARCH("Alto",U110)))</formula>
    </cfRule>
    <cfRule type="containsText" dxfId="5135" priority="12586" stopIfTrue="1" operator="containsText" text="Bajo">
      <formula>NOT(ISERROR(SEARCH("Bajo",U110)))</formula>
    </cfRule>
    <cfRule type="containsText" dxfId="5134" priority="12587" stopIfTrue="1" operator="containsText" text="Medio">
      <formula>NOT(ISERROR(SEARCH("Medio",U110)))</formula>
    </cfRule>
    <cfRule type="containsText" dxfId="5133" priority="12581" stopIfTrue="1" operator="containsText" text="Muy alto">
      <formula>NOT(ISERROR(SEARCH("Muy alto",U110)))</formula>
    </cfRule>
  </conditionalFormatting>
  <conditionalFormatting sqref="U111">
    <cfRule type="containsText" dxfId="5132" priority="12409" stopIfTrue="1" operator="containsText" text="Medio">
      <formula>NOT(ISERROR(SEARCH("Medio",U111)))</formula>
    </cfRule>
    <cfRule type="containsText" dxfId="5131" priority="12408" stopIfTrue="1" operator="containsText" text="Bajo">
      <formula>NOT(ISERROR(SEARCH("Bajo",U111)))</formula>
    </cfRule>
    <cfRule type="containsText" dxfId="5130" priority="12410" stopIfTrue="1" operator="containsText" text="Alto">
      <formula>NOT(ISERROR(SEARCH("Alto",U111)))</formula>
    </cfRule>
    <cfRule type="containsText" dxfId="5129" priority="12395" stopIfTrue="1" operator="containsText" text="Muy alto">
      <formula>NOT(ISERROR(SEARCH("Muy alto",U111)))</formula>
    </cfRule>
  </conditionalFormatting>
  <conditionalFormatting sqref="U112">
    <cfRule type="containsText" dxfId="5128" priority="12434" stopIfTrue="1" operator="containsText" text="Muy alto">
      <formula>NOT(ISERROR(SEARCH("Muy alto",U112)))</formula>
    </cfRule>
    <cfRule type="containsText" dxfId="5127" priority="12447" stopIfTrue="1" operator="containsText" text="Bajo">
      <formula>NOT(ISERROR(SEARCH("Bajo",U112)))</formula>
    </cfRule>
    <cfRule type="containsText" dxfId="5126" priority="12449" stopIfTrue="1" operator="containsText" text="Alto">
      <formula>NOT(ISERROR(SEARCH("Alto",U112)))</formula>
    </cfRule>
    <cfRule type="containsText" dxfId="5125" priority="12448" stopIfTrue="1" operator="containsText" text="Medio">
      <formula>NOT(ISERROR(SEARCH("Medio",U112)))</formula>
    </cfRule>
  </conditionalFormatting>
  <conditionalFormatting sqref="U113">
    <cfRule type="containsText" dxfId="5124" priority="12488" stopIfTrue="1" operator="containsText" text="Bajo">
      <formula>NOT(ISERROR(SEARCH("Bajo",U113)))</formula>
    </cfRule>
    <cfRule type="containsText" dxfId="5123" priority="12489" stopIfTrue="1" operator="containsText" text="Medio">
      <formula>NOT(ISERROR(SEARCH("Medio",U113)))</formula>
    </cfRule>
    <cfRule type="containsText" dxfId="5122" priority="12490" stopIfTrue="1" operator="containsText" text="Alto">
      <formula>NOT(ISERROR(SEARCH("Alto",U113)))</formula>
    </cfRule>
    <cfRule type="containsText" dxfId="5121" priority="12473" stopIfTrue="1" operator="containsText" text="Muy alto">
      <formula>NOT(ISERROR(SEARCH("Muy alto",U113)))</formula>
    </cfRule>
  </conditionalFormatting>
  <conditionalFormatting sqref="U114:U115">
    <cfRule type="containsText" dxfId="5120" priority="12272" stopIfTrue="1" operator="containsText" text="Alto">
      <formula>NOT(ISERROR(SEARCH("Alto",U114)))</formula>
    </cfRule>
    <cfRule type="containsText" dxfId="5119" priority="12271" stopIfTrue="1" operator="containsText" text="Medio">
      <formula>NOT(ISERROR(SEARCH("Medio",U114)))</formula>
    </cfRule>
    <cfRule type="containsText" dxfId="5118" priority="12265" stopIfTrue="1" operator="containsText" text="Muy alto">
      <formula>NOT(ISERROR(SEARCH("Muy alto",U114)))</formula>
    </cfRule>
    <cfRule type="containsText" dxfId="5117" priority="12270" stopIfTrue="1" operator="containsText" text="Bajo">
      <formula>NOT(ISERROR(SEARCH("Bajo",U114)))</formula>
    </cfRule>
  </conditionalFormatting>
  <conditionalFormatting sqref="U116">
    <cfRule type="containsText" dxfId="5116" priority="12220" stopIfTrue="1" operator="containsText" text="Medio">
      <formula>NOT(ISERROR(SEARCH("Medio",U116)))</formula>
    </cfRule>
    <cfRule type="containsText" dxfId="5115" priority="12219" stopIfTrue="1" operator="containsText" text="Bajo">
      <formula>NOT(ISERROR(SEARCH("Bajo",U116)))</formula>
    </cfRule>
    <cfRule type="containsText" dxfId="5114" priority="12214" stopIfTrue="1" operator="containsText" text="Muy alto">
      <formula>NOT(ISERROR(SEARCH("Muy alto",U116)))</formula>
    </cfRule>
    <cfRule type="containsText" dxfId="5113" priority="12221" stopIfTrue="1" operator="containsText" text="Alto">
      <formula>NOT(ISERROR(SEARCH("Alto",U116)))</formula>
    </cfRule>
  </conditionalFormatting>
  <conditionalFormatting sqref="U117">
    <cfRule type="containsText" dxfId="5112" priority="12123" stopIfTrue="1" operator="containsText" text="Alto">
      <formula>NOT(ISERROR(SEARCH("Alto",U117)))</formula>
    </cfRule>
    <cfRule type="containsText" dxfId="5111" priority="12122" stopIfTrue="1" operator="containsText" text="Medio">
      <formula>NOT(ISERROR(SEARCH("Medio",U117)))</formula>
    </cfRule>
    <cfRule type="containsText" dxfId="5110" priority="12121" stopIfTrue="1" operator="containsText" text="Bajo">
      <formula>NOT(ISERROR(SEARCH("Bajo",U117)))</formula>
    </cfRule>
    <cfRule type="containsText" dxfId="5109" priority="12120" stopIfTrue="1" operator="containsText" text="Muy alto">
      <formula>NOT(ISERROR(SEARCH("Muy alto",U117)))</formula>
    </cfRule>
  </conditionalFormatting>
  <conditionalFormatting sqref="U118">
    <cfRule type="containsText" dxfId="5108" priority="8707" stopIfTrue="1" operator="containsText" text="Alto">
      <formula>NOT(ISERROR(SEARCH("Alto",U118)))</formula>
    </cfRule>
    <cfRule type="containsText" dxfId="5107" priority="8706" stopIfTrue="1" operator="containsText" text="Medio">
      <formula>NOT(ISERROR(SEARCH("Medio",U118)))</formula>
    </cfRule>
    <cfRule type="containsText" dxfId="5106" priority="8705" stopIfTrue="1" operator="containsText" text="Bajo">
      <formula>NOT(ISERROR(SEARCH("Bajo",U118)))</formula>
    </cfRule>
    <cfRule type="containsText" dxfId="5105" priority="8700" stopIfTrue="1" operator="containsText" text="Muy alto">
      <formula>NOT(ISERROR(SEARCH("Muy alto",U118)))</formula>
    </cfRule>
  </conditionalFormatting>
  <conditionalFormatting sqref="U119">
    <cfRule type="containsText" dxfId="5104" priority="12043" stopIfTrue="1" operator="containsText" text="Alto">
      <formula>NOT(ISERROR(SEARCH("Alto",U119)))</formula>
    </cfRule>
    <cfRule type="containsText" dxfId="5103" priority="12042" stopIfTrue="1" operator="containsText" text="Medio">
      <formula>NOT(ISERROR(SEARCH("Medio",U119)))</formula>
    </cfRule>
    <cfRule type="containsText" dxfId="5102" priority="12036" stopIfTrue="1" operator="containsText" text="Muy alto">
      <formula>NOT(ISERROR(SEARCH("Muy alto",U119)))</formula>
    </cfRule>
    <cfRule type="containsText" dxfId="5101" priority="12041" stopIfTrue="1" operator="containsText" text="Bajo">
      <formula>NOT(ISERROR(SEARCH("Bajo",U119)))</formula>
    </cfRule>
  </conditionalFormatting>
  <conditionalFormatting sqref="U120">
    <cfRule type="containsText" dxfId="5100" priority="11991" stopIfTrue="1" operator="containsText" text="Muy alto">
      <formula>NOT(ISERROR(SEARCH("Muy alto",U120)))</formula>
    </cfRule>
    <cfRule type="containsText" dxfId="5099" priority="11998" stopIfTrue="1" operator="containsText" text="Alto">
      <formula>NOT(ISERROR(SEARCH("Alto",U120)))</formula>
    </cfRule>
    <cfRule type="containsText" dxfId="5098" priority="11997" stopIfTrue="1" operator="containsText" text="Medio">
      <formula>NOT(ISERROR(SEARCH("Medio",U120)))</formula>
    </cfRule>
    <cfRule type="containsText" dxfId="5097" priority="11996" stopIfTrue="1" operator="containsText" text="Bajo">
      <formula>NOT(ISERROR(SEARCH("Bajo",U120)))</formula>
    </cfRule>
  </conditionalFormatting>
  <conditionalFormatting sqref="U121">
    <cfRule type="containsText" dxfId="5096" priority="12148" stopIfTrue="1" operator="containsText" text="Bajo">
      <formula>NOT(ISERROR(SEARCH("Bajo",U121)))</formula>
    </cfRule>
    <cfRule type="containsText" dxfId="5095" priority="12143" stopIfTrue="1" operator="containsText" text="Muy alto">
      <formula>NOT(ISERROR(SEARCH("Muy alto",U121)))</formula>
    </cfRule>
    <cfRule type="containsText" dxfId="5094" priority="12149" stopIfTrue="1" operator="containsText" text="Medio">
      <formula>NOT(ISERROR(SEARCH("Medio",U121)))</formula>
    </cfRule>
    <cfRule type="containsText" dxfId="5093" priority="12150" stopIfTrue="1" operator="containsText" text="Alto">
      <formula>NOT(ISERROR(SEARCH("Alto",U121)))</formula>
    </cfRule>
  </conditionalFormatting>
  <conditionalFormatting sqref="U122">
    <cfRule type="containsText" dxfId="5092" priority="11952" stopIfTrue="1" operator="containsText" text="Medio">
      <formula>NOT(ISERROR(SEARCH("Medio",U122)))</formula>
    </cfRule>
    <cfRule type="containsText" dxfId="5091" priority="11953" stopIfTrue="1" operator="containsText" text="Alto">
      <formula>NOT(ISERROR(SEARCH("Alto",U122)))</formula>
    </cfRule>
    <cfRule type="containsText" dxfId="5090" priority="11951" stopIfTrue="1" operator="containsText" text="Bajo">
      <formula>NOT(ISERROR(SEARCH("Bajo",U122)))</formula>
    </cfRule>
    <cfRule type="containsText" dxfId="5089" priority="11946" stopIfTrue="1" operator="containsText" text="Muy alto">
      <formula>NOT(ISERROR(SEARCH("Muy alto",U122)))</formula>
    </cfRule>
  </conditionalFormatting>
  <conditionalFormatting sqref="U123">
    <cfRule type="containsText" dxfId="5088" priority="11908" stopIfTrue="1" operator="containsText" text="Alto">
      <formula>NOT(ISERROR(SEARCH("Alto",U123)))</formula>
    </cfRule>
    <cfRule type="containsText" dxfId="5087" priority="11906" stopIfTrue="1" operator="containsText" text="Bajo">
      <formula>NOT(ISERROR(SEARCH("Bajo",U123)))</formula>
    </cfRule>
    <cfRule type="containsText" dxfId="5086" priority="11907" stopIfTrue="1" operator="containsText" text="Medio">
      <formula>NOT(ISERROR(SEARCH("Medio",U123)))</formula>
    </cfRule>
    <cfRule type="containsText" dxfId="5085" priority="11901" stopIfTrue="1" operator="containsText" text="Muy alto">
      <formula>NOT(ISERROR(SEARCH("Muy alto",U123)))</formula>
    </cfRule>
  </conditionalFormatting>
  <conditionalFormatting sqref="U124">
    <cfRule type="containsText" dxfId="5084" priority="11617" stopIfTrue="1" operator="containsText" text="Alto">
      <formula>NOT(ISERROR(SEARCH("Alto",U124)))</formula>
    </cfRule>
    <cfRule type="containsText" dxfId="5083" priority="11616" stopIfTrue="1" operator="containsText" text="Medio">
      <formula>NOT(ISERROR(SEARCH("Medio",U124)))</formula>
    </cfRule>
    <cfRule type="containsText" dxfId="5082" priority="11615" stopIfTrue="1" operator="containsText" text="Bajo">
      <formula>NOT(ISERROR(SEARCH("Bajo",U124)))</formula>
    </cfRule>
    <cfRule type="containsText" dxfId="5081" priority="11600" stopIfTrue="1" operator="containsText" text="Muy alto">
      <formula>NOT(ISERROR(SEARCH("Muy alto",U124)))</formula>
    </cfRule>
  </conditionalFormatting>
  <conditionalFormatting sqref="U125">
    <cfRule type="containsText" dxfId="5080" priority="11654" stopIfTrue="1" operator="containsText" text="Alto">
      <formula>NOT(ISERROR(SEARCH("Alto",U125)))</formula>
    </cfRule>
    <cfRule type="containsText" dxfId="5079" priority="11653" stopIfTrue="1" operator="containsText" text="Medio">
      <formula>NOT(ISERROR(SEARCH("Medio",U125)))</formula>
    </cfRule>
    <cfRule type="containsText" dxfId="5078" priority="11652" stopIfTrue="1" operator="containsText" text="Bajo">
      <formula>NOT(ISERROR(SEARCH("Bajo",U125)))</formula>
    </cfRule>
    <cfRule type="containsText" dxfId="5077" priority="11637" stopIfTrue="1" operator="containsText" text="Muy alto">
      <formula>NOT(ISERROR(SEARCH("Muy alto",U125)))</formula>
    </cfRule>
  </conditionalFormatting>
  <conditionalFormatting sqref="U126">
    <cfRule type="containsText" dxfId="5076" priority="11713" stopIfTrue="1" operator="containsText" text="Alto">
      <formula>NOT(ISERROR(SEARCH("Alto",U126)))</formula>
    </cfRule>
    <cfRule type="containsText" dxfId="5075" priority="11712" stopIfTrue="1" operator="containsText" text="Medio">
      <formula>NOT(ISERROR(SEARCH("Medio",U126)))</formula>
    </cfRule>
    <cfRule type="containsText" dxfId="5074" priority="11711" stopIfTrue="1" operator="containsText" text="Bajo">
      <formula>NOT(ISERROR(SEARCH("Bajo",U126)))</formula>
    </cfRule>
    <cfRule type="containsText" dxfId="5073" priority="11706" stopIfTrue="1" operator="containsText" text="Muy alto">
      <formula>NOT(ISERROR(SEARCH("Muy alto",U126)))</formula>
    </cfRule>
  </conditionalFormatting>
  <conditionalFormatting sqref="U127">
    <cfRule type="containsText" dxfId="5072" priority="11752" stopIfTrue="1" operator="containsText" text="Alto">
      <formula>NOT(ISERROR(SEARCH("Alto",U127)))</formula>
    </cfRule>
    <cfRule type="containsText" dxfId="5071" priority="11751" stopIfTrue="1" operator="containsText" text="Medio">
      <formula>NOT(ISERROR(SEARCH("Medio",U127)))</formula>
    </cfRule>
    <cfRule type="containsText" dxfId="5070" priority="11743" stopIfTrue="1" operator="containsText" text="Muy alto">
      <formula>NOT(ISERROR(SEARCH("Muy alto",U127)))</formula>
    </cfRule>
    <cfRule type="containsText" dxfId="5069" priority="11750" stopIfTrue="1" operator="containsText" text="Bajo">
      <formula>NOT(ISERROR(SEARCH("Bajo",U127)))</formula>
    </cfRule>
  </conditionalFormatting>
  <conditionalFormatting sqref="U128">
    <cfRule type="containsText" dxfId="5068" priority="11860" stopIfTrue="1" operator="containsText" text="Muy alto">
      <formula>NOT(ISERROR(SEARCH("Muy alto",U128)))</formula>
    </cfRule>
    <cfRule type="containsText" dxfId="5067" priority="11867" stopIfTrue="1" operator="containsText" text="Bajo">
      <formula>NOT(ISERROR(SEARCH("Bajo",U128)))</formula>
    </cfRule>
    <cfRule type="containsText" dxfId="5066" priority="11868" stopIfTrue="1" operator="containsText" text="Medio">
      <formula>NOT(ISERROR(SEARCH("Medio",U128)))</formula>
    </cfRule>
    <cfRule type="containsText" dxfId="5065" priority="11869" stopIfTrue="1" operator="containsText" text="Alto">
      <formula>NOT(ISERROR(SEARCH("Alto",U128)))</formula>
    </cfRule>
  </conditionalFormatting>
  <conditionalFormatting sqref="U129">
    <cfRule type="containsText" dxfId="5064" priority="11824" stopIfTrue="1" operator="containsText" text="Alto">
      <formula>NOT(ISERROR(SEARCH("Alto",U129)))</formula>
    </cfRule>
    <cfRule type="containsText" dxfId="5063" priority="11823" stopIfTrue="1" operator="containsText" text="Medio">
      <formula>NOT(ISERROR(SEARCH("Medio",U129)))</formula>
    </cfRule>
    <cfRule type="containsText" dxfId="5062" priority="11822" stopIfTrue="1" operator="containsText" text="Bajo">
      <formula>NOT(ISERROR(SEARCH("Bajo",U129)))</formula>
    </cfRule>
    <cfRule type="containsText" dxfId="5061" priority="11817" stopIfTrue="1" operator="containsText" text="Muy alto">
      <formula>NOT(ISERROR(SEARCH("Muy alto",U129)))</formula>
    </cfRule>
  </conditionalFormatting>
  <conditionalFormatting sqref="U130">
    <cfRule type="containsText" dxfId="5060" priority="11785" stopIfTrue="1" operator="containsText" text="Bajo">
      <formula>NOT(ISERROR(SEARCH("Bajo",U130)))</formula>
    </cfRule>
    <cfRule type="containsText" dxfId="5059" priority="11787" stopIfTrue="1" operator="containsText" text="Alto">
      <formula>NOT(ISERROR(SEARCH("Alto",U130)))</formula>
    </cfRule>
    <cfRule type="containsText" dxfId="5058" priority="11786" stopIfTrue="1" operator="containsText" text="Medio">
      <formula>NOT(ISERROR(SEARCH("Medio",U130)))</formula>
    </cfRule>
    <cfRule type="containsText" dxfId="5057" priority="11780" stopIfTrue="1" operator="containsText" text="Muy alto">
      <formula>NOT(ISERROR(SEARCH("Muy alto",U130)))</formula>
    </cfRule>
  </conditionalFormatting>
  <conditionalFormatting sqref="U131">
    <cfRule type="containsText" dxfId="5056" priority="11691" stopIfTrue="1" operator="containsText" text="Bajo">
      <formula>NOT(ISERROR(SEARCH("Bajo",U131)))</formula>
    </cfRule>
    <cfRule type="containsText" dxfId="5055" priority="11693" stopIfTrue="1" operator="containsText" text="Alto">
      <formula>NOT(ISERROR(SEARCH("Alto",U131)))</formula>
    </cfRule>
    <cfRule type="containsText" dxfId="5054" priority="11692" stopIfTrue="1" operator="containsText" text="Medio">
      <formula>NOT(ISERROR(SEARCH("Medio",U131)))</formula>
    </cfRule>
    <cfRule type="containsText" dxfId="5053" priority="11678" stopIfTrue="1" operator="containsText" text="Muy alto">
      <formula>NOT(ISERROR(SEARCH("Muy alto",U131)))</formula>
    </cfRule>
  </conditionalFormatting>
  <conditionalFormatting sqref="U132">
    <cfRule type="containsText" dxfId="5052" priority="11559" stopIfTrue="1" operator="containsText" text="Muy alto">
      <formula>NOT(ISERROR(SEARCH("Muy alto",U132)))</formula>
    </cfRule>
    <cfRule type="containsText" dxfId="5051" priority="11574" stopIfTrue="1" operator="containsText" text="Bajo">
      <formula>NOT(ISERROR(SEARCH("Bajo",U132)))</formula>
    </cfRule>
    <cfRule type="containsText" dxfId="5050" priority="11576" stopIfTrue="1" operator="containsText" text="Alto">
      <formula>NOT(ISERROR(SEARCH("Alto",U132)))</formula>
    </cfRule>
    <cfRule type="containsText" dxfId="5049" priority="11575" stopIfTrue="1" operator="containsText" text="Medio">
      <formula>NOT(ISERROR(SEARCH("Medio",U132)))</formula>
    </cfRule>
  </conditionalFormatting>
  <conditionalFormatting sqref="U133:U134">
    <cfRule type="containsText" dxfId="5048" priority="11509" stopIfTrue="1" operator="containsText" text="Medio">
      <formula>NOT(ISERROR(SEARCH("Medio",U133)))</formula>
    </cfRule>
    <cfRule type="containsText" dxfId="5047" priority="11510" stopIfTrue="1" operator="containsText" text="Alto">
      <formula>NOT(ISERROR(SEARCH("Alto",U133)))</formula>
    </cfRule>
    <cfRule type="containsText" dxfId="5046" priority="11503" stopIfTrue="1" operator="containsText" text="Muy alto">
      <formula>NOT(ISERROR(SEARCH("Muy alto",U133)))</formula>
    </cfRule>
    <cfRule type="containsText" dxfId="5045" priority="11508" stopIfTrue="1" operator="containsText" text="Bajo">
      <formula>NOT(ISERROR(SEARCH("Bajo",U133)))</formula>
    </cfRule>
  </conditionalFormatting>
  <conditionalFormatting sqref="U135">
    <cfRule type="containsText" dxfId="5044" priority="11397" stopIfTrue="1" operator="containsText" text="Muy alto">
      <formula>NOT(ISERROR(SEARCH("Muy alto",U135)))</formula>
    </cfRule>
    <cfRule type="containsText" dxfId="5043" priority="11398" stopIfTrue="1" operator="containsText" text="Bajo">
      <formula>NOT(ISERROR(SEARCH("Bajo",U135)))</formula>
    </cfRule>
    <cfRule type="containsText" dxfId="5042" priority="11400" stopIfTrue="1" operator="containsText" text="Alto">
      <formula>NOT(ISERROR(SEARCH("Alto",U135)))</formula>
    </cfRule>
    <cfRule type="containsText" dxfId="5041" priority="11399" stopIfTrue="1" operator="containsText" text="Medio">
      <formula>NOT(ISERROR(SEARCH("Medio",U135)))</formula>
    </cfRule>
  </conditionalFormatting>
  <conditionalFormatting sqref="U137">
    <cfRule type="containsText" dxfId="5040" priority="11275" stopIfTrue="1" operator="containsText" text="Alto">
      <formula>NOT(ISERROR(SEARCH("Alto",U137)))</formula>
    </cfRule>
    <cfRule type="containsText" dxfId="5039" priority="11273" stopIfTrue="1" operator="containsText" text="Bajo">
      <formula>NOT(ISERROR(SEARCH("Bajo",U137)))</formula>
    </cfRule>
    <cfRule type="containsText" dxfId="5038" priority="11268" stopIfTrue="1" operator="containsText" text="Muy alto">
      <formula>NOT(ISERROR(SEARCH("Muy alto",U137)))</formula>
    </cfRule>
    <cfRule type="containsText" dxfId="5037" priority="11274" stopIfTrue="1" operator="containsText" text="Medio">
      <formula>NOT(ISERROR(SEARCH("Medio",U137)))</formula>
    </cfRule>
  </conditionalFormatting>
  <conditionalFormatting sqref="U138">
    <cfRule type="containsText" dxfId="5036" priority="11425" stopIfTrue="1" operator="containsText" text="Bajo">
      <formula>NOT(ISERROR(SEARCH("Bajo",U138)))</formula>
    </cfRule>
    <cfRule type="containsText" dxfId="5035" priority="11426" stopIfTrue="1" operator="containsText" text="Medio">
      <formula>NOT(ISERROR(SEARCH("Medio",U138)))</formula>
    </cfRule>
    <cfRule type="containsText" dxfId="5034" priority="11420" stopIfTrue="1" operator="containsText" text="Muy alto">
      <formula>NOT(ISERROR(SEARCH("Muy alto",U138)))</formula>
    </cfRule>
    <cfRule type="containsText" dxfId="5033" priority="11427" stopIfTrue="1" operator="containsText" text="Alto">
      <formula>NOT(ISERROR(SEARCH("Alto",U138)))</formula>
    </cfRule>
  </conditionalFormatting>
  <conditionalFormatting sqref="U139">
    <cfRule type="containsText" dxfId="5032" priority="11228" stopIfTrue="1" operator="containsText" text="Bajo">
      <formula>NOT(ISERROR(SEARCH("Bajo",U139)))</formula>
    </cfRule>
    <cfRule type="containsText" dxfId="5031" priority="11229" stopIfTrue="1" operator="containsText" text="Medio">
      <formula>NOT(ISERROR(SEARCH("Medio",U139)))</formula>
    </cfRule>
    <cfRule type="containsText" dxfId="5030" priority="11230" stopIfTrue="1" operator="containsText" text="Alto">
      <formula>NOT(ISERROR(SEARCH("Alto",U139)))</formula>
    </cfRule>
    <cfRule type="containsText" dxfId="5029" priority="11223" stopIfTrue="1" operator="containsText" text="Muy alto">
      <formula>NOT(ISERROR(SEARCH("Muy alto",U139)))</formula>
    </cfRule>
  </conditionalFormatting>
  <conditionalFormatting sqref="U140">
    <cfRule type="containsText" dxfId="5028" priority="11185" stopIfTrue="1" operator="containsText" text="Alto">
      <formula>NOT(ISERROR(SEARCH("Alto",U140)))</formula>
    </cfRule>
    <cfRule type="containsText" dxfId="5027" priority="11183" stopIfTrue="1" operator="containsText" text="Bajo">
      <formula>NOT(ISERROR(SEARCH("Bajo",U140)))</formula>
    </cfRule>
    <cfRule type="containsText" dxfId="5026" priority="11178" stopIfTrue="1" operator="containsText" text="Muy alto">
      <formula>NOT(ISERROR(SEARCH("Muy alto",U140)))</formula>
    </cfRule>
    <cfRule type="containsText" dxfId="5025" priority="11184" stopIfTrue="1" operator="containsText" text="Medio">
      <formula>NOT(ISERROR(SEARCH("Medio",U140)))</formula>
    </cfRule>
  </conditionalFormatting>
  <conditionalFormatting sqref="U141">
    <cfRule type="containsText" dxfId="5024" priority="10797" stopIfTrue="1" operator="containsText" text="Muy alto">
      <formula>NOT(ISERROR(SEARCH("Muy alto",U141)))</formula>
    </cfRule>
    <cfRule type="containsText" dxfId="5023" priority="10814" stopIfTrue="1" operator="containsText" text="Alto">
      <formula>NOT(ISERROR(SEARCH("Alto",U141)))</formula>
    </cfRule>
    <cfRule type="containsText" dxfId="5022" priority="10812" stopIfTrue="1" operator="containsText" text="Bajo">
      <formula>NOT(ISERROR(SEARCH("Bajo",U141)))</formula>
    </cfRule>
    <cfRule type="containsText" dxfId="5021" priority="10813" stopIfTrue="1" operator="containsText" text="Medio">
      <formula>NOT(ISERROR(SEARCH("Medio",U141)))</formula>
    </cfRule>
  </conditionalFormatting>
  <conditionalFormatting sqref="U142">
    <cfRule type="containsText" dxfId="5020" priority="10834" stopIfTrue="1" operator="containsText" text="Muy alto">
      <formula>NOT(ISERROR(SEARCH("Muy alto",U142)))</formula>
    </cfRule>
    <cfRule type="containsText" dxfId="5019" priority="10851" stopIfTrue="1" operator="containsText" text="Alto">
      <formula>NOT(ISERROR(SEARCH("Alto",U142)))</formula>
    </cfRule>
    <cfRule type="containsText" dxfId="5018" priority="10850" stopIfTrue="1" operator="containsText" text="Medio">
      <formula>NOT(ISERROR(SEARCH("Medio",U142)))</formula>
    </cfRule>
    <cfRule type="containsText" dxfId="5017" priority="10849" stopIfTrue="1" operator="containsText" text="Bajo">
      <formula>NOT(ISERROR(SEARCH("Bajo",U142)))</formula>
    </cfRule>
  </conditionalFormatting>
  <conditionalFormatting sqref="U143">
    <cfRule type="containsText" dxfId="5016" priority="10990" stopIfTrue="1" operator="containsText" text="Alto">
      <formula>NOT(ISERROR(SEARCH("Alto",U143)))</formula>
    </cfRule>
    <cfRule type="containsText" dxfId="5015" priority="10989" stopIfTrue="1" operator="containsText" text="Medio">
      <formula>NOT(ISERROR(SEARCH("Medio",U143)))</formula>
    </cfRule>
    <cfRule type="containsText" dxfId="5014" priority="10988" stopIfTrue="1" operator="containsText" text="Bajo">
      <formula>NOT(ISERROR(SEARCH("Bajo",U143)))</formula>
    </cfRule>
    <cfRule type="containsText" dxfId="5013" priority="10983" stopIfTrue="1" operator="containsText" text="Muy alto">
      <formula>NOT(ISERROR(SEARCH("Muy alto",U143)))</formula>
    </cfRule>
  </conditionalFormatting>
  <conditionalFormatting sqref="U144">
    <cfRule type="containsText" dxfId="5012" priority="11027" stopIfTrue="1" operator="containsText" text="Bajo">
      <formula>NOT(ISERROR(SEARCH("Bajo",U144)))</formula>
    </cfRule>
    <cfRule type="containsText" dxfId="5011" priority="11029" stopIfTrue="1" operator="containsText" text="Alto">
      <formula>NOT(ISERROR(SEARCH("Alto",U144)))</formula>
    </cfRule>
    <cfRule type="containsText" dxfId="5010" priority="11028" stopIfTrue="1" operator="containsText" text="Medio">
      <formula>NOT(ISERROR(SEARCH("Medio",U144)))</formula>
    </cfRule>
    <cfRule type="containsText" dxfId="5009" priority="11020" stopIfTrue="1" operator="containsText" text="Muy alto">
      <formula>NOT(ISERROR(SEARCH("Muy alto",U144)))</formula>
    </cfRule>
  </conditionalFormatting>
  <conditionalFormatting sqref="U145">
    <cfRule type="containsText" dxfId="5008" priority="11146" stopIfTrue="1" operator="containsText" text="Alto">
      <formula>NOT(ISERROR(SEARCH("Alto",U145)))</formula>
    </cfRule>
    <cfRule type="containsText" dxfId="5007" priority="11137" stopIfTrue="1" operator="containsText" text="Muy alto">
      <formula>NOT(ISERROR(SEARCH("Muy alto",U145)))</formula>
    </cfRule>
    <cfRule type="containsText" dxfId="5006" priority="11144" stopIfTrue="1" operator="containsText" text="Bajo">
      <formula>NOT(ISERROR(SEARCH("Bajo",U145)))</formula>
    </cfRule>
    <cfRule type="containsText" dxfId="5005" priority="11145" stopIfTrue="1" operator="containsText" text="Medio">
      <formula>NOT(ISERROR(SEARCH("Medio",U145)))</formula>
    </cfRule>
  </conditionalFormatting>
  <conditionalFormatting sqref="U146">
    <cfRule type="containsText" dxfId="5004" priority="11101" stopIfTrue="1" operator="containsText" text="Alto">
      <formula>NOT(ISERROR(SEARCH("Alto",U146)))</formula>
    </cfRule>
    <cfRule type="containsText" dxfId="5003" priority="11094" stopIfTrue="1" operator="containsText" text="Muy alto">
      <formula>NOT(ISERROR(SEARCH("Muy alto",U146)))</formula>
    </cfRule>
    <cfRule type="containsText" dxfId="5002" priority="11099" stopIfTrue="1" operator="containsText" text="Bajo">
      <formula>NOT(ISERROR(SEARCH("Bajo",U146)))</formula>
    </cfRule>
    <cfRule type="containsText" dxfId="5001" priority="11100" stopIfTrue="1" operator="containsText" text="Medio">
      <formula>NOT(ISERROR(SEARCH("Medio",U146)))</formula>
    </cfRule>
  </conditionalFormatting>
  <conditionalFormatting sqref="U147">
    <cfRule type="containsText" dxfId="5000" priority="11064" stopIfTrue="1" operator="containsText" text="Alto">
      <formula>NOT(ISERROR(SEARCH("Alto",U147)))</formula>
    </cfRule>
    <cfRule type="containsText" dxfId="4999" priority="11063" stopIfTrue="1" operator="containsText" text="Medio">
      <formula>NOT(ISERROR(SEARCH("Medio",U147)))</formula>
    </cfRule>
    <cfRule type="containsText" dxfId="4998" priority="11057" stopIfTrue="1" operator="containsText" text="Muy alto">
      <formula>NOT(ISERROR(SEARCH("Muy alto",U147)))</formula>
    </cfRule>
    <cfRule type="containsText" dxfId="4997" priority="11062" stopIfTrue="1" operator="containsText" text="Bajo">
      <formula>NOT(ISERROR(SEARCH("Bajo",U147)))</formula>
    </cfRule>
  </conditionalFormatting>
  <conditionalFormatting sqref="U148">
    <cfRule type="containsText" dxfId="4996" priority="10888" stopIfTrue="1" operator="containsText" text="Bajo">
      <formula>NOT(ISERROR(SEARCH("Bajo",U148)))</formula>
    </cfRule>
    <cfRule type="containsText" dxfId="4995" priority="10890" stopIfTrue="1" operator="containsText" text="Alto">
      <formula>NOT(ISERROR(SEARCH("Alto",U148)))</formula>
    </cfRule>
    <cfRule type="containsText" dxfId="4994" priority="10889" stopIfTrue="1" operator="containsText" text="Medio">
      <formula>NOT(ISERROR(SEARCH("Medio",U148)))</formula>
    </cfRule>
    <cfRule type="containsText" dxfId="4993" priority="10875" stopIfTrue="1" operator="containsText" text="Muy alto">
      <formula>NOT(ISERROR(SEARCH("Muy alto",U148)))</formula>
    </cfRule>
  </conditionalFormatting>
  <conditionalFormatting sqref="U149">
    <cfRule type="containsText" dxfId="4992" priority="10914" stopIfTrue="1" operator="containsText" text="Muy alto">
      <formula>NOT(ISERROR(SEARCH("Muy alto",U149)))</formula>
    </cfRule>
    <cfRule type="containsText" dxfId="4991" priority="10927" stopIfTrue="1" operator="containsText" text="Bajo">
      <formula>NOT(ISERROR(SEARCH("Bajo",U149)))</formula>
    </cfRule>
    <cfRule type="containsText" dxfId="4990" priority="10928" stopIfTrue="1" operator="containsText" text="Medio">
      <formula>NOT(ISERROR(SEARCH("Medio",U149)))</formula>
    </cfRule>
    <cfRule type="containsText" dxfId="4989" priority="10929" stopIfTrue="1" operator="containsText" text="Alto">
      <formula>NOT(ISERROR(SEARCH("Alto",U149)))</formula>
    </cfRule>
  </conditionalFormatting>
  <conditionalFormatting sqref="U150">
    <cfRule type="containsText" dxfId="4988" priority="10953" stopIfTrue="1" operator="containsText" text="Muy alto">
      <formula>NOT(ISERROR(SEARCH("Muy alto",U150)))</formula>
    </cfRule>
    <cfRule type="containsText" dxfId="4987" priority="10969" stopIfTrue="1" operator="containsText" text="Medio">
      <formula>NOT(ISERROR(SEARCH("Medio",U150)))</formula>
    </cfRule>
    <cfRule type="containsText" dxfId="4986" priority="10970" stopIfTrue="1" operator="containsText" text="Alto">
      <formula>NOT(ISERROR(SEARCH("Alto",U150)))</formula>
    </cfRule>
    <cfRule type="containsText" dxfId="4985" priority="10968" stopIfTrue="1" operator="containsText" text="Bajo">
      <formula>NOT(ISERROR(SEARCH("Bajo",U150)))</formula>
    </cfRule>
  </conditionalFormatting>
  <conditionalFormatting sqref="U151:U152">
    <cfRule type="containsText" dxfId="4984" priority="10760" stopIfTrue="1" operator="containsText" text="Alto">
      <formula>NOT(ISERROR(SEARCH("Alto",U151)))</formula>
    </cfRule>
    <cfRule type="containsText" dxfId="4983" priority="10759" stopIfTrue="1" operator="containsText" text="Medio">
      <formula>NOT(ISERROR(SEARCH("Medio",U151)))</formula>
    </cfRule>
    <cfRule type="containsText" dxfId="4982" priority="10758" stopIfTrue="1" operator="containsText" text="Bajo">
      <formula>NOT(ISERROR(SEARCH("Bajo",U151)))</formula>
    </cfRule>
    <cfRule type="containsText" dxfId="4981" priority="10753" stopIfTrue="1" operator="containsText" text="Muy alto">
      <formula>NOT(ISERROR(SEARCH("Muy alto",U151)))</formula>
    </cfRule>
  </conditionalFormatting>
  <conditionalFormatting sqref="U153">
    <cfRule type="containsText" dxfId="4980" priority="10702" stopIfTrue="1" operator="containsText" text="Muy alto">
      <formula>NOT(ISERROR(SEARCH("Muy alto",U153)))</formula>
    </cfRule>
    <cfRule type="containsText" dxfId="4979" priority="10709" stopIfTrue="1" operator="containsText" text="Alto">
      <formula>NOT(ISERROR(SEARCH("Alto",U153)))</formula>
    </cfRule>
    <cfRule type="containsText" dxfId="4978" priority="10708" stopIfTrue="1" operator="containsText" text="Medio">
      <formula>NOT(ISERROR(SEARCH("Medio",U153)))</formula>
    </cfRule>
    <cfRule type="containsText" dxfId="4977" priority="10707" stopIfTrue="1" operator="containsText" text="Bajo">
      <formula>NOT(ISERROR(SEARCH("Bajo",U153)))</formula>
    </cfRule>
  </conditionalFormatting>
  <conditionalFormatting sqref="U154">
    <cfRule type="containsText" dxfId="4976" priority="10604" stopIfTrue="1" operator="containsText" text="Muy alto">
      <formula>NOT(ISERROR(SEARCH("Muy alto",U154)))</formula>
    </cfRule>
    <cfRule type="containsText" dxfId="4975" priority="10605" stopIfTrue="1" operator="containsText" text="Bajo">
      <formula>NOT(ISERROR(SEARCH("Bajo",U154)))</formula>
    </cfRule>
    <cfRule type="containsText" dxfId="4974" priority="10606" stopIfTrue="1" operator="containsText" text="Medio">
      <formula>NOT(ISERROR(SEARCH("Medio",U154)))</formula>
    </cfRule>
    <cfRule type="containsText" dxfId="4973" priority="10607" stopIfTrue="1" operator="containsText" text="Alto">
      <formula>NOT(ISERROR(SEARCH("Alto",U154)))</formula>
    </cfRule>
  </conditionalFormatting>
  <conditionalFormatting sqref="U156">
    <cfRule type="containsText" dxfId="4972" priority="10527" stopIfTrue="1" operator="containsText" text="Alto">
      <formula>NOT(ISERROR(SEARCH("Alto",U156)))</formula>
    </cfRule>
    <cfRule type="containsText" dxfId="4971" priority="10526" stopIfTrue="1" operator="containsText" text="Medio">
      <formula>NOT(ISERROR(SEARCH("Medio",U156)))</formula>
    </cfRule>
    <cfRule type="containsText" dxfId="4970" priority="10525" stopIfTrue="1" operator="containsText" text="Bajo">
      <formula>NOT(ISERROR(SEARCH("Bajo",U156)))</formula>
    </cfRule>
    <cfRule type="containsText" dxfId="4969" priority="10520" stopIfTrue="1" operator="containsText" text="Muy alto">
      <formula>NOT(ISERROR(SEARCH("Muy alto",U156)))</formula>
    </cfRule>
  </conditionalFormatting>
  <conditionalFormatting sqref="U157">
    <cfRule type="containsText" dxfId="4968" priority="10475" stopIfTrue="1" operator="containsText" text="Muy alto">
      <formula>NOT(ISERROR(SEARCH("Muy alto",U157)))</formula>
    </cfRule>
    <cfRule type="containsText" dxfId="4967" priority="10480" stopIfTrue="1" operator="containsText" text="Bajo">
      <formula>NOT(ISERROR(SEARCH("Bajo",U157)))</formula>
    </cfRule>
    <cfRule type="containsText" dxfId="4966" priority="10481" stopIfTrue="1" operator="containsText" text="Medio">
      <formula>NOT(ISERROR(SEARCH("Medio",U157)))</formula>
    </cfRule>
    <cfRule type="containsText" dxfId="4965" priority="10482" stopIfTrue="1" operator="containsText" text="Alto">
      <formula>NOT(ISERROR(SEARCH("Alto",U157)))</formula>
    </cfRule>
  </conditionalFormatting>
  <conditionalFormatting sqref="U158">
    <cfRule type="containsText" dxfId="4964" priority="10633" stopIfTrue="1" operator="containsText" text="Medio">
      <formula>NOT(ISERROR(SEARCH("Medio",U158)))</formula>
    </cfRule>
    <cfRule type="containsText" dxfId="4963" priority="10627" stopIfTrue="1" operator="containsText" text="Muy alto">
      <formula>NOT(ISERROR(SEARCH("Muy alto",U158)))</formula>
    </cfRule>
    <cfRule type="containsText" dxfId="4962" priority="10634" stopIfTrue="1" operator="containsText" text="Alto">
      <formula>NOT(ISERROR(SEARCH("Alto",U158)))</formula>
    </cfRule>
    <cfRule type="containsText" dxfId="4961" priority="10632" stopIfTrue="1" operator="containsText" text="Bajo">
      <formula>NOT(ISERROR(SEARCH("Bajo",U158)))</formula>
    </cfRule>
  </conditionalFormatting>
  <conditionalFormatting sqref="U159">
    <cfRule type="containsText" dxfId="4960" priority="10430" stopIfTrue="1" operator="containsText" text="Muy alto">
      <formula>NOT(ISERROR(SEARCH("Muy alto",U159)))</formula>
    </cfRule>
    <cfRule type="containsText" dxfId="4959" priority="10435" stopIfTrue="1" operator="containsText" text="Bajo">
      <formula>NOT(ISERROR(SEARCH("Bajo",U159)))</formula>
    </cfRule>
    <cfRule type="containsText" dxfId="4958" priority="10436" stopIfTrue="1" operator="containsText" text="Medio">
      <formula>NOT(ISERROR(SEARCH("Medio",U159)))</formula>
    </cfRule>
    <cfRule type="containsText" dxfId="4957" priority="10437" stopIfTrue="1" operator="containsText" text="Alto">
      <formula>NOT(ISERROR(SEARCH("Alto",U159)))</formula>
    </cfRule>
  </conditionalFormatting>
  <conditionalFormatting sqref="U160">
    <cfRule type="containsText" dxfId="4956" priority="10391" stopIfTrue="1" operator="containsText" text="Medio">
      <formula>NOT(ISERROR(SEARCH("Medio",U160)))</formula>
    </cfRule>
    <cfRule type="containsText" dxfId="4955" priority="10390" stopIfTrue="1" operator="containsText" text="Bajo">
      <formula>NOT(ISERROR(SEARCH("Bajo",U160)))</formula>
    </cfRule>
    <cfRule type="containsText" dxfId="4954" priority="10385" stopIfTrue="1" operator="containsText" text="Muy alto">
      <formula>NOT(ISERROR(SEARCH("Muy alto",U160)))</formula>
    </cfRule>
    <cfRule type="containsText" dxfId="4953" priority="10392" stopIfTrue="1" operator="containsText" text="Alto">
      <formula>NOT(ISERROR(SEARCH("Alto",U160)))</formula>
    </cfRule>
  </conditionalFormatting>
  <conditionalFormatting sqref="U161">
    <cfRule type="containsText" dxfId="4952" priority="10004" stopIfTrue="1" operator="containsText" text="Muy alto">
      <formula>NOT(ISERROR(SEARCH("Muy alto",U161)))</formula>
    </cfRule>
    <cfRule type="containsText" dxfId="4951" priority="10019" stopIfTrue="1" operator="containsText" text="Bajo">
      <formula>NOT(ISERROR(SEARCH("Bajo",U161)))</formula>
    </cfRule>
    <cfRule type="containsText" dxfId="4950" priority="10021" stopIfTrue="1" operator="containsText" text="Alto">
      <formula>NOT(ISERROR(SEARCH("Alto",U161)))</formula>
    </cfRule>
    <cfRule type="containsText" dxfId="4949" priority="10020" stopIfTrue="1" operator="containsText" text="Medio">
      <formula>NOT(ISERROR(SEARCH("Medio",U161)))</formula>
    </cfRule>
  </conditionalFormatting>
  <conditionalFormatting sqref="U162">
    <cfRule type="containsText" dxfId="4948" priority="10058" stopIfTrue="1" operator="containsText" text="Alto">
      <formula>NOT(ISERROR(SEARCH("Alto",U162)))</formula>
    </cfRule>
    <cfRule type="containsText" dxfId="4947" priority="10056" stopIfTrue="1" operator="containsText" text="Bajo">
      <formula>NOT(ISERROR(SEARCH("Bajo",U162)))</formula>
    </cfRule>
    <cfRule type="containsText" dxfId="4946" priority="10041" stopIfTrue="1" operator="containsText" text="Muy alto">
      <formula>NOT(ISERROR(SEARCH("Muy alto",U162)))</formula>
    </cfRule>
    <cfRule type="containsText" dxfId="4945" priority="10057" stopIfTrue="1" operator="containsText" text="Medio">
      <formula>NOT(ISERROR(SEARCH("Medio",U162)))</formula>
    </cfRule>
  </conditionalFormatting>
  <conditionalFormatting sqref="U163">
    <cfRule type="containsText" dxfId="4944" priority="10190" stopIfTrue="1" operator="containsText" text="Muy alto">
      <formula>NOT(ISERROR(SEARCH("Muy alto",U163)))</formula>
    </cfRule>
    <cfRule type="containsText" dxfId="4943" priority="10197" stopIfTrue="1" operator="containsText" text="Alto">
      <formula>NOT(ISERROR(SEARCH("Alto",U163)))</formula>
    </cfRule>
    <cfRule type="containsText" dxfId="4942" priority="10196" stopIfTrue="1" operator="containsText" text="Medio">
      <formula>NOT(ISERROR(SEARCH("Medio",U163)))</formula>
    </cfRule>
    <cfRule type="containsText" dxfId="4941" priority="10195" stopIfTrue="1" operator="containsText" text="Bajo">
      <formula>NOT(ISERROR(SEARCH("Bajo",U163)))</formula>
    </cfRule>
  </conditionalFormatting>
  <conditionalFormatting sqref="U164">
    <cfRule type="containsText" dxfId="4940" priority="10235" stopIfTrue="1" operator="containsText" text="Medio">
      <formula>NOT(ISERROR(SEARCH("Medio",U164)))</formula>
    </cfRule>
    <cfRule type="containsText" dxfId="4939" priority="10227" stopIfTrue="1" operator="containsText" text="Muy alto">
      <formula>NOT(ISERROR(SEARCH("Muy alto",U164)))</formula>
    </cfRule>
    <cfRule type="containsText" dxfId="4938" priority="10236" stopIfTrue="1" operator="containsText" text="Alto">
      <formula>NOT(ISERROR(SEARCH("Alto",U164)))</formula>
    </cfRule>
    <cfRule type="containsText" dxfId="4937" priority="10234" stopIfTrue="1" operator="containsText" text="Bajo">
      <formula>NOT(ISERROR(SEARCH("Bajo",U164)))</formula>
    </cfRule>
  </conditionalFormatting>
  <conditionalFormatting sqref="U165">
    <cfRule type="containsText" dxfId="4936" priority="10344" stopIfTrue="1" operator="containsText" text="Muy alto">
      <formula>NOT(ISERROR(SEARCH("Muy alto",U165)))</formula>
    </cfRule>
    <cfRule type="containsText" dxfId="4935" priority="10351" stopIfTrue="1" operator="containsText" text="Bajo">
      <formula>NOT(ISERROR(SEARCH("Bajo",U165)))</formula>
    </cfRule>
    <cfRule type="containsText" dxfId="4934" priority="10352" stopIfTrue="1" operator="containsText" text="Medio">
      <formula>NOT(ISERROR(SEARCH("Medio",U165)))</formula>
    </cfRule>
    <cfRule type="containsText" dxfId="4933" priority="10353" stopIfTrue="1" operator="containsText" text="Alto">
      <formula>NOT(ISERROR(SEARCH("Alto",U165)))</formula>
    </cfRule>
  </conditionalFormatting>
  <conditionalFormatting sqref="U166">
    <cfRule type="containsText" dxfId="4932" priority="10306" stopIfTrue="1" operator="containsText" text="Bajo">
      <formula>NOT(ISERROR(SEARCH("Bajo",U166)))</formula>
    </cfRule>
    <cfRule type="containsText" dxfId="4931" priority="10308" stopIfTrue="1" operator="containsText" text="Alto">
      <formula>NOT(ISERROR(SEARCH("Alto",U166)))</formula>
    </cfRule>
    <cfRule type="containsText" dxfId="4930" priority="10307" stopIfTrue="1" operator="containsText" text="Medio">
      <formula>NOT(ISERROR(SEARCH("Medio",U166)))</formula>
    </cfRule>
    <cfRule type="containsText" dxfId="4929" priority="10301" stopIfTrue="1" operator="containsText" text="Muy alto">
      <formula>NOT(ISERROR(SEARCH("Muy alto",U166)))</formula>
    </cfRule>
  </conditionalFormatting>
  <conditionalFormatting sqref="U167">
    <cfRule type="containsText" dxfId="4928" priority="10271" stopIfTrue="1" operator="containsText" text="Alto">
      <formula>NOT(ISERROR(SEARCH("Alto",U167)))</formula>
    </cfRule>
    <cfRule type="containsText" dxfId="4927" priority="10270" stopIfTrue="1" operator="containsText" text="Medio">
      <formula>NOT(ISERROR(SEARCH("Medio",U167)))</formula>
    </cfRule>
    <cfRule type="containsText" dxfId="4926" priority="10269" stopIfTrue="1" operator="containsText" text="Bajo">
      <formula>NOT(ISERROR(SEARCH("Bajo",U167)))</formula>
    </cfRule>
    <cfRule type="containsText" dxfId="4925" priority="10264" stopIfTrue="1" operator="containsText" text="Muy alto">
      <formula>NOT(ISERROR(SEARCH("Muy alto",U167)))</formula>
    </cfRule>
  </conditionalFormatting>
  <conditionalFormatting sqref="U168">
    <cfRule type="containsText" dxfId="4924" priority="9892" stopIfTrue="1" operator="containsText" text="Alto">
      <formula>NOT(ISERROR(SEARCH("Alto",U168)))</formula>
    </cfRule>
    <cfRule type="containsText" dxfId="4923" priority="9891" stopIfTrue="1" operator="containsText" text="Medio">
      <formula>NOT(ISERROR(SEARCH("Medio",U168)))</formula>
    </cfRule>
    <cfRule type="containsText" dxfId="4922" priority="9877" stopIfTrue="1" operator="containsText" text="Muy alto">
      <formula>NOT(ISERROR(SEARCH("Muy alto",U168)))</formula>
    </cfRule>
    <cfRule type="containsText" dxfId="4921" priority="9890" stopIfTrue="1" operator="containsText" text="Bajo">
      <formula>NOT(ISERROR(SEARCH("Bajo",U168)))</formula>
    </cfRule>
  </conditionalFormatting>
  <conditionalFormatting sqref="U169">
    <cfRule type="containsText" dxfId="4920" priority="10160" stopIfTrue="1" operator="containsText" text="Muy alto">
      <formula>NOT(ISERROR(SEARCH("Muy alto",U169)))</formula>
    </cfRule>
    <cfRule type="containsText" dxfId="4919" priority="10177" stopIfTrue="1" operator="containsText" text="Alto">
      <formula>NOT(ISERROR(SEARCH("Alto",U169)))</formula>
    </cfRule>
    <cfRule type="containsText" dxfId="4918" priority="10176" stopIfTrue="1" operator="containsText" text="Medio">
      <formula>NOT(ISERROR(SEARCH("Medio",U169)))</formula>
    </cfRule>
    <cfRule type="containsText" dxfId="4917" priority="10175" stopIfTrue="1" operator="containsText" text="Bajo">
      <formula>NOT(ISERROR(SEARCH("Bajo",U169)))</formula>
    </cfRule>
  </conditionalFormatting>
  <conditionalFormatting sqref="U170:U171">
    <cfRule type="containsText" dxfId="4916" priority="9967" stopIfTrue="1" operator="containsText" text="Alto">
      <formula>NOT(ISERROR(SEARCH("Alto",U170)))</formula>
    </cfRule>
    <cfRule type="containsText" dxfId="4915" priority="9966" stopIfTrue="1" operator="containsText" text="Medio">
      <formula>NOT(ISERROR(SEARCH("Medio",U170)))</formula>
    </cfRule>
    <cfRule type="containsText" dxfId="4914" priority="9965" stopIfTrue="1" operator="containsText" text="Bajo">
      <formula>NOT(ISERROR(SEARCH("Bajo",U170)))</formula>
    </cfRule>
    <cfRule type="containsText" dxfId="4913" priority="9960" stopIfTrue="1" operator="containsText" text="Muy alto">
      <formula>NOT(ISERROR(SEARCH("Muy alto",U170)))</formula>
    </cfRule>
  </conditionalFormatting>
  <conditionalFormatting sqref="U172">
    <cfRule type="containsText" dxfId="4912" priority="9765" stopIfTrue="1" operator="containsText" text="Bajo">
      <formula>NOT(ISERROR(SEARCH("Bajo",U172)))</formula>
    </cfRule>
    <cfRule type="containsText" dxfId="4911" priority="9766" stopIfTrue="1" operator="containsText" text="Medio">
      <formula>NOT(ISERROR(SEARCH("Medio",U172)))</formula>
    </cfRule>
    <cfRule type="containsText" dxfId="4910" priority="9767" stopIfTrue="1" operator="containsText" text="Alto">
      <formula>NOT(ISERROR(SEARCH("Alto",U172)))</formula>
    </cfRule>
    <cfRule type="containsText" dxfId="4909" priority="9764" stopIfTrue="1" operator="containsText" text="Muy alto">
      <formula>NOT(ISERROR(SEARCH("Muy alto",U172)))</formula>
    </cfRule>
  </conditionalFormatting>
  <conditionalFormatting sqref="U173 U155 U136">
    <cfRule type="containsText" dxfId="4908" priority="8654" stopIfTrue="1" operator="containsText" text="Bajo">
      <formula>NOT(ISERROR(SEARCH("Bajo",U136)))</formula>
    </cfRule>
    <cfRule type="containsText" dxfId="4907" priority="8655" stopIfTrue="1" operator="containsText" text="Medio">
      <formula>NOT(ISERROR(SEARCH("Medio",U136)))</formula>
    </cfRule>
    <cfRule type="containsText" dxfId="4906" priority="8656" stopIfTrue="1" operator="containsText" text="Alto">
      <formula>NOT(ISERROR(SEARCH("Alto",U136)))</formula>
    </cfRule>
    <cfRule type="containsText" dxfId="4905" priority="8649" stopIfTrue="1" operator="containsText" text="Muy alto">
      <formula>NOT(ISERROR(SEARCH("Muy alto",U136)))</formula>
    </cfRule>
  </conditionalFormatting>
  <conditionalFormatting sqref="U174">
    <cfRule type="containsText" dxfId="4904" priority="9685" stopIfTrue="1" operator="containsText" text="Bajo">
      <formula>NOT(ISERROR(SEARCH("Bajo",U174)))</formula>
    </cfRule>
    <cfRule type="containsText" dxfId="4903" priority="9686" stopIfTrue="1" operator="containsText" text="Medio">
      <formula>NOT(ISERROR(SEARCH("Medio",U174)))</formula>
    </cfRule>
    <cfRule type="containsText" dxfId="4902" priority="9680" stopIfTrue="1" operator="containsText" text="Muy alto">
      <formula>NOT(ISERROR(SEARCH("Muy alto",U174)))</formula>
    </cfRule>
    <cfRule type="containsText" dxfId="4901" priority="9687" stopIfTrue="1" operator="containsText" text="Alto">
      <formula>NOT(ISERROR(SEARCH("Alto",U174)))</formula>
    </cfRule>
  </conditionalFormatting>
  <conditionalFormatting sqref="U175">
    <cfRule type="containsText" dxfId="4900" priority="9642" stopIfTrue="1" operator="containsText" text="Alto">
      <formula>NOT(ISERROR(SEARCH("Alto",U175)))</formula>
    </cfRule>
    <cfRule type="containsText" dxfId="4899" priority="9640" stopIfTrue="1" operator="containsText" text="Bajo">
      <formula>NOT(ISERROR(SEARCH("Bajo",U175)))</formula>
    </cfRule>
    <cfRule type="containsText" dxfId="4898" priority="9635" stopIfTrue="1" operator="containsText" text="Muy alto">
      <formula>NOT(ISERROR(SEARCH("Muy alto",U175)))</formula>
    </cfRule>
    <cfRule type="containsText" dxfId="4897" priority="9641" stopIfTrue="1" operator="containsText" text="Medio">
      <formula>NOT(ISERROR(SEARCH("Medio",U175)))</formula>
    </cfRule>
  </conditionalFormatting>
  <conditionalFormatting sqref="U176">
    <cfRule type="containsText" dxfId="4896" priority="9787" stopIfTrue="1" operator="containsText" text="Muy alto">
      <formula>NOT(ISERROR(SEARCH("Muy alto",U176)))</formula>
    </cfRule>
    <cfRule type="containsText" dxfId="4895" priority="9792" stopIfTrue="1" operator="containsText" text="Bajo">
      <formula>NOT(ISERROR(SEARCH("Bajo",U176)))</formula>
    </cfRule>
    <cfRule type="containsText" dxfId="4894" priority="9793" stopIfTrue="1" operator="containsText" text="Medio">
      <formula>NOT(ISERROR(SEARCH("Medio",U176)))</formula>
    </cfRule>
    <cfRule type="containsText" dxfId="4893" priority="9794" stopIfTrue="1" operator="containsText" text="Alto">
      <formula>NOT(ISERROR(SEARCH("Alto",U176)))</formula>
    </cfRule>
  </conditionalFormatting>
  <conditionalFormatting sqref="U177">
    <cfRule type="containsText" dxfId="4892" priority="9590" stopIfTrue="1" operator="containsText" text="Muy alto">
      <formula>NOT(ISERROR(SEARCH("Muy alto",U177)))</formula>
    </cfRule>
    <cfRule type="containsText" dxfId="4891" priority="9595" stopIfTrue="1" operator="containsText" text="Bajo">
      <formula>NOT(ISERROR(SEARCH("Bajo",U177)))</formula>
    </cfRule>
    <cfRule type="containsText" dxfId="4890" priority="9596" stopIfTrue="1" operator="containsText" text="Medio">
      <formula>NOT(ISERROR(SEARCH("Medio",U177)))</formula>
    </cfRule>
    <cfRule type="containsText" dxfId="4889" priority="9597" stopIfTrue="1" operator="containsText" text="Alto">
      <formula>NOT(ISERROR(SEARCH("Alto",U177)))</formula>
    </cfRule>
  </conditionalFormatting>
  <conditionalFormatting sqref="U178">
    <cfRule type="containsText" dxfId="4888" priority="9551" stopIfTrue="1" operator="containsText" text="Medio">
      <formula>NOT(ISERROR(SEARCH("Medio",U178)))</formula>
    </cfRule>
    <cfRule type="containsText" dxfId="4887" priority="9550" stopIfTrue="1" operator="containsText" text="Bajo">
      <formula>NOT(ISERROR(SEARCH("Bajo",U178)))</formula>
    </cfRule>
    <cfRule type="containsText" dxfId="4886" priority="9545" stopIfTrue="1" operator="containsText" text="Muy alto">
      <formula>NOT(ISERROR(SEARCH("Muy alto",U178)))</formula>
    </cfRule>
    <cfRule type="containsText" dxfId="4885" priority="9552" stopIfTrue="1" operator="containsText" text="Alto">
      <formula>NOT(ISERROR(SEARCH("Alto",U178)))</formula>
    </cfRule>
  </conditionalFormatting>
  <conditionalFormatting sqref="U179">
    <cfRule type="containsText" dxfId="4884" priority="9263" stopIfTrue="1" operator="containsText" text="Alto">
      <formula>NOT(ISERROR(SEARCH("Alto",U179)))</formula>
    </cfRule>
    <cfRule type="containsText" dxfId="4883" priority="9262" stopIfTrue="1" operator="containsText" text="Medio">
      <formula>NOT(ISERROR(SEARCH("Medio",U179)))</formula>
    </cfRule>
    <cfRule type="containsText" dxfId="4882" priority="9261" stopIfTrue="1" operator="containsText" text="Bajo">
      <formula>NOT(ISERROR(SEARCH("Bajo",U179)))</formula>
    </cfRule>
    <cfRule type="containsText" dxfId="4881" priority="9246" stopIfTrue="1" operator="containsText" text="Muy alto">
      <formula>NOT(ISERROR(SEARCH("Muy alto",U179)))</formula>
    </cfRule>
  </conditionalFormatting>
  <conditionalFormatting sqref="U180">
    <cfRule type="containsText" dxfId="4880" priority="9283" stopIfTrue="1" operator="containsText" text="Muy alto">
      <formula>NOT(ISERROR(SEARCH("Muy alto",U180)))</formula>
    </cfRule>
    <cfRule type="containsText" dxfId="4879" priority="9300" stopIfTrue="1" operator="containsText" text="Alto">
      <formula>NOT(ISERROR(SEARCH("Alto",U180)))</formula>
    </cfRule>
    <cfRule type="containsText" dxfId="4878" priority="9299" stopIfTrue="1" operator="containsText" text="Medio">
      <formula>NOT(ISERROR(SEARCH("Medio",U180)))</formula>
    </cfRule>
    <cfRule type="containsText" dxfId="4877" priority="9298" stopIfTrue="1" operator="containsText" text="Bajo">
      <formula>NOT(ISERROR(SEARCH("Bajo",U180)))</formula>
    </cfRule>
  </conditionalFormatting>
  <conditionalFormatting sqref="U181">
    <cfRule type="containsText" dxfId="4876" priority="9350" stopIfTrue="1" operator="containsText" text="Muy alto">
      <formula>NOT(ISERROR(SEARCH("Muy alto",U181)))</formula>
    </cfRule>
    <cfRule type="containsText" dxfId="4875" priority="9357" stopIfTrue="1" operator="containsText" text="Alto">
      <formula>NOT(ISERROR(SEARCH("Alto",U181)))</formula>
    </cfRule>
    <cfRule type="containsText" dxfId="4874" priority="9356" stopIfTrue="1" operator="containsText" text="Medio">
      <formula>NOT(ISERROR(SEARCH("Medio",U181)))</formula>
    </cfRule>
    <cfRule type="containsText" dxfId="4873" priority="9355" stopIfTrue="1" operator="containsText" text="Bajo">
      <formula>NOT(ISERROR(SEARCH("Bajo",U181)))</formula>
    </cfRule>
  </conditionalFormatting>
  <conditionalFormatting sqref="U182">
    <cfRule type="containsText" dxfId="4872" priority="9395" stopIfTrue="1" operator="containsText" text="Medio">
      <formula>NOT(ISERROR(SEARCH("Medio",U182)))</formula>
    </cfRule>
    <cfRule type="containsText" dxfId="4871" priority="9394" stopIfTrue="1" operator="containsText" text="Bajo">
      <formula>NOT(ISERROR(SEARCH("Bajo",U182)))</formula>
    </cfRule>
    <cfRule type="containsText" dxfId="4870" priority="9387" stopIfTrue="1" operator="containsText" text="Muy alto">
      <formula>NOT(ISERROR(SEARCH("Muy alto",U182)))</formula>
    </cfRule>
    <cfRule type="containsText" dxfId="4869" priority="9396" stopIfTrue="1" operator="containsText" text="Alto">
      <formula>NOT(ISERROR(SEARCH("Alto",U182)))</formula>
    </cfRule>
  </conditionalFormatting>
  <conditionalFormatting sqref="U183">
    <cfRule type="containsText" dxfId="4868" priority="9513" stopIfTrue="1" operator="containsText" text="Alto">
      <formula>NOT(ISERROR(SEARCH("Alto",U183)))</formula>
    </cfRule>
    <cfRule type="containsText" dxfId="4867" priority="9512" stopIfTrue="1" operator="containsText" text="Medio">
      <formula>NOT(ISERROR(SEARCH("Medio",U183)))</formula>
    </cfRule>
    <cfRule type="containsText" dxfId="4866" priority="9511" stopIfTrue="1" operator="containsText" text="Bajo">
      <formula>NOT(ISERROR(SEARCH("Bajo",U183)))</formula>
    </cfRule>
    <cfRule type="containsText" dxfId="4865" priority="9504" stopIfTrue="1" operator="containsText" text="Muy alto">
      <formula>NOT(ISERROR(SEARCH("Muy alto",U183)))</formula>
    </cfRule>
  </conditionalFormatting>
  <conditionalFormatting sqref="U184">
    <cfRule type="containsText" dxfId="4864" priority="9468" stopIfTrue="1" operator="containsText" text="Alto">
      <formula>NOT(ISERROR(SEARCH("Alto",U184)))</formula>
    </cfRule>
    <cfRule type="containsText" dxfId="4863" priority="9461" stopIfTrue="1" operator="containsText" text="Muy alto">
      <formula>NOT(ISERROR(SEARCH("Muy alto",U184)))</formula>
    </cfRule>
    <cfRule type="containsText" dxfId="4862" priority="9466" stopIfTrue="1" operator="containsText" text="Bajo">
      <formula>NOT(ISERROR(SEARCH("Bajo",U184)))</formula>
    </cfRule>
    <cfRule type="containsText" dxfId="4861" priority="9467" stopIfTrue="1" operator="containsText" text="Medio">
      <formula>NOT(ISERROR(SEARCH("Medio",U184)))</formula>
    </cfRule>
  </conditionalFormatting>
  <conditionalFormatting sqref="U185">
    <cfRule type="containsText" dxfId="4860" priority="9430" stopIfTrue="1" operator="containsText" text="Medio">
      <formula>NOT(ISERROR(SEARCH("Medio",U185)))</formula>
    </cfRule>
    <cfRule type="containsText" dxfId="4859" priority="9429" stopIfTrue="1" operator="containsText" text="Bajo">
      <formula>NOT(ISERROR(SEARCH("Bajo",U185)))</formula>
    </cfRule>
    <cfRule type="containsText" dxfId="4858" priority="9431" stopIfTrue="1" operator="containsText" text="Alto">
      <formula>NOT(ISERROR(SEARCH("Alto",U185)))</formula>
    </cfRule>
    <cfRule type="containsText" dxfId="4857" priority="9424" stopIfTrue="1" operator="containsText" text="Muy alto">
      <formula>NOT(ISERROR(SEARCH("Muy alto",U185)))</formula>
    </cfRule>
  </conditionalFormatting>
  <conditionalFormatting sqref="U186">
    <cfRule type="containsText" dxfId="4856" priority="9176" stopIfTrue="1" operator="containsText" text="Medio">
      <formula>NOT(ISERROR(SEARCH("Medio",U186)))</formula>
    </cfRule>
    <cfRule type="containsText" dxfId="4855" priority="9177" stopIfTrue="1" operator="containsText" text="Alto">
      <formula>NOT(ISERROR(SEARCH("Alto",U186)))</formula>
    </cfRule>
    <cfRule type="containsText" dxfId="4854" priority="9175" stopIfTrue="1" operator="containsText" text="Bajo">
      <formula>NOT(ISERROR(SEARCH("Bajo",U186)))</formula>
    </cfRule>
    <cfRule type="containsText" dxfId="4853" priority="9162" stopIfTrue="1" operator="containsText" text="Muy alto">
      <formula>NOT(ISERROR(SEARCH("Muy alto",U186)))</formula>
    </cfRule>
  </conditionalFormatting>
  <conditionalFormatting sqref="U187">
    <cfRule type="containsText" dxfId="4852" priority="9337" stopIfTrue="1" operator="containsText" text="Alto">
      <formula>NOT(ISERROR(SEARCH("Alto",U187)))</formula>
    </cfRule>
    <cfRule type="containsText" dxfId="4851" priority="9336" stopIfTrue="1" operator="containsText" text="Medio">
      <formula>NOT(ISERROR(SEARCH("Medio",U187)))</formula>
    </cfRule>
    <cfRule type="containsText" dxfId="4850" priority="9320" stopIfTrue="1" operator="containsText" text="Muy alto">
      <formula>NOT(ISERROR(SEARCH("Muy alto",U187)))</formula>
    </cfRule>
    <cfRule type="containsText" dxfId="4849" priority="9335" stopIfTrue="1" operator="containsText" text="Bajo">
      <formula>NOT(ISERROR(SEARCH("Bajo",U187)))</formula>
    </cfRule>
  </conditionalFormatting>
  <conditionalFormatting sqref="U188:U189">
    <cfRule type="containsText" dxfId="4848" priority="9208" stopIfTrue="1" operator="containsText" text="Medio">
      <formula>NOT(ISERROR(SEARCH("Medio",U188)))</formula>
    </cfRule>
    <cfRule type="containsText" dxfId="4847" priority="9209" stopIfTrue="1" operator="containsText" text="Alto">
      <formula>NOT(ISERROR(SEARCH("Alto",U188)))</formula>
    </cfRule>
    <cfRule type="containsText" dxfId="4846" priority="9207" stopIfTrue="1" operator="containsText" text="Bajo">
      <formula>NOT(ISERROR(SEARCH("Bajo",U188)))</formula>
    </cfRule>
    <cfRule type="containsText" dxfId="4845" priority="9202" stopIfTrue="1" operator="containsText" text="Muy alto">
      <formula>NOT(ISERROR(SEARCH("Muy alto",U188)))</formula>
    </cfRule>
  </conditionalFormatting>
  <conditionalFormatting sqref="U190">
    <cfRule type="containsText" dxfId="4844" priority="9104" stopIfTrue="1" operator="containsText" text="Muy alto">
      <formula>NOT(ISERROR(SEARCH("Muy alto",U190)))</formula>
    </cfRule>
    <cfRule type="containsText" dxfId="4843" priority="9111" stopIfTrue="1" operator="containsText" text="Alto">
      <formula>NOT(ISERROR(SEARCH("Alto",U190)))</formula>
    </cfRule>
    <cfRule type="containsText" dxfId="4842" priority="9110" stopIfTrue="1" operator="containsText" text="Medio">
      <formula>NOT(ISERROR(SEARCH("Medio",U190)))</formula>
    </cfRule>
    <cfRule type="containsText" dxfId="4841" priority="9109" stopIfTrue="1" operator="containsText" text="Bajo">
      <formula>NOT(ISERROR(SEARCH("Bajo",U190)))</formula>
    </cfRule>
  </conditionalFormatting>
  <conditionalFormatting sqref="U191">
    <cfRule type="containsText" dxfId="4840" priority="9066" stopIfTrue="1" operator="containsText" text="Muy alto">
      <formula>NOT(ISERROR(SEARCH("Muy alto",U191)))</formula>
    </cfRule>
    <cfRule type="containsText" dxfId="4839" priority="9073" stopIfTrue="1" operator="containsText" text="Alto">
      <formula>NOT(ISERROR(SEARCH("Alto",U191)))</formula>
    </cfRule>
    <cfRule type="containsText" dxfId="4838" priority="9072" stopIfTrue="1" operator="containsText" text="Medio">
      <formula>NOT(ISERROR(SEARCH("Medio",U191)))</formula>
    </cfRule>
    <cfRule type="containsText" dxfId="4837" priority="9071" stopIfTrue="1" operator="containsText" text="Bajo">
      <formula>NOT(ISERROR(SEARCH("Bajo",U191)))</formula>
    </cfRule>
  </conditionalFormatting>
  <conditionalFormatting sqref="U192">
    <cfRule type="containsText" dxfId="4836" priority="9024" stopIfTrue="1" operator="containsText" text="Muy alto">
      <formula>NOT(ISERROR(SEARCH("Muy alto",U192)))</formula>
    </cfRule>
    <cfRule type="containsText" dxfId="4835" priority="9039" stopIfTrue="1" operator="containsText" text="Bajo">
      <formula>NOT(ISERROR(SEARCH("Bajo",U192)))</formula>
    </cfRule>
    <cfRule type="containsText" dxfId="4834" priority="9041" stopIfTrue="1" operator="containsText" text="Alto">
      <formula>NOT(ISERROR(SEARCH("Alto",U192)))</formula>
    </cfRule>
    <cfRule type="containsText" dxfId="4833" priority="9040" stopIfTrue="1" operator="containsText" text="Medio">
      <formula>NOT(ISERROR(SEARCH("Medio",U192)))</formula>
    </cfRule>
  </conditionalFormatting>
  <conditionalFormatting sqref="U193">
    <cfRule type="containsText" dxfId="4832" priority="9007" stopIfTrue="1" operator="containsText" text="Alto">
      <formula>NOT(ISERROR(SEARCH("Alto",U193)))</formula>
    </cfRule>
    <cfRule type="containsText" dxfId="4831" priority="8990" stopIfTrue="1" operator="containsText" text="Muy alto">
      <formula>NOT(ISERROR(SEARCH("Muy alto",U193)))</formula>
    </cfRule>
    <cfRule type="containsText" dxfId="4830" priority="9005" stopIfTrue="1" operator="containsText" text="Bajo">
      <formula>NOT(ISERROR(SEARCH("Bajo",U193)))</formula>
    </cfRule>
    <cfRule type="containsText" dxfId="4829" priority="9006" stopIfTrue="1" operator="containsText" text="Medio">
      <formula>NOT(ISERROR(SEARCH("Medio",U193)))</formula>
    </cfRule>
  </conditionalFormatting>
  <conditionalFormatting sqref="U194">
    <cfRule type="containsText" dxfId="4828" priority="8960" stopIfTrue="1" operator="containsText" text="Muy alto">
      <formula>NOT(ISERROR(SEARCH("Muy alto",U194)))</formula>
    </cfRule>
    <cfRule type="containsText" dxfId="4827" priority="8975" stopIfTrue="1" operator="containsText" text="Bajo">
      <formula>NOT(ISERROR(SEARCH("Bajo",U194)))</formula>
    </cfRule>
    <cfRule type="containsText" dxfId="4826" priority="8976" stopIfTrue="1" operator="containsText" text="Medio">
      <formula>NOT(ISERROR(SEARCH("Medio",U194)))</formula>
    </cfRule>
    <cfRule type="containsText" dxfId="4825" priority="8977" stopIfTrue="1" operator="containsText" text="Alto">
      <formula>NOT(ISERROR(SEARCH("Alto",U194)))</formula>
    </cfRule>
  </conditionalFormatting>
  <conditionalFormatting sqref="U195">
    <cfRule type="containsText" dxfId="4824" priority="8924" stopIfTrue="1" operator="containsText" text="Medio">
      <formula>NOT(ISERROR(SEARCH("Medio",U195)))</formula>
    </cfRule>
    <cfRule type="containsText" dxfId="4823" priority="8925" stopIfTrue="1" operator="containsText" text="Alto">
      <formula>NOT(ISERROR(SEARCH("Alto",U195)))</formula>
    </cfRule>
    <cfRule type="containsText" dxfId="4822" priority="8923" stopIfTrue="1" operator="containsText" text="Bajo">
      <formula>NOT(ISERROR(SEARCH("Bajo",U195)))</formula>
    </cfRule>
    <cfRule type="containsText" dxfId="4821" priority="8908" stopIfTrue="1" operator="containsText" text="Muy alto">
      <formula>NOT(ISERROR(SEARCH("Muy alto",U195)))</formula>
    </cfRule>
  </conditionalFormatting>
  <conditionalFormatting sqref="U196">
    <cfRule type="containsText" dxfId="4820" priority="8949" stopIfTrue="1" operator="containsText" text="Bajo">
      <formula>NOT(ISERROR(SEARCH("Bajo",U196)))</formula>
    </cfRule>
    <cfRule type="containsText" dxfId="4819" priority="8950" stopIfTrue="1" operator="containsText" text="Medio">
      <formula>NOT(ISERROR(SEARCH("Medio",U196)))</formula>
    </cfRule>
    <cfRule type="containsText" dxfId="4818" priority="8951" stopIfTrue="1" operator="containsText" text="Alto">
      <formula>NOT(ISERROR(SEARCH("Alto",U196)))</formula>
    </cfRule>
    <cfRule type="containsText" dxfId="4817" priority="8934" stopIfTrue="1" operator="containsText" text="Muy alto">
      <formula>NOT(ISERROR(SEARCH("Muy alto",U196)))</formula>
    </cfRule>
  </conditionalFormatting>
  <conditionalFormatting sqref="U197">
    <cfRule type="containsText" dxfId="4816" priority="8898" stopIfTrue="1" operator="containsText" text="Medio">
      <formula>NOT(ISERROR(SEARCH("Medio",U197)))</formula>
    </cfRule>
    <cfRule type="containsText" dxfId="4815" priority="8899" stopIfTrue="1" operator="containsText" text="Alto">
      <formula>NOT(ISERROR(SEARCH("Alto",U197)))</formula>
    </cfRule>
    <cfRule type="containsText" dxfId="4814" priority="8897" stopIfTrue="1" operator="containsText" text="Bajo">
      <formula>NOT(ISERROR(SEARCH("Bajo",U197)))</formula>
    </cfRule>
    <cfRule type="containsText" dxfId="4813" priority="8882" stopIfTrue="1" operator="containsText" text="Muy alto">
      <formula>NOT(ISERROR(SEARCH("Muy alto",U197)))</formula>
    </cfRule>
  </conditionalFormatting>
  <conditionalFormatting sqref="U198">
    <cfRule type="containsText" dxfId="4812" priority="8872" stopIfTrue="1" operator="containsText" text="Medio">
      <formula>NOT(ISERROR(SEARCH("Medio",U198)))</formula>
    </cfRule>
    <cfRule type="containsText" dxfId="4811" priority="8873" stopIfTrue="1" operator="containsText" text="Alto">
      <formula>NOT(ISERROR(SEARCH("Alto",U198)))</formula>
    </cfRule>
    <cfRule type="containsText" dxfId="4810" priority="8856" stopIfTrue="1" operator="containsText" text="Muy alto">
      <formula>NOT(ISERROR(SEARCH("Muy alto",U198)))</formula>
    </cfRule>
    <cfRule type="containsText" dxfId="4809" priority="8871" stopIfTrue="1" operator="containsText" text="Bajo">
      <formula>NOT(ISERROR(SEARCH("Bajo",U198)))</formula>
    </cfRule>
  </conditionalFormatting>
  <conditionalFormatting sqref="U199">
    <cfRule type="containsText" dxfId="4808" priority="8549" stopIfTrue="1" operator="containsText" text="Medio">
      <formula>NOT(ISERROR(SEARCH("Medio",U199)))</formula>
    </cfRule>
    <cfRule type="containsText" dxfId="4807" priority="8548" stopIfTrue="1" operator="containsText" text="Bajo">
      <formula>NOT(ISERROR(SEARCH("Bajo",U199)))</formula>
    </cfRule>
    <cfRule type="containsText" dxfId="4806" priority="8550" stopIfTrue="1" operator="containsText" text="Alto">
      <formula>NOT(ISERROR(SEARCH("Alto",U199)))</formula>
    </cfRule>
    <cfRule type="containsText" dxfId="4805" priority="8547" stopIfTrue="1" operator="containsText" text="Muy alto">
      <formula>NOT(ISERROR(SEARCH("Muy alto",U199)))</formula>
    </cfRule>
  </conditionalFormatting>
  <conditionalFormatting sqref="U200">
    <cfRule type="containsText" dxfId="4804" priority="8518" stopIfTrue="1" operator="containsText" text="Medio">
      <formula>NOT(ISERROR(SEARCH("Medio",U200)))</formula>
    </cfRule>
    <cfRule type="containsText" dxfId="4803" priority="8517" stopIfTrue="1" operator="containsText" text="Bajo">
      <formula>NOT(ISERROR(SEARCH("Bajo",U200)))</formula>
    </cfRule>
    <cfRule type="containsText" dxfId="4802" priority="8519" stopIfTrue="1" operator="containsText" text="Alto">
      <formula>NOT(ISERROR(SEARCH("Alto",U200)))</formula>
    </cfRule>
    <cfRule type="containsText" dxfId="4801" priority="8512" stopIfTrue="1" operator="containsText" text="Muy alto">
      <formula>NOT(ISERROR(SEARCH("Muy alto",U200)))</formula>
    </cfRule>
  </conditionalFormatting>
  <conditionalFormatting sqref="U201">
    <cfRule type="containsText" dxfId="4800" priority="8114" stopIfTrue="1" operator="containsText" text="Muy alto">
      <formula>NOT(ISERROR(SEARCH("Muy alto",U201)))</formula>
    </cfRule>
    <cfRule type="containsText" dxfId="4799" priority="8121" stopIfTrue="1" operator="containsText" text="Alto">
      <formula>NOT(ISERROR(SEARCH("Alto",U201)))</formula>
    </cfRule>
    <cfRule type="containsText" dxfId="4798" priority="8119" stopIfTrue="1" operator="containsText" text="Bajo">
      <formula>NOT(ISERROR(SEARCH("Bajo",U201)))</formula>
    </cfRule>
    <cfRule type="containsText" dxfId="4797" priority="8120" stopIfTrue="1" operator="containsText" text="Medio">
      <formula>NOT(ISERROR(SEARCH("Medio",U201)))</formula>
    </cfRule>
  </conditionalFormatting>
  <conditionalFormatting sqref="U202">
    <cfRule type="containsText" dxfId="4796" priority="8085" stopIfTrue="1" operator="containsText" text="Alto">
      <formula>NOT(ISERROR(SEARCH("Alto",U202)))</formula>
    </cfRule>
    <cfRule type="containsText" dxfId="4795" priority="8084" stopIfTrue="1" operator="containsText" text="Medio">
      <formula>NOT(ISERROR(SEARCH("Medio",U202)))</formula>
    </cfRule>
    <cfRule type="containsText" dxfId="4794" priority="8078" stopIfTrue="1" operator="containsText" text="Muy alto">
      <formula>NOT(ISERROR(SEARCH("Muy alto",U202)))</formula>
    </cfRule>
    <cfRule type="containsText" dxfId="4793" priority="8083" stopIfTrue="1" operator="containsText" text="Bajo">
      <formula>NOT(ISERROR(SEARCH("Bajo",U202)))</formula>
    </cfRule>
  </conditionalFormatting>
  <conditionalFormatting sqref="U203">
    <cfRule type="containsText" dxfId="4792" priority="8469" stopIfTrue="1" operator="containsText" text="Medio">
      <formula>NOT(ISERROR(SEARCH("Medio",U203)))</formula>
    </cfRule>
    <cfRule type="containsText" dxfId="4791" priority="8470" stopIfTrue="1" operator="containsText" text="Alto">
      <formula>NOT(ISERROR(SEARCH("Alto",U203)))</formula>
    </cfRule>
    <cfRule type="containsText" dxfId="4790" priority="8468" stopIfTrue="1" operator="containsText" text="Bajo">
      <formula>NOT(ISERROR(SEARCH("Bajo",U203)))</formula>
    </cfRule>
    <cfRule type="containsText" dxfId="4789" priority="8463" stopIfTrue="1" operator="containsText" text="Muy alto">
      <formula>NOT(ISERROR(SEARCH("Muy alto",U203)))</formula>
    </cfRule>
  </conditionalFormatting>
  <conditionalFormatting sqref="U204">
    <cfRule type="containsText" dxfId="4788" priority="8575" stopIfTrue="1" operator="containsText" text="Bajo">
      <formula>NOT(ISERROR(SEARCH("Bajo",U204)))</formula>
    </cfRule>
    <cfRule type="containsText" dxfId="4787" priority="8576" stopIfTrue="1" operator="containsText" text="Medio">
      <formula>NOT(ISERROR(SEARCH("Medio",U204)))</formula>
    </cfRule>
    <cfRule type="containsText" dxfId="4786" priority="8577" stopIfTrue="1" operator="containsText" text="Alto">
      <formula>NOT(ISERROR(SEARCH("Alto",U204)))</formula>
    </cfRule>
    <cfRule type="containsText" dxfId="4785" priority="8570" stopIfTrue="1" operator="containsText" text="Muy alto">
      <formula>NOT(ISERROR(SEARCH("Muy alto",U204)))</formula>
    </cfRule>
  </conditionalFormatting>
  <conditionalFormatting sqref="U205">
    <cfRule type="containsText" dxfId="4784" priority="8425" stopIfTrue="1" operator="containsText" text="Alto">
      <formula>NOT(ISERROR(SEARCH("Alto",U205)))</formula>
    </cfRule>
    <cfRule type="containsText" dxfId="4783" priority="8423" stopIfTrue="1" operator="containsText" text="Bajo">
      <formula>NOT(ISERROR(SEARCH("Bajo",U205)))</formula>
    </cfRule>
    <cfRule type="containsText" dxfId="4782" priority="8424" stopIfTrue="1" operator="containsText" text="Medio">
      <formula>NOT(ISERROR(SEARCH("Medio",U205)))</formula>
    </cfRule>
    <cfRule type="containsText" dxfId="4781" priority="8418" stopIfTrue="1" operator="containsText" text="Muy alto">
      <formula>NOT(ISERROR(SEARCH("Muy alto",U205)))</formula>
    </cfRule>
  </conditionalFormatting>
  <conditionalFormatting sqref="U206">
    <cfRule type="containsText" dxfId="4780" priority="8257" stopIfTrue="1" operator="containsText" text="Muy alto">
      <formula>NOT(ISERROR(SEARCH("Muy alto",U206)))</formula>
    </cfRule>
    <cfRule type="containsText" dxfId="4779" priority="8272" stopIfTrue="1" operator="containsText" text="Bajo">
      <formula>NOT(ISERROR(SEARCH("Bajo",U206)))</formula>
    </cfRule>
    <cfRule type="containsText" dxfId="4778" priority="8274" stopIfTrue="1" operator="containsText" text="Alto">
      <formula>NOT(ISERROR(SEARCH("Alto",U206)))</formula>
    </cfRule>
    <cfRule type="containsText" dxfId="4777" priority="8273" stopIfTrue="1" operator="containsText" text="Medio">
      <formula>NOT(ISERROR(SEARCH("Medio",U206)))</formula>
    </cfRule>
  </conditionalFormatting>
  <conditionalFormatting sqref="U207">
    <cfRule type="containsText" dxfId="4776" priority="8191" stopIfTrue="1" operator="containsText" text="Bajo">
      <formula>NOT(ISERROR(SEARCH("Bajo",U207)))</formula>
    </cfRule>
    <cfRule type="containsText" dxfId="4775" priority="8192" stopIfTrue="1" operator="containsText" text="Medio">
      <formula>NOT(ISERROR(SEARCH("Medio",U207)))</formula>
    </cfRule>
    <cfRule type="containsText" dxfId="4774" priority="8193" stopIfTrue="1" operator="containsText" text="Alto">
      <formula>NOT(ISERROR(SEARCH("Alto",U207)))</formula>
    </cfRule>
    <cfRule type="containsText" dxfId="4773" priority="8178" stopIfTrue="1" operator="containsText" text="Muy alto">
      <formula>NOT(ISERROR(SEARCH("Muy alto",U207)))</formula>
    </cfRule>
  </conditionalFormatting>
  <conditionalFormatting sqref="U208">
    <cfRule type="containsText" dxfId="4772" priority="8163" stopIfTrue="1" operator="containsText" text="Bajo">
      <formula>NOT(ISERROR(SEARCH("Bajo",U208)))</formula>
    </cfRule>
    <cfRule type="containsText" dxfId="4771" priority="8164" stopIfTrue="1" operator="containsText" text="Medio">
      <formula>NOT(ISERROR(SEARCH("Medio",U208)))</formula>
    </cfRule>
    <cfRule type="containsText" dxfId="4770" priority="8165" stopIfTrue="1" operator="containsText" text="Alto">
      <formula>NOT(ISERROR(SEARCH("Alto",U208)))</formula>
    </cfRule>
    <cfRule type="containsText" dxfId="4769" priority="8150" stopIfTrue="1" operator="containsText" text="Muy alto">
      <formula>NOT(ISERROR(SEARCH("Muy alto",U208)))</formula>
    </cfRule>
  </conditionalFormatting>
  <conditionalFormatting sqref="U209">
    <cfRule type="containsText" dxfId="4768" priority="8349" stopIfTrue="1" operator="containsText" text="Medio">
      <formula>NOT(ISERROR(SEARCH("Medio",U209)))</formula>
    </cfRule>
    <cfRule type="containsText" dxfId="4767" priority="8350" stopIfTrue="1" operator="containsText" text="Alto">
      <formula>NOT(ISERROR(SEARCH("Alto",U209)))</formula>
    </cfRule>
    <cfRule type="containsText" dxfId="4766" priority="8343" stopIfTrue="1" operator="containsText" text="Muy alto">
      <formula>NOT(ISERROR(SEARCH("Muy alto",U209)))</formula>
    </cfRule>
    <cfRule type="containsText" dxfId="4765" priority="8348" stopIfTrue="1" operator="containsText" text="Bajo">
      <formula>NOT(ISERROR(SEARCH("Bajo",U209)))</formula>
    </cfRule>
  </conditionalFormatting>
  <conditionalFormatting sqref="U210">
    <cfRule type="containsText" dxfId="4764" priority="8313" stopIfTrue="1" operator="containsText" text="Muy alto">
      <formula>NOT(ISERROR(SEARCH("Muy alto",U210)))</formula>
    </cfRule>
    <cfRule type="containsText" dxfId="4763" priority="8330" stopIfTrue="1" operator="containsText" text="Alto">
      <formula>NOT(ISERROR(SEARCH("Alto",U210)))</formula>
    </cfRule>
    <cfRule type="containsText" dxfId="4762" priority="8328" stopIfTrue="1" operator="containsText" text="Bajo">
      <formula>NOT(ISERROR(SEARCH("Bajo",U210)))</formula>
    </cfRule>
    <cfRule type="containsText" dxfId="4761" priority="8329" stopIfTrue="1" operator="containsText" text="Medio">
      <formula>NOT(ISERROR(SEARCH("Medio",U210)))</formula>
    </cfRule>
  </conditionalFormatting>
  <conditionalFormatting sqref="U211">
    <cfRule type="containsText" dxfId="4760" priority="8391" stopIfTrue="1" operator="containsText" text="Alto">
      <formula>NOT(ISERROR(SEARCH("Alto",U211)))</formula>
    </cfRule>
    <cfRule type="containsText" dxfId="4759" priority="8390" stopIfTrue="1" operator="containsText" text="Medio">
      <formula>NOT(ISERROR(SEARCH("Medio",U211)))</formula>
    </cfRule>
    <cfRule type="containsText" dxfId="4758" priority="8384" stopIfTrue="1" operator="containsText" text="Muy alto">
      <formula>NOT(ISERROR(SEARCH("Muy alto",U211)))</formula>
    </cfRule>
    <cfRule type="containsText" dxfId="4757" priority="8389" stopIfTrue="1" operator="containsText" text="Bajo">
      <formula>NOT(ISERROR(SEARCH("Bajo",U211)))</formula>
    </cfRule>
  </conditionalFormatting>
  <conditionalFormatting sqref="U212">
    <cfRule type="containsText" dxfId="4756" priority="8215" stopIfTrue="1" operator="containsText" text="Bajo">
      <formula>NOT(ISERROR(SEARCH("Bajo",U212)))</formula>
    </cfRule>
    <cfRule type="containsText" dxfId="4755" priority="8210" stopIfTrue="1" operator="containsText" text="Muy alto">
      <formula>NOT(ISERROR(SEARCH("Muy alto",U212)))</formula>
    </cfRule>
    <cfRule type="containsText" dxfId="4754" priority="8217" stopIfTrue="1" operator="containsText" text="Alto">
      <formula>NOT(ISERROR(SEARCH("Alto",U212)))</formula>
    </cfRule>
    <cfRule type="containsText" dxfId="4753" priority="8216" stopIfTrue="1" operator="containsText" text="Medio">
      <formula>NOT(ISERROR(SEARCH("Medio",U212)))</formula>
    </cfRule>
  </conditionalFormatting>
  <conditionalFormatting sqref="U213">
    <cfRule type="containsText" dxfId="4752" priority="7992" stopIfTrue="1" operator="containsText" text="Medio">
      <formula>NOT(ISERROR(SEARCH("Medio",U213)))</formula>
    </cfRule>
    <cfRule type="containsText" dxfId="4751" priority="7991" stopIfTrue="1" operator="containsText" text="Bajo">
      <formula>NOT(ISERROR(SEARCH("Bajo",U213)))</formula>
    </cfRule>
    <cfRule type="containsText" dxfId="4750" priority="7986" stopIfTrue="1" operator="containsText" text="Muy alto">
      <formula>NOT(ISERROR(SEARCH("Muy alto",U213)))</formula>
    </cfRule>
    <cfRule type="containsText" dxfId="4749" priority="7993" stopIfTrue="1" operator="containsText" text="Alto">
      <formula>NOT(ISERROR(SEARCH("Alto",U213)))</formula>
    </cfRule>
  </conditionalFormatting>
  <conditionalFormatting sqref="U214">
    <cfRule type="containsText" dxfId="4748" priority="7556" stopIfTrue="1" operator="containsText" text="Bajo">
      <formula>NOT(ISERROR(SEARCH("Bajo",U214)))</formula>
    </cfRule>
    <cfRule type="containsText" dxfId="4747" priority="7558" stopIfTrue="1" operator="containsText" text="Alto">
      <formula>NOT(ISERROR(SEARCH("Alto",U214)))</formula>
    </cfRule>
    <cfRule type="containsText" dxfId="4746" priority="7557" stopIfTrue="1" operator="containsText" text="Medio">
      <formula>NOT(ISERROR(SEARCH("Medio",U214)))</formula>
    </cfRule>
    <cfRule type="containsText" dxfId="4745" priority="7551" stopIfTrue="1" operator="containsText" text="Muy alto">
      <formula>NOT(ISERROR(SEARCH("Muy alto",U214)))</formula>
    </cfRule>
  </conditionalFormatting>
  <conditionalFormatting sqref="U215">
    <cfRule type="containsText" dxfId="4744" priority="7522" stopIfTrue="1" operator="containsText" text="Alto">
      <formula>NOT(ISERROR(SEARCH("Alto",U215)))</formula>
    </cfRule>
    <cfRule type="containsText" dxfId="4743" priority="7521" stopIfTrue="1" operator="containsText" text="Medio">
      <formula>NOT(ISERROR(SEARCH("Medio",U215)))</formula>
    </cfRule>
    <cfRule type="containsText" dxfId="4742" priority="7515" stopIfTrue="1" operator="containsText" text="Muy alto">
      <formula>NOT(ISERROR(SEARCH("Muy alto",U215)))</formula>
    </cfRule>
    <cfRule type="containsText" dxfId="4741" priority="7520" stopIfTrue="1" operator="containsText" text="Bajo">
      <formula>NOT(ISERROR(SEARCH("Bajo",U215)))</formula>
    </cfRule>
  </conditionalFormatting>
  <conditionalFormatting sqref="U216">
    <cfRule type="containsText" dxfId="4740" priority="7937" stopIfTrue="1" operator="containsText" text="Muy alto">
      <formula>NOT(ISERROR(SEARCH("Muy alto",U216)))</formula>
    </cfRule>
    <cfRule type="containsText" dxfId="4739" priority="7944" stopIfTrue="1" operator="containsText" text="Alto">
      <formula>NOT(ISERROR(SEARCH("Alto",U216)))</formula>
    </cfRule>
    <cfRule type="containsText" dxfId="4738" priority="7942" stopIfTrue="1" operator="containsText" text="Bajo">
      <formula>NOT(ISERROR(SEARCH("Bajo",U216)))</formula>
    </cfRule>
    <cfRule type="containsText" dxfId="4737" priority="7943" stopIfTrue="1" operator="containsText" text="Medio">
      <formula>NOT(ISERROR(SEARCH("Medio",U216)))</formula>
    </cfRule>
  </conditionalFormatting>
  <conditionalFormatting sqref="U217">
    <cfRule type="containsText" dxfId="4736" priority="8035" stopIfTrue="1" operator="containsText" text="Medio">
      <formula>NOT(ISERROR(SEARCH("Medio",U217)))</formula>
    </cfRule>
    <cfRule type="containsText" dxfId="4735" priority="8034" stopIfTrue="1" operator="containsText" text="Bajo">
      <formula>NOT(ISERROR(SEARCH("Bajo",U217)))</formula>
    </cfRule>
    <cfRule type="containsText" dxfId="4734" priority="8036" stopIfTrue="1" operator="containsText" text="Alto">
      <formula>NOT(ISERROR(SEARCH("Alto",U217)))</formula>
    </cfRule>
    <cfRule type="containsText" dxfId="4733" priority="8029" stopIfTrue="1" operator="containsText" text="Muy alto">
      <formula>NOT(ISERROR(SEARCH("Muy alto",U217)))</formula>
    </cfRule>
  </conditionalFormatting>
  <conditionalFormatting sqref="U218">
    <cfRule type="containsText" dxfId="4732" priority="7892" stopIfTrue="1" operator="containsText" text="Muy alto">
      <formula>NOT(ISERROR(SEARCH("Muy alto",U218)))</formula>
    </cfRule>
    <cfRule type="containsText" dxfId="4731" priority="7897" stopIfTrue="1" operator="containsText" text="Bajo">
      <formula>NOT(ISERROR(SEARCH("Bajo",U218)))</formula>
    </cfRule>
    <cfRule type="containsText" dxfId="4730" priority="7898" stopIfTrue="1" operator="containsText" text="Medio">
      <formula>NOT(ISERROR(SEARCH("Medio",U218)))</formula>
    </cfRule>
    <cfRule type="containsText" dxfId="4729" priority="7899" stopIfTrue="1" operator="containsText" text="Alto">
      <formula>NOT(ISERROR(SEARCH("Alto",U218)))</formula>
    </cfRule>
  </conditionalFormatting>
  <conditionalFormatting sqref="U219">
    <cfRule type="containsText" dxfId="4728" priority="7722" stopIfTrue="1" operator="containsText" text="Bajo">
      <formula>NOT(ISERROR(SEARCH("Bajo",U219)))</formula>
    </cfRule>
    <cfRule type="containsText" dxfId="4727" priority="7707" stopIfTrue="1" operator="containsText" text="Muy alto">
      <formula>NOT(ISERROR(SEARCH("Muy alto",U219)))</formula>
    </cfRule>
    <cfRule type="containsText" dxfId="4726" priority="7723" stopIfTrue="1" operator="containsText" text="Medio">
      <formula>NOT(ISERROR(SEARCH("Medio",U219)))</formula>
    </cfRule>
    <cfRule type="containsText" dxfId="4725" priority="7724" stopIfTrue="1" operator="containsText" text="Alto">
      <formula>NOT(ISERROR(SEARCH("Alto",U219)))</formula>
    </cfRule>
  </conditionalFormatting>
  <conditionalFormatting sqref="U220">
    <cfRule type="containsText" dxfId="4724" priority="7763" stopIfTrue="1" operator="containsText" text="Alto">
      <formula>NOT(ISERROR(SEARCH("Alto",U220)))</formula>
    </cfRule>
    <cfRule type="containsText" dxfId="4723" priority="7761" stopIfTrue="1" operator="containsText" text="Bajo">
      <formula>NOT(ISERROR(SEARCH("Bajo",U220)))</formula>
    </cfRule>
    <cfRule type="containsText" dxfId="4722" priority="7748" stopIfTrue="1" operator="containsText" text="Muy alto">
      <formula>NOT(ISERROR(SEARCH("Muy alto",U220)))</formula>
    </cfRule>
    <cfRule type="containsText" dxfId="4721" priority="7762" stopIfTrue="1" operator="containsText" text="Medio">
      <formula>NOT(ISERROR(SEARCH("Medio",U220)))</formula>
    </cfRule>
  </conditionalFormatting>
  <conditionalFormatting sqref="U221">
    <cfRule type="containsText" dxfId="4720" priority="7679" stopIfTrue="1" operator="containsText" text="Bajo">
      <formula>NOT(ISERROR(SEARCH("Bajo",U221)))</formula>
    </cfRule>
    <cfRule type="containsText" dxfId="4719" priority="7680" stopIfTrue="1" operator="containsText" text="Medio">
      <formula>NOT(ISERROR(SEARCH("Medio",U221)))</formula>
    </cfRule>
    <cfRule type="containsText" dxfId="4718" priority="7681" stopIfTrue="1" operator="containsText" text="Alto">
      <formula>NOT(ISERROR(SEARCH("Alto",U221)))</formula>
    </cfRule>
    <cfRule type="containsText" dxfId="4717" priority="7666" stopIfTrue="1" operator="containsText" text="Muy alto">
      <formula>NOT(ISERROR(SEARCH("Muy alto",U221)))</formula>
    </cfRule>
  </conditionalFormatting>
  <conditionalFormatting sqref="U222:U223">
    <cfRule type="containsText" dxfId="4716" priority="7824" stopIfTrue="1" operator="containsText" text="Alto">
      <formula>NOT(ISERROR(SEARCH("Alto",U222)))</formula>
    </cfRule>
    <cfRule type="containsText" dxfId="4715" priority="7823" stopIfTrue="1" operator="containsText" text="Medio">
      <formula>NOT(ISERROR(SEARCH("Medio",U222)))</formula>
    </cfRule>
    <cfRule type="containsText" dxfId="4714" priority="7822" stopIfTrue="1" operator="containsText" text="Bajo">
      <formula>NOT(ISERROR(SEARCH("Bajo",U222)))</formula>
    </cfRule>
    <cfRule type="containsText" dxfId="4713" priority="7817" stopIfTrue="1" operator="containsText" text="Muy alto">
      <formula>NOT(ISERROR(SEARCH("Muy alto",U222)))</formula>
    </cfRule>
  </conditionalFormatting>
  <conditionalFormatting sqref="U224">
    <cfRule type="containsText" dxfId="4712" priority="7804" stopIfTrue="1" operator="containsText" text="Alto">
      <formula>NOT(ISERROR(SEARCH("Alto",U224)))</formula>
    </cfRule>
    <cfRule type="containsText" dxfId="4711" priority="7802" stopIfTrue="1" operator="containsText" text="Bajo">
      <formula>NOT(ISERROR(SEARCH("Bajo",U224)))</formula>
    </cfRule>
    <cfRule type="containsText" dxfId="4710" priority="7803" stopIfTrue="1" operator="containsText" text="Medio">
      <formula>NOT(ISERROR(SEARCH("Medio",U224)))</formula>
    </cfRule>
    <cfRule type="containsText" dxfId="4709" priority="7787" stopIfTrue="1" operator="containsText" text="Muy alto">
      <formula>NOT(ISERROR(SEARCH("Muy alto",U224)))</formula>
    </cfRule>
  </conditionalFormatting>
  <conditionalFormatting sqref="U225">
    <cfRule type="containsText" dxfId="4708" priority="7619" stopIfTrue="1" operator="containsText" text="Alto">
      <formula>NOT(ISERROR(SEARCH("Alto",U225)))</formula>
    </cfRule>
    <cfRule type="containsText" dxfId="4707" priority="7618" stopIfTrue="1" operator="containsText" text="Medio">
      <formula>NOT(ISERROR(SEARCH("Medio",U225)))</formula>
    </cfRule>
    <cfRule type="containsText" dxfId="4706" priority="7617" stopIfTrue="1" operator="containsText" text="Bajo">
      <formula>NOT(ISERROR(SEARCH("Bajo",U225)))</formula>
    </cfRule>
    <cfRule type="containsText" dxfId="4705" priority="7602" stopIfTrue="1" operator="containsText" text="Muy alto">
      <formula>NOT(ISERROR(SEARCH("Muy alto",U225)))</formula>
    </cfRule>
  </conditionalFormatting>
  <conditionalFormatting sqref="U226">
    <cfRule type="containsText" dxfId="4704" priority="7863" stopIfTrue="1" operator="containsText" text="Bajo">
      <formula>NOT(ISERROR(SEARCH("Bajo",U226)))</formula>
    </cfRule>
    <cfRule type="containsText" dxfId="4703" priority="7858" stopIfTrue="1" operator="containsText" text="Muy alto">
      <formula>NOT(ISERROR(SEARCH("Muy alto",U226)))</formula>
    </cfRule>
    <cfRule type="containsText" dxfId="4702" priority="7864" stopIfTrue="1" operator="containsText" text="Medio">
      <formula>NOT(ISERROR(SEARCH("Medio",U226)))</formula>
    </cfRule>
    <cfRule type="containsText" dxfId="4701" priority="7865" stopIfTrue="1" operator="containsText" text="Alto">
      <formula>NOT(ISERROR(SEARCH("Alto",U226)))</formula>
    </cfRule>
  </conditionalFormatting>
  <conditionalFormatting sqref="U227">
    <cfRule type="containsText" dxfId="4700" priority="7641" stopIfTrue="1" operator="containsText" text="Bajo">
      <formula>NOT(ISERROR(SEARCH("Bajo",U227)))</formula>
    </cfRule>
    <cfRule type="containsText" dxfId="4699" priority="7642" stopIfTrue="1" operator="containsText" text="Medio">
      <formula>NOT(ISERROR(SEARCH("Medio",U227)))</formula>
    </cfRule>
    <cfRule type="containsText" dxfId="4698" priority="7636" stopIfTrue="1" operator="containsText" text="Muy alto">
      <formula>NOT(ISERROR(SEARCH("Muy alto",U227)))</formula>
    </cfRule>
    <cfRule type="containsText" dxfId="4697" priority="7643" stopIfTrue="1" operator="containsText" text="Alto">
      <formula>NOT(ISERROR(SEARCH("Alto",U227)))</formula>
    </cfRule>
  </conditionalFormatting>
  <conditionalFormatting sqref="U228">
    <cfRule type="containsText" dxfId="4696" priority="7418" stopIfTrue="1" operator="containsText" text="Bajo">
      <formula>NOT(ISERROR(SEARCH("Bajo",U228)))</formula>
    </cfRule>
    <cfRule type="containsText" dxfId="4695" priority="7417" stopIfTrue="1" operator="containsText" text="Muy alto">
      <formula>NOT(ISERROR(SEARCH("Muy alto",U228)))</formula>
    </cfRule>
    <cfRule type="containsText" dxfId="4694" priority="7419" stopIfTrue="1" operator="containsText" text="Medio">
      <formula>NOT(ISERROR(SEARCH("Medio",U228)))</formula>
    </cfRule>
    <cfRule type="containsText" dxfId="4693" priority="7420" stopIfTrue="1" operator="containsText" text="Alto">
      <formula>NOT(ISERROR(SEARCH("Alto",U228)))</formula>
    </cfRule>
  </conditionalFormatting>
  <conditionalFormatting sqref="U229">
    <cfRule type="containsText" dxfId="4692" priority="7388" stopIfTrue="1" operator="containsText" text="Medio">
      <formula>NOT(ISERROR(SEARCH("Medio",U229)))</formula>
    </cfRule>
    <cfRule type="containsText" dxfId="4691" priority="7389" stopIfTrue="1" operator="containsText" text="Alto">
      <formula>NOT(ISERROR(SEARCH("Alto",U229)))</formula>
    </cfRule>
    <cfRule type="containsText" dxfId="4690" priority="7382" stopIfTrue="1" operator="containsText" text="Muy alto">
      <formula>NOT(ISERROR(SEARCH("Muy alto",U229)))</formula>
    </cfRule>
    <cfRule type="containsText" dxfId="4689" priority="7387" stopIfTrue="1" operator="containsText" text="Bajo">
      <formula>NOT(ISERROR(SEARCH("Bajo",U229)))</formula>
    </cfRule>
  </conditionalFormatting>
  <conditionalFormatting sqref="U230">
    <cfRule type="containsText" dxfId="4688" priority="6951" stopIfTrue="1" operator="containsText" text="Muy alto">
      <formula>NOT(ISERROR(SEARCH("Muy alto",U230)))</formula>
    </cfRule>
    <cfRule type="containsText" dxfId="4687" priority="6956" stopIfTrue="1" operator="containsText" text="Bajo">
      <formula>NOT(ISERROR(SEARCH("Bajo",U230)))</formula>
    </cfRule>
    <cfRule type="containsText" dxfId="4686" priority="6957" stopIfTrue="1" operator="containsText" text="Medio">
      <formula>NOT(ISERROR(SEARCH("Medio",U230)))</formula>
    </cfRule>
    <cfRule type="containsText" dxfId="4685" priority="6958" stopIfTrue="1" operator="containsText" text="Alto">
      <formula>NOT(ISERROR(SEARCH("Alto",U230)))</formula>
    </cfRule>
  </conditionalFormatting>
  <conditionalFormatting sqref="U231">
    <cfRule type="containsText" dxfId="4684" priority="6921" stopIfTrue="1" operator="containsText" text="Medio">
      <formula>NOT(ISERROR(SEARCH("Medio",U231)))</formula>
    </cfRule>
    <cfRule type="containsText" dxfId="4683" priority="6915" stopIfTrue="1" operator="containsText" text="Muy alto">
      <formula>NOT(ISERROR(SEARCH("Muy alto",U231)))</formula>
    </cfRule>
    <cfRule type="containsText" dxfId="4682" priority="6920" stopIfTrue="1" operator="containsText" text="Bajo">
      <formula>NOT(ISERROR(SEARCH("Bajo",U231)))</formula>
    </cfRule>
    <cfRule type="containsText" dxfId="4681" priority="6922" stopIfTrue="1" operator="containsText" text="Alto">
      <formula>NOT(ISERROR(SEARCH("Alto",U231)))</formula>
    </cfRule>
  </conditionalFormatting>
  <conditionalFormatting sqref="U232">
    <cfRule type="containsText" dxfId="4680" priority="7340" stopIfTrue="1" operator="containsText" text="Alto">
      <formula>NOT(ISERROR(SEARCH("Alto",U232)))</formula>
    </cfRule>
    <cfRule type="containsText" dxfId="4679" priority="7339" stopIfTrue="1" operator="containsText" text="Medio">
      <formula>NOT(ISERROR(SEARCH("Medio",U232)))</formula>
    </cfRule>
    <cfRule type="containsText" dxfId="4678" priority="7333" stopIfTrue="1" operator="containsText" text="Muy alto">
      <formula>NOT(ISERROR(SEARCH("Muy alto",U232)))</formula>
    </cfRule>
    <cfRule type="containsText" dxfId="4677" priority="7338" stopIfTrue="1" operator="containsText" text="Bajo">
      <formula>NOT(ISERROR(SEARCH("Bajo",U232)))</formula>
    </cfRule>
  </conditionalFormatting>
  <conditionalFormatting sqref="U233">
    <cfRule type="containsText" dxfId="4676" priority="7440" stopIfTrue="1" operator="containsText" text="Muy alto">
      <formula>NOT(ISERROR(SEARCH("Muy alto",U233)))</formula>
    </cfRule>
    <cfRule type="containsText" dxfId="4675" priority="7446" stopIfTrue="1" operator="containsText" text="Medio">
      <formula>NOT(ISERROR(SEARCH("Medio",U233)))</formula>
    </cfRule>
    <cfRule type="containsText" dxfId="4674" priority="7447" stopIfTrue="1" operator="containsText" text="Alto">
      <formula>NOT(ISERROR(SEARCH("Alto",U233)))</formula>
    </cfRule>
    <cfRule type="containsText" dxfId="4673" priority="7445" stopIfTrue="1" operator="containsText" text="Bajo">
      <formula>NOT(ISERROR(SEARCH("Bajo",U233)))</formula>
    </cfRule>
  </conditionalFormatting>
  <conditionalFormatting sqref="U234">
    <cfRule type="containsText" dxfId="4672" priority="7293" stopIfTrue="1" operator="containsText" text="Bajo">
      <formula>NOT(ISERROR(SEARCH("Bajo",U234)))</formula>
    </cfRule>
    <cfRule type="containsText" dxfId="4671" priority="7288" stopIfTrue="1" operator="containsText" text="Muy alto">
      <formula>NOT(ISERROR(SEARCH("Muy alto",U234)))</formula>
    </cfRule>
    <cfRule type="containsText" dxfId="4670" priority="7295" stopIfTrue="1" operator="containsText" text="Alto">
      <formula>NOT(ISERROR(SEARCH("Alto",U234)))</formula>
    </cfRule>
    <cfRule type="containsText" dxfId="4669" priority="7294" stopIfTrue="1" operator="containsText" text="Medio">
      <formula>NOT(ISERROR(SEARCH("Medio",U234)))</formula>
    </cfRule>
  </conditionalFormatting>
  <conditionalFormatting sqref="U235">
    <cfRule type="containsText" dxfId="4668" priority="7118" stopIfTrue="1" operator="containsText" text="Bajo">
      <formula>NOT(ISERROR(SEARCH("Bajo",U235)))</formula>
    </cfRule>
    <cfRule type="containsText" dxfId="4667" priority="7103" stopIfTrue="1" operator="containsText" text="Muy alto">
      <formula>NOT(ISERROR(SEARCH("Muy alto",U235)))</formula>
    </cfRule>
    <cfRule type="containsText" dxfId="4666" priority="7120" stopIfTrue="1" operator="containsText" text="Alto">
      <formula>NOT(ISERROR(SEARCH("Alto",U235)))</formula>
    </cfRule>
    <cfRule type="containsText" dxfId="4665" priority="7119" stopIfTrue="1" operator="containsText" text="Medio">
      <formula>NOT(ISERROR(SEARCH("Medio",U235)))</formula>
    </cfRule>
  </conditionalFormatting>
  <conditionalFormatting sqref="U236">
    <cfRule type="containsText" dxfId="4664" priority="7159" stopIfTrue="1" operator="containsText" text="Alto">
      <formula>NOT(ISERROR(SEARCH("Alto",U236)))</formula>
    </cfRule>
    <cfRule type="containsText" dxfId="4663" priority="7158" stopIfTrue="1" operator="containsText" text="Medio">
      <formula>NOT(ISERROR(SEARCH("Medio",U236)))</formula>
    </cfRule>
    <cfRule type="containsText" dxfId="4662" priority="7157" stopIfTrue="1" operator="containsText" text="Bajo">
      <formula>NOT(ISERROR(SEARCH("Bajo",U236)))</formula>
    </cfRule>
    <cfRule type="containsText" dxfId="4661" priority="7144" stopIfTrue="1" operator="containsText" text="Muy alto">
      <formula>NOT(ISERROR(SEARCH("Muy alto",U236)))</formula>
    </cfRule>
  </conditionalFormatting>
  <conditionalFormatting sqref="U237">
    <cfRule type="containsText" dxfId="4660" priority="7075" stopIfTrue="1" operator="containsText" text="Bajo">
      <formula>NOT(ISERROR(SEARCH("Bajo",U237)))</formula>
    </cfRule>
    <cfRule type="containsText" dxfId="4659" priority="7062" stopIfTrue="1" operator="containsText" text="Muy alto">
      <formula>NOT(ISERROR(SEARCH("Muy alto",U237)))</formula>
    </cfRule>
    <cfRule type="containsText" dxfId="4658" priority="7077" stopIfTrue="1" operator="containsText" text="Alto">
      <formula>NOT(ISERROR(SEARCH("Alto",U237)))</formula>
    </cfRule>
    <cfRule type="containsText" dxfId="4657" priority="7076" stopIfTrue="1" operator="containsText" text="Medio">
      <formula>NOT(ISERROR(SEARCH("Medio",U237)))</formula>
    </cfRule>
  </conditionalFormatting>
  <conditionalFormatting sqref="U238">
    <cfRule type="containsText" dxfId="4656" priority="7219" stopIfTrue="1" operator="containsText" text="Medio">
      <formula>NOT(ISERROR(SEARCH("Medio",U238)))</formula>
    </cfRule>
    <cfRule type="containsText" dxfId="4655" priority="7220" stopIfTrue="1" operator="containsText" text="Alto">
      <formula>NOT(ISERROR(SEARCH("Alto",U238)))</formula>
    </cfRule>
    <cfRule type="containsText" dxfId="4654" priority="7213" stopIfTrue="1" operator="containsText" text="Muy alto">
      <formula>NOT(ISERROR(SEARCH("Muy alto",U238)))</formula>
    </cfRule>
    <cfRule type="containsText" dxfId="4653" priority="7218" stopIfTrue="1" operator="containsText" text="Bajo">
      <formula>NOT(ISERROR(SEARCH("Bajo",U238)))</formula>
    </cfRule>
  </conditionalFormatting>
  <conditionalFormatting sqref="U239">
    <cfRule type="containsText" dxfId="4652" priority="7183" stopIfTrue="1" operator="containsText" text="Muy alto">
      <formula>NOT(ISERROR(SEARCH("Muy alto",U239)))</formula>
    </cfRule>
    <cfRule type="containsText" dxfId="4651" priority="7198" stopIfTrue="1" operator="containsText" text="Bajo">
      <formula>NOT(ISERROR(SEARCH("Bajo",U239)))</formula>
    </cfRule>
    <cfRule type="containsText" dxfId="4650" priority="7200" stopIfTrue="1" operator="containsText" text="Alto">
      <formula>NOT(ISERROR(SEARCH("Alto",U239)))</formula>
    </cfRule>
    <cfRule type="containsText" dxfId="4649" priority="7199" stopIfTrue="1" operator="containsText" text="Medio">
      <formula>NOT(ISERROR(SEARCH("Medio",U239)))</formula>
    </cfRule>
  </conditionalFormatting>
  <conditionalFormatting sqref="U240">
    <cfRule type="containsText" dxfId="4648" priority="6998" stopIfTrue="1" operator="containsText" text="Muy alto">
      <formula>NOT(ISERROR(SEARCH("Muy alto",U240)))</formula>
    </cfRule>
    <cfRule type="containsText" dxfId="4647" priority="7014" stopIfTrue="1" operator="containsText" text="Medio">
      <formula>NOT(ISERROR(SEARCH("Medio",U240)))</formula>
    </cfRule>
    <cfRule type="containsText" dxfId="4646" priority="7013" stopIfTrue="1" operator="containsText" text="Bajo">
      <formula>NOT(ISERROR(SEARCH("Bajo",U240)))</formula>
    </cfRule>
    <cfRule type="containsText" dxfId="4645" priority="7015" stopIfTrue="1" operator="containsText" text="Alto">
      <formula>NOT(ISERROR(SEARCH("Alto",U240)))</formula>
    </cfRule>
  </conditionalFormatting>
  <conditionalFormatting sqref="U241">
    <cfRule type="containsText" dxfId="4644" priority="7261" stopIfTrue="1" operator="containsText" text="Alto">
      <formula>NOT(ISERROR(SEARCH("Alto",U241)))</formula>
    </cfRule>
    <cfRule type="containsText" dxfId="4643" priority="7260" stopIfTrue="1" operator="containsText" text="Medio">
      <formula>NOT(ISERROR(SEARCH("Medio",U241)))</formula>
    </cfRule>
    <cfRule type="containsText" dxfId="4642" priority="7254" stopIfTrue="1" operator="containsText" text="Muy alto">
      <formula>NOT(ISERROR(SEARCH("Muy alto",U241)))</formula>
    </cfRule>
    <cfRule type="containsText" dxfId="4641" priority="7259" stopIfTrue="1" operator="containsText" text="Bajo">
      <formula>NOT(ISERROR(SEARCH("Bajo",U241)))</formula>
    </cfRule>
  </conditionalFormatting>
  <conditionalFormatting sqref="U242">
    <cfRule type="containsText" dxfId="4640" priority="7038" stopIfTrue="1" operator="containsText" text="Medio">
      <formula>NOT(ISERROR(SEARCH("Medio",U242)))</formula>
    </cfRule>
    <cfRule type="containsText" dxfId="4639" priority="7039" stopIfTrue="1" operator="containsText" text="Alto">
      <formula>NOT(ISERROR(SEARCH("Alto",U242)))</formula>
    </cfRule>
    <cfRule type="containsText" dxfId="4638" priority="7037" stopIfTrue="1" operator="containsText" text="Bajo">
      <formula>NOT(ISERROR(SEARCH("Bajo",U242)))</formula>
    </cfRule>
    <cfRule type="containsText" dxfId="4637" priority="7032" stopIfTrue="1" operator="containsText" text="Muy alto">
      <formula>NOT(ISERROR(SEARCH("Muy alto",U242)))</formula>
    </cfRule>
  </conditionalFormatting>
  <conditionalFormatting sqref="U243">
    <cfRule type="containsText" dxfId="4636" priority="6816" stopIfTrue="1" operator="containsText" text="Alto">
      <formula>NOT(ISERROR(SEARCH("Alto",U243)))</formula>
    </cfRule>
    <cfRule type="containsText" dxfId="4635" priority="6814" stopIfTrue="1" operator="containsText" text="Bajo">
      <formula>NOT(ISERROR(SEARCH("Bajo",U243)))</formula>
    </cfRule>
    <cfRule type="containsText" dxfId="4634" priority="6815" stopIfTrue="1" operator="containsText" text="Medio">
      <formula>NOT(ISERROR(SEARCH("Medio",U243)))</formula>
    </cfRule>
    <cfRule type="containsText" dxfId="4633" priority="6813" stopIfTrue="1" operator="containsText" text="Muy alto">
      <formula>NOT(ISERROR(SEARCH("Muy alto",U243)))</formula>
    </cfRule>
  </conditionalFormatting>
  <conditionalFormatting sqref="U244">
    <cfRule type="containsText" dxfId="4632" priority="6784" stopIfTrue="1" operator="containsText" text="Medio">
      <formula>NOT(ISERROR(SEARCH("Medio",U244)))</formula>
    </cfRule>
    <cfRule type="containsText" dxfId="4631" priority="6785" stopIfTrue="1" operator="containsText" text="Alto">
      <formula>NOT(ISERROR(SEARCH("Alto",U244)))</formula>
    </cfRule>
    <cfRule type="containsText" dxfId="4630" priority="6778" stopIfTrue="1" operator="containsText" text="Muy alto">
      <formula>NOT(ISERROR(SEARCH("Muy alto",U244)))</formula>
    </cfRule>
    <cfRule type="containsText" dxfId="4629" priority="6783" stopIfTrue="1" operator="containsText" text="Bajo">
      <formula>NOT(ISERROR(SEARCH("Bajo",U244)))</formula>
    </cfRule>
  </conditionalFormatting>
  <conditionalFormatting sqref="U245">
    <cfRule type="containsText" dxfId="4628" priority="6347" stopIfTrue="1" operator="containsText" text="Muy alto">
      <formula>NOT(ISERROR(SEARCH("Muy alto",U245)))</formula>
    </cfRule>
    <cfRule type="containsText" dxfId="4627" priority="6352" stopIfTrue="1" operator="containsText" text="Bajo">
      <formula>NOT(ISERROR(SEARCH("Bajo",U245)))</formula>
    </cfRule>
    <cfRule type="containsText" dxfId="4626" priority="6353" stopIfTrue="1" operator="containsText" text="Medio">
      <formula>NOT(ISERROR(SEARCH("Medio",U245)))</formula>
    </cfRule>
    <cfRule type="containsText" dxfId="4625" priority="6354" stopIfTrue="1" operator="containsText" text="Alto">
      <formula>NOT(ISERROR(SEARCH("Alto",U245)))</formula>
    </cfRule>
  </conditionalFormatting>
  <conditionalFormatting sqref="U246">
    <cfRule type="containsText" dxfId="4624" priority="6318" stopIfTrue="1" operator="containsText" text="Alto">
      <formula>NOT(ISERROR(SEARCH("Alto",U246)))</formula>
    </cfRule>
    <cfRule type="containsText" dxfId="4623" priority="6311" stopIfTrue="1" operator="containsText" text="Muy alto">
      <formula>NOT(ISERROR(SEARCH("Muy alto",U246)))</formula>
    </cfRule>
    <cfRule type="containsText" dxfId="4622" priority="6316" stopIfTrue="1" operator="containsText" text="Bajo">
      <formula>NOT(ISERROR(SEARCH("Bajo",U246)))</formula>
    </cfRule>
    <cfRule type="containsText" dxfId="4621" priority="6317" stopIfTrue="1" operator="containsText" text="Medio">
      <formula>NOT(ISERROR(SEARCH("Medio",U246)))</formula>
    </cfRule>
  </conditionalFormatting>
  <conditionalFormatting sqref="U247">
    <cfRule type="containsText" dxfId="4620" priority="6736" stopIfTrue="1" operator="containsText" text="Alto">
      <formula>NOT(ISERROR(SEARCH("Alto",U247)))</formula>
    </cfRule>
    <cfRule type="containsText" dxfId="4619" priority="6735" stopIfTrue="1" operator="containsText" text="Medio">
      <formula>NOT(ISERROR(SEARCH("Medio",U247)))</formula>
    </cfRule>
    <cfRule type="containsText" dxfId="4618" priority="6734" stopIfTrue="1" operator="containsText" text="Bajo">
      <formula>NOT(ISERROR(SEARCH("Bajo",U247)))</formula>
    </cfRule>
    <cfRule type="containsText" dxfId="4617" priority="6729" stopIfTrue="1" operator="containsText" text="Muy alto">
      <formula>NOT(ISERROR(SEARCH("Muy alto",U247)))</formula>
    </cfRule>
  </conditionalFormatting>
  <conditionalFormatting sqref="U248">
    <cfRule type="containsText" dxfId="4616" priority="6842" stopIfTrue="1" operator="containsText" text="Medio">
      <formula>NOT(ISERROR(SEARCH("Medio",U248)))</formula>
    </cfRule>
    <cfRule type="containsText" dxfId="4615" priority="6843" stopIfTrue="1" operator="containsText" text="Alto">
      <formula>NOT(ISERROR(SEARCH("Alto",U248)))</formula>
    </cfRule>
    <cfRule type="containsText" dxfId="4614" priority="6841" stopIfTrue="1" operator="containsText" text="Bajo">
      <formula>NOT(ISERROR(SEARCH("Bajo",U248)))</formula>
    </cfRule>
    <cfRule type="containsText" dxfId="4613" priority="6836" stopIfTrue="1" operator="containsText" text="Muy alto">
      <formula>NOT(ISERROR(SEARCH("Muy alto",U248)))</formula>
    </cfRule>
  </conditionalFormatting>
  <conditionalFormatting sqref="U249">
    <cfRule type="containsText" dxfId="4612" priority="6691" stopIfTrue="1" operator="containsText" text="Alto">
      <formula>NOT(ISERROR(SEARCH("Alto",U249)))</formula>
    </cfRule>
    <cfRule type="containsText" dxfId="4611" priority="6690" stopIfTrue="1" operator="containsText" text="Medio">
      <formula>NOT(ISERROR(SEARCH("Medio",U249)))</formula>
    </cfRule>
    <cfRule type="containsText" dxfId="4610" priority="6689" stopIfTrue="1" operator="containsText" text="Bajo">
      <formula>NOT(ISERROR(SEARCH("Bajo",U249)))</formula>
    </cfRule>
    <cfRule type="containsText" dxfId="4609" priority="6684" stopIfTrue="1" operator="containsText" text="Muy alto">
      <formula>NOT(ISERROR(SEARCH("Muy alto",U249)))</formula>
    </cfRule>
  </conditionalFormatting>
  <conditionalFormatting sqref="U250">
    <cfRule type="containsText" dxfId="4608" priority="6514" stopIfTrue="1" operator="containsText" text="Bajo">
      <formula>NOT(ISERROR(SEARCH("Bajo",U250)))</formula>
    </cfRule>
    <cfRule type="containsText" dxfId="4607" priority="6499" stopIfTrue="1" operator="containsText" text="Muy alto">
      <formula>NOT(ISERROR(SEARCH("Muy alto",U250)))</formula>
    </cfRule>
    <cfRule type="containsText" dxfId="4606" priority="6515" stopIfTrue="1" operator="containsText" text="Medio">
      <formula>NOT(ISERROR(SEARCH("Medio",U250)))</formula>
    </cfRule>
    <cfRule type="containsText" dxfId="4605" priority="6516" stopIfTrue="1" operator="containsText" text="Alto">
      <formula>NOT(ISERROR(SEARCH("Alto",U250)))</formula>
    </cfRule>
  </conditionalFormatting>
  <conditionalFormatting sqref="U251">
    <cfRule type="containsText" dxfId="4604" priority="6553" stopIfTrue="1" operator="containsText" text="Bajo">
      <formula>NOT(ISERROR(SEARCH("Bajo",U251)))</formula>
    </cfRule>
    <cfRule type="containsText" dxfId="4603" priority="6555" stopIfTrue="1" operator="containsText" text="Alto">
      <formula>NOT(ISERROR(SEARCH("Alto",U251)))</formula>
    </cfRule>
    <cfRule type="containsText" dxfId="4602" priority="6554" stopIfTrue="1" operator="containsText" text="Medio">
      <formula>NOT(ISERROR(SEARCH("Medio",U251)))</formula>
    </cfRule>
    <cfRule type="containsText" dxfId="4601" priority="6540" stopIfTrue="1" operator="containsText" text="Muy alto">
      <formula>NOT(ISERROR(SEARCH("Muy alto",U251)))</formula>
    </cfRule>
  </conditionalFormatting>
  <conditionalFormatting sqref="U252">
    <cfRule type="containsText" dxfId="4600" priority="6471" stopIfTrue="1" operator="containsText" text="Bajo">
      <formula>NOT(ISERROR(SEARCH("Bajo",U252)))</formula>
    </cfRule>
    <cfRule type="containsText" dxfId="4599" priority="6472" stopIfTrue="1" operator="containsText" text="Medio">
      <formula>NOT(ISERROR(SEARCH("Medio",U252)))</formula>
    </cfRule>
    <cfRule type="containsText" dxfId="4598" priority="6473" stopIfTrue="1" operator="containsText" text="Alto">
      <formula>NOT(ISERROR(SEARCH("Alto",U252)))</formula>
    </cfRule>
    <cfRule type="containsText" dxfId="4597" priority="6458" stopIfTrue="1" operator="containsText" text="Muy alto">
      <formula>NOT(ISERROR(SEARCH("Muy alto",U252)))</formula>
    </cfRule>
  </conditionalFormatting>
  <conditionalFormatting sqref="U253">
    <cfRule type="containsText" dxfId="4596" priority="6609" stopIfTrue="1" operator="containsText" text="Muy alto">
      <formula>NOT(ISERROR(SEARCH("Muy alto",U253)))</formula>
    </cfRule>
    <cfRule type="containsText" dxfId="4595" priority="6616" stopIfTrue="1" operator="containsText" text="Alto">
      <formula>NOT(ISERROR(SEARCH("Alto",U253)))</formula>
    </cfRule>
    <cfRule type="containsText" dxfId="4594" priority="6615" stopIfTrue="1" operator="containsText" text="Medio">
      <formula>NOT(ISERROR(SEARCH("Medio",U253)))</formula>
    </cfRule>
    <cfRule type="containsText" dxfId="4593" priority="6614" stopIfTrue="1" operator="containsText" text="Bajo">
      <formula>NOT(ISERROR(SEARCH("Bajo",U253)))</formula>
    </cfRule>
  </conditionalFormatting>
  <conditionalFormatting sqref="U254">
    <cfRule type="containsText" dxfId="4592" priority="6579" stopIfTrue="1" operator="containsText" text="Muy alto">
      <formula>NOT(ISERROR(SEARCH("Muy alto",U254)))</formula>
    </cfRule>
    <cfRule type="containsText" dxfId="4591" priority="6596" stopIfTrue="1" operator="containsText" text="Alto">
      <formula>NOT(ISERROR(SEARCH("Alto",U254)))</formula>
    </cfRule>
    <cfRule type="containsText" dxfId="4590" priority="6595" stopIfTrue="1" operator="containsText" text="Medio">
      <formula>NOT(ISERROR(SEARCH("Medio",U254)))</formula>
    </cfRule>
    <cfRule type="containsText" dxfId="4589" priority="6594" stopIfTrue="1" operator="containsText" text="Bajo">
      <formula>NOT(ISERROR(SEARCH("Bajo",U254)))</formula>
    </cfRule>
  </conditionalFormatting>
  <conditionalFormatting sqref="U255">
    <cfRule type="containsText" dxfId="4588" priority="6409" stopIfTrue="1" operator="containsText" text="Bajo">
      <formula>NOT(ISERROR(SEARCH("Bajo",U255)))</formula>
    </cfRule>
    <cfRule type="containsText" dxfId="4587" priority="6411" stopIfTrue="1" operator="containsText" text="Alto">
      <formula>NOT(ISERROR(SEARCH("Alto",U255)))</formula>
    </cfRule>
    <cfRule type="containsText" dxfId="4586" priority="6410" stopIfTrue="1" operator="containsText" text="Medio">
      <formula>NOT(ISERROR(SEARCH("Medio",U255)))</formula>
    </cfRule>
    <cfRule type="containsText" dxfId="4585" priority="6394" stopIfTrue="1" operator="containsText" text="Muy alto">
      <formula>NOT(ISERROR(SEARCH("Muy alto",U255)))</formula>
    </cfRule>
  </conditionalFormatting>
  <conditionalFormatting sqref="U256">
    <cfRule type="containsText" dxfId="4584" priority="6650" stopIfTrue="1" operator="containsText" text="Muy alto">
      <formula>NOT(ISERROR(SEARCH("Muy alto",U256)))</formula>
    </cfRule>
    <cfRule type="containsText" dxfId="4583" priority="6655" stopIfTrue="1" operator="containsText" text="Bajo">
      <formula>NOT(ISERROR(SEARCH("Bajo",U256)))</formula>
    </cfRule>
    <cfRule type="containsText" dxfId="4582" priority="6656" stopIfTrue="1" operator="containsText" text="Medio">
      <formula>NOT(ISERROR(SEARCH("Medio",U256)))</formula>
    </cfRule>
    <cfRule type="containsText" dxfId="4581" priority="6657" stopIfTrue="1" operator="containsText" text="Alto">
      <formula>NOT(ISERROR(SEARCH("Alto",U256)))</formula>
    </cfRule>
  </conditionalFormatting>
  <conditionalFormatting sqref="U257">
    <cfRule type="containsText" dxfId="4580" priority="6428" stopIfTrue="1" operator="containsText" text="Muy alto">
      <formula>NOT(ISERROR(SEARCH("Muy alto",U257)))</formula>
    </cfRule>
    <cfRule type="containsText" dxfId="4579" priority="6433" stopIfTrue="1" operator="containsText" text="Bajo">
      <formula>NOT(ISERROR(SEARCH("Bajo",U257)))</formula>
    </cfRule>
    <cfRule type="containsText" dxfId="4578" priority="6434" stopIfTrue="1" operator="containsText" text="Medio">
      <formula>NOT(ISERROR(SEARCH("Medio",U257)))</formula>
    </cfRule>
    <cfRule type="containsText" dxfId="4577" priority="6435" stopIfTrue="1" operator="containsText" text="Alto">
      <formula>NOT(ISERROR(SEARCH("Alto",U257)))</formula>
    </cfRule>
  </conditionalFormatting>
  <conditionalFormatting sqref="U258">
    <cfRule type="containsText" dxfId="4576" priority="6209" stopIfTrue="1" operator="containsText" text="Alto">
      <formula>NOT(ISERROR(SEARCH("Alto",U258)))</formula>
    </cfRule>
    <cfRule type="containsText" dxfId="4575" priority="6208" stopIfTrue="1" operator="containsText" text="Medio">
      <formula>NOT(ISERROR(SEARCH("Medio",U258)))</formula>
    </cfRule>
    <cfRule type="containsText" dxfId="4574" priority="6207" stopIfTrue="1" operator="containsText" text="Bajo">
      <formula>NOT(ISERROR(SEARCH("Bajo",U258)))</formula>
    </cfRule>
    <cfRule type="containsText" dxfId="4573" priority="6202" stopIfTrue="1" operator="containsText" text="Muy alto">
      <formula>NOT(ISERROR(SEARCH("Muy alto",U258)))</formula>
    </cfRule>
  </conditionalFormatting>
  <conditionalFormatting sqref="U259">
    <cfRule type="containsText" dxfId="4572" priority="5855" stopIfTrue="1" operator="containsText" text="Muy alto">
      <formula>NOT(ISERROR(SEARCH("Muy alto",U259)))</formula>
    </cfRule>
    <cfRule type="containsText" dxfId="4571" priority="5860" stopIfTrue="1" operator="containsText" text="Bajo">
      <formula>NOT(ISERROR(SEARCH("Bajo",U259)))</formula>
    </cfRule>
    <cfRule type="containsText" dxfId="4570" priority="5861" stopIfTrue="1" operator="containsText" text="Medio">
      <formula>NOT(ISERROR(SEARCH("Medio",U259)))</formula>
    </cfRule>
    <cfRule type="containsText" dxfId="4569" priority="5862" stopIfTrue="1" operator="containsText" text="Alto">
      <formula>NOT(ISERROR(SEARCH("Alto",U259)))</formula>
    </cfRule>
  </conditionalFormatting>
  <conditionalFormatting sqref="U260">
    <cfRule type="containsText" dxfId="4568" priority="5826" stopIfTrue="1" operator="containsText" text="Alto">
      <formula>NOT(ISERROR(SEARCH("Alto",U260)))</formula>
    </cfRule>
    <cfRule type="containsText" dxfId="4567" priority="5824" stopIfTrue="1" operator="containsText" text="Bajo">
      <formula>NOT(ISERROR(SEARCH("Bajo",U260)))</formula>
    </cfRule>
    <cfRule type="containsText" dxfId="4566" priority="5825" stopIfTrue="1" operator="containsText" text="Medio">
      <formula>NOT(ISERROR(SEARCH("Medio",U260)))</formula>
    </cfRule>
    <cfRule type="containsText" dxfId="4565" priority="5819" stopIfTrue="1" operator="containsText" text="Muy alto">
      <formula>NOT(ISERROR(SEARCH("Muy alto",U260)))</formula>
    </cfRule>
  </conditionalFormatting>
  <conditionalFormatting sqref="U261">
    <cfRule type="containsText" dxfId="4564" priority="6159" stopIfTrue="1" operator="containsText" text="Medio">
      <formula>NOT(ISERROR(SEARCH("Medio",U261)))</formula>
    </cfRule>
    <cfRule type="containsText" dxfId="4563" priority="6160" stopIfTrue="1" operator="containsText" text="Alto">
      <formula>NOT(ISERROR(SEARCH("Alto",U261)))</formula>
    </cfRule>
    <cfRule type="containsText" dxfId="4562" priority="6158" stopIfTrue="1" operator="containsText" text="Bajo">
      <formula>NOT(ISERROR(SEARCH("Bajo",U261)))</formula>
    </cfRule>
    <cfRule type="containsText" dxfId="4561" priority="6153" stopIfTrue="1" operator="containsText" text="Muy alto">
      <formula>NOT(ISERROR(SEARCH("Muy alto",U261)))</formula>
    </cfRule>
  </conditionalFormatting>
  <conditionalFormatting sqref="U262">
    <cfRule type="containsText" dxfId="4560" priority="6252" stopIfTrue="1" operator="containsText" text="Alto">
      <formula>NOT(ISERROR(SEARCH("Alto",U262)))</formula>
    </cfRule>
    <cfRule type="containsText" dxfId="4559" priority="6251" stopIfTrue="1" operator="containsText" text="Medio">
      <formula>NOT(ISERROR(SEARCH("Medio",U262)))</formula>
    </cfRule>
    <cfRule type="containsText" dxfId="4558" priority="6250" stopIfTrue="1" operator="containsText" text="Bajo">
      <formula>NOT(ISERROR(SEARCH("Bajo",U262)))</formula>
    </cfRule>
    <cfRule type="containsText" dxfId="4557" priority="6245" stopIfTrue="1" operator="containsText" text="Muy alto">
      <formula>NOT(ISERROR(SEARCH("Muy alto",U262)))</formula>
    </cfRule>
  </conditionalFormatting>
  <conditionalFormatting sqref="U263">
    <cfRule type="containsText" dxfId="4556" priority="6114" stopIfTrue="1" operator="containsText" text="Medio">
      <formula>NOT(ISERROR(SEARCH("Medio",U263)))</formula>
    </cfRule>
    <cfRule type="containsText" dxfId="4555" priority="6115" stopIfTrue="1" operator="containsText" text="Alto">
      <formula>NOT(ISERROR(SEARCH("Alto",U263)))</formula>
    </cfRule>
    <cfRule type="containsText" dxfId="4554" priority="6113" stopIfTrue="1" operator="containsText" text="Bajo">
      <formula>NOT(ISERROR(SEARCH("Bajo",U263)))</formula>
    </cfRule>
    <cfRule type="containsText" dxfId="4553" priority="6108" stopIfTrue="1" operator="containsText" text="Muy alto">
      <formula>NOT(ISERROR(SEARCH("Muy alto",U263)))</formula>
    </cfRule>
  </conditionalFormatting>
  <conditionalFormatting sqref="U264">
    <cfRule type="containsText" dxfId="4552" priority="5977" stopIfTrue="1" operator="containsText" text="Bajo">
      <formula>NOT(ISERROR(SEARCH("Bajo",U264)))</formula>
    </cfRule>
    <cfRule type="containsText" dxfId="4551" priority="5978" stopIfTrue="1" operator="containsText" text="Medio">
      <formula>NOT(ISERROR(SEARCH("Medio",U264)))</formula>
    </cfRule>
    <cfRule type="containsText" dxfId="4550" priority="5979" stopIfTrue="1" operator="containsText" text="Alto">
      <formula>NOT(ISERROR(SEARCH("Alto",U264)))</formula>
    </cfRule>
    <cfRule type="containsText" dxfId="4549" priority="5962" stopIfTrue="1" operator="containsText" text="Muy alto">
      <formula>NOT(ISERROR(SEARCH("Muy alto",U264)))</formula>
    </cfRule>
  </conditionalFormatting>
  <conditionalFormatting sqref="U265">
    <cfRule type="containsText" dxfId="4548" priority="5936" stopIfTrue="1" operator="containsText" text="Alto">
      <formula>NOT(ISERROR(SEARCH("Alto",U265)))</formula>
    </cfRule>
    <cfRule type="containsText" dxfId="4547" priority="5921" stopIfTrue="1" operator="containsText" text="Muy alto">
      <formula>NOT(ISERROR(SEARCH("Muy alto",U265)))</formula>
    </cfRule>
    <cfRule type="containsText" dxfId="4546" priority="5935" stopIfTrue="1" operator="containsText" text="Medio">
      <formula>NOT(ISERROR(SEARCH("Medio",U265)))</formula>
    </cfRule>
    <cfRule type="containsText" dxfId="4545" priority="5934" stopIfTrue="1" operator="containsText" text="Bajo">
      <formula>NOT(ISERROR(SEARCH("Bajo",U265)))</formula>
    </cfRule>
  </conditionalFormatting>
  <conditionalFormatting sqref="U266">
    <cfRule type="containsText" dxfId="4544" priority="6038" stopIfTrue="1" operator="containsText" text="Bajo">
      <formula>NOT(ISERROR(SEARCH("Bajo",U266)))</formula>
    </cfRule>
    <cfRule type="containsText" dxfId="4543" priority="6040" stopIfTrue="1" operator="containsText" text="Alto">
      <formula>NOT(ISERROR(SEARCH("Alto",U266)))</formula>
    </cfRule>
    <cfRule type="containsText" dxfId="4542" priority="6039" stopIfTrue="1" operator="containsText" text="Medio">
      <formula>NOT(ISERROR(SEARCH("Medio",U266)))</formula>
    </cfRule>
    <cfRule type="containsText" dxfId="4541" priority="6033" stopIfTrue="1" operator="containsText" text="Muy alto">
      <formula>NOT(ISERROR(SEARCH("Muy alto",U266)))</formula>
    </cfRule>
  </conditionalFormatting>
  <conditionalFormatting sqref="U267">
    <cfRule type="containsText" dxfId="4540" priority="6018" stopIfTrue="1" operator="containsText" text="Bajo">
      <formula>NOT(ISERROR(SEARCH("Bajo",U267)))</formula>
    </cfRule>
    <cfRule type="containsText" dxfId="4539" priority="6003" stopIfTrue="1" operator="containsText" text="Muy alto">
      <formula>NOT(ISERROR(SEARCH("Muy alto",U267)))</formula>
    </cfRule>
    <cfRule type="containsText" dxfId="4538" priority="6019" stopIfTrue="1" operator="containsText" text="Medio">
      <formula>NOT(ISERROR(SEARCH("Medio",U267)))</formula>
    </cfRule>
    <cfRule type="containsText" dxfId="4537" priority="6020" stopIfTrue="1" operator="containsText" text="Alto">
      <formula>NOT(ISERROR(SEARCH("Alto",U267)))</formula>
    </cfRule>
  </conditionalFormatting>
  <conditionalFormatting sqref="U268">
    <cfRule type="containsText" dxfId="4536" priority="6074" stopIfTrue="1" operator="containsText" text="Muy alto">
      <formula>NOT(ISERROR(SEARCH("Muy alto",U268)))</formula>
    </cfRule>
    <cfRule type="containsText" dxfId="4535" priority="6081" stopIfTrue="1" operator="containsText" text="Alto">
      <formula>NOT(ISERROR(SEARCH("Alto",U268)))</formula>
    </cfRule>
    <cfRule type="containsText" dxfId="4534" priority="6080" stopIfTrue="1" operator="containsText" text="Medio">
      <formula>NOT(ISERROR(SEARCH("Medio",U268)))</formula>
    </cfRule>
    <cfRule type="containsText" dxfId="4533" priority="6079" stopIfTrue="1" operator="containsText" text="Bajo">
      <formula>NOT(ISERROR(SEARCH("Bajo",U268)))</formula>
    </cfRule>
  </conditionalFormatting>
  <conditionalFormatting sqref="U269">
    <cfRule type="containsText" dxfId="4532" priority="5898" stopIfTrue="1" operator="containsText" text="Alto">
      <formula>NOT(ISERROR(SEARCH("Alto",U269)))</formula>
    </cfRule>
    <cfRule type="containsText" dxfId="4531" priority="5896" stopIfTrue="1" operator="containsText" text="Bajo">
      <formula>NOT(ISERROR(SEARCH("Bajo",U269)))</formula>
    </cfRule>
    <cfRule type="containsText" dxfId="4530" priority="5891" stopIfTrue="1" operator="containsText" text="Muy alto">
      <formula>NOT(ISERROR(SEARCH("Muy alto",U269)))</formula>
    </cfRule>
    <cfRule type="containsText" dxfId="4529" priority="5897" stopIfTrue="1" operator="containsText" text="Medio">
      <formula>NOT(ISERROR(SEARCH("Medio",U269)))</formula>
    </cfRule>
  </conditionalFormatting>
  <conditionalFormatting sqref="U270">
    <cfRule type="containsText" dxfId="4528" priority="5723" stopIfTrue="1" operator="containsText" text="Muy alto">
      <formula>NOT(ISERROR(SEARCH("Muy alto",U270)))</formula>
    </cfRule>
    <cfRule type="containsText" dxfId="4527" priority="5730" stopIfTrue="1" operator="containsText" text="Alto">
      <formula>NOT(ISERROR(SEARCH("Alto",U270)))</formula>
    </cfRule>
    <cfRule type="containsText" dxfId="4526" priority="5729" stopIfTrue="1" operator="containsText" text="Medio">
      <formula>NOT(ISERROR(SEARCH("Medio",U270)))</formula>
    </cfRule>
    <cfRule type="containsText" dxfId="4525" priority="5728" stopIfTrue="1" operator="containsText" text="Bajo">
      <formula>NOT(ISERROR(SEARCH("Bajo",U270)))</formula>
    </cfRule>
  </conditionalFormatting>
  <conditionalFormatting sqref="U271">
    <cfRule type="containsText" dxfId="4524" priority="5298" stopIfTrue="1" operator="containsText" text="Medio">
      <formula>NOT(ISERROR(SEARCH("Medio",U271)))</formula>
    </cfRule>
    <cfRule type="containsText" dxfId="4523" priority="5297" stopIfTrue="1" operator="containsText" text="Bajo">
      <formula>NOT(ISERROR(SEARCH("Bajo",U271)))</formula>
    </cfRule>
    <cfRule type="containsText" dxfId="4522" priority="5292" stopIfTrue="1" operator="containsText" text="Muy alto">
      <formula>NOT(ISERROR(SEARCH("Muy alto",U271)))</formula>
    </cfRule>
    <cfRule type="containsText" dxfId="4521" priority="5299" stopIfTrue="1" operator="containsText" text="Alto">
      <formula>NOT(ISERROR(SEARCH("Alto",U271)))</formula>
    </cfRule>
  </conditionalFormatting>
  <conditionalFormatting sqref="U272">
    <cfRule type="containsText" dxfId="4520" priority="5261" stopIfTrue="1" operator="containsText" text="Bajo">
      <formula>NOT(ISERROR(SEARCH("Bajo",U272)))</formula>
    </cfRule>
    <cfRule type="containsText" dxfId="4519" priority="5263" stopIfTrue="1" operator="containsText" text="Alto">
      <formula>NOT(ISERROR(SEARCH("Alto",U272)))</formula>
    </cfRule>
    <cfRule type="containsText" dxfId="4518" priority="5262" stopIfTrue="1" operator="containsText" text="Medio">
      <formula>NOT(ISERROR(SEARCH("Medio",U272)))</formula>
    </cfRule>
    <cfRule type="containsText" dxfId="4517" priority="5256" stopIfTrue="1" operator="containsText" text="Muy alto">
      <formula>NOT(ISERROR(SEARCH("Muy alto",U272)))</formula>
    </cfRule>
  </conditionalFormatting>
  <conditionalFormatting sqref="U273">
    <cfRule type="containsText" dxfId="4516" priority="5681" stopIfTrue="1" operator="containsText" text="Alto">
      <formula>NOT(ISERROR(SEARCH("Alto",U273)))</formula>
    </cfRule>
    <cfRule type="containsText" dxfId="4515" priority="5679" stopIfTrue="1" operator="containsText" text="Bajo">
      <formula>NOT(ISERROR(SEARCH("Bajo",U273)))</formula>
    </cfRule>
    <cfRule type="containsText" dxfId="4514" priority="5680" stopIfTrue="1" operator="containsText" text="Medio">
      <formula>NOT(ISERROR(SEARCH("Medio",U273)))</formula>
    </cfRule>
    <cfRule type="containsText" dxfId="4513" priority="5674" stopIfTrue="1" operator="containsText" text="Muy alto">
      <formula>NOT(ISERROR(SEARCH("Muy alto",U273)))</formula>
    </cfRule>
  </conditionalFormatting>
  <conditionalFormatting sqref="U274">
    <cfRule type="containsText" dxfId="4512" priority="5766" stopIfTrue="1" operator="containsText" text="Muy alto">
      <formula>NOT(ISERROR(SEARCH("Muy alto",U274)))</formula>
    </cfRule>
    <cfRule type="containsText" dxfId="4511" priority="5771" stopIfTrue="1" operator="containsText" text="Bajo">
      <formula>NOT(ISERROR(SEARCH("Bajo",U274)))</formula>
    </cfRule>
    <cfRule type="containsText" dxfId="4510" priority="5772" stopIfTrue="1" operator="containsText" text="Medio">
      <formula>NOT(ISERROR(SEARCH("Medio",U274)))</formula>
    </cfRule>
    <cfRule type="containsText" dxfId="4509" priority="5773" stopIfTrue="1" operator="containsText" text="Alto">
      <formula>NOT(ISERROR(SEARCH("Alto",U274)))</formula>
    </cfRule>
  </conditionalFormatting>
  <conditionalFormatting sqref="U275">
    <cfRule type="containsText" dxfId="4508" priority="5635" stopIfTrue="1" operator="containsText" text="Medio">
      <formula>NOT(ISERROR(SEARCH("Medio",U275)))</formula>
    </cfRule>
    <cfRule type="containsText" dxfId="4507" priority="5636" stopIfTrue="1" operator="containsText" text="Alto">
      <formula>NOT(ISERROR(SEARCH("Alto",U275)))</formula>
    </cfRule>
    <cfRule type="containsText" dxfId="4506" priority="5634" stopIfTrue="1" operator="containsText" text="Bajo">
      <formula>NOT(ISERROR(SEARCH("Bajo",U275)))</formula>
    </cfRule>
    <cfRule type="containsText" dxfId="4505" priority="5629" stopIfTrue="1" operator="containsText" text="Muy alto">
      <formula>NOT(ISERROR(SEARCH("Muy alto",U275)))</formula>
    </cfRule>
  </conditionalFormatting>
  <conditionalFormatting sqref="U276">
    <cfRule type="containsText" dxfId="4504" priority="5444" stopIfTrue="1" operator="containsText" text="Muy alto">
      <formula>NOT(ISERROR(SEARCH("Muy alto",U276)))</formula>
    </cfRule>
    <cfRule type="containsText" dxfId="4503" priority="5461" stopIfTrue="1" operator="containsText" text="Alto">
      <formula>NOT(ISERROR(SEARCH("Alto",U276)))</formula>
    </cfRule>
    <cfRule type="containsText" dxfId="4502" priority="5460" stopIfTrue="1" operator="containsText" text="Medio">
      <formula>NOT(ISERROR(SEARCH("Medio",U276)))</formula>
    </cfRule>
    <cfRule type="containsText" dxfId="4501" priority="5459" stopIfTrue="1" operator="containsText" text="Bajo">
      <formula>NOT(ISERROR(SEARCH("Bajo",U276)))</formula>
    </cfRule>
  </conditionalFormatting>
  <conditionalFormatting sqref="U277">
    <cfRule type="containsText" dxfId="4500" priority="5498" stopIfTrue="1" operator="containsText" text="Bajo">
      <formula>NOT(ISERROR(SEARCH("Bajo",U277)))</formula>
    </cfRule>
    <cfRule type="containsText" dxfId="4499" priority="5485" stopIfTrue="1" operator="containsText" text="Muy alto">
      <formula>NOT(ISERROR(SEARCH("Muy alto",U277)))</formula>
    </cfRule>
    <cfRule type="containsText" dxfId="4498" priority="5499" stopIfTrue="1" operator="containsText" text="Medio">
      <formula>NOT(ISERROR(SEARCH("Medio",U277)))</formula>
    </cfRule>
    <cfRule type="containsText" dxfId="4497" priority="5500" stopIfTrue="1" operator="containsText" text="Alto">
      <formula>NOT(ISERROR(SEARCH("Alto",U277)))</formula>
    </cfRule>
  </conditionalFormatting>
  <conditionalFormatting sqref="U278">
    <cfRule type="containsText" dxfId="4496" priority="5417" stopIfTrue="1" operator="containsText" text="Medio">
      <formula>NOT(ISERROR(SEARCH("Medio",U278)))</formula>
    </cfRule>
    <cfRule type="containsText" dxfId="4495" priority="5403" stopIfTrue="1" operator="containsText" text="Muy alto">
      <formula>NOT(ISERROR(SEARCH("Muy alto",U278)))</formula>
    </cfRule>
    <cfRule type="containsText" dxfId="4494" priority="5416" stopIfTrue="1" operator="containsText" text="Bajo">
      <formula>NOT(ISERROR(SEARCH("Bajo",U278)))</formula>
    </cfRule>
    <cfRule type="containsText" dxfId="4493" priority="5418" stopIfTrue="1" operator="containsText" text="Alto">
      <formula>NOT(ISERROR(SEARCH("Alto",U278)))</formula>
    </cfRule>
  </conditionalFormatting>
  <conditionalFormatting sqref="U279">
    <cfRule type="containsText" dxfId="4492" priority="5560" stopIfTrue="1" operator="containsText" text="Medio">
      <formula>NOT(ISERROR(SEARCH("Medio",U279)))</formula>
    </cfRule>
    <cfRule type="containsText" dxfId="4491" priority="5559" stopIfTrue="1" operator="containsText" text="Bajo">
      <formula>NOT(ISERROR(SEARCH("Bajo",U279)))</formula>
    </cfRule>
    <cfRule type="containsText" dxfId="4490" priority="5554" stopIfTrue="1" operator="containsText" text="Muy alto">
      <formula>NOT(ISERROR(SEARCH("Muy alto",U279)))</formula>
    </cfRule>
    <cfRule type="containsText" dxfId="4489" priority="5561" stopIfTrue="1" operator="containsText" text="Alto">
      <formula>NOT(ISERROR(SEARCH("Alto",U279)))</formula>
    </cfRule>
  </conditionalFormatting>
  <conditionalFormatting sqref="U280">
    <cfRule type="containsText" dxfId="4488" priority="5541" stopIfTrue="1" operator="containsText" text="Alto">
      <formula>NOT(ISERROR(SEARCH("Alto",U280)))</formula>
    </cfRule>
    <cfRule type="containsText" dxfId="4487" priority="5540" stopIfTrue="1" operator="containsText" text="Medio">
      <formula>NOT(ISERROR(SEARCH("Medio",U280)))</formula>
    </cfRule>
    <cfRule type="containsText" dxfId="4486" priority="5539" stopIfTrue="1" operator="containsText" text="Bajo">
      <formula>NOT(ISERROR(SEARCH("Bajo",U280)))</formula>
    </cfRule>
    <cfRule type="containsText" dxfId="4485" priority="5524" stopIfTrue="1" operator="containsText" text="Muy alto">
      <formula>NOT(ISERROR(SEARCH("Muy alto",U280)))</formula>
    </cfRule>
  </conditionalFormatting>
  <conditionalFormatting sqref="U281">
    <cfRule type="containsText" dxfId="4484" priority="5354" stopIfTrue="1" operator="containsText" text="Bajo">
      <formula>NOT(ISERROR(SEARCH("Bajo",U281)))</formula>
    </cfRule>
    <cfRule type="containsText" dxfId="4483" priority="5339" stopIfTrue="1" operator="containsText" text="Muy alto">
      <formula>NOT(ISERROR(SEARCH("Muy alto",U281)))</formula>
    </cfRule>
    <cfRule type="containsText" dxfId="4482" priority="5356" stopIfTrue="1" operator="containsText" text="Alto">
      <formula>NOT(ISERROR(SEARCH("Alto",U281)))</formula>
    </cfRule>
    <cfRule type="containsText" dxfId="4481" priority="5355" stopIfTrue="1" operator="containsText" text="Medio">
      <formula>NOT(ISERROR(SEARCH("Medio",U281)))</formula>
    </cfRule>
  </conditionalFormatting>
  <conditionalFormatting sqref="U282">
    <cfRule type="containsText" dxfId="4480" priority="5602" stopIfTrue="1" operator="containsText" text="Alto">
      <formula>NOT(ISERROR(SEARCH("Alto",U282)))</formula>
    </cfRule>
    <cfRule type="containsText" dxfId="4479" priority="5601" stopIfTrue="1" operator="containsText" text="Medio">
      <formula>NOT(ISERROR(SEARCH("Medio",U282)))</formula>
    </cfRule>
    <cfRule type="containsText" dxfId="4478" priority="5600" stopIfTrue="1" operator="containsText" text="Bajo">
      <formula>NOT(ISERROR(SEARCH("Bajo",U282)))</formula>
    </cfRule>
    <cfRule type="containsText" dxfId="4477" priority="5595" stopIfTrue="1" operator="containsText" text="Muy alto">
      <formula>NOT(ISERROR(SEARCH("Muy alto",U282)))</formula>
    </cfRule>
  </conditionalFormatting>
  <conditionalFormatting sqref="U283">
    <cfRule type="containsText" dxfId="4476" priority="5378" stopIfTrue="1" operator="containsText" text="Bajo">
      <formula>NOT(ISERROR(SEARCH("Bajo",U283)))</formula>
    </cfRule>
    <cfRule type="containsText" dxfId="4475" priority="5379" stopIfTrue="1" operator="containsText" text="Medio">
      <formula>NOT(ISERROR(SEARCH("Medio",U283)))</formula>
    </cfRule>
    <cfRule type="containsText" dxfId="4474" priority="5380" stopIfTrue="1" operator="containsText" text="Alto">
      <formula>NOT(ISERROR(SEARCH("Alto",U283)))</formula>
    </cfRule>
    <cfRule type="containsText" dxfId="4473" priority="5373" stopIfTrue="1" operator="containsText" text="Muy alto">
      <formula>NOT(ISERROR(SEARCH("Muy alto",U283)))</formula>
    </cfRule>
  </conditionalFormatting>
  <conditionalFormatting sqref="U284">
    <cfRule type="containsText" dxfId="4472" priority="5165" stopIfTrue="1" operator="containsText" text="Bajo">
      <formula>NOT(ISERROR(SEARCH("Bajo",U284)))</formula>
    </cfRule>
    <cfRule type="containsText" dxfId="4471" priority="5166" stopIfTrue="1" operator="containsText" text="Medio">
      <formula>NOT(ISERROR(SEARCH("Medio",U284)))</formula>
    </cfRule>
    <cfRule type="containsText" dxfId="4470" priority="5167" stopIfTrue="1" operator="containsText" text="Alto">
      <formula>NOT(ISERROR(SEARCH("Alto",U284)))</formula>
    </cfRule>
    <cfRule type="containsText" dxfId="4469" priority="5160" stopIfTrue="1" operator="containsText" text="Muy alto">
      <formula>NOT(ISERROR(SEARCH("Muy alto",U284)))</formula>
    </cfRule>
  </conditionalFormatting>
  <conditionalFormatting sqref="U285">
    <cfRule type="containsText" dxfId="4468" priority="4729" stopIfTrue="1" operator="containsText" text="Muy alto">
      <formula>NOT(ISERROR(SEARCH("Muy alto",U285)))</formula>
    </cfRule>
    <cfRule type="containsText" dxfId="4467" priority="4734" stopIfTrue="1" operator="containsText" text="Bajo">
      <formula>NOT(ISERROR(SEARCH("Bajo",U285)))</formula>
    </cfRule>
    <cfRule type="containsText" dxfId="4466" priority="4735" stopIfTrue="1" operator="containsText" text="Medio">
      <formula>NOT(ISERROR(SEARCH("Medio",U285)))</formula>
    </cfRule>
    <cfRule type="containsText" dxfId="4465" priority="4736" stopIfTrue="1" operator="containsText" text="Alto">
      <formula>NOT(ISERROR(SEARCH("Alto",U285)))</formula>
    </cfRule>
  </conditionalFormatting>
  <conditionalFormatting sqref="U286">
    <cfRule type="containsText" dxfId="4464" priority="4700" stopIfTrue="1" operator="containsText" text="Alto">
      <formula>NOT(ISERROR(SEARCH("Alto",U286)))</formula>
    </cfRule>
    <cfRule type="containsText" dxfId="4463" priority="4699" stopIfTrue="1" operator="containsText" text="Medio">
      <formula>NOT(ISERROR(SEARCH("Medio",U286)))</formula>
    </cfRule>
    <cfRule type="containsText" dxfId="4462" priority="4693" stopIfTrue="1" operator="containsText" text="Muy alto">
      <formula>NOT(ISERROR(SEARCH("Muy alto",U286)))</formula>
    </cfRule>
    <cfRule type="containsText" dxfId="4461" priority="4698" stopIfTrue="1" operator="containsText" text="Bajo">
      <formula>NOT(ISERROR(SEARCH("Bajo",U286)))</formula>
    </cfRule>
  </conditionalFormatting>
  <conditionalFormatting sqref="U287">
    <cfRule type="containsText" dxfId="4460" priority="5117" stopIfTrue="1" operator="containsText" text="Medio">
      <formula>NOT(ISERROR(SEARCH("Medio",U287)))</formula>
    </cfRule>
    <cfRule type="containsText" dxfId="4459" priority="5111" stopIfTrue="1" operator="containsText" text="Muy alto">
      <formula>NOT(ISERROR(SEARCH("Muy alto",U287)))</formula>
    </cfRule>
    <cfRule type="containsText" dxfId="4458" priority="5118" stopIfTrue="1" operator="containsText" text="Alto">
      <formula>NOT(ISERROR(SEARCH("Alto",U287)))</formula>
    </cfRule>
    <cfRule type="containsText" dxfId="4457" priority="5116" stopIfTrue="1" operator="containsText" text="Bajo">
      <formula>NOT(ISERROR(SEARCH("Bajo",U287)))</formula>
    </cfRule>
  </conditionalFormatting>
  <conditionalFormatting sqref="U288">
    <cfRule type="containsText" dxfId="4456" priority="5209" stopIfTrue="1" operator="containsText" text="Medio">
      <formula>NOT(ISERROR(SEARCH("Medio",U288)))</formula>
    </cfRule>
    <cfRule type="containsText" dxfId="4455" priority="5210" stopIfTrue="1" operator="containsText" text="Alto">
      <formula>NOT(ISERROR(SEARCH("Alto",U288)))</formula>
    </cfRule>
    <cfRule type="containsText" dxfId="4454" priority="5208" stopIfTrue="1" operator="containsText" text="Bajo">
      <formula>NOT(ISERROR(SEARCH("Bajo",U288)))</formula>
    </cfRule>
    <cfRule type="containsText" dxfId="4453" priority="5203" stopIfTrue="1" operator="containsText" text="Muy alto">
      <formula>NOT(ISERROR(SEARCH("Muy alto",U288)))</formula>
    </cfRule>
  </conditionalFormatting>
  <conditionalFormatting sqref="U289">
    <cfRule type="containsText" dxfId="4452" priority="5073" stopIfTrue="1" operator="containsText" text="Alto">
      <formula>NOT(ISERROR(SEARCH("Alto",U289)))</formula>
    </cfRule>
    <cfRule type="containsText" dxfId="4451" priority="5066" stopIfTrue="1" operator="containsText" text="Muy alto">
      <formula>NOT(ISERROR(SEARCH("Muy alto",U289)))</formula>
    </cfRule>
    <cfRule type="containsText" dxfId="4450" priority="5071" stopIfTrue="1" operator="containsText" text="Bajo">
      <formula>NOT(ISERROR(SEARCH("Bajo",U289)))</formula>
    </cfRule>
    <cfRule type="containsText" dxfId="4449" priority="5072" stopIfTrue="1" operator="containsText" text="Medio">
      <formula>NOT(ISERROR(SEARCH("Medio",U289)))</formula>
    </cfRule>
  </conditionalFormatting>
  <conditionalFormatting sqref="U290">
    <cfRule type="containsText" dxfId="4448" priority="4898" stopIfTrue="1" operator="containsText" text="Alto">
      <formula>NOT(ISERROR(SEARCH("Alto",U290)))</formula>
    </cfRule>
    <cfRule type="containsText" dxfId="4447" priority="4897" stopIfTrue="1" operator="containsText" text="Medio">
      <formula>NOT(ISERROR(SEARCH("Medio",U290)))</formula>
    </cfRule>
    <cfRule type="containsText" dxfId="4446" priority="4896" stopIfTrue="1" operator="containsText" text="Bajo">
      <formula>NOT(ISERROR(SEARCH("Bajo",U290)))</formula>
    </cfRule>
    <cfRule type="containsText" dxfId="4445" priority="4881" stopIfTrue="1" operator="containsText" text="Muy alto">
      <formula>NOT(ISERROR(SEARCH("Muy alto",U290)))</formula>
    </cfRule>
  </conditionalFormatting>
  <conditionalFormatting sqref="U291">
    <cfRule type="containsText" dxfId="4444" priority="4922" stopIfTrue="1" operator="containsText" text="Muy alto">
      <formula>NOT(ISERROR(SEARCH("Muy alto",U291)))</formula>
    </cfRule>
    <cfRule type="containsText" dxfId="4443" priority="4937" stopIfTrue="1" operator="containsText" text="Alto">
      <formula>NOT(ISERROR(SEARCH("Alto",U291)))</formula>
    </cfRule>
    <cfRule type="containsText" dxfId="4442" priority="4936" stopIfTrue="1" operator="containsText" text="Medio">
      <formula>NOT(ISERROR(SEARCH("Medio",U291)))</formula>
    </cfRule>
    <cfRule type="containsText" dxfId="4441" priority="4935" stopIfTrue="1" operator="containsText" text="Bajo">
      <formula>NOT(ISERROR(SEARCH("Bajo",U291)))</formula>
    </cfRule>
  </conditionalFormatting>
  <conditionalFormatting sqref="U292">
    <cfRule type="containsText" dxfId="4440" priority="4854" stopIfTrue="1" operator="containsText" text="Medio">
      <formula>NOT(ISERROR(SEARCH("Medio",U292)))</formula>
    </cfRule>
    <cfRule type="containsText" dxfId="4439" priority="4853" stopIfTrue="1" operator="containsText" text="Bajo">
      <formula>NOT(ISERROR(SEARCH("Bajo",U292)))</formula>
    </cfRule>
    <cfRule type="containsText" dxfId="4438" priority="4855" stopIfTrue="1" operator="containsText" text="Alto">
      <formula>NOT(ISERROR(SEARCH("Alto",U292)))</formula>
    </cfRule>
    <cfRule type="containsText" dxfId="4437" priority="4840" stopIfTrue="1" operator="containsText" text="Muy alto">
      <formula>NOT(ISERROR(SEARCH("Muy alto",U292)))</formula>
    </cfRule>
  </conditionalFormatting>
  <conditionalFormatting sqref="U293">
    <cfRule type="containsText" dxfId="4436" priority="4998" stopIfTrue="1" operator="containsText" text="Alto">
      <formula>NOT(ISERROR(SEARCH("Alto",U293)))</formula>
    </cfRule>
    <cfRule type="containsText" dxfId="4435" priority="4997" stopIfTrue="1" operator="containsText" text="Medio">
      <formula>NOT(ISERROR(SEARCH("Medio",U293)))</formula>
    </cfRule>
    <cfRule type="containsText" dxfId="4434" priority="4996" stopIfTrue="1" operator="containsText" text="Bajo">
      <formula>NOT(ISERROR(SEARCH("Bajo",U293)))</formula>
    </cfRule>
    <cfRule type="containsText" dxfId="4433" priority="4991" stopIfTrue="1" operator="containsText" text="Muy alto">
      <formula>NOT(ISERROR(SEARCH("Muy alto",U293)))</formula>
    </cfRule>
  </conditionalFormatting>
  <conditionalFormatting sqref="U294">
    <cfRule type="containsText" dxfId="4432" priority="4961" stopIfTrue="1" operator="containsText" text="Muy alto">
      <formula>NOT(ISERROR(SEARCH("Muy alto",U294)))</formula>
    </cfRule>
    <cfRule type="containsText" dxfId="4431" priority="4976" stopIfTrue="1" operator="containsText" text="Bajo">
      <formula>NOT(ISERROR(SEARCH("Bajo",U294)))</formula>
    </cfRule>
    <cfRule type="containsText" dxfId="4430" priority="4977" stopIfTrue="1" operator="containsText" text="Medio">
      <formula>NOT(ISERROR(SEARCH("Medio",U294)))</formula>
    </cfRule>
    <cfRule type="containsText" dxfId="4429" priority="4978" stopIfTrue="1" operator="containsText" text="Alto">
      <formula>NOT(ISERROR(SEARCH("Alto",U294)))</formula>
    </cfRule>
  </conditionalFormatting>
  <conditionalFormatting sqref="U295">
    <cfRule type="containsText" dxfId="4428" priority="4776" stopIfTrue="1" operator="containsText" text="Muy alto">
      <formula>NOT(ISERROR(SEARCH("Muy alto",U295)))</formula>
    </cfRule>
    <cfRule type="containsText" dxfId="4427" priority="4791" stopIfTrue="1" operator="containsText" text="Bajo">
      <formula>NOT(ISERROR(SEARCH("Bajo",U295)))</formula>
    </cfRule>
    <cfRule type="containsText" dxfId="4426" priority="4792" stopIfTrue="1" operator="containsText" text="Medio">
      <formula>NOT(ISERROR(SEARCH("Medio",U295)))</formula>
    </cfRule>
    <cfRule type="containsText" dxfId="4425" priority="4793" stopIfTrue="1" operator="containsText" text="Alto">
      <formula>NOT(ISERROR(SEARCH("Alto",U295)))</formula>
    </cfRule>
  </conditionalFormatting>
  <conditionalFormatting sqref="U296">
    <cfRule type="containsText" dxfId="4424" priority="5038" stopIfTrue="1" operator="containsText" text="Medio">
      <formula>NOT(ISERROR(SEARCH("Medio",U296)))</formula>
    </cfRule>
    <cfRule type="containsText" dxfId="4423" priority="5039" stopIfTrue="1" operator="containsText" text="Alto">
      <formula>NOT(ISERROR(SEARCH("Alto",U296)))</formula>
    </cfRule>
    <cfRule type="containsText" dxfId="4422" priority="5037" stopIfTrue="1" operator="containsText" text="Bajo">
      <formula>NOT(ISERROR(SEARCH("Bajo",U296)))</formula>
    </cfRule>
    <cfRule type="containsText" dxfId="4421" priority="5032" stopIfTrue="1" operator="containsText" text="Muy alto">
      <formula>NOT(ISERROR(SEARCH("Muy alto",U296)))</formula>
    </cfRule>
  </conditionalFormatting>
  <conditionalFormatting sqref="U297">
    <cfRule type="containsText" dxfId="4420" priority="4817" stopIfTrue="1" operator="containsText" text="Alto">
      <formula>NOT(ISERROR(SEARCH("Alto",U297)))</formula>
    </cfRule>
    <cfRule type="containsText" dxfId="4419" priority="4810" stopIfTrue="1" operator="containsText" text="Muy alto">
      <formula>NOT(ISERROR(SEARCH("Muy alto",U297)))</formula>
    </cfRule>
    <cfRule type="containsText" dxfId="4418" priority="4816" stopIfTrue="1" operator="containsText" text="Medio">
      <formula>NOT(ISERROR(SEARCH("Medio",U297)))</formula>
    </cfRule>
    <cfRule type="containsText" dxfId="4417" priority="4815" stopIfTrue="1" operator="containsText" text="Bajo">
      <formula>NOT(ISERROR(SEARCH("Bajo",U297)))</formula>
    </cfRule>
  </conditionalFormatting>
  <conditionalFormatting sqref="U298">
    <cfRule type="containsText" dxfId="4416" priority="4602" stopIfTrue="1" operator="containsText" text="Bajo">
      <formula>NOT(ISERROR(SEARCH("Bajo",U298)))</formula>
    </cfRule>
    <cfRule type="containsText" dxfId="4415" priority="4604" stopIfTrue="1" operator="containsText" text="Alto">
      <formula>NOT(ISERROR(SEARCH("Alto",U298)))</formula>
    </cfRule>
    <cfRule type="containsText" dxfId="4414" priority="4597" stopIfTrue="1" operator="containsText" text="Muy alto">
      <formula>NOT(ISERROR(SEARCH("Muy alto",U298)))</formula>
    </cfRule>
    <cfRule type="containsText" dxfId="4413" priority="4603" stopIfTrue="1" operator="containsText" text="Medio">
      <formula>NOT(ISERROR(SEARCH("Medio",U298)))</formula>
    </cfRule>
  </conditionalFormatting>
  <conditionalFormatting sqref="U299">
    <cfRule type="containsText" dxfId="4412" priority="4173" stopIfTrue="1" operator="containsText" text="Alto">
      <formula>NOT(ISERROR(SEARCH("Alto",U299)))</formula>
    </cfRule>
    <cfRule type="containsText" dxfId="4411" priority="4172" stopIfTrue="1" operator="containsText" text="Medio">
      <formula>NOT(ISERROR(SEARCH("Medio",U299)))</formula>
    </cfRule>
    <cfRule type="containsText" dxfId="4410" priority="4166" stopIfTrue="1" operator="containsText" text="Muy alto">
      <formula>NOT(ISERROR(SEARCH("Muy alto",U299)))</formula>
    </cfRule>
    <cfRule type="containsText" dxfId="4409" priority="4171" stopIfTrue="1" operator="containsText" text="Bajo">
      <formula>NOT(ISERROR(SEARCH("Bajo",U299)))</formula>
    </cfRule>
  </conditionalFormatting>
  <conditionalFormatting sqref="U300">
    <cfRule type="containsText" dxfId="4408" priority="4135" stopIfTrue="1" operator="containsText" text="Bajo">
      <formula>NOT(ISERROR(SEARCH("Bajo",U300)))</formula>
    </cfRule>
    <cfRule type="containsText" dxfId="4407" priority="4130" stopIfTrue="1" operator="containsText" text="Muy alto">
      <formula>NOT(ISERROR(SEARCH("Muy alto",U300)))</formula>
    </cfRule>
    <cfRule type="containsText" dxfId="4406" priority="4136" stopIfTrue="1" operator="containsText" text="Medio">
      <formula>NOT(ISERROR(SEARCH("Medio",U300)))</formula>
    </cfRule>
    <cfRule type="containsText" dxfId="4405" priority="4137" stopIfTrue="1" operator="containsText" text="Alto">
      <formula>NOT(ISERROR(SEARCH("Alto",U300)))</formula>
    </cfRule>
  </conditionalFormatting>
  <conditionalFormatting sqref="U301">
    <cfRule type="containsText" dxfId="4404" priority="4548" stopIfTrue="1" operator="containsText" text="Muy alto">
      <formula>NOT(ISERROR(SEARCH("Muy alto",U301)))</formula>
    </cfRule>
    <cfRule type="containsText" dxfId="4403" priority="4555" stopIfTrue="1" operator="containsText" text="Alto">
      <formula>NOT(ISERROR(SEARCH("Alto",U301)))</formula>
    </cfRule>
    <cfRule type="containsText" dxfId="4402" priority="4554" stopIfTrue="1" operator="containsText" text="Medio">
      <formula>NOT(ISERROR(SEARCH("Medio",U301)))</formula>
    </cfRule>
    <cfRule type="containsText" dxfId="4401" priority="4553" stopIfTrue="1" operator="containsText" text="Bajo">
      <formula>NOT(ISERROR(SEARCH("Bajo",U301)))</formula>
    </cfRule>
  </conditionalFormatting>
  <conditionalFormatting sqref="U302">
    <cfRule type="containsText" dxfId="4400" priority="4645" stopIfTrue="1" operator="containsText" text="Bajo">
      <formula>NOT(ISERROR(SEARCH("Bajo",U302)))</formula>
    </cfRule>
    <cfRule type="containsText" dxfId="4399" priority="4640" stopIfTrue="1" operator="containsText" text="Muy alto">
      <formula>NOT(ISERROR(SEARCH("Muy alto",U302)))</formula>
    </cfRule>
    <cfRule type="containsText" dxfId="4398" priority="4647" stopIfTrue="1" operator="containsText" text="Alto">
      <formula>NOT(ISERROR(SEARCH("Alto",U302)))</formula>
    </cfRule>
    <cfRule type="containsText" dxfId="4397" priority="4646" stopIfTrue="1" operator="containsText" text="Medio">
      <formula>NOT(ISERROR(SEARCH("Medio",U302)))</formula>
    </cfRule>
  </conditionalFormatting>
  <conditionalFormatting sqref="U303">
    <cfRule type="containsText" dxfId="4396" priority="4503" stopIfTrue="1" operator="containsText" text="Muy alto">
      <formula>NOT(ISERROR(SEARCH("Muy alto",U303)))</formula>
    </cfRule>
    <cfRule type="containsText" dxfId="4395" priority="4508" stopIfTrue="1" operator="containsText" text="Bajo">
      <formula>NOT(ISERROR(SEARCH("Bajo",U303)))</formula>
    </cfRule>
    <cfRule type="containsText" dxfId="4394" priority="4509" stopIfTrue="1" operator="containsText" text="Medio">
      <formula>NOT(ISERROR(SEARCH("Medio",U303)))</formula>
    </cfRule>
    <cfRule type="containsText" dxfId="4393" priority="4510" stopIfTrue="1" operator="containsText" text="Alto">
      <formula>NOT(ISERROR(SEARCH("Alto",U303)))</formula>
    </cfRule>
  </conditionalFormatting>
  <conditionalFormatting sqref="U304">
    <cfRule type="containsText" dxfId="4392" priority="4335" stopIfTrue="1" operator="containsText" text="Alto">
      <formula>NOT(ISERROR(SEARCH("Alto",U304)))</formula>
    </cfRule>
    <cfRule type="containsText" dxfId="4391" priority="4334" stopIfTrue="1" operator="containsText" text="Medio">
      <formula>NOT(ISERROR(SEARCH("Medio",U304)))</formula>
    </cfRule>
    <cfRule type="containsText" dxfId="4390" priority="4333" stopIfTrue="1" operator="containsText" text="Bajo">
      <formula>NOT(ISERROR(SEARCH("Bajo",U304)))</formula>
    </cfRule>
    <cfRule type="containsText" dxfId="4389" priority="4318" stopIfTrue="1" operator="containsText" text="Muy alto">
      <formula>NOT(ISERROR(SEARCH("Muy alto",U304)))</formula>
    </cfRule>
  </conditionalFormatting>
  <conditionalFormatting sqref="U305">
    <cfRule type="containsText" dxfId="4388" priority="4359" stopIfTrue="1" operator="containsText" text="Muy alto">
      <formula>NOT(ISERROR(SEARCH("Muy alto",U305)))</formula>
    </cfRule>
    <cfRule type="containsText" dxfId="4387" priority="4373" stopIfTrue="1" operator="containsText" text="Medio">
      <formula>NOT(ISERROR(SEARCH("Medio",U305)))</formula>
    </cfRule>
    <cfRule type="containsText" dxfId="4386" priority="4372" stopIfTrue="1" operator="containsText" text="Bajo">
      <formula>NOT(ISERROR(SEARCH("Bajo",U305)))</formula>
    </cfRule>
    <cfRule type="containsText" dxfId="4385" priority="4374" stopIfTrue="1" operator="containsText" text="Alto">
      <formula>NOT(ISERROR(SEARCH("Alto",U305)))</formula>
    </cfRule>
  </conditionalFormatting>
  <conditionalFormatting sqref="U306">
    <cfRule type="containsText" dxfId="4384" priority="4277" stopIfTrue="1" operator="containsText" text="Muy alto">
      <formula>NOT(ISERROR(SEARCH("Muy alto",U306)))</formula>
    </cfRule>
    <cfRule type="containsText" dxfId="4383" priority="4290" stopIfTrue="1" operator="containsText" text="Bajo">
      <formula>NOT(ISERROR(SEARCH("Bajo",U306)))</formula>
    </cfRule>
    <cfRule type="containsText" dxfId="4382" priority="4292" stopIfTrue="1" operator="containsText" text="Alto">
      <formula>NOT(ISERROR(SEARCH("Alto",U306)))</formula>
    </cfRule>
    <cfRule type="containsText" dxfId="4381" priority="4291" stopIfTrue="1" operator="containsText" text="Medio">
      <formula>NOT(ISERROR(SEARCH("Medio",U306)))</formula>
    </cfRule>
  </conditionalFormatting>
  <conditionalFormatting sqref="U307">
    <cfRule type="containsText" dxfId="4380" priority="4433" stopIfTrue="1" operator="containsText" text="Bajo">
      <formula>NOT(ISERROR(SEARCH("Bajo",U307)))</formula>
    </cfRule>
    <cfRule type="containsText" dxfId="4379" priority="4435" stopIfTrue="1" operator="containsText" text="Alto">
      <formula>NOT(ISERROR(SEARCH("Alto",U307)))</formula>
    </cfRule>
    <cfRule type="containsText" dxfId="4378" priority="4428" stopIfTrue="1" operator="containsText" text="Muy alto">
      <formula>NOT(ISERROR(SEARCH("Muy alto",U307)))</formula>
    </cfRule>
    <cfRule type="containsText" dxfId="4377" priority="4434" stopIfTrue="1" operator="containsText" text="Medio">
      <formula>NOT(ISERROR(SEARCH("Medio",U307)))</formula>
    </cfRule>
  </conditionalFormatting>
  <conditionalFormatting sqref="U308">
    <cfRule type="containsText" dxfId="4376" priority="4414" stopIfTrue="1" operator="containsText" text="Medio">
      <formula>NOT(ISERROR(SEARCH("Medio",U308)))</formula>
    </cfRule>
    <cfRule type="containsText" dxfId="4375" priority="4415" stopIfTrue="1" operator="containsText" text="Alto">
      <formula>NOT(ISERROR(SEARCH("Alto",U308)))</formula>
    </cfRule>
    <cfRule type="containsText" dxfId="4374" priority="4398" stopIfTrue="1" operator="containsText" text="Muy alto">
      <formula>NOT(ISERROR(SEARCH("Muy alto",U308)))</formula>
    </cfRule>
    <cfRule type="containsText" dxfId="4373" priority="4413" stopIfTrue="1" operator="containsText" text="Bajo">
      <formula>NOT(ISERROR(SEARCH("Bajo",U308)))</formula>
    </cfRule>
  </conditionalFormatting>
  <conditionalFormatting sqref="U309">
    <cfRule type="containsText" dxfId="4372" priority="4213" stopIfTrue="1" operator="containsText" text="Muy alto">
      <formula>NOT(ISERROR(SEARCH("Muy alto",U309)))</formula>
    </cfRule>
    <cfRule type="containsText" dxfId="4371" priority="4230" stopIfTrue="1" operator="containsText" text="Alto">
      <formula>NOT(ISERROR(SEARCH("Alto",U309)))</formula>
    </cfRule>
    <cfRule type="containsText" dxfId="4370" priority="4229" stopIfTrue="1" operator="containsText" text="Medio">
      <formula>NOT(ISERROR(SEARCH("Medio",U309)))</formula>
    </cfRule>
    <cfRule type="containsText" dxfId="4369" priority="4228" stopIfTrue="1" operator="containsText" text="Bajo">
      <formula>NOT(ISERROR(SEARCH("Bajo",U309)))</formula>
    </cfRule>
  </conditionalFormatting>
  <conditionalFormatting sqref="U310">
    <cfRule type="containsText" dxfId="4368" priority="4469" stopIfTrue="1" operator="containsText" text="Muy alto">
      <formula>NOT(ISERROR(SEARCH("Muy alto",U310)))</formula>
    </cfRule>
    <cfRule type="containsText" dxfId="4367" priority="4474" stopIfTrue="1" operator="containsText" text="Bajo">
      <formula>NOT(ISERROR(SEARCH("Bajo",U310)))</formula>
    </cfRule>
    <cfRule type="containsText" dxfId="4366" priority="4475" stopIfTrue="1" operator="containsText" text="Medio">
      <formula>NOT(ISERROR(SEARCH("Medio",U310)))</formula>
    </cfRule>
    <cfRule type="containsText" dxfId="4365" priority="4476" stopIfTrue="1" operator="containsText" text="Alto">
      <formula>NOT(ISERROR(SEARCH("Alto",U310)))</formula>
    </cfRule>
  </conditionalFormatting>
  <conditionalFormatting sqref="U311">
    <cfRule type="containsText" dxfId="4364" priority="4253" stopIfTrue="1" operator="containsText" text="Medio">
      <formula>NOT(ISERROR(SEARCH("Medio",U311)))</formula>
    </cfRule>
    <cfRule type="containsText" dxfId="4363" priority="4247" stopIfTrue="1" operator="containsText" text="Muy alto">
      <formula>NOT(ISERROR(SEARCH("Muy alto",U311)))</formula>
    </cfRule>
    <cfRule type="containsText" dxfId="4362" priority="4252" stopIfTrue="1" operator="containsText" text="Bajo">
      <formula>NOT(ISERROR(SEARCH("Bajo",U311)))</formula>
    </cfRule>
    <cfRule type="containsText" dxfId="4361" priority="4254" stopIfTrue="1" operator="containsText" text="Alto">
      <formula>NOT(ISERROR(SEARCH("Alto",U311)))</formula>
    </cfRule>
  </conditionalFormatting>
  <conditionalFormatting sqref="U312">
    <cfRule type="containsText" dxfId="4360" priority="4035" stopIfTrue="1" operator="containsText" text="Medio">
      <formula>NOT(ISERROR(SEARCH("Medio",U312)))</formula>
    </cfRule>
    <cfRule type="containsText" dxfId="4359" priority="4034" stopIfTrue="1" operator="containsText" text="Bajo">
      <formula>NOT(ISERROR(SEARCH("Bajo",U312)))</formula>
    </cfRule>
    <cfRule type="containsText" dxfId="4358" priority="4029" stopIfTrue="1" operator="containsText" text="Muy alto">
      <formula>NOT(ISERROR(SEARCH("Muy alto",U312)))</formula>
    </cfRule>
    <cfRule type="containsText" dxfId="4357" priority="4036" stopIfTrue="1" operator="containsText" text="Alto">
      <formula>NOT(ISERROR(SEARCH("Alto",U312)))</formula>
    </cfRule>
  </conditionalFormatting>
  <conditionalFormatting sqref="U313">
    <cfRule type="containsText" dxfId="4356" priority="3720" stopIfTrue="1" operator="containsText" text="Medio">
      <formula>NOT(ISERROR(SEARCH("Medio",U313)))</formula>
    </cfRule>
    <cfRule type="containsText" dxfId="4355" priority="3721" stopIfTrue="1" operator="containsText" text="Alto">
      <formula>NOT(ISERROR(SEARCH("Alto",U313)))</formula>
    </cfRule>
    <cfRule type="containsText" dxfId="4354" priority="3719" stopIfTrue="1" operator="containsText" text="Bajo">
      <formula>NOT(ISERROR(SEARCH("Bajo",U313)))</formula>
    </cfRule>
    <cfRule type="containsText" dxfId="4353" priority="3714" stopIfTrue="1" operator="containsText" text="Muy alto">
      <formula>NOT(ISERROR(SEARCH("Muy alto",U313)))</formula>
    </cfRule>
  </conditionalFormatting>
  <conditionalFormatting sqref="U314">
    <cfRule type="containsText" dxfId="4352" priority="3685" stopIfTrue="1" operator="containsText" text="Alto">
      <formula>NOT(ISERROR(SEARCH("Alto",U314)))</formula>
    </cfRule>
    <cfRule type="containsText" dxfId="4351" priority="3684" stopIfTrue="1" operator="containsText" text="Medio">
      <formula>NOT(ISERROR(SEARCH("Medio",U314)))</formula>
    </cfRule>
    <cfRule type="containsText" dxfId="4350" priority="3683" stopIfTrue="1" operator="containsText" text="Bajo">
      <formula>NOT(ISERROR(SEARCH("Bajo",U314)))</formula>
    </cfRule>
    <cfRule type="containsText" dxfId="4349" priority="3678" stopIfTrue="1" operator="containsText" text="Muy alto">
      <formula>NOT(ISERROR(SEARCH("Muy alto",U314)))</formula>
    </cfRule>
  </conditionalFormatting>
  <conditionalFormatting sqref="U315">
    <cfRule type="containsText" dxfId="4348" priority="3984" stopIfTrue="1" operator="containsText" text="Muy alto">
      <formula>NOT(ISERROR(SEARCH("Muy alto",U315)))</formula>
    </cfRule>
    <cfRule type="containsText" dxfId="4347" priority="3990" stopIfTrue="1" operator="containsText" text="Medio">
      <formula>NOT(ISERROR(SEARCH("Medio",U315)))</formula>
    </cfRule>
    <cfRule type="containsText" dxfId="4346" priority="3991" stopIfTrue="1" operator="containsText" text="Alto">
      <formula>NOT(ISERROR(SEARCH("Alto",U315)))</formula>
    </cfRule>
    <cfRule type="containsText" dxfId="4345" priority="3989" stopIfTrue="1" operator="containsText" text="Bajo">
      <formula>NOT(ISERROR(SEARCH("Bajo",U315)))</formula>
    </cfRule>
  </conditionalFormatting>
  <conditionalFormatting sqref="U316">
    <cfRule type="containsText" dxfId="4344" priority="4068" stopIfTrue="1" operator="containsText" text="Muy alto">
      <formula>NOT(ISERROR(SEARCH("Muy alto",U316)))</formula>
    </cfRule>
    <cfRule type="containsText" dxfId="4343" priority="4073" stopIfTrue="1" operator="containsText" text="Bajo">
      <formula>NOT(ISERROR(SEARCH("Bajo",U316)))</formula>
    </cfRule>
    <cfRule type="containsText" dxfId="4342" priority="4074" stopIfTrue="1" operator="containsText" text="Medio">
      <formula>NOT(ISERROR(SEARCH("Medio",U316)))</formula>
    </cfRule>
    <cfRule type="containsText" dxfId="4341" priority="4075" stopIfTrue="1" operator="containsText" text="Alto">
      <formula>NOT(ISERROR(SEARCH("Alto",U316)))</formula>
    </cfRule>
  </conditionalFormatting>
  <conditionalFormatting sqref="U317">
    <cfRule type="containsText" dxfId="4340" priority="3950" stopIfTrue="1" operator="containsText" text="Alto">
      <formula>NOT(ISERROR(SEARCH("Alto",U317)))</formula>
    </cfRule>
    <cfRule type="containsText" dxfId="4339" priority="3949" stopIfTrue="1" operator="containsText" text="Medio">
      <formula>NOT(ISERROR(SEARCH("Medio",U317)))</formula>
    </cfRule>
    <cfRule type="containsText" dxfId="4338" priority="3948" stopIfTrue="1" operator="containsText" text="Bajo">
      <formula>NOT(ISERROR(SEARCH("Bajo",U317)))</formula>
    </cfRule>
    <cfRule type="containsText" dxfId="4337" priority="3943" stopIfTrue="1" operator="containsText" text="Muy alto">
      <formula>NOT(ISERROR(SEARCH("Muy alto",U317)))</formula>
    </cfRule>
  </conditionalFormatting>
  <conditionalFormatting sqref="U318">
    <cfRule type="containsText" dxfId="4336" priority="3822" stopIfTrue="1" operator="containsText" text="Alto">
      <formula>NOT(ISERROR(SEARCH("Alto",U318)))</formula>
    </cfRule>
    <cfRule type="containsText" dxfId="4335" priority="3821" stopIfTrue="1" operator="containsText" text="Medio">
      <formula>NOT(ISERROR(SEARCH("Medio",U318)))</formula>
    </cfRule>
    <cfRule type="containsText" dxfId="4334" priority="3820" stopIfTrue="1" operator="containsText" text="Bajo">
      <formula>NOT(ISERROR(SEARCH("Bajo",U318)))</formula>
    </cfRule>
    <cfRule type="containsText" dxfId="4333" priority="3805" stopIfTrue="1" operator="containsText" text="Muy alto">
      <formula>NOT(ISERROR(SEARCH("Muy alto",U318)))</formula>
    </cfRule>
  </conditionalFormatting>
  <conditionalFormatting sqref="U319">
    <cfRule type="containsText" dxfId="4332" priority="3768" stopIfTrue="1" operator="containsText" text="Muy alto">
      <formula>NOT(ISERROR(SEARCH("Muy alto",U319)))</formula>
    </cfRule>
    <cfRule type="containsText" dxfId="4331" priority="3783" stopIfTrue="1" operator="containsText" text="Alto">
      <formula>NOT(ISERROR(SEARCH("Alto",U319)))</formula>
    </cfRule>
    <cfRule type="containsText" dxfId="4330" priority="3782" stopIfTrue="1" operator="containsText" text="Medio">
      <formula>NOT(ISERROR(SEARCH("Medio",U319)))</formula>
    </cfRule>
    <cfRule type="containsText" dxfId="4329" priority="3781" stopIfTrue="1" operator="containsText" text="Bajo">
      <formula>NOT(ISERROR(SEARCH("Bajo",U319)))</formula>
    </cfRule>
  </conditionalFormatting>
  <conditionalFormatting sqref="U320">
    <cfRule type="containsText" dxfId="4328" priority="3881" stopIfTrue="1" operator="containsText" text="Bajo">
      <formula>NOT(ISERROR(SEARCH("Bajo",U320)))</formula>
    </cfRule>
    <cfRule type="containsText" dxfId="4327" priority="3882" stopIfTrue="1" operator="containsText" text="Medio">
      <formula>NOT(ISERROR(SEARCH("Medio",U320)))</formula>
    </cfRule>
    <cfRule type="containsText" dxfId="4326" priority="3883" stopIfTrue="1" operator="containsText" text="Alto">
      <formula>NOT(ISERROR(SEARCH("Alto",U320)))</formula>
    </cfRule>
    <cfRule type="containsText" dxfId="4325" priority="3876" stopIfTrue="1" operator="containsText" text="Muy alto">
      <formula>NOT(ISERROR(SEARCH("Muy alto",U320)))</formula>
    </cfRule>
  </conditionalFormatting>
  <conditionalFormatting sqref="U321">
    <cfRule type="containsText" dxfId="4324" priority="3862" stopIfTrue="1" operator="containsText" text="Medio">
      <formula>NOT(ISERROR(SEARCH("Medio",U321)))</formula>
    </cfRule>
    <cfRule type="containsText" dxfId="4323" priority="3861" stopIfTrue="1" operator="containsText" text="Bajo">
      <formula>NOT(ISERROR(SEARCH("Bajo",U321)))</formula>
    </cfRule>
    <cfRule type="containsText" dxfId="4322" priority="3846" stopIfTrue="1" operator="containsText" text="Muy alto">
      <formula>NOT(ISERROR(SEARCH("Muy alto",U321)))</formula>
    </cfRule>
    <cfRule type="containsText" dxfId="4321" priority="3863" stopIfTrue="1" operator="containsText" text="Alto">
      <formula>NOT(ISERROR(SEARCH("Alto",U321)))</formula>
    </cfRule>
  </conditionalFormatting>
  <conditionalFormatting sqref="U322">
    <cfRule type="containsText" dxfId="4320" priority="3920" stopIfTrue="1" operator="containsText" text="Alto">
      <formula>NOT(ISERROR(SEARCH("Alto",U322)))</formula>
    </cfRule>
    <cfRule type="containsText" dxfId="4319" priority="3918" stopIfTrue="1" operator="containsText" text="Bajo">
      <formula>NOT(ISERROR(SEARCH("Bajo",U322)))</formula>
    </cfRule>
    <cfRule type="containsText" dxfId="4318" priority="3913" stopIfTrue="1" operator="containsText" text="Muy alto">
      <formula>NOT(ISERROR(SEARCH("Muy alto",U322)))</formula>
    </cfRule>
    <cfRule type="containsText" dxfId="4317" priority="3919" stopIfTrue="1" operator="containsText" text="Medio">
      <formula>NOT(ISERROR(SEARCH("Medio",U322)))</formula>
    </cfRule>
  </conditionalFormatting>
  <conditionalFormatting sqref="U323">
    <cfRule type="containsText" dxfId="4316" priority="3752" stopIfTrue="1" operator="containsText" text="Medio">
      <formula>NOT(ISERROR(SEARCH("Medio",U323)))</formula>
    </cfRule>
    <cfRule type="containsText" dxfId="4315" priority="3753" stopIfTrue="1" operator="containsText" text="Alto">
      <formula>NOT(ISERROR(SEARCH("Alto",U323)))</formula>
    </cfRule>
    <cfRule type="containsText" dxfId="4314" priority="3751" stopIfTrue="1" operator="containsText" text="Bajo">
      <formula>NOT(ISERROR(SEARCH("Bajo",U323)))</formula>
    </cfRule>
    <cfRule type="containsText" dxfId="4313" priority="3746" stopIfTrue="1" operator="containsText" text="Muy alto">
      <formula>NOT(ISERROR(SEARCH("Muy alto",U323)))</formula>
    </cfRule>
  </conditionalFormatting>
  <conditionalFormatting sqref="U324">
    <cfRule type="containsText" dxfId="4312" priority="3593" stopIfTrue="1" operator="containsText" text="Alto">
      <formula>NOT(ISERROR(SEARCH("Alto",U324)))</formula>
    </cfRule>
    <cfRule type="containsText" dxfId="4311" priority="3586" stopIfTrue="1" operator="containsText" text="Muy alto">
      <formula>NOT(ISERROR(SEARCH("Muy alto",U324)))</formula>
    </cfRule>
    <cfRule type="containsText" dxfId="4310" priority="3591" stopIfTrue="1" operator="containsText" text="Bajo">
      <formula>NOT(ISERROR(SEARCH("Bajo",U324)))</formula>
    </cfRule>
    <cfRule type="containsText" dxfId="4309" priority="3592" stopIfTrue="1" operator="containsText" text="Medio">
      <formula>NOT(ISERROR(SEARCH("Medio",U324)))</formula>
    </cfRule>
  </conditionalFormatting>
  <conditionalFormatting sqref="U325">
    <cfRule type="containsText" dxfId="4308" priority="3157" stopIfTrue="1" operator="containsText" text="Medio">
      <formula>NOT(ISERROR(SEARCH("Medio",U325)))</formula>
    </cfRule>
    <cfRule type="containsText" dxfId="4307" priority="3156" stopIfTrue="1" operator="containsText" text="Bajo">
      <formula>NOT(ISERROR(SEARCH("Bajo",U325)))</formula>
    </cfRule>
    <cfRule type="containsText" dxfId="4306" priority="3158" stopIfTrue="1" operator="containsText" text="Alto">
      <formula>NOT(ISERROR(SEARCH("Alto",U325)))</formula>
    </cfRule>
    <cfRule type="containsText" dxfId="4305" priority="3151" stopIfTrue="1" operator="containsText" text="Muy alto">
      <formula>NOT(ISERROR(SEARCH("Muy alto",U325)))</formula>
    </cfRule>
  </conditionalFormatting>
  <conditionalFormatting sqref="U326">
    <cfRule type="containsText" dxfId="4304" priority="3120" stopIfTrue="1" operator="containsText" text="Bajo">
      <formula>NOT(ISERROR(SEARCH("Bajo",U326)))</formula>
    </cfRule>
    <cfRule type="containsText" dxfId="4303" priority="3115" stopIfTrue="1" operator="containsText" text="Muy alto">
      <formula>NOT(ISERROR(SEARCH("Muy alto",U326)))</formula>
    </cfRule>
    <cfRule type="containsText" dxfId="4302" priority="3122" stopIfTrue="1" operator="containsText" text="Alto">
      <formula>NOT(ISERROR(SEARCH("Alto",U326)))</formula>
    </cfRule>
    <cfRule type="containsText" dxfId="4301" priority="3121" stopIfTrue="1" operator="containsText" text="Medio">
      <formula>NOT(ISERROR(SEARCH("Medio",U326)))</formula>
    </cfRule>
  </conditionalFormatting>
  <conditionalFormatting sqref="U327">
    <cfRule type="containsText" dxfId="4300" priority="3543" stopIfTrue="1" operator="containsText" text="Medio">
      <formula>NOT(ISERROR(SEARCH("Medio",U327)))</formula>
    </cfRule>
    <cfRule type="containsText" dxfId="4299" priority="3542" stopIfTrue="1" operator="containsText" text="Bajo">
      <formula>NOT(ISERROR(SEARCH("Bajo",U327)))</formula>
    </cfRule>
    <cfRule type="containsText" dxfId="4298" priority="3537" stopIfTrue="1" operator="containsText" text="Muy alto">
      <formula>NOT(ISERROR(SEARCH("Muy alto",U327)))</formula>
    </cfRule>
    <cfRule type="containsText" dxfId="4297" priority="3544" stopIfTrue="1" operator="containsText" text="Alto">
      <formula>NOT(ISERROR(SEARCH("Alto",U327)))</formula>
    </cfRule>
  </conditionalFormatting>
  <conditionalFormatting sqref="U328">
    <cfRule type="containsText" dxfId="4296" priority="3629" stopIfTrue="1" operator="containsText" text="Muy alto">
      <formula>NOT(ISERROR(SEARCH("Muy alto",U328)))</formula>
    </cfRule>
    <cfRule type="containsText" dxfId="4295" priority="3634" stopIfTrue="1" operator="containsText" text="Bajo">
      <formula>NOT(ISERROR(SEARCH("Bajo",U328)))</formula>
    </cfRule>
    <cfRule type="containsText" dxfId="4294" priority="3635" stopIfTrue="1" operator="containsText" text="Medio">
      <formula>NOT(ISERROR(SEARCH("Medio",U328)))</formula>
    </cfRule>
    <cfRule type="containsText" dxfId="4293" priority="3636" stopIfTrue="1" operator="containsText" text="Alto">
      <formula>NOT(ISERROR(SEARCH("Alto",U328)))</formula>
    </cfRule>
  </conditionalFormatting>
  <conditionalFormatting sqref="U329">
    <cfRule type="containsText" dxfId="4292" priority="3499" stopIfTrue="1" operator="containsText" text="Alto">
      <formula>NOT(ISERROR(SEARCH("Alto",U329)))</formula>
    </cfRule>
    <cfRule type="containsText" dxfId="4291" priority="3498" stopIfTrue="1" operator="containsText" text="Medio">
      <formula>NOT(ISERROR(SEARCH("Medio",U329)))</formula>
    </cfRule>
    <cfRule type="containsText" dxfId="4290" priority="3497" stopIfTrue="1" operator="containsText" text="Bajo">
      <formula>NOT(ISERROR(SEARCH("Bajo",U329)))</formula>
    </cfRule>
    <cfRule type="containsText" dxfId="4289" priority="3492" stopIfTrue="1" operator="containsText" text="Muy alto">
      <formula>NOT(ISERROR(SEARCH("Muy alto",U329)))</formula>
    </cfRule>
  </conditionalFormatting>
  <conditionalFormatting sqref="U330">
    <cfRule type="containsText" dxfId="4288" priority="3324" stopIfTrue="1" operator="containsText" text="Alto">
      <formula>NOT(ISERROR(SEARCH("Alto",U330)))</formula>
    </cfRule>
    <cfRule type="containsText" dxfId="4287" priority="3307" stopIfTrue="1" operator="containsText" text="Muy alto">
      <formula>NOT(ISERROR(SEARCH("Muy alto",U330)))</formula>
    </cfRule>
    <cfRule type="containsText" dxfId="4286" priority="3322" stopIfTrue="1" operator="containsText" text="Bajo">
      <formula>NOT(ISERROR(SEARCH("Bajo",U330)))</formula>
    </cfRule>
    <cfRule type="containsText" dxfId="4285" priority="3323" stopIfTrue="1" operator="containsText" text="Medio">
      <formula>NOT(ISERROR(SEARCH("Medio",U330)))</formula>
    </cfRule>
  </conditionalFormatting>
  <conditionalFormatting sqref="U331">
    <cfRule type="containsText" dxfId="4284" priority="3363" stopIfTrue="1" operator="containsText" text="Alto">
      <formula>NOT(ISERROR(SEARCH("Alto",U331)))</formula>
    </cfRule>
    <cfRule type="containsText" dxfId="4283" priority="3361" stopIfTrue="1" operator="containsText" text="Bajo">
      <formula>NOT(ISERROR(SEARCH("Bajo",U331)))</formula>
    </cfRule>
    <cfRule type="containsText" dxfId="4282" priority="3348" stopIfTrue="1" operator="containsText" text="Muy alto">
      <formula>NOT(ISERROR(SEARCH("Muy alto",U331)))</formula>
    </cfRule>
    <cfRule type="containsText" dxfId="4281" priority="3362" stopIfTrue="1" operator="containsText" text="Medio">
      <formula>NOT(ISERROR(SEARCH("Medio",U331)))</formula>
    </cfRule>
  </conditionalFormatting>
  <conditionalFormatting sqref="U332">
    <cfRule type="containsText" dxfId="4280" priority="3266" stopIfTrue="1" operator="containsText" text="Muy alto">
      <formula>NOT(ISERROR(SEARCH("Muy alto",U332)))</formula>
    </cfRule>
    <cfRule type="containsText" dxfId="4279" priority="3281" stopIfTrue="1" operator="containsText" text="Alto">
      <formula>NOT(ISERROR(SEARCH("Alto",U332)))</formula>
    </cfRule>
    <cfRule type="containsText" dxfId="4278" priority="3279" stopIfTrue="1" operator="containsText" text="Bajo">
      <formula>NOT(ISERROR(SEARCH("Bajo",U332)))</formula>
    </cfRule>
    <cfRule type="containsText" dxfId="4277" priority="3280" stopIfTrue="1" operator="containsText" text="Medio">
      <formula>NOT(ISERROR(SEARCH("Medio",U332)))</formula>
    </cfRule>
  </conditionalFormatting>
  <conditionalFormatting sqref="U333">
    <cfRule type="containsText" dxfId="4276" priority="3422" stopIfTrue="1" operator="containsText" text="Bajo">
      <formula>NOT(ISERROR(SEARCH("Bajo",U333)))</formula>
    </cfRule>
    <cfRule type="containsText" dxfId="4275" priority="3424" stopIfTrue="1" operator="containsText" text="Alto">
      <formula>NOT(ISERROR(SEARCH("Alto",U333)))</formula>
    </cfRule>
    <cfRule type="containsText" dxfId="4274" priority="3423" stopIfTrue="1" operator="containsText" text="Medio">
      <formula>NOT(ISERROR(SEARCH("Medio",U333)))</formula>
    </cfRule>
    <cfRule type="containsText" dxfId="4273" priority="3417" stopIfTrue="1" operator="containsText" text="Muy alto">
      <formula>NOT(ISERROR(SEARCH("Muy alto",U333)))</formula>
    </cfRule>
  </conditionalFormatting>
  <conditionalFormatting sqref="U334">
    <cfRule type="containsText" dxfId="4272" priority="3403" stopIfTrue="1" operator="containsText" text="Medio">
      <formula>NOT(ISERROR(SEARCH("Medio",U334)))</formula>
    </cfRule>
    <cfRule type="containsText" dxfId="4271" priority="3387" stopIfTrue="1" operator="containsText" text="Muy alto">
      <formula>NOT(ISERROR(SEARCH("Muy alto",U334)))</formula>
    </cfRule>
    <cfRule type="containsText" dxfId="4270" priority="3404" stopIfTrue="1" operator="containsText" text="Alto">
      <formula>NOT(ISERROR(SEARCH("Alto",U334)))</formula>
    </cfRule>
    <cfRule type="containsText" dxfId="4269" priority="3402" stopIfTrue="1" operator="containsText" text="Bajo">
      <formula>NOT(ISERROR(SEARCH("Bajo",U334)))</formula>
    </cfRule>
  </conditionalFormatting>
  <conditionalFormatting sqref="U335">
    <cfRule type="containsText" dxfId="4268" priority="3217" stopIfTrue="1" operator="containsText" text="Bajo">
      <formula>NOT(ISERROR(SEARCH("Bajo",U335)))</formula>
    </cfRule>
    <cfRule type="containsText" dxfId="4267" priority="3218" stopIfTrue="1" operator="containsText" text="Medio">
      <formula>NOT(ISERROR(SEARCH("Medio",U335)))</formula>
    </cfRule>
    <cfRule type="containsText" dxfId="4266" priority="3202" stopIfTrue="1" operator="containsText" text="Muy alto">
      <formula>NOT(ISERROR(SEARCH("Muy alto",U335)))</formula>
    </cfRule>
    <cfRule type="containsText" dxfId="4265" priority="3219" stopIfTrue="1" operator="containsText" text="Alto">
      <formula>NOT(ISERROR(SEARCH("Alto",U335)))</formula>
    </cfRule>
  </conditionalFormatting>
  <conditionalFormatting sqref="U336">
    <cfRule type="containsText" dxfId="4264" priority="3463" stopIfTrue="1" operator="containsText" text="Bajo">
      <formula>NOT(ISERROR(SEARCH("Bajo",U336)))</formula>
    </cfRule>
    <cfRule type="containsText" dxfId="4263" priority="3458" stopIfTrue="1" operator="containsText" text="Muy alto">
      <formula>NOT(ISERROR(SEARCH("Muy alto",U336)))</formula>
    </cfRule>
    <cfRule type="containsText" dxfId="4262" priority="3464" stopIfTrue="1" operator="containsText" text="Medio">
      <formula>NOT(ISERROR(SEARCH("Medio",U336)))</formula>
    </cfRule>
    <cfRule type="containsText" dxfId="4261" priority="3465" stopIfTrue="1" operator="containsText" text="Alto">
      <formula>NOT(ISERROR(SEARCH("Alto",U336)))</formula>
    </cfRule>
  </conditionalFormatting>
  <conditionalFormatting sqref="U337">
    <cfRule type="containsText" dxfId="4260" priority="3241" stopIfTrue="1" operator="containsText" text="Bajo">
      <formula>NOT(ISERROR(SEARCH("Bajo",U337)))</formula>
    </cfRule>
    <cfRule type="containsText" dxfId="4259" priority="3243" stopIfTrue="1" operator="containsText" text="Alto">
      <formula>NOT(ISERROR(SEARCH("Alto",U337)))</formula>
    </cfRule>
    <cfRule type="containsText" dxfId="4258" priority="3236" stopIfTrue="1" operator="containsText" text="Muy alto">
      <formula>NOT(ISERROR(SEARCH("Muy alto",U337)))</formula>
    </cfRule>
    <cfRule type="containsText" dxfId="4257" priority="3242" stopIfTrue="1" operator="containsText" text="Medio">
      <formula>NOT(ISERROR(SEARCH("Medio",U337)))</formula>
    </cfRule>
  </conditionalFormatting>
  <conditionalFormatting sqref="U338">
    <cfRule type="containsText" dxfId="4256" priority="3028" stopIfTrue="1" operator="containsText" text="Bajo">
      <formula>NOT(ISERROR(SEARCH("Bajo",U338)))</formula>
    </cfRule>
    <cfRule type="containsText" dxfId="4255" priority="3030" stopIfTrue="1" operator="containsText" text="Alto">
      <formula>NOT(ISERROR(SEARCH("Alto",U338)))</formula>
    </cfRule>
    <cfRule type="containsText" dxfId="4254" priority="3029" stopIfTrue="1" operator="containsText" text="Medio">
      <formula>NOT(ISERROR(SEARCH("Medio",U338)))</formula>
    </cfRule>
    <cfRule type="containsText" dxfId="4253" priority="3023" stopIfTrue="1" operator="containsText" text="Muy alto">
      <formula>NOT(ISERROR(SEARCH("Muy alto",U338)))</formula>
    </cfRule>
  </conditionalFormatting>
  <conditionalFormatting sqref="U339">
    <cfRule type="containsText" dxfId="4252" priority="2588" stopIfTrue="1" operator="containsText" text="Muy alto">
      <formula>NOT(ISERROR(SEARCH("Muy alto",U339)))</formula>
    </cfRule>
    <cfRule type="containsText" dxfId="4251" priority="2593" stopIfTrue="1" operator="containsText" text="Bajo">
      <formula>NOT(ISERROR(SEARCH("Bajo",U339)))</formula>
    </cfRule>
    <cfRule type="containsText" dxfId="4250" priority="2594" stopIfTrue="1" operator="containsText" text="Medio">
      <formula>NOT(ISERROR(SEARCH("Medio",U339)))</formula>
    </cfRule>
    <cfRule type="containsText" dxfId="4249" priority="2595" stopIfTrue="1" operator="containsText" text="Alto">
      <formula>NOT(ISERROR(SEARCH("Alto",U339)))</formula>
    </cfRule>
  </conditionalFormatting>
  <conditionalFormatting sqref="U340">
    <cfRule type="containsText" dxfId="4248" priority="2557" stopIfTrue="1" operator="containsText" text="Bajo">
      <formula>NOT(ISERROR(SEARCH("Bajo",U340)))</formula>
    </cfRule>
    <cfRule type="containsText" dxfId="4247" priority="2552" stopIfTrue="1" operator="containsText" text="Muy alto">
      <formula>NOT(ISERROR(SEARCH("Muy alto",U340)))</formula>
    </cfRule>
    <cfRule type="containsText" dxfId="4246" priority="2559" stopIfTrue="1" operator="containsText" text="Alto">
      <formula>NOT(ISERROR(SEARCH("Alto",U340)))</formula>
    </cfRule>
    <cfRule type="containsText" dxfId="4245" priority="2558" stopIfTrue="1" operator="containsText" text="Medio">
      <formula>NOT(ISERROR(SEARCH("Medio",U340)))</formula>
    </cfRule>
  </conditionalFormatting>
  <conditionalFormatting sqref="U341">
    <cfRule type="containsText" dxfId="4244" priority="2979" stopIfTrue="1" operator="containsText" text="Bajo">
      <formula>NOT(ISERROR(SEARCH("Bajo",U341)))</formula>
    </cfRule>
    <cfRule type="containsText" dxfId="4243" priority="2974" stopIfTrue="1" operator="containsText" text="Muy alto">
      <formula>NOT(ISERROR(SEARCH("Muy alto",U341)))</formula>
    </cfRule>
    <cfRule type="containsText" dxfId="4242" priority="2981" stopIfTrue="1" operator="containsText" text="Alto">
      <formula>NOT(ISERROR(SEARCH("Alto",U341)))</formula>
    </cfRule>
    <cfRule type="containsText" dxfId="4241" priority="2980" stopIfTrue="1" operator="containsText" text="Medio">
      <formula>NOT(ISERROR(SEARCH("Medio",U341)))</formula>
    </cfRule>
  </conditionalFormatting>
  <conditionalFormatting sqref="U342">
    <cfRule type="containsText" dxfId="4240" priority="3073" stopIfTrue="1" operator="containsText" text="Alto">
      <formula>NOT(ISERROR(SEARCH("Alto",U342)))</formula>
    </cfRule>
    <cfRule type="containsText" dxfId="4239" priority="3066" stopIfTrue="1" operator="containsText" text="Muy alto">
      <formula>NOT(ISERROR(SEARCH("Muy alto",U342)))</formula>
    </cfRule>
    <cfRule type="containsText" dxfId="4238" priority="3072" stopIfTrue="1" operator="containsText" text="Medio">
      <formula>NOT(ISERROR(SEARCH("Medio",U342)))</formula>
    </cfRule>
    <cfRule type="containsText" dxfId="4237" priority="3071" stopIfTrue="1" operator="containsText" text="Bajo">
      <formula>NOT(ISERROR(SEARCH("Bajo",U342)))</formula>
    </cfRule>
  </conditionalFormatting>
  <conditionalFormatting sqref="U343">
    <cfRule type="containsText" dxfId="4236" priority="2929" stopIfTrue="1" operator="containsText" text="Muy alto">
      <formula>NOT(ISERROR(SEARCH("Muy alto",U343)))</formula>
    </cfRule>
    <cfRule type="containsText" dxfId="4235" priority="2936" stopIfTrue="1" operator="containsText" text="Alto">
      <formula>NOT(ISERROR(SEARCH("Alto",U343)))</formula>
    </cfRule>
    <cfRule type="containsText" dxfId="4234" priority="2935" stopIfTrue="1" operator="containsText" text="Medio">
      <formula>NOT(ISERROR(SEARCH("Medio",U343)))</formula>
    </cfRule>
    <cfRule type="containsText" dxfId="4233" priority="2934" stopIfTrue="1" operator="containsText" text="Bajo">
      <formula>NOT(ISERROR(SEARCH("Bajo",U343)))</formula>
    </cfRule>
  </conditionalFormatting>
  <conditionalFormatting sqref="U344">
    <cfRule type="containsText" dxfId="4232" priority="2760" stopIfTrue="1" operator="containsText" text="Medio">
      <formula>NOT(ISERROR(SEARCH("Medio",U344)))</formula>
    </cfRule>
    <cfRule type="containsText" dxfId="4231" priority="2744" stopIfTrue="1" operator="containsText" text="Muy alto">
      <formula>NOT(ISERROR(SEARCH("Muy alto",U344)))</formula>
    </cfRule>
    <cfRule type="containsText" dxfId="4230" priority="2761" stopIfTrue="1" operator="containsText" text="Alto">
      <formula>NOT(ISERROR(SEARCH("Alto",U344)))</formula>
    </cfRule>
    <cfRule type="containsText" dxfId="4229" priority="2759" stopIfTrue="1" operator="containsText" text="Bajo">
      <formula>NOT(ISERROR(SEARCH("Bajo",U344)))</formula>
    </cfRule>
  </conditionalFormatting>
  <conditionalFormatting sqref="U345">
    <cfRule type="containsText" dxfId="4228" priority="2799" stopIfTrue="1" operator="containsText" text="Medio">
      <formula>NOT(ISERROR(SEARCH("Medio",U345)))</formula>
    </cfRule>
    <cfRule type="containsText" dxfId="4227" priority="2798" stopIfTrue="1" operator="containsText" text="Bajo">
      <formula>NOT(ISERROR(SEARCH("Bajo",U345)))</formula>
    </cfRule>
    <cfRule type="containsText" dxfId="4226" priority="2800" stopIfTrue="1" operator="containsText" text="Alto">
      <formula>NOT(ISERROR(SEARCH("Alto",U345)))</formula>
    </cfRule>
    <cfRule type="containsText" dxfId="4225" priority="2785" stopIfTrue="1" operator="containsText" text="Muy alto">
      <formula>NOT(ISERROR(SEARCH("Muy alto",U345)))</formula>
    </cfRule>
  </conditionalFormatting>
  <conditionalFormatting sqref="U346">
    <cfRule type="containsText" dxfId="4224" priority="2703" stopIfTrue="1" operator="containsText" text="Muy alto">
      <formula>NOT(ISERROR(SEARCH("Muy alto",U346)))</formula>
    </cfRule>
    <cfRule type="containsText" dxfId="4223" priority="2716" stopIfTrue="1" operator="containsText" text="Bajo">
      <formula>NOT(ISERROR(SEARCH("Bajo",U346)))</formula>
    </cfRule>
    <cfRule type="containsText" dxfId="4222" priority="2717" stopIfTrue="1" operator="containsText" text="Medio">
      <formula>NOT(ISERROR(SEARCH("Medio",U346)))</formula>
    </cfRule>
    <cfRule type="containsText" dxfId="4221" priority="2718" stopIfTrue="1" operator="containsText" text="Alto">
      <formula>NOT(ISERROR(SEARCH("Alto",U346)))</formula>
    </cfRule>
  </conditionalFormatting>
  <conditionalFormatting sqref="U347">
    <cfRule type="containsText" dxfId="4220" priority="2860" stopIfTrue="1" operator="containsText" text="Medio">
      <formula>NOT(ISERROR(SEARCH("Medio",U347)))</formula>
    </cfRule>
    <cfRule type="containsText" dxfId="4219" priority="2861" stopIfTrue="1" operator="containsText" text="Alto">
      <formula>NOT(ISERROR(SEARCH("Alto",U347)))</formula>
    </cfRule>
    <cfRule type="containsText" dxfId="4218" priority="2854" stopIfTrue="1" operator="containsText" text="Muy alto">
      <formula>NOT(ISERROR(SEARCH("Muy alto",U347)))</formula>
    </cfRule>
    <cfRule type="containsText" dxfId="4217" priority="2859" stopIfTrue="1" operator="containsText" text="Bajo">
      <formula>NOT(ISERROR(SEARCH("Bajo",U347)))</formula>
    </cfRule>
  </conditionalFormatting>
  <conditionalFormatting sqref="U348">
    <cfRule type="containsText" dxfId="4216" priority="2840" stopIfTrue="1" operator="containsText" text="Medio">
      <formula>NOT(ISERROR(SEARCH("Medio",U348)))</formula>
    </cfRule>
    <cfRule type="containsText" dxfId="4215" priority="2841" stopIfTrue="1" operator="containsText" text="Alto">
      <formula>NOT(ISERROR(SEARCH("Alto",U348)))</formula>
    </cfRule>
    <cfRule type="containsText" dxfId="4214" priority="2839" stopIfTrue="1" operator="containsText" text="Bajo">
      <formula>NOT(ISERROR(SEARCH("Bajo",U348)))</formula>
    </cfRule>
    <cfRule type="containsText" dxfId="4213" priority="2824" stopIfTrue="1" operator="containsText" text="Muy alto">
      <formula>NOT(ISERROR(SEARCH("Muy alto",U348)))</formula>
    </cfRule>
  </conditionalFormatting>
  <conditionalFormatting sqref="U349">
    <cfRule type="containsText" dxfId="4212" priority="2655" stopIfTrue="1" operator="containsText" text="Medio">
      <formula>NOT(ISERROR(SEARCH("Medio",U349)))</formula>
    </cfRule>
    <cfRule type="containsText" dxfId="4211" priority="2656" stopIfTrue="1" operator="containsText" text="Alto">
      <formula>NOT(ISERROR(SEARCH("Alto",U349)))</formula>
    </cfRule>
    <cfRule type="containsText" dxfId="4210" priority="2639" stopIfTrue="1" operator="containsText" text="Muy alto">
      <formula>NOT(ISERROR(SEARCH("Muy alto",U349)))</formula>
    </cfRule>
    <cfRule type="containsText" dxfId="4209" priority="2654" stopIfTrue="1" operator="containsText" text="Bajo">
      <formula>NOT(ISERROR(SEARCH("Bajo",U349)))</formula>
    </cfRule>
  </conditionalFormatting>
  <conditionalFormatting sqref="U350">
    <cfRule type="containsText" dxfId="4208" priority="2900" stopIfTrue="1" operator="containsText" text="Bajo">
      <formula>NOT(ISERROR(SEARCH("Bajo",U350)))</formula>
    </cfRule>
    <cfRule type="containsText" dxfId="4207" priority="2901" stopIfTrue="1" operator="containsText" text="Medio">
      <formula>NOT(ISERROR(SEARCH("Medio",U350)))</formula>
    </cfRule>
    <cfRule type="containsText" dxfId="4206" priority="2902" stopIfTrue="1" operator="containsText" text="Alto">
      <formula>NOT(ISERROR(SEARCH("Alto",U350)))</formula>
    </cfRule>
    <cfRule type="containsText" dxfId="4205" priority="2895" stopIfTrue="1" operator="containsText" text="Muy alto">
      <formula>NOT(ISERROR(SEARCH("Muy alto",U350)))</formula>
    </cfRule>
  </conditionalFormatting>
  <conditionalFormatting sqref="U351">
    <cfRule type="containsText" dxfId="4204" priority="2679" stopIfTrue="1" operator="containsText" text="Medio">
      <formula>NOT(ISERROR(SEARCH("Medio",U351)))</formula>
    </cfRule>
    <cfRule type="containsText" dxfId="4203" priority="2680" stopIfTrue="1" operator="containsText" text="Alto">
      <formula>NOT(ISERROR(SEARCH("Alto",U351)))</formula>
    </cfRule>
    <cfRule type="containsText" dxfId="4202" priority="2678" stopIfTrue="1" operator="containsText" text="Bajo">
      <formula>NOT(ISERROR(SEARCH("Bajo",U351)))</formula>
    </cfRule>
    <cfRule type="containsText" dxfId="4201" priority="2673" stopIfTrue="1" operator="containsText" text="Muy alto">
      <formula>NOT(ISERROR(SEARCH("Muy alto",U351)))</formula>
    </cfRule>
  </conditionalFormatting>
  <conditionalFormatting sqref="U352">
    <cfRule type="containsText" dxfId="4200" priority="2448" stopIfTrue="1" operator="containsText" text="Bajo">
      <formula>NOT(ISERROR(SEARCH("Bajo",U352)))</formula>
    </cfRule>
    <cfRule type="containsText" dxfId="4199" priority="2450" stopIfTrue="1" operator="containsText" text="Alto">
      <formula>NOT(ISERROR(SEARCH("Alto",U352)))</formula>
    </cfRule>
    <cfRule type="containsText" dxfId="4198" priority="2443" stopIfTrue="1" operator="containsText" text="Muy alto">
      <formula>NOT(ISERROR(SEARCH("Muy alto",U352)))</formula>
    </cfRule>
    <cfRule type="containsText" dxfId="4197" priority="2449" stopIfTrue="1" operator="containsText" text="Medio">
      <formula>NOT(ISERROR(SEARCH("Medio",U352)))</formula>
    </cfRule>
  </conditionalFormatting>
  <conditionalFormatting sqref="U353">
    <cfRule type="containsText" dxfId="4196" priority="2097" stopIfTrue="1" operator="containsText" text="Muy alto">
      <formula>NOT(ISERROR(SEARCH("Muy alto",U353)))</formula>
    </cfRule>
    <cfRule type="containsText" dxfId="4195" priority="2104" stopIfTrue="1" operator="containsText" text="Alto">
      <formula>NOT(ISERROR(SEARCH("Alto",U353)))</formula>
    </cfRule>
    <cfRule type="containsText" dxfId="4194" priority="2103" stopIfTrue="1" operator="containsText" text="Medio">
      <formula>NOT(ISERROR(SEARCH("Medio",U353)))</formula>
    </cfRule>
    <cfRule type="containsText" dxfId="4193" priority="2102" stopIfTrue="1" operator="containsText" text="Bajo">
      <formula>NOT(ISERROR(SEARCH("Bajo",U353)))</formula>
    </cfRule>
  </conditionalFormatting>
  <conditionalFormatting sqref="U354">
    <cfRule type="containsText" dxfId="4192" priority="2135" stopIfTrue="1" operator="containsText" text="Medio">
      <formula>NOT(ISERROR(SEARCH("Medio",U354)))</formula>
    </cfRule>
    <cfRule type="containsText" dxfId="4191" priority="2129" stopIfTrue="1" operator="containsText" text="Muy alto">
      <formula>NOT(ISERROR(SEARCH("Muy alto",U354)))</formula>
    </cfRule>
    <cfRule type="containsText" dxfId="4190" priority="2136" stopIfTrue="1" operator="containsText" text="Alto">
      <formula>NOT(ISERROR(SEARCH("Alto",U354)))</formula>
    </cfRule>
    <cfRule type="containsText" dxfId="4189" priority="2134" stopIfTrue="1" operator="containsText" text="Bajo">
      <formula>NOT(ISERROR(SEARCH("Bajo",U354)))</formula>
    </cfRule>
  </conditionalFormatting>
  <conditionalFormatting sqref="U355">
    <cfRule type="containsText" dxfId="4188" priority="2019" stopIfTrue="1" operator="containsText" text="Muy alto">
      <formula>NOT(ISERROR(SEARCH("Muy alto",U355)))</formula>
    </cfRule>
    <cfRule type="containsText" dxfId="4187" priority="2026" stopIfTrue="1" operator="containsText" text="Alto">
      <formula>NOT(ISERROR(SEARCH("Alto",U355)))</formula>
    </cfRule>
    <cfRule type="containsText" dxfId="4186" priority="2025" stopIfTrue="1" operator="containsText" text="Medio">
      <formula>NOT(ISERROR(SEARCH("Medio",U355)))</formula>
    </cfRule>
    <cfRule type="containsText" dxfId="4185" priority="2024" stopIfTrue="1" operator="containsText" text="Bajo">
      <formula>NOT(ISERROR(SEARCH("Bajo",U355)))</formula>
    </cfRule>
  </conditionalFormatting>
  <conditionalFormatting sqref="U356">
    <cfRule type="containsText" dxfId="4184" priority="2399" stopIfTrue="1" operator="containsText" text="Bajo">
      <formula>NOT(ISERROR(SEARCH("Bajo",U356)))</formula>
    </cfRule>
    <cfRule type="containsText" dxfId="4183" priority="2394" stopIfTrue="1" operator="containsText" text="Muy alto">
      <formula>NOT(ISERROR(SEARCH("Muy alto",U356)))</formula>
    </cfRule>
    <cfRule type="containsText" dxfId="4182" priority="2400" stopIfTrue="1" operator="containsText" text="Medio">
      <formula>NOT(ISERROR(SEARCH("Medio",U356)))</formula>
    </cfRule>
    <cfRule type="containsText" dxfId="4181" priority="2401" stopIfTrue="1" operator="containsText" text="Alto">
      <formula>NOT(ISERROR(SEARCH("Alto",U356)))</formula>
    </cfRule>
  </conditionalFormatting>
  <conditionalFormatting sqref="U357">
    <cfRule type="containsText" dxfId="4180" priority="2491" stopIfTrue="1" operator="containsText" text="Bajo">
      <formula>NOT(ISERROR(SEARCH("Bajo",U357)))</formula>
    </cfRule>
    <cfRule type="containsText" dxfId="4179" priority="2493" stopIfTrue="1" operator="containsText" text="Alto">
      <formula>NOT(ISERROR(SEARCH("Alto",U357)))</formula>
    </cfRule>
    <cfRule type="containsText" dxfId="4178" priority="2486" stopIfTrue="1" operator="containsText" text="Muy alto">
      <formula>NOT(ISERROR(SEARCH("Muy alto",U357)))</formula>
    </cfRule>
    <cfRule type="containsText" dxfId="4177" priority="2492" stopIfTrue="1" operator="containsText" text="Medio">
      <formula>NOT(ISERROR(SEARCH("Medio",U357)))</formula>
    </cfRule>
  </conditionalFormatting>
  <conditionalFormatting sqref="U358">
    <cfRule type="containsText" dxfId="4176" priority="2356" stopIfTrue="1" operator="containsText" text="Alto">
      <formula>NOT(ISERROR(SEARCH("Alto",U358)))</formula>
    </cfRule>
    <cfRule type="containsText" dxfId="4175" priority="2349" stopIfTrue="1" operator="containsText" text="Muy alto">
      <formula>NOT(ISERROR(SEARCH("Muy alto",U358)))</formula>
    </cfRule>
    <cfRule type="containsText" dxfId="4174" priority="2355" stopIfTrue="1" operator="containsText" text="Medio">
      <formula>NOT(ISERROR(SEARCH("Medio",U358)))</formula>
    </cfRule>
    <cfRule type="containsText" dxfId="4173" priority="2354" stopIfTrue="1" operator="containsText" text="Bajo">
      <formula>NOT(ISERROR(SEARCH("Bajo",U358)))</formula>
    </cfRule>
  </conditionalFormatting>
  <conditionalFormatting sqref="U359">
    <cfRule type="containsText" dxfId="4172" priority="2199" stopIfTrue="1" operator="containsText" text="Muy alto">
      <formula>NOT(ISERROR(SEARCH("Muy alto",U359)))</formula>
    </cfRule>
    <cfRule type="containsText" dxfId="4171" priority="2212" stopIfTrue="1" operator="containsText" text="Bajo">
      <formula>NOT(ISERROR(SEARCH("Bajo",U359)))</formula>
    </cfRule>
    <cfRule type="containsText" dxfId="4170" priority="2214" stopIfTrue="1" operator="containsText" text="Alto">
      <formula>NOT(ISERROR(SEARCH("Alto",U359)))</formula>
    </cfRule>
    <cfRule type="containsText" dxfId="4169" priority="2213" stopIfTrue="1" operator="containsText" text="Medio">
      <formula>NOT(ISERROR(SEARCH("Medio",U359)))</formula>
    </cfRule>
  </conditionalFormatting>
  <conditionalFormatting sqref="U360">
    <cfRule type="containsText" dxfId="4168" priority="2280" stopIfTrue="1" operator="containsText" text="Medio">
      <formula>NOT(ISERROR(SEARCH("Medio",U360)))</formula>
    </cfRule>
    <cfRule type="containsText" dxfId="4167" priority="2281" stopIfTrue="1" operator="containsText" text="Alto">
      <formula>NOT(ISERROR(SEARCH("Alto",U360)))</formula>
    </cfRule>
    <cfRule type="containsText" dxfId="4166" priority="2279" stopIfTrue="1" operator="containsText" text="Bajo">
      <formula>NOT(ISERROR(SEARCH("Bajo",U360)))</formula>
    </cfRule>
    <cfRule type="containsText" dxfId="4165" priority="2274" stopIfTrue="1" operator="containsText" text="Muy alto">
      <formula>NOT(ISERROR(SEARCH("Muy alto",U360)))</formula>
    </cfRule>
  </conditionalFormatting>
  <conditionalFormatting sqref="U361">
    <cfRule type="containsText" dxfId="4164" priority="2064" stopIfTrue="1" operator="containsText" text="Bajo">
      <formula>NOT(ISERROR(SEARCH("Bajo",U361)))</formula>
    </cfRule>
    <cfRule type="containsText" dxfId="4163" priority="2065" stopIfTrue="1" operator="containsText" text="Medio">
      <formula>NOT(ISERROR(SEARCH("Medio",U361)))</formula>
    </cfRule>
    <cfRule type="containsText" dxfId="4162" priority="2059" stopIfTrue="1" operator="containsText" text="Muy alto">
      <formula>NOT(ISERROR(SEARCH("Muy alto",U361)))</formula>
    </cfRule>
    <cfRule type="containsText" dxfId="4161" priority="2066" stopIfTrue="1" operator="containsText" text="Alto">
      <formula>NOT(ISERROR(SEARCH("Alto",U361)))</formula>
    </cfRule>
  </conditionalFormatting>
  <conditionalFormatting sqref="U362">
    <cfRule type="containsText" dxfId="4160" priority="2259" stopIfTrue="1" operator="containsText" text="Bajo">
      <formula>NOT(ISERROR(SEARCH("Bajo",U362)))</formula>
    </cfRule>
    <cfRule type="containsText" dxfId="4159" priority="2261" stopIfTrue="1" operator="containsText" text="Alto">
      <formula>NOT(ISERROR(SEARCH("Alto",U362)))</formula>
    </cfRule>
    <cfRule type="containsText" dxfId="4158" priority="2260" stopIfTrue="1" operator="containsText" text="Medio">
      <formula>NOT(ISERROR(SEARCH("Medio",U362)))</formula>
    </cfRule>
    <cfRule type="containsText" dxfId="4157" priority="2244" stopIfTrue="1" operator="containsText" text="Muy alto">
      <formula>NOT(ISERROR(SEARCH("Muy alto",U362)))</formula>
    </cfRule>
  </conditionalFormatting>
  <conditionalFormatting sqref="U363">
    <cfRule type="containsText" dxfId="4156" priority="2322" stopIfTrue="1" operator="containsText" text="Alto">
      <formula>NOT(ISERROR(SEARCH("Alto",U363)))</formula>
    </cfRule>
    <cfRule type="containsText" dxfId="4155" priority="2315" stopIfTrue="1" operator="containsText" text="Muy alto">
      <formula>NOT(ISERROR(SEARCH("Muy alto",U363)))</formula>
    </cfRule>
    <cfRule type="containsText" dxfId="4154" priority="2320" stopIfTrue="1" operator="containsText" text="Bajo">
      <formula>NOT(ISERROR(SEARCH("Bajo",U363)))</formula>
    </cfRule>
    <cfRule type="containsText" dxfId="4153" priority="2321" stopIfTrue="1" operator="containsText" text="Medio">
      <formula>NOT(ISERROR(SEARCH("Medio",U363)))</formula>
    </cfRule>
  </conditionalFormatting>
  <conditionalFormatting sqref="U364:U365">
    <cfRule type="containsText" dxfId="4152" priority="2176" stopIfTrue="1" operator="containsText" text="Alto">
      <formula>NOT(ISERROR(SEARCH("Alto",U364)))</formula>
    </cfRule>
    <cfRule type="containsText" dxfId="4151" priority="2174" stopIfTrue="1" operator="containsText" text="Bajo">
      <formula>NOT(ISERROR(SEARCH("Bajo",U364)))</formula>
    </cfRule>
    <cfRule type="containsText" dxfId="4150" priority="2175" stopIfTrue="1" operator="containsText" text="Medio">
      <formula>NOT(ISERROR(SEARCH("Medio",U364)))</formula>
    </cfRule>
    <cfRule type="containsText" dxfId="4149" priority="2169" stopIfTrue="1" operator="containsText" text="Muy alto">
      <formula>NOT(ISERROR(SEARCH("Muy alto",U364)))</formula>
    </cfRule>
  </conditionalFormatting>
  <conditionalFormatting sqref="U366">
    <cfRule type="containsText" dxfId="4148" priority="1920" stopIfTrue="1" operator="containsText" text="Medio">
      <formula>NOT(ISERROR(SEARCH("Medio",U366)))</formula>
    </cfRule>
    <cfRule type="containsText" dxfId="4147" priority="1921" stopIfTrue="1" operator="containsText" text="Alto">
      <formula>NOT(ISERROR(SEARCH("Alto",U366)))</formula>
    </cfRule>
    <cfRule type="containsText" dxfId="4146" priority="1914" stopIfTrue="1" operator="containsText" text="Muy alto">
      <formula>NOT(ISERROR(SEARCH("Muy alto",U366)))</formula>
    </cfRule>
    <cfRule type="containsText" dxfId="4145" priority="1919" stopIfTrue="1" operator="containsText" text="Bajo">
      <formula>NOT(ISERROR(SEARCH("Bajo",U366)))</formula>
    </cfRule>
  </conditionalFormatting>
  <conditionalFormatting sqref="U367">
    <cfRule type="containsText" dxfId="4144" priority="1574" stopIfTrue="1" operator="containsText" text="Alto">
      <formula>NOT(ISERROR(SEARCH("Alto",U367)))</formula>
    </cfRule>
    <cfRule type="containsText" dxfId="4143" priority="1573" stopIfTrue="1" operator="containsText" text="Medio">
      <formula>NOT(ISERROR(SEARCH("Medio",U367)))</formula>
    </cfRule>
    <cfRule type="containsText" dxfId="4142" priority="1572" stopIfTrue="1" operator="containsText" text="Bajo">
      <formula>NOT(ISERROR(SEARCH("Bajo",U367)))</formula>
    </cfRule>
    <cfRule type="containsText" dxfId="4141" priority="1567" stopIfTrue="1" operator="containsText" text="Muy alto">
      <formula>NOT(ISERROR(SEARCH("Muy alto",U367)))</formula>
    </cfRule>
  </conditionalFormatting>
  <conditionalFormatting sqref="U368">
    <cfRule type="containsText" dxfId="4140" priority="1531" stopIfTrue="1" operator="containsText" text="Muy alto">
      <formula>NOT(ISERROR(SEARCH("Muy alto",U368)))</formula>
    </cfRule>
    <cfRule type="containsText" dxfId="4139" priority="1536" stopIfTrue="1" operator="containsText" text="Bajo">
      <formula>NOT(ISERROR(SEARCH("Bajo",U368)))</formula>
    </cfRule>
    <cfRule type="containsText" dxfId="4138" priority="1537" stopIfTrue="1" operator="containsText" text="Medio">
      <formula>NOT(ISERROR(SEARCH("Medio",U368)))</formula>
    </cfRule>
    <cfRule type="containsText" dxfId="4137" priority="1538" stopIfTrue="1" operator="containsText" text="Alto">
      <formula>NOT(ISERROR(SEARCH("Alto",U368)))</formula>
    </cfRule>
  </conditionalFormatting>
  <conditionalFormatting sqref="U369">
    <cfRule type="containsText" dxfId="4136" priority="1865" stopIfTrue="1" operator="containsText" text="Muy alto">
      <formula>NOT(ISERROR(SEARCH("Muy alto",U369)))</formula>
    </cfRule>
    <cfRule type="containsText" dxfId="4135" priority="1872" stopIfTrue="1" operator="containsText" text="Alto">
      <formula>NOT(ISERROR(SEARCH("Alto",U369)))</formula>
    </cfRule>
    <cfRule type="containsText" dxfId="4134" priority="1870" stopIfTrue="1" operator="containsText" text="Bajo">
      <formula>NOT(ISERROR(SEARCH("Bajo",U369)))</formula>
    </cfRule>
    <cfRule type="containsText" dxfId="4133" priority="1871" stopIfTrue="1" operator="containsText" text="Medio">
      <formula>NOT(ISERROR(SEARCH("Medio",U369)))</formula>
    </cfRule>
  </conditionalFormatting>
  <conditionalFormatting sqref="U370">
    <cfRule type="containsText" dxfId="4132" priority="1963" stopIfTrue="1" operator="containsText" text="Medio">
      <formula>NOT(ISERROR(SEARCH("Medio",U370)))</formula>
    </cfRule>
    <cfRule type="containsText" dxfId="4131" priority="1964" stopIfTrue="1" operator="containsText" text="Alto">
      <formula>NOT(ISERROR(SEARCH("Alto",U370)))</formula>
    </cfRule>
    <cfRule type="containsText" dxfId="4130" priority="1962" stopIfTrue="1" operator="containsText" text="Bajo">
      <formula>NOT(ISERROR(SEARCH("Bajo",U370)))</formula>
    </cfRule>
    <cfRule type="containsText" dxfId="4129" priority="1957" stopIfTrue="1" operator="containsText" text="Muy alto">
      <formula>NOT(ISERROR(SEARCH("Muy alto",U370)))</formula>
    </cfRule>
  </conditionalFormatting>
  <conditionalFormatting sqref="U371">
    <cfRule type="containsText" dxfId="4128" priority="1820" stopIfTrue="1" operator="containsText" text="Muy alto">
      <formula>NOT(ISERROR(SEARCH("Muy alto",U371)))</formula>
    </cfRule>
    <cfRule type="containsText" dxfId="4127" priority="1826" stopIfTrue="1" operator="containsText" text="Medio">
      <formula>NOT(ISERROR(SEARCH("Medio",U371)))</formula>
    </cfRule>
    <cfRule type="containsText" dxfId="4126" priority="1827" stopIfTrue="1" operator="containsText" text="Alto">
      <formula>NOT(ISERROR(SEARCH("Alto",U371)))</formula>
    </cfRule>
    <cfRule type="containsText" dxfId="4125" priority="1825" stopIfTrue="1" operator="containsText" text="Bajo">
      <formula>NOT(ISERROR(SEARCH("Bajo",U371)))</formula>
    </cfRule>
  </conditionalFormatting>
  <conditionalFormatting sqref="U372">
    <cfRule type="containsText" dxfId="4124" priority="1691" stopIfTrue="1" operator="containsText" text="Alto">
      <formula>NOT(ISERROR(SEARCH("Alto",U372)))</formula>
    </cfRule>
    <cfRule type="containsText" dxfId="4123" priority="1689" stopIfTrue="1" operator="containsText" text="Bajo">
      <formula>NOT(ISERROR(SEARCH("Bajo",U372)))</formula>
    </cfRule>
    <cfRule type="containsText" dxfId="4122" priority="1690" stopIfTrue="1" operator="containsText" text="Medio">
      <formula>NOT(ISERROR(SEARCH("Medio",U372)))</formula>
    </cfRule>
    <cfRule type="containsText" dxfId="4121" priority="1674" stopIfTrue="1" operator="containsText" text="Muy alto">
      <formula>NOT(ISERROR(SEARCH("Muy alto",U372)))</formula>
    </cfRule>
  </conditionalFormatting>
  <conditionalFormatting sqref="U373">
    <cfRule type="containsText" dxfId="4120" priority="1648" stopIfTrue="1" operator="containsText" text="Alto">
      <formula>NOT(ISERROR(SEARCH("Alto",U373)))</formula>
    </cfRule>
    <cfRule type="containsText" dxfId="4119" priority="1647" stopIfTrue="1" operator="containsText" text="Medio">
      <formula>NOT(ISERROR(SEARCH("Medio",U373)))</formula>
    </cfRule>
    <cfRule type="containsText" dxfId="4118" priority="1646" stopIfTrue="1" operator="containsText" text="Bajo">
      <formula>NOT(ISERROR(SEARCH("Bajo",U373)))</formula>
    </cfRule>
    <cfRule type="containsText" dxfId="4117" priority="1633" stopIfTrue="1" operator="containsText" text="Muy alto">
      <formula>NOT(ISERROR(SEARCH("Muy alto",U373)))</formula>
    </cfRule>
  </conditionalFormatting>
  <conditionalFormatting sqref="U374">
    <cfRule type="containsText" dxfId="4116" priority="1750" stopIfTrue="1" operator="containsText" text="Bajo">
      <formula>NOT(ISERROR(SEARCH("Bajo",U374)))</formula>
    </cfRule>
    <cfRule type="containsText" dxfId="4115" priority="1751" stopIfTrue="1" operator="containsText" text="Medio">
      <formula>NOT(ISERROR(SEARCH("Medio",U374)))</formula>
    </cfRule>
    <cfRule type="containsText" dxfId="4114" priority="1752" stopIfTrue="1" operator="containsText" text="Alto">
      <formula>NOT(ISERROR(SEARCH("Alto",U374)))</formula>
    </cfRule>
    <cfRule type="containsText" dxfId="4113" priority="1745" stopIfTrue="1" operator="containsText" text="Muy alto">
      <formula>NOT(ISERROR(SEARCH("Muy alto",U374)))</formula>
    </cfRule>
  </conditionalFormatting>
  <conditionalFormatting sqref="U375">
    <cfRule type="containsText" dxfId="4112" priority="1731" stopIfTrue="1" operator="containsText" text="Medio">
      <formula>NOT(ISERROR(SEARCH("Medio",U375)))</formula>
    </cfRule>
    <cfRule type="containsText" dxfId="4111" priority="1732" stopIfTrue="1" operator="containsText" text="Alto">
      <formula>NOT(ISERROR(SEARCH("Alto",U375)))</formula>
    </cfRule>
    <cfRule type="containsText" dxfId="4110" priority="1715" stopIfTrue="1" operator="containsText" text="Muy alto">
      <formula>NOT(ISERROR(SEARCH("Muy alto",U375)))</formula>
    </cfRule>
    <cfRule type="containsText" dxfId="4109" priority="1730" stopIfTrue="1" operator="containsText" text="Bajo">
      <formula>NOT(ISERROR(SEARCH("Bajo",U375)))</formula>
    </cfRule>
  </conditionalFormatting>
  <conditionalFormatting sqref="U376">
    <cfRule type="containsText" dxfId="4108" priority="1786" stopIfTrue="1" operator="containsText" text="Muy alto">
      <formula>NOT(ISERROR(SEARCH("Muy alto",U376)))</formula>
    </cfRule>
    <cfRule type="containsText" dxfId="4107" priority="1792" stopIfTrue="1" operator="containsText" text="Medio">
      <formula>NOT(ISERROR(SEARCH("Medio",U376)))</formula>
    </cfRule>
    <cfRule type="containsText" dxfId="4106" priority="1793" stopIfTrue="1" operator="containsText" text="Alto">
      <formula>NOT(ISERROR(SEARCH("Alto",U376)))</formula>
    </cfRule>
    <cfRule type="containsText" dxfId="4105" priority="1791" stopIfTrue="1" operator="containsText" text="Bajo">
      <formula>NOT(ISERROR(SEARCH("Bajo",U376)))</formula>
    </cfRule>
  </conditionalFormatting>
  <conditionalFormatting sqref="U377">
    <cfRule type="containsText" dxfId="4104" priority="1603" stopIfTrue="1" operator="containsText" text="Muy alto">
      <formula>NOT(ISERROR(SEARCH("Muy alto",U377)))</formula>
    </cfRule>
    <cfRule type="containsText" dxfId="4103" priority="1610" stopIfTrue="1" operator="containsText" text="Alto">
      <formula>NOT(ISERROR(SEARCH("Alto",U377)))</formula>
    </cfRule>
    <cfRule type="containsText" dxfId="4102" priority="1609" stopIfTrue="1" operator="containsText" text="Medio">
      <formula>NOT(ISERROR(SEARCH("Medio",U377)))</formula>
    </cfRule>
    <cfRule type="containsText" dxfId="4101" priority="1608" stopIfTrue="1" operator="containsText" text="Bajo">
      <formula>NOT(ISERROR(SEARCH("Bajo",U377)))</formula>
    </cfRule>
  </conditionalFormatting>
  <conditionalFormatting sqref="U378">
    <cfRule type="containsText" dxfId="4100" priority="1170" stopIfTrue="1" operator="containsText" text="Muy alto">
      <formula>NOT(ISERROR(SEARCH("Muy alto",U378)))</formula>
    </cfRule>
    <cfRule type="containsText" dxfId="4099" priority="1175" stopIfTrue="1" operator="containsText" text="Bajo">
      <formula>NOT(ISERROR(SEARCH("Bajo",U378)))</formula>
    </cfRule>
    <cfRule type="containsText" dxfId="4098" priority="1176" stopIfTrue="1" operator="containsText" text="Medio">
      <formula>NOT(ISERROR(SEARCH("Medio",U378)))</formula>
    </cfRule>
    <cfRule type="containsText" dxfId="4097" priority="1177" stopIfTrue="1" operator="containsText" text="Alto">
      <formula>NOT(ISERROR(SEARCH("Alto",U378)))</formula>
    </cfRule>
  </conditionalFormatting>
  <conditionalFormatting sqref="U379">
    <cfRule type="containsText" dxfId="4096" priority="1139" stopIfTrue="1" operator="containsText" text="Bajo">
      <formula>NOT(ISERROR(SEARCH("Bajo",U379)))</formula>
    </cfRule>
    <cfRule type="containsText" dxfId="4095" priority="1140" stopIfTrue="1" operator="containsText" text="Medio">
      <formula>NOT(ISERROR(SEARCH("Medio",U379)))</formula>
    </cfRule>
    <cfRule type="containsText" dxfId="4094" priority="1141" stopIfTrue="1" operator="containsText" text="Alto">
      <formula>NOT(ISERROR(SEARCH("Alto",U379)))</formula>
    </cfRule>
    <cfRule type="containsText" dxfId="4093" priority="1134" stopIfTrue="1" operator="containsText" text="Muy alto">
      <formula>NOT(ISERROR(SEARCH("Muy alto",U379)))</formula>
    </cfRule>
  </conditionalFormatting>
  <conditionalFormatting sqref="U380">
    <cfRule type="containsText" dxfId="4092" priority="1434" stopIfTrue="1" operator="containsText" text="Bajo">
      <formula>NOT(ISERROR(SEARCH("Bajo",U380)))</formula>
    </cfRule>
    <cfRule type="containsText" dxfId="4091" priority="1435" stopIfTrue="1" operator="containsText" text="Medio">
      <formula>NOT(ISERROR(SEARCH("Medio",U380)))</formula>
    </cfRule>
    <cfRule type="containsText" dxfId="4090" priority="1436" stopIfTrue="1" operator="containsText" text="Alto">
      <formula>NOT(ISERROR(SEARCH("Alto",U380)))</formula>
    </cfRule>
    <cfRule type="containsText" dxfId="4089" priority="1429" stopIfTrue="1" operator="containsText" text="Muy alto">
      <formula>NOT(ISERROR(SEARCH("Muy alto",U380)))</formula>
    </cfRule>
  </conditionalFormatting>
  <conditionalFormatting sqref="U381">
    <cfRule type="containsText" dxfId="4088" priority="1474" stopIfTrue="1" operator="containsText" text="Muy alto">
      <formula>NOT(ISERROR(SEARCH("Muy alto",U381)))</formula>
    </cfRule>
    <cfRule type="containsText" dxfId="4087" priority="1481" stopIfTrue="1" operator="containsText" text="Alto">
      <formula>NOT(ISERROR(SEARCH("Alto",U381)))</formula>
    </cfRule>
    <cfRule type="containsText" dxfId="4086" priority="1480" stopIfTrue="1" operator="containsText" text="Medio">
      <formula>NOT(ISERROR(SEARCH("Medio",U381)))</formula>
    </cfRule>
    <cfRule type="containsText" dxfId="4085" priority="1479" stopIfTrue="1" operator="containsText" text="Bajo">
      <formula>NOT(ISERROR(SEARCH("Bajo",U381)))</formula>
    </cfRule>
  </conditionalFormatting>
  <conditionalFormatting sqref="U382">
    <cfRule type="containsText" dxfId="4084" priority="1285" stopIfTrue="1" operator="containsText" text="Muy alto">
      <formula>NOT(ISERROR(SEARCH("Muy alto",U382)))</formula>
    </cfRule>
    <cfRule type="containsText" dxfId="4083" priority="1300" stopIfTrue="1" operator="containsText" text="Alto">
      <formula>NOT(ISERROR(SEARCH("Alto",U382)))</formula>
    </cfRule>
    <cfRule type="containsText" dxfId="4082" priority="1299" stopIfTrue="1" operator="containsText" text="Medio">
      <formula>NOT(ISERROR(SEARCH("Medio",U382)))</formula>
    </cfRule>
    <cfRule type="containsText" dxfId="4081" priority="1298" stopIfTrue="1" operator="containsText" text="Bajo">
      <formula>NOT(ISERROR(SEARCH("Bajo",U382)))</formula>
    </cfRule>
  </conditionalFormatting>
  <conditionalFormatting sqref="U383">
    <cfRule type="containsText" dxfId="4080" priority="1253" stopIfTrue="1" operator="containsText" text="Bajo">
      <formula>NOT(ISERROR(SEARCH("Bajo",U383)))</formula>
    </cfRule>
    <cfRule type="containsText" dxfId="4079" priority="1254" stopIfTrue="1" operator="containsText" text="Medio">
      <formula>NOT(ISERROR(SEARCH("Medio",U383)))</formula>
    </cfRule>
    <cfRule type="containsText" dxfId="4078" priority="1240" stopIfTrue="1" operator="containsText" text="Muy alto">
      <formula>NOT(ISERROR(SEARCH("Muy alto",U383)))</formula>
    </cfRule>
    <cfRule type="containsText" dxfId="4077" priority="1255" stopIfTrue="1" operator="containsText" text="Alto">
      <formula>NOT(ISERROR(SEARCH("Alto",U383)))</formula>
    </cfRule>
  </conditionalFormatting>
  <conditionalFormatting sqref="U384">
    <cfRule type="containsText" dxfId="4076" priority="1360" stopIfTrue="1" operator="containsText" text="Medio">
      <formula>NOT(ISERROR(SEARCH("Medio",U384)))</formula>
    </cfRule>
    <cfRule type="containsText" dxfId="4075" priority="1359" stopIfTrue="1" operator="containsText" text="Bajo">
      <formula>NOT(ISERROR(SEARCH("Bajo",U384)))</formula>
    </cfRule>
    <cfRule type="containsText" dxfId="4074" priority="1361" stopIfTrue="1" operator="containsText" text="Alto">
      <formula>NOT(ISERROR(SEARCH("Alto",U384)))</formula>
    </cfRule>
    <cfRule type="containsText" dxfId="4073" priority="1354" stopIfTrue="1" operator="containsText" text="Muy alto">
      <formula>NOT(ISERROR(SEARCH("Muy alto",U384)))</formula>
    </cfRule>
  </conditionalFormatting>
  <conditionalFormatting sqref="U385">
    <cfRule type="containsText" dxfId="4072" priority="1341" stopIfTrue="1" operator="containsText" text="Alto">
      <formula>NOT(ISERROR(SEARCH("Alto",U385)))</formula>
    </cfRule>
    <cfRule type="containsText" dxfId="4071" priority="1339" stopIfTrue="1" operator="containsText" text="Bajo">
      <formula>NOT(ISERROR(SEARCH("Bajo",U385)))</formula>
    </cfRule>
    <cfRule type="containsText" dxfId="4070" priority="1340" stopIfTrue="1" operator="containsText" text="Medio">
      <formula>NOT(ISERROR(SEARCH("Medio",U385)))</formula>
    </cfRule>
    <cfRule type="containsText" dxfId="4069" priority="1324" stopIfTrue="1" operator="containsText" text="Muy alto">
      <formula>NOT(ISERROR(SEARCH("Muy alto",U385)))</formula>
    </cfRule>
  </conditionalFormatting>
  <conditionalFormatting sqref="U386">
    <cfRule type="containsText" dxfId="4068" priority="1400" stopIfTrue="1" operator="containsText" text="Bajo">
      <formula>NOT(ISERROR(SEARCH("Bajo",U386)))</formula>
    </cfRule>
    <cfRule type="containsText" dxfId="4067" priority="1395" stopIfTrue="1" operator="containsText" text="Muy alto">
      <formula>NOT(ISERROR(SEARCH("Muy alto",U386)))</formula>
    </cfRule>
    <cfRule type="containsText" dxfId="4066" priority="1402" stopIfTrue="1" operator="containsText" text="Alto">
      <formula>NOT(ISERROR(SEARCH("Alto",U386)))</formula>
    </cfRule>
    <cfRule type="containsText" dxfId="4065" priority="1401" stopIfTrue="1" operator="containsText" text="Medio">
      <formula>NOT(ISERROR(SEARCH("Medio",U386)))</formula>
    </cfRule>
  </conditionalFormatting>
  <conditionalFormatting sqref="U387">
    <cfRule type="containsText" dxfId="4064" priority="1217" stopIfTrue="1" operator="containsText" text="Alto">
      <formula>NOT(ISERROR(SEARCH("Alto",U387)))</formula>
    </cfRule>
    <cfRule type="containsText" dxfId="4063" priority="1216" stopIfTrue="1" operator="containsText" text="Medio">
      <formula>NOT(ISERROR(SEARCH("Medio",U387)))</formula>
    </cfRule>
    <cfRule type="containsText" dxfId="4062" priority="1215" stopIfTrue="1" operator="containsText" text="Bajo">
      <formula>NOT(ISERROR(SEARCH("Bajo",U387)))</formula>
    </cfRule>
    <cfRule type="containsText" dxfId="4061" priority="1210" stopIfTrue="1" operator="containsText" text="Muy alto">
      <formula>NOT(ISERROR(SEARCH("Muy alto",U387)))</formula>
    </cfRule>
  </conditionalFormatting>
  <conditionalFormatting sqref="U388">
    <cfRule type="containsText" dxfId="4060" priority="1029" stopIfTrue="1" operator="containsText" text="Muy alto">
      <formula>NOT(ISERROR(SEARCH("Muy alto",U388)))</formula>
    </cfRule>
    <cfRule type="containsText" dxfId="4059" priority="1034" stopIfTrue="1" operator="containsText" text="Bajo">
      <formula>NOT(ISERROR(SEARCH("Bajo",U388)))</formula>
    </cfRule>
    <cfRule type="containsText" dxfId="4058" priority="1035" stopIfTrue="1" operator="containsText" text="Medio">
      <formula>NOT(ISERROR(SEARCH("Medio",U388)))</formula>
    </cfRule>
    <cfRule type="containsText" dxfId="4057" priority="1036" stopIfTrue="1" operator="containsText" text="Alto">
      <formula>NOT(ISERROR(SEARCH("Alto",U388)))</formula>
    </cfRule>
  </conditionalFormatting>
  <conditionalFormatting sqref="U389">
    <cfRule type="containsText" dxfId="4056" priority="682" stopIfTrue="1" operator="containsText" text="Muy alto">
      <formula>NOT(ISERROR(SEARCH("Muy alto",U389)))</formula>
    </cfRule>
    <cfRule type="containsText" dxfId="4055" priority="689" stopIfTrue="1" operator="containsText" text="Alto">
      <formula>NOT(ISERROR(SEARCH("Alto",U389)))</formula>
    </cfRule>
    <cfRule type="containsText" dxfId="4054" priority="687" stopIfTrue="1" operator="containsText" text="Bajo">
      <formula>NOT(ISERROR(SEARCH("Bajo",U389)))</formula>
    </cfRule>
    <cfRule type="containsText" dxfId="4053" priority="688" stopIfTrue="1" operator="containsText" text="Medio">
      <formula>NOT(ISERROR(SEARCH("Medio",U389)))</formula>
    </cfRule>
  </conditionalFormatting>
  <conditionalFormatting sqref="U390">
    <cfRule type="containsText" dxfId="4052" priority="653" stopIfTrue="1" operator="containsText" text="Alto">
      <formula>NOT(ISERROR(SEARCH("Alto",U390)))</formula>
    </cfRule>
    <cfRule type="containsText" dxfId="4051" priority="651" stopIfTrue="1" operator="containsText" text="Bajo">
      <formula>NOT(ISERROR(SEARCH("Bajo",U390)))</formula>
    </cfRule>
    <cfRule type="containsText" dxfId="4050" priority="652" stopIfTrue="1" operator="containsText" text="Medio">
      <formula>NOT(ISERROR(SEARCH("Medio",U390)))</formula>
    </cfRule>
    <cfRule type="containsText" dxfId="4049" priority="646" stopIfTrue="1" operator="containsText" text="Muy alto">
      <formula>NOT(ISERROR(SEARCH("Muy alto",U390)))</formula>
    </cfRule>
  </conditionalFormatting>
  <conditionalFormatting sqref="U391">
    <cfRule type="containsText" dxfId="4048" priority="985" stopIfTrue="1" operator="containsText" text="Bajo">
      <formula>NOT(ISERROR(SEARCH("Bajo",U391)))</formula>
    </cfRule>
    <cfRule type="containsText" dxfId="4047" priority="987" stopIfTrue="1" operator="containsText" text="Alto">
      <formula>NOT(ISERROR(SEARCH("Alto",U391)))</formula>
    </cfRule>
    <cfRule type="containsText" dxfId="4046" priority="986" stopIfTrue="1" operator="containsText" text="Medio">
      <formula>NOT(ISERROR(SEARCH("Medio",U391)))</formula>
    </cfRule>
    <cfRule type="containsText" dxfId="4045" priority="980" stopIfTrue="1" operator="containsText" text="Muy alto">
      <formula>NOT(ISERROR(SEARCH("Muy alto",U391)))</formula>
    </cfRule>
  </conditionalFormatting>
  <conditionalFormatting sqref="U392">
    <cfRule type="containsText" dxfId="4044" priority="1078" stopIfTrue="1" operator="containsText" text="Medio">
      <formula>NOT(ISERROR(SEARCH("Medio",U392)))</formula>
    </cfRule>
    <cfRule type="containsText" dxfId="4043" priority="1077" stopIfTrue="1" operator="containsText" text="Bajo">
      <formula>NOT(ISERROR(SEARCH("Bajo",U392)))</formula>
    </cfRule>
    <cfRule type="containsText" dxfId="4042" priority="1072" stopIfTrue="1" operator="containsText" text="Muy alto">
      <formula>NOT(ISERROR(SEARCH("Muy alto",U392)))</formula>
    </cfRule>
    <cfRule type="containsText" dxfId="4041" priority="1079" stopIfTrue="1" operator="containsText" text="Alto">
      <formula>NOT(ISERROR(SEARCH("Alto",U392)))</formula>
    </cfRule>
  </conditionalFormatting>
  <conditionalFormatting sqref="U393">
    <cfRule type="containsText" dxfId="4040" priority="942" stopIfTrue="1" operator="containsText" text="Alto">
      <formula>NOT(ISERROR(SEARCH("Alto",U393)))</formula>
    </cfRule>
    <cfRule type="containsText" dxfId="4039" priority="935" stopIfTrue="1" operator="containsText" text="Muy alto">
      <formula>NOT(ISERROR(SEARCH("Muy alto",U393)))</formula>
    </cfRule>
    <cfRule type="containsText" dxfId="4038" priority="941" stopIfTrue="1" operator="containsText" text="Medio">
      <formula>NOT(ISERROR(SEARCH("Medio",U393)))</formula>
    </cfRule>
    <cfRule type="containsText" dxfId="4037" priority="940" stopIfTrue="1" operator="containsText" text="Bajo">
      <formula>NOT(ISERROR(SEARCH("Bajo",U393)))</formula>
    </cfRule>
  </conditionalFormatting>
  <conditionalFormatting sqref="U394">
    <cfRule type="containsText" dxfId="4036" priority="789" stopIfTrue="1" operator="containsText" text="Muy alto">
      <formula>NOT(ISERROR(SEARCH("Muy alto",U394)))</formula>
    </cfRule>
    <cfRule type="containsText" dxfId="4035" priority="806" stopIfTrue="1" operator="containsText" text="Alto">
      <formula>NOT(ISERROR(SEARCH("Alto",U394)))</formula>
    </cfRule>
    <cfRule type="containsText" dxfId="4034" priority="804" stopIfTrue="1" operator="containsText" text="Bajo">
      <formula>NOT(ISERROR(SEARCH("Bajo",U394)))</formula>
    </cfRule>
    <cfRule type="containsText" dxfId="4033" priority="805" stopIfTrue="1" operator="containsText" text="Medio">
      <formula>NOT(ISERROR(SEARCH("Medio",U394)))</formula>
    </cfRule>
  </conditionalFormatting>
  <conditionalFormatting sqref="U395">
    <cfRule type="containsText" dxfId="4032" priority="763" stopIfTrue="1" operator="containsText" text="Alto">
      <formula>NOT(ISERROR(SEARCH("Alto",U395)))</formula>
    </cfRule>
    <cfRule type="containsText" dxfId="4031" priority="762" stopIfTrue="1" operator="containsText" text="Medio">
      <formula>NOT(ISERROR(SEARCH("Medio",U395)))</formula>
    </cfRule>
    <cfRule type="containsText" dxfId="4030" priority="748" stopIfTrue="1" operator="containsText" text="Muy alto">
      <formula>NOT(ISERROR(SEARCH("Muy alto",U395)))</formula>
    </cfRule>
    <cfRule type="containsText" dxfId="4029" priority="761" stopIfTrue="1" operator="containsText" text="Bajo">
      <formula>NOT(ISERROR(SEARCH("Bajo",U395)))</formula>
    </cfRule>
  </conditionalFormatting>
  <conditionalFormatting sqref="U396">
    <cfRule type="containsText" dxfId="4028" priority="865" stopIfTrue="1" operator="containsText" text="Bajo">
      <formula>NOT(ISERROR(SEARCH("Bajo",U396)))</formula>
    </cfRule>
    <cfRule type="containsText" dxfId="4027" priority="867" stopIfTrue="1" operator="containsText" text="Alto">
      <formula>NOT(ISERROR(SEARCH("Alto",U396)))</formula>
    </cfRule>
    <cfRule type="containsText" dxfId="4026" priority="866" stopIfTrue="1" operator="containsText" text="Medio">
      <formula>NOT(ISERROR(SEARCH("Medio",U396)))</formula>
    </cfRule>
    <cfRule type="containsText" dxfId="4025" priority="860" stopIfTrue="1" operator="containsText" text="Muy alto">
      <formula>NOT(ISERROR(SEARCH("Muy alto",U396)))</formula>
    </cfRule>
  </conditionalFormatting>
  <conditionalFormatting sqref="U397">
    <cfRule type="containsText" dxfId="4024" priority="845" stopIfTrue="1" operator="containsText" text="Bajo">
      <formula>NOT(ISERROR(SEARCH("Bajo",U397)))</formula>
    </cfRule>
    <cfRule type="containsText" dxfId="4023" priority="847" stopIfTrue="1" operator="containsText" text="Alto">
      <formula>NOT(ISERROR(SEARCH("Alto",U397)))</formula>
    </cfRule>
    <cfRule type="containsText" dxfId="4022" priority="830" stopIfTrue="1" operator="containsText" text="Muy alto">
      <formula>NOT(ISERROR(SEARCH("Muy alto",U397)))</formula>
    </cfRule>
    <cfRule type="containsText" dxfId="4021" priority="846" stopIfTrue="1" operator="containsText" text="Medio">
      <formula>NOT(ISERROR(SEARCH("Medio",U397)))</formula>
    </cfRule>
  </conditionalFormatting>
  <conditionalFormatting sqref="U398">
    <cfRule type="containsText" dxfId="4020" priority="907" stopIfTrue="1" operator="containsText" text="Medio">
      <formula>NOT(ISERROR(SEARCH("Medio",U398)))</formula>
    </cfRule>
    <cfRule type="containsText" dxfId="4019" priority="901" stopIfTrue="1" operator="containsText" text="Muy alto">
      <formula>NOT(ISERROR(SEARCH("Muy alto",U398)))</formula>
    </cfRule>
    <cfRule type="containsText" dxfId="4018" priority="906" stopIfTrue="1" operator="containsText" text="Bajo">
      <formula>NOT(ISERROR(SEARCH("Bajo",U398)))</formula>
    </cfRule>
    <cfRule type="containsText" dxfId="4017" priority="908" stopIfTrue="1" operator="containsText" text="Alto">
      <formula>NOT(ISERROR(SEARCH("Alto",U398)))</formula>
    </cfRule>
  </conditionalFormatting>
  <conditionalFormatting sqref="U399">
    <cfRule type="containsText" dxfId="4016" priority="724" stopIfTrue="1" operator="containsText" text="Medio">
      <formula>NOT(ISERROR(SEARCH("Medio",U399)))</formula>
    </cfRule>
    <cfRule type="containsText" dxfId="4015" priority="723" stopIfTrue="1" operator="containsText" text="Bajo">
      <formula>NOT(ISERROR(SEARCH("Bajo",U399)))</formula>
    </cfRule>
    <cfRule type="containsText" dxfId="4014" priority="725" stopIfTrue="1" operator="containsText" text="Alto">
      <formula>NOT(ISERROR(SEARCH("Alto",U399)))</formula>
    </cfRule>
    <cfRule type="containsText" dxfId="4013" priority="718" stopIfTrue="1" operator="containsText" text="Muy alto">
      <formula>NOT(ISERROR(SEARCH("Muy alto",U399)))</formula>
    </cfRule>
  </conditionalFormatting>
  <conditionalFormatting sqref="U400">
    <cfRule type="containsText" dxfId="4012" priority="613" stopIfTrue="1" operator="containsText" text="Bajo">
      <formula>NOT(ISERROR(SEARCH("Bajo",U400)))</formula>
    </cfRule>
    <cfRule type="containsText" dxfId="4011" priority="614" stopIfTrue="1" operator="containsText" text="Medio">
      <formula>NOT(ISERROR(SEARCH("Medio",U400)))</formula>
    </cfRule>
    <cfRule type="containsText" dxfId="4010" priority="615" stopIfTrue="1" operator="containsText" text="Alto">
      <formula>NOT(ISERROR(SEARCH("Alto",U400)))</formula>
    </cfRule>
    <cfRule type="containsText" dxfId="4009" priority="608" stopIfTrue="1" operator="containsText" text="Muy alto">
      <formula>NOT(ISERROR(SEARCH("Muy alto",U400)))</formula>
    </cfRule>
  </conditionalFormatting>
  <conditionalFormatting sqref="U401">
    <cfRule type="containsText" dxfId="4008" priority="504" stopIfTrue="1" operator="containsText" text="Bajo">
      <formula>NOT(ISERROR(SEARCH("Bajo",U401)))</formula>
    </cfRule>
    <cfRule type="containsText" dxfId="4007" priority="499" stopIfTrue="1" operator="containsText" text="Muy alto">
      <formula>NOT(ISERROR(SEARCH("Muy alto",U401)))</formula>
    </cfRule>
    <cfRule type="containsText" dxfId="4006" priority="506" stopIfTrue="1" operator="containsText" text="Alto">
      <formula>NOT(ISERROR(SEARCH("Alto",U401)))</formula>
    </cfRule>
    <cfRule type="containsText" dxfId="4005" priority="505" stopIfTrue="1" operator="containsText" text="Medio">
      <formula>NOT(ISERROR(SEARCH("Medio",U401)))</formula>
    </cfRule>
  </conditionalFormatting>
  <conditionalFormatting sqref="U402">
    <cfRule type="containsText" dxfId="4004" priority="158" stopIfTrue="1" operator="containsText" text="Medio">
      <formula>NOT(ISERROR(SEARCH("Medio",U402)))</formula>
    </cfRule>
    <cfRule type="containsText" dxfId="4003" priority="159" stopIfTrue="1" operator="containsText" text="Alto">
      <formula>NOT(ISERROR(SEARCH("Alto",U402)))</formula>
    </cfRule>
    <cfRule type="containsText" dxfId="4002" priority="152" stopIfTrue="1" operator="containsText" text="Muy alto">
      <formula>NOT(ISERROR(SEARCH("Muy alto",U402)))</formula>
    </cfRule>
    <cfRule type="containsText" dxfId="4001" priority="157" stopIfTrue="1" operator="containsText" text="Bajo">
      <formula>NOT(ISERROR(SEARCH("Bajo",U402)))</formula>
    </cfRule>
  </conditionalFormatting>
  <conditionalFormatting sqref="U403">
    <cfRule type="containsText" dxfId="4000" priority="121" stopIfTrue="1" operator="containsText" text="Bajo">
      <formula>NOT(ISERROR(SEARCH("Bajo",U403)))</formula>
    </cfRule>
    <cfRule type="containsText" dxfId="3999" priority="122" stopIfTrue="1" operator="containsText" text="Medio">
      <formula>NOT(ISERROR(SEARCH("Medio",U403)))</formula>
    </cfRule>
    <cfRule type="containsText" dxfId="3998" priority="123" stopIfTrue="1" operator="containsText" text="Alto">
      <formula>NOT(ISERROR(SEARCH("Alto",U403)))</formula>
    </cfRule>
    <cfRule type="containsText" dxfId="3997" priority="116" stopIfTrue="1" operator="containsText" text="Muy alto">
      <formula>NOT(ISERROR(SEARCH("Muy alto",U403)))</formula>
    </cfRule>
  </conditionalFormatting>
  <conditionalFormatting sqref="U404">
    <cfRule type="containsText" dxfId="3996" priority="457" stopIfTrue="1" operator="containsText" text="Alto">
      <formula>NOT(ISERROR(SEARCH("Alto",U404)))</formula>
    </cfRule>
    <cfRule type="containsText" dxfId="3995" priority="455" stopIfTrue="1" operator="containsText" text="Bajo">
      <formula>NOT(ISERROR(SEARCH("Bajo",U404)))</formula>
    </cfRule>
    <cfRule type="containsText" dxfId="3994" priority="450" stopIfTrue="1" operator="containsText" text="Muy alto">
      <formula>NOT(ISERROR(SEARCH("Muy alto",U404)))</formula>
    </cfRule>
    <cfRule type="containsText" dxfId="3993" priority="456" stopIfTrue="1" operator="containsText" text="Medio">
      <formula>NOT(ISERROR(SEARCH("Medio",U404)))</formula>
    </cfRule>
  </conditionalFormatting>
  <conditionalFormatting sqref="U405">
    <cfRule type="containsText" dxfId="3992" priority="547" stopIfTrue="1" operator="containsText" text="Bajo">
      <formula>NOT(ISERROR(SEARCH("Bajo",U405)))</formula>
    </cfRule>
    <cfRule type="containsText" dxfId="3991" priority="548" stopIfTrue="1" operator="containsText" text="Medio">
      <formula>NOT(ISERROR(SEARCH("Medio",U405)))</formula>
    </cfRule>
    <cfRule type="containsText" dxfId="3990" priority="549" stopIfTrue="1" operator="containsText" text="Alto">
      <formula>NOT(ISERROR(SEARCH("Alto",U405)))</formula>
    </cfRule>
    <cfRule type="containsText" dxfId="3989" priority="542" stopIfTrue="1" operator="containsText" text="Muy alto">
      <formula>NOT(ISERROR(SEARCH("Muy alto",U405)))</formula>
    </cfRule>
  </conditionalFormatting>
  <conditionalFormatting sqref="U406">
    <cfRule type="containsText" dxfId="3988" priority="405" stopIfTrue="1" operator="containsText" text="Muy alto">
      <formula>NOT(ISERROR(SEARCH("Muy alto",U406)))</formula>
    </cfRule>
    <cfRule type="containsText" dxfId="3987" priority="412" stopIfTrue="1" operator="containsText" text="Alto">
      <formula>NOT(ISERROR(SEARCH("Alto",U406)))</formula>
    </cfRule>
    <cfRule type="containsText" dxfId="3986" priority="410" stopIfTrue="1" operator="containsText" text="Bajo">
      <formula>NOT(ISERROR(SEARCH("Bajo",U406)))</formula>
    </cfRule>
    <cfRule type="containsText" dxfId="3985" priority="411" stopIfTrue="1" operator="containsText" text="Medio">
      <formula>NOT(ISERROR(SEARCH("Medio",U406)))</formula>
    </cfRule>
  </conditionalFormatting>
  <conditionalFormatting sqref="U407">
    <cfRule type="containsText" dxfId="3984" priority="259" stopIfTrue="1" operator="containsText" text="Muy alto">
      <formula>NOT(ISERROR(SEARCH("Muy alto",U407)))</formula>
    </cfRule>
    <cfRule type="containsText" dxfId="3983" priority="275" stopIfTrue="1" operator="containsText" text="Medio">
      <formula>NOT(ISERROR(SEARCH("Medio",U407)))</formula>
    </cfRule>
    <cfRule type="containsText" dxfId="3982" priority="274" stopIfTrue="1" operator="containsText" text="Bajo">
      <formula>NOT(ISERROR(SEARCH("Bajo",U407)))</formula>
    </cfRule>
    <cfRule type="containsText" dxfId="3981" priority="276" stopIfTrue="1" operator="containsText" text="Alto">
      <formula>NOT(ISERROR(SEARCH("Alto",U407)))</formula>
    </cfRule>
  </conditionalFormatting>
  <conditionalFormatting sqref="U408">
    <cfRule type="containsText" dxfId="3980" priority="233" stopIfTrue="1" operator="containsText" text="Alto">
      <formula>NOT(ISERROR(SEARCH("Alto",U408)))</formula>
    </cfRule>
    <cfRule type="containsText" dxfId="3979" priority="231" stopIfTrue="1" operator="containsText" text="Bajo">
      <formula>NOT(ISERROR(SEARCH("Bajo",U408)))</formula>
    </cfRule>
    <cfRule type="containsText" dxfId="3978" priority="218" stopIfTrue="1" operator="containsText" text="Muy alto">
      <formula>NOT(ISERROR(SEARCH("Muy alto",U408)))</formula>
    </cfRule>
    <cfRule type="containsText" dxfId="3977" priority="232" stopIfTrue="1" operator="containsText" text="Medio">
      <formula>NOT(ISERROR(SEARCH("Medio",U408)))</formula>
    </cfRule>
  </conditionalFormatting>
  <conditionalFormatting sqref="U409">
    <cfRule type="containsText" dxfId="3976" priority="336" stopIfTrue="1" operator="containsText" text="Medio">
      <formula>NOT(ISERROR(SEARCH("Medio",U409)))</formula>
    </cfRule>
    <cfRule type="containsText" dxfId="3975" priority="335" stopIfTrue="1" operator="containsText" text="Bajo">
      <formula>NOT(ISERROR(SEARCH("Bajo",U409)))</formula>
    </cfRule>
    <cfRule type="containsText" dxfId="3974" priority="330" stopIfTrue="1" operator="containsText" text="Muy alto">
      <formula>NOT(ISERROR(SEARCH("Muy alto",U409)))</formula>
    </cfRule>
    <cfRule type="containsText" dxfId="3973" priority="337" stopIfTrue="1" operator="containsText" text="Alto">
      <formula>NOT(ISERROR(SEARCH("Alto",U409)))</formula>
    </cfRule>
  </conditionalFormatting>
  <conditionalFormatting sqref="U410">
    <cfRule type="containsText" dxfId="3972" priority="316" stopIfTrue="1" operator="containsText" text="Medio">
      <formula>NOT(ISERROR(SEARCH("Medio",U410)))</formula>
    </cfRule>
    <cfRule type="containsText" dxfId="3971" priority="300" stopIfTrue="1" operator="containsText" text="Muy alto">
      <formula>NOT(ISERROR(SEARCH("Muy alto",U410)))</formula>
    </cfRule>
    <cfRule type="containsText" dxfId="3970" priority="317" stopIfTrue="1" operator="containsText" text="Alto">
      <formula>NOT(ISERROR(SEARCH("Alto",U410)))</formula>
    </cfRule>
    <cfRule type="containsText" dxfId="3969" priority="315" stopIfTrue="1" operator="containsText" text="Bajo">
      <formula>NOT(ISERROR(SEARCH("Bajo",U410)))</formula>
    </cfRule>
  </conditionalFormatting>
  <conditionalFormatting sqref="U411">
    <cfRule type="containsText" dxfId="3968" priority="377" stopIfTrue="1" operator="containsText" text="Medio">
      <formula>NOT(ISERROR(SEARCH("Medio",U411)))</formula>
    </cfRule>
    <cfRule type="containsText" dxfId="3967" priority="376" stopIfTrue="1" operator="containsText" text="Bajo">
      <formula>NOT(ISERROR(SEARCH("Bajo",U411)))</formula>
    </cfRule>
    <cfRule type="containsText" dxfId="3966" priority="371" stopIfTrue="1" operator="containsText" text="Muy alto">
      <formula>NOT(ISERROR(SEARCH("Muy alto",U411)))</formula>
    </cfRule>
    <cfRule type="containsText" dxfId="3965" priority="378" stopIfTrue="1" operator="containsText" text="Alto">
      <formula>NOT(ISERROR(SEARCH("Alto",U411)))</formula>
    </cfRule>
  </conditionalFormatting>
  <conditionalFormatting sqref="U412">
    <cfRule type="containsText" dxfId="3964" priority="188" stopIfTrue="1" operator="containsText" text="Muy alto">
      <formula>NOT(ISERROR(SEARCH("Muy alto",U412)))</formula>
    </cfRule>
    <cfRule type="containsText" dxfId="3963" priority="195" stopIfTrue="1" operator="containsText" text="Alto">
      <formula>NOT(ISERROR(SEARCH("Alto",U412)))</formula>
    </cfRule>
    <cfRule type="containsText" dxfId="3962" priority="194" stopIfTrue="1" operator="containsText" text="Medio">
      <formula>NOT(ISERROR(SEARCH("Medio",U412)))</formula>
    </cfRule>
    <cfRule type="containsText" dxfId="3961" priority="193" stopIfTrue="1" operator="containsText" text="Bajo">
      <formula>NOT(ISERROR(SEARCH("Bajo",U412)))</formula>
    </cfRule>
  </conditionalFormatting>
  <conditionalFormatting sqref="U413">
    <cfRule type="containsText" dxfId="3960" priority="78" stopIfTrue="1" operator="containsText" text="Muy alto">
      <formula>NOT(ISERROR(SEARCH("Muy alto",U413)))</formula>
    </cfRule>
    <cfRule type="containsText" dxfId="3959" priority="84" stopIfTrue="1" operator="containsText" text="Medio">
      <formula>NOT(ISERROR(SEARCH("Medio",U413)))</formula>
    </cfRule>
    <cfRule type="containsText" dxfId="3958" priority="83" stopIfTrue="1" operator="containsText" text="Bajo">
      <formula>NOT(ISERROR(SEARCH("Bajo",U413)))</formula>
    </cfRule>
    <cfRule type="containsText" dxfId="3957" priority="85" stopIfTrue="1" operator="containsText" text="Alto">
      <formula>NOT(ISERROR(SEARCH("Alto",U413)))</formula>
    </cfRule>
  </conditionalFormatting>
  <conditionalFormatting sqref="U420">
    <cfRule type="containsText" dxfId="3956" priority="32" stopIfTrue="1" operator="containsText" text="Alto">
      <formula>NOT(ISERROR(SEARCH("Alto",U420)))</formula>
    </cfRule>
    <cfRule type="containsText" dxfId="3955" priority="27" stopIfTrue="1" operator="containsText" text="Muy alto">
      <formula>NOT(ISERROR(SEARCH("Muy alto",U420)))</formula>
    </cfRule>
    <cfRule type="containsText" dxfId="3954" priority="31" stopIfTrue="1" operator="containsText" text="Medio">
      <formula>NOT(ISERROR(SEARCH("Medio",U420)))</formula>
    </cfRule>
    <cfRule type="containsText" dxfId="3953" priority="30" stopIfTrue="1" operator="containsText" text="Bajo">
      <formula>NOT(ISERROR(SEARCH("Bajo",U420)))</formula>
    </cfRule>
  </conditionalFormatting>
  <conditionalFormatting sqref="U434:U435">
    <cfRule type="containsText" dxfId="3952" priority="24" stopIfTrue="1" operator="containsText" text="Bajo">
      <formula>NOT(ISERROR(SEARCH("Bajo",U434)))</formula>
    </cfRule>
    <cfRule type="containsText" dxfId="3951" priority="21" stopIfTrue="1" operator="containsText" text="Muy alto">
      <formula>NOT(ISERROR(SEARCH("Muy alto",U434)))</formula>
    </cfRule>
    <cfRule type="containsText" dxfId="3950" priority="26" stopIfTrue="1" operator="containsText" text="Alto">
      <formula>NOT(ISERROR(SEARCH("Alto",U434)))</formula>
    </cfRule>
    <cfRule type="containsText" dxfId="3949" priority="25" stopIfTrue="1" operator="containsText" text="Medio">
      <formula>NOT(ISERROR(SEARCH("Medio",U434)))</formula>
    </cfRule>
  </conditionalFormatting>
  <conditionalFormatting sqref="U436:U439">
    <cfRule type="containsText" dxfId="3948" priority="66" stopIfTrue="1" operator="containsText" text="Medio">
      <formula>NOT(ISERROR(SEARCH("Medio",U436)))</formula>
    </cfRule>
    <cfRule type="containsText" dxfId="3947" priority="54" stopIfTrue="1" operator="containsText" text="Muy alto">
      <formula>NOT(ISERROR(SEARCH("Muy alto",U436)))</formula>
    </cfRule>
    <cfRule type="containsText" dxfId="3946" priority="65" stopIfTrue="1" operator="containsText" text="Bajo">
      <formula>NOT(ISERROR(SEARCH("Bajo",U436)))</formula>
    </cfRule>
    <cfRule type="containsText" dxfId="3945" priority="67" stopIfTrue="1" operator="containsText" text="Alto">
      <formula>NOT(ISERROR(SEARCH("Alto",U436)))</formula>
    </cfRule>
  </conditionalFormatting>
  <conditionalFormatting sqref="V7:V258">
    <cfRule type="containsText" dxfId="3944" priority="6204" stopIfTrue="1" operator="containsText" text="Mortal o catastrófico">
      <formula>NOT(ISERROR(SEARCH("Mortal o catastrófico",V7)))</formula>
    </cfRule>
    <cfRule type="containsText" dxfId="3943" priority="6205" stopIfTrue="1" operator="containsText" text="Leve">
      <formula>NOT(ISERROR(SEARCH("Leve",V7)))</formula>
    </cfRule>
    <cfRule type="containsText" dxfId="3942" priority="6206" stopIfTrue="1" operator="containsText" text="Grave">
      <formula>NOT(ISERROR(SEARCH("Grave",V7)))</formula>
    </cfRule>
  </conditionalFormatting>
  <conditionalFormatting sqref="V7:V284">
    <cfRule type="containsText" dxfId="3941" priority="5161" stopIfTrue="1" operator="containsText" text="Muy Grave">
      <formula>NOT(ISERROR(SEARCH("Muy Grave",V7)))</formula>
    </cfRule>
  </conditionalFormatting>
  <conditionalFormatting sqref="V259">
    <cfRule type="containsText" dxfId="3940" priority="5859" stopIfTrue="1" operator="containsText" text="Grave">
      <formula>NOT(ISERROR(SEARCH("Grave",V259)))</formula>
    </cfRule>
    <cfRule type="containsText" dxfId="3939" priority="5858" stopIfTrue="1" operator="containsText" text="Leve">
      <formula>NOT(ISERROR(SEARCH("Leve",V259)))</formula>
    </cfRule>
    <cfRule type="containsText" dxfId="3938" priority="5857" stopIfTrue="1" operator="containsText" text="Mortal o catastrófico">
      <formula>NOT(ISERROR(SEARCH("Mortal o catastrófico",V259)))</formula>
    </cfRule>
  </conditionalFormatting>
  <conditionalFormatting sqref="V260">
    <cfRule type="containsText" dxfId="3937" priority="5823" stopIfTrue="1" operator="containsText" text="Grave">
      <formula>NOT(ISERROR(SEARCH("Grave",V260)))</formula>
    </cfRule>
    <cfRule type="containsText" dxfId="3936" priority="5821" stopIfTrue="1" operator="containsText" text="Mortal o catastrófico">
      <formula>NOT(ISERROR(SEARCH("Mortal o catastrófico",V260)))</formula>
    </cfRule>
    <cfRule type="containsText" dxfId="3935" priority="5822" stopIfTrue="1" operator="containsText" text="Leve">
      <formula>NOT(ISERROR(SEARCH("Leve",V260)))</formula>
    </cfRule>
  </conditionalFormatting>
  <conditionalFormatting sqref="V261:V262">
    <cfRule type="containsText" dxfId="3934" priority="6155" stopIfTrue="1" operator="containsText" text="Mortal o catastrófico">
      <formula>NOT(ISERROR(SEARCH("Mortal o catastrófico",V261)))</formula>
    </cfRule>
    <cfRule type="containsText" dxfId="3933" priority="6156" stopIfTrue="1" operator="containsText" text="Leve">
      <formula>NOT(ISERROR(SEARCH("Leve",V261)))</formula>
    </cfRule>
    <cfRule type="containsText" dxfId="3932" priority="6157" stopIfTrue="1" operator="containsText" text="Grave">
      <formula>NOT(ISERROR(SEARCH("Grave",V261)))</formula>
    </cfRule>
  </conditionalFormatting>
  <conditionalFormatting sqref="V263">
    <cfRule type="containsText" dxfId="3931" priority="6111" stopIfTrue="1" operator="containsText" text="Leve">
      <formula>NOT(ISERROR(SEARCH("Leve",V263)))</formula>
    </cfRule>
    <cfRule type="containsText" dxfId="3930" priority="6112" stopIfTrue="1" operator="containsText" text="Grave">
      <formula>NOT(ISERROR(SEARCH("Grave",V263)))</formula>
    </cfRule>
    <cfRule type="containsText" dxfId="3929" priority="6110" stopIfTrue="1" operator="containsText" text="Mortal o catastrófico">
      <formula>NOT(ISERROR(SEARCH("Mortal o catastrófico",V263)))</formula>
    </cfRule>
  </conditionalFormatting>
  <conditionalFormatting sqref="V264">
    <cfRule type="containsText" dxfId="3928" priority="5974" stopIfTrue="1" operator="containsText" text="Mortal o catastrófico">
      <formula>NOT(ISERROR(SEARCH("Mortal o catastrófico",V264)))</formula>
    </cfRule>
    <cfRule type="containsText" dxfId="3927" priority="5975" stopIfTrue="1" operator="containsText" text="Leve">
      <formula>NOT(ISERROR(SEARCH("Leve",V264)))</formula>
    </cfRule>
    <cfRule type="containsText" dxfId="3926" priority="5976" stopIfTrue="1" operator="containsText" text="Grave">
      <formula>NOT(ISERROR(SEARCH("Grave",V264)))</formula>
    </cfRule>
  </conditionalFormatting>
  <conditionalFormatting sqref="V265">
    <cfRule type="containsText" dxfId="3925" priority="5933" stopIfTrue="1" operator="containsText" text="Grave">
      <formula>NOT(ISERROR(SEARCH("Grave",V265)))</formula>
    </cfRule>
    <cfRule type="containsText" dxfId="3924" priority="5932" stopIfTrue="1" operator="containsText" text="Leve">
      <formula>NOT(ISERROR(SEARCH("Leve",V265)))</formula>
    </cfRule>
    <cfRule type="containsText" dxfId="3923" priority="5931" stopIfTrue="1" operator="containsText" text="Mortal o catastrófico">
      <formula>NOT(ISERROR(SEARCH("Mortal o catastrófico",V265)))</formula>
    </cfRule>
  </conditionalFormatting>
  <conditionalFormatting sqref="V266">
    <cfRule type="containsText" dxfId="3922" priority="6036" stopIfTrue="1" operator="containsText" text="Leve">
      <formula>NOT(ISERROR(SEARCH("Leve",V266)))</formula>
    </cfRule>
    <cfRule type="containsText" dxfId="3921" priority="6035" stopIfTrue="1" operator="containsText" text="Mortal o catastrófico">
      <formula>NOT(ISERROR(SEARCH("Mortal o catastrófico",V266)))</formula>
    </cfRule>
    <cfRule type="containsText" dxfId="3920" priority="6037" stopIfTrue="1" operator="containsText" text="Grave">
      <formula>NOT(ISERROR(SEARCH("Grave",V266)))</formula>
    </cfRule>
  </conditionalFormatting>
  <conditionalFormatting sqref="V267">
    <cfRule type="containsText" dxfId="3919" priority="6016" stopIfTrue="1" operator="containsText" text="Leve">
      <formula>NOT(ISERROR(SEARCH("Leve",V267)))</formula>
    </cfRule>
    <cfRule type="containsText" dxfId="3918" priority="6015" stopIfTrue="1" operator="containsText" text="Mortal o catastrófico">
      <formula>NOT(ISERROR(SEARCH("Mortal o catastrófico",V267)))</formula>
    </cfRule>
    <cfRule type="containsText" dxfId="3917" priority="6017" stopIfTrue="1" operator="containsText" text="Grave">
      <formula>NOT(ISERROR(SEARCH("Grave",V267)))</formula>
    </cfRule>
  </conditionalFormatting>
  <conditionalFormatting sqref="V268">
    <cfRule type="containsText" dxfId="3916" priority="6078" stopIfTrue="1" operator="containsText" text="Grave">
      <formula>NOT(ISERROR(SEARCH("Grave",V268)))</formula>
    </cfRule>
    <cfRule type="containsText" dxfId="3915" priority="6076" stopIfTrue="1" operator="containsText" text="Mortal o catastrófico">
      <formula>NOT(ISERROR(SEARCH("Mortal o catastrófico",V268)))</formula>
    </cfRule>
    <cfRule type="containsText" dxfId="3914" priority="6077" stopIfTrue="1" operator="containsText" text="Leve">
      <formula>NOT(ISERROR(SEARCH("Leve",V268)))</formula>
    </cfRule>
  </conditionalFormatting>
  <conditionalFormatting sqref="V269">
    <cfRule type="containsText" dxfId="3913" priority="5893" stopIfTrue="1" operator="containsText" text="Mortal o catastrófico">
      <formula>NOT(ISERROR(SEARCH("Mortal o catastrófico",V269)))</formula>
    </cfRule>
    <cfRule type="containsText" dxfId="3912" priority="5894" stopIfTrue="1" operator="containsText" text="Leve">
      <formula>NOT(ISERROR(SEARCH("Leve",V269)))</formula>
    </cfRule>
    <cfRule type="containsText" dxfId="3911" priority="5895" stopIfTrue="1" operator="containsText" text="Grave">
      <formula>NOT(ISERROR(SEARCH("Grave",V269)))</formula>
    </cfRule>
  </conditionalFormatting>
  <conditionalFormatting sqref="V270">
    <cfRule type="containsText" dxfId="3910" priority="5727" stopIfTrue="1" operator="containsText" text="Grave">
      <formula>NOT(ISERROR(SEARCH("Grave",V270)))</formula>
    </cfRule>
    <cfRule type="containsText" dxfId="3909" priority="5726" stopIfTrue="1" operator="containsText" text="Leve">
      <formula>NOT(ISERROR(SEARCH("Leve",V270)))</formula>
    </cfRule>
    <cfRule type="containsText" dxfId="3908" priority="5725" stopIfTrue="1" operator="containsText" text="Mortal o catastrófico">
      <formula>NOT(ISERROR(SEARCH("Mortal o catastrófico",V270)))</formula>
    </cfRule>
  </conditionalFormatting>
  <conditionalFormatting sqref="V271">
    <cfRule type="containsText" dxfId="3907" priority="5294" stopIfTrue="1" operator="containsText" text="Mortal o catastrófico">
      <formula>NOT(ISERROR(SEARCH("Mortal o catastrófico",V271)))</formula>
    </cfRule>
    <cfRule type="containsText" dxfId="3906" priority="5295" stopIfTrue="1" operator="containsText" text="Leve">
      <formula>NOT(ISERROR(SEARCH("Leve",V271)))</formula>
    </cfRule>
    <cfRule type="containsText" dxfId="3905" priority="5296" stopIfTrue="1" operator="containsText" text="Grave">
      <formula>NOT(ISERROR(SEARCH("Grave",V271)))</formula>
    </cfRule>
  </conditionalFormatting>
  <conditionalFormatting sqref="V272">
    <cfRule type="containsText" dxfId="3904" priority="5260" stopIfTrue="1" operator="containsText" text="Grave">
      <formula>NOT(ISERROR(SEARCH("Grave",V272)))</formula>
    </cfRule>
    <cfRule type="containsText" dxfId="3903" priority="5259" stopIfTrue="1" operator="containsText" text="Leve">
      <formula>NOT(ISERROR(SEARCH("Leve",V272)))</formula>
    </cfRule>
    <cfRule type="containsText" dxfId="3902" priority="5258" stopIfTrue="1" operator="containsText" text="Mortal o catastrófico">
      <formula>NOT(ISERROR(SEARCH("Mortal o catastrófico",V272)))</formula>
    </cfRule>
  </conditionalFormatting>
  <conditionalFormatting sqref="V273">
    <cfRule type="containsText" dxfId="3901" priority="5678" stopIfTrue="1" operator="containsText" text="Grave">
      <formula>NOT(ISERROR(SEARCH("Grave",V273)))</formula>
    </cfRule>
    <cfRule type="containsText" dxfId="3900" priority="5677" stopIfTrue="1" operator="containsText" text="Leve">
      <formula>NOT(ISERROR(SEARCH("Leve",V273)))</formula>
    </cfRule>
    <cfRule type="containsText" dxfId="3899" priority="5676" stopIfTrue="1" operator="containsText" text="Mortal o catastrófico">
      <formula>NOT(ISERROR(SEARCH("Mortal o catastrófico",V273)))</formula>
    </cfRule>
  </conditionalFormatting>
  <conditionalFormatting sqref="V274">
    <cfRule type="containsText" dxfId="3898" priority="5768" stopIfTrue="1" operator="containsText" text="Mortal o catastrófico">
      <formula>NOT(ISERROR(SEARCH("Mortal o catastrófico",V274)))</formula>
    </cfRule>
    <cfRule type="containsText" dxfId="3897" priority="5769" stopIfTrue="1" operator="containsText" text="Leve">
      <formula>NOT(ISERROR(SEARCH("Leve",V274)))</formula>
    </cfRule>
    <cfRule type="containsText" dxfId="3896" priority="5770" stopIfTrue="1" operator="containsText" text="Grave">
      <formula>NOT(ISERROR(SEARCH("Grave",V274)))</formula>
    </cfRule>
  </conditionalFormatting>
  <conditionalFormatting sqref="V275">
    <cfRule type="containsText" dxfId="3895" priority="5633" stopIfTrue="1" operator="containsText" text="Grave">
      <formula>NOT(ISERROR(SEARCH("Grave",V275)))</formula>
    </cfRule>
    <cfRule type="containsText" dxfId="3894" priority="5632" stopIfTrue="1" operator="containsText" text="Leve">
      <formula>NOT(ISERROR(SEARCH("Leve",V275)))</formula>
    </cfRule>
    <cfRule type="containsText" dxfId="3893" priority="5631" stopIfTrue="1" operator="containsText" text="Mortal o catastrófico">
      <formula>NOT(ISERROR(SEARCH("Mortal o catastrófico",V275)))</formula>
    </cfRule>
  </conditionalFormatting>
  <conditionalFormatting sqref="V276">
    <cfRule type="containsText" dxfId="3892" priority="5458" stopIfTrue="1" operator="containsText" text="Grave">
      <formula>NOT(ISERROR(SEARCH("Grave",V276)))</formula>
    </cfRule>
    <cfRule type="containsText" dxfId="3891" priority="5457" stopIfTrue="1" operator="containsText" text="Leve">
      <formula>NOT(ISERROR(SEARCH("Leve",V276)))</formula>
    </cfRule>
    <cfRule type="containsText" dxfId="3890" priority="5456" stopIfTrue="1" operator="containsText" text="Mortal o catastrófico">
      <formula>NOT(ISERROR(SEARCH("Mortal o catastrófico",V276)))</formula>
    </cfRule>
  </conditionalFormatting>
  <conditionalFormatting sqref="V277">
    <cfRule type="containsText" dxfId="3889" priority="5495" stopIfTrue="1" operator="containsText" text="Mortal o catastrófico">
      <formula>NOT(ISERROR(SEARCH("Mortal o catastrófico",V277)))</formula>
    </cfRule>
    <cfRule type="containsText" dxfId="3888" priority="5496" stopIfTrue="1" operator="containsText" text="Leve">
      <formula>NOT(ISERROR(SEARCH("Leve",V277)))</formula>
    </cfRule>
    <cfRule type="containsText" dxfId="3887" priority="5497" stopIfTrue="1" operator="containsText" text="Grave">
      <formula>NOT(ISERROR(SEARCH("Grave",V277)))</formula>
    </cfRule>
  </conditionalFormatting>
  <conditionalFormatting sqref="V278">
    <cfRule type="containsText" dxfId="3886" priority="5413" stopIfTrue="1" operator="containsText" text="Mortal o catastrófico">
      <formula>NOT(ISERROR(SEARCH("Mortal o catastrófico",V278)))</formula>
    </cfRule>
    <cfRule type="containsText" dxfId="3885" priority="5414" stopIfTrue="1" operator="containsText" text="Leve">
      <formula>NOT(ISERROR(SEARCH("Leve",V278)))</formula>
    </cfRule>
    <cfRule type="containsText" dxfId="3884" priority="5415" stopIfTrue="1" operator="containsText" text="Grave">
      <formula>NOT(ISERROR(SEARCH("Grave",V278)))</formula>
    </cfRule>
  </conditionalFormatting>
  <conditionalFormatting sqref="V279">
    <cfRule type="containsText" dxfId="3883" priority="5556" stopIfTrue="1" operator="containsText" text="Mortal o catastrófico">
      <formula>NOT(ISERROR(SEARCH("Mortal o catastrófico",V279)))</formula>
    </cfRule>
    <cfRule type="containsText" dxfId="3882" priority="5558" stopIfTrue="1" operator="containsText" text="Grave">
      <formula>NOT(ISERROR(SEARCH("Grave",V279)))</formula>
    </cfRule>
    <cfRule type="containsText" dxfId="3881" priority="5557" stopIfTrue="1" operator="containsText" text="Leve">
      <formula>NOT(ISERROR(SEARCH("Leve",V279)))</formula>
    </cfRule>
  </conditionalFormatting>
  <conditionalFormatting sqref="V280">
    <cfRule type="containsText" dxfId="3880" priority="5536" stopIfTrue="1" operator="containsText" text="Mortal o catastrófico">
      <formula>NOT(ISERROR(SEARCH("Mortal o catastrófico",V280)))</formula>
    </cfRule>
    <cfRule type="containsText" dxfId="3879" priority="5537" stopIfTrue="1" operator="containsText" text="Leve">
      <formula>NOT(ISERROR(SEARCH("Leve",V280)))</formula>
    </cfRule>
    <cfRule type="containsText" dxfId="3878" priority="5538" stopIfTrue="1" operator="containsText" text="Grave">
      <formula>NOT(ISERROR(SEARCH("Grave",V280)))</formula>
    </cfRule>
  </conditionalFormatting>
  <conditionalFormatting sqref="V281">
    <cfRule type="containsText" dxfId="3877" priority="5353" stopIfTrue="1" operator="containsText" text="Grave">
      <formula>NOT(ISERROR(SEARCH("Grave",V281)))</formula>
    </cfRule>
    <cfRule type="containsText" dxfId="3876" priority="5352" stopIfTrue="1" operator="containsText" text="Leve">
      <formula>NOT(ISERROR(SEARCH("Leve",V281)))</formula>
    </cfRule>
    <cfRule type="containsText" dxfId="3875" priority="5351" stopIfTrue="1" operator="containsText" text="Mortal o catastrófico">
      <formula>NOT(ISERROR(SEARCH("Mortal o catastrófico",V281)))</formula>
    </cfRule>
  </conditionalFormatting>
  <conditionalFormatting sqref="V282">
    <cfRule type="containsText" dxfId="3874" priority="5597" stopIfTrue="1" operator="containsText" text="Mortal o catastrófico">
      <formula>NOT(ISERROR(SEARCH("Mortal o catastrófico",V282)))</formula>
    </cfRule>
    <cfRule type="containsText" dxfId="3873" priority="5598" stopIfTrue="1" operator="containsText" text="Leve">
      <formula>NOT(ISERROR(SEARCH("Leve",V282)))</formula>
    </cfRule>
    <cfRule type="containsText" dxfId="3872" priority="5599" stopIfTrue="1" operator="containsText" text="Grave">
      <formula>NOT(ISERROR(SEARCH("Grave",V282)))</formula>
    </cfRule>
  </conditionalFormatting>
  <conditionalFormatting sqref="V283">
    <cfRule type="containsText" dxfId="3871" priority="5377" stopIfTrue="1" operator="containsText" text="Grave">
      <formula>NOT(ISERROR(SEARCH("Grave",V283)))</formula>
    </cfRule>
    <cfRule type="containsText" dxfId="3870" priority="5376" stopIfTrue="1" operator="containsText" text="Leve">
      <formula>NOT(ISERROR(SEARCH("Leve",V283)))</formula>
    </cfRule>
    <cfRule type="containsText" dxfId="3869" priority="5375" stopIfTrue="1" operator="containsText" text="Mortal o catastrófico">
      <formula>NOT(ISERROR(SEARCH("Mortal o catastrófico",V283)))</formula>
    </cfRule>
  </conditionalFormatting>
  <conditionalFormatting sqref="V284">
    <cfRule type="containsText" dxfId="3868" priority="5162" stopIfTrue="1" operator="containsText" text="Mortal o catastrófico">
      <formula>NOT(ISERROR(SEARCH("Mortal o catastrófico",V284)))</formula>
    </cfRule>
    <cfRule type="containsText" dxfId="3867" priority="5164" stopIfTrue="1" operator="containsText" text="Grave">
      <formula>NOT(ISERROR(SEARCH("Grave",V284)))</formula>
    </cfRule>
    <cfRule type="containsText" dxfId="3866" priority="5163" stopIfTrue="1" operator="containsText" text="Leve">
      <formula>NOT(ISERROR(SEARCH("Leve",V284)))</formula>
    </cfRule>
  </conditionalFormatting>
  <conditionalFormatting sqref="V285">
    <cfRule type="containsText" dxfId="3865" priority="4731" stopIfTrue="1" operator="containsText" text="Mortal o catastrófico">
      <formula>NOT(ISERROR(SEARCH("Mortal o catastrófico",V285)))</formula>
    </cfRule>
    <cfRule type="containsText" dxfId="3864" priority="4732" stopIfTrue="1" operator="containsText" text="Leve">
      <formula>NOT(ISERROR(SEARCH("Leve",V285)))</formula>
    </cfRule>
    <cfRule type="containsText" dxfId="3863" priority="4730" stopIfTrue="1" operator="containsText" text="Muy Grave">
      <formula>NOT(ISERROR(SEARCH("Muy Grave",V285)))</formula>
    </cfRule>
    <cfRule type="containsText" dxfId="3862" priority="4733" stopIfTrue="1" operator="containsText" text="Grave">
      <formula>NOT(ISERROR(SEARCH("Grave",V285)))</formula>
    </cfRule>
  </conditionalFormatting>
  <conditionalFormatting sqref="V286">
    <cfRule type="containsText" dxfId="3861" priority="4697" stopIfTrue="1" operator="containsText" text="Grave">
      <formula>NOT(ISERROR(SEARCH("Grave",V286)))</formula>
    </cfRule>
    <cfRule type="containsText" dxfId="3860" priority="4694" stopIfTrue="1" operator="containsText" text="Muy Grave">
      <formula>NOT(ISERROR(SEARCH("Muy Grave",V286)))</formula>
    </cfRule>
    <cfRule type="containsText" dxfId="3859" priority="4696" stopIfTrue="1" operator="containsText" text="Leve">
      <formula>NOT(ISERROR(SEARCH("Leve",V286)))</formula>
    </cfRule>
    <cfRule type="containsText" dxfId="3858" priority="4695" stopIfTrue="1" operator="containsText" text="Mortal o catastrófico">
      <formula>NOT(ISERROR(SEARCH("Mortal o catastrófico",V286)))</formula>
    </cfRule>
  </conditionalFormatting>
  <conditionalFormatting sqref="V287">
    <cfRule type="containsText" dxfId="3857" priority="5114" stopIfTrue="1" operator="containsText" text="Leve">
      <formula>NOT(ISERROR(SEARCH("Leve",V287)))</formula>
    </cfRule>
    <cfRule type="containsText" dxfId="3856" priority="5115" stopIfTrue="1" operator="containsText" text="Grave">
      <formula>NOT(ISERROR(SEARCH("Grave",V287)))</formula>
    </cfRule>
    <cfRule type="containsText" dxfId="3855" priority="5113" stopIfTrue="1" operator="containsText" text="Mortal o catastrófico">
      <formula>NOT(ISERROR(SEARCH("Mortal o catastrófico",V287)))</formula>
    </cfRule>
  </conditionalFormatting>
  <conditionalFormatting sqref="V287:V288">
    <cfRule type="containsText" dxfId="3854" priority="5112" stopIfTrue="1" operator="containsText" text="Muy Grave">
      <formula>NOT(ISERROR(SEARCH("Muy Grave",V287)))</formula>
    </cfRule>
  </conditionalFormatting>
  <conditionalFormatting sqref="V288">
    <cfRule type="containsText" dxfId="3853" priority="5207" stopIfTrue="1" operator="containsText" text="Grave">
      <formula>NOT(ISERROR(SEARCH("Grave",V288)))</formula>
    </cfRule>
    <cfRule type="containsText" dxfId="3852" priority="5206" stopIfTrue="1" operator="containsText" text="Leve">
      <formula>NOT(ISERROR(SEARCH("Leve",V288)))</formula>
    </cfRule>
    <cfRule type="containsText" dxfId="3851" priority="5205" stopIfTrue="1" operator="containsText" text="Mortal o catastrófico">
      <formula>NOT(ISERROR(SEARCH("Mortal o catastrófico",V288)))</formula>
    </cfRule>
  </conditionalFormatting>
  <conditionalFormatting sqref="V289">
    <cfRule type="containsText" dxfId="3850" priority="5070" stopIfTrue="1" operator="containsText" text="Grave">
      <formula>NOT(ISERROR(SEARCH("Grave",V289)))</formula>
    </cfRule>
    <cfRule type="containsText" dxfId="3849" priority="5067" stopIfTrue="1" operator="containsText" text="Muy Grave">
      <formula>NOT(ISERROR(SEARCH("Muy Grave",V289)))</formula>
    </cfRule>
    <cfRule type="containsText" dxfId="3848" priority="5068" stopIfTrue="1" operator="containsText" text="Mortal o catastrófico">
      <formula>NOT(ISERROR(SEARCH("Mortal o catastrófico",V289)))</formula>
    </cfRule>
    <cfRule type="containsText" dxfId="3847" priority="5069" stopIfTrue="1" operator="containsText" text="Leve">
      <formula>NOT(ISERROR(SEARCH("Leve",V289)))</formula>
    </cfRule>
  </conditionalFormatting>
  <conditionalFormatting sqref="V290">
    <cfRule type="containsText" dxfId="3846" priority="4894" stopIfTrue="1" operator="containsText" text="Leve">
      <formula>NOT(ISERROR(SEARCH("Leve",V290)))</formula>
    </cfRule>
    <cfRule type="containsText" dxfId="3845" priority="4895" stopIfTrue="1" operator="containsText" text="Grave">
      <formula>NOT(ISERROR(SEARCH("Grave",V290)))</formula>
    </cfRule>
    <cfRule type="containsText" dxfId="3844" priority="4893" stopIfTrue="1" operator="containsText" text="Mortal o catastrófico">
      <formula>NOT(ISERROR(SEARCH("Mortal o catastrófico",V290)))</formula>
    </cfRule>
    <cfRule type="containsText" dxfId="3843" priority="4892" stopIfTrue="1" operator="containsText" text="Muy Grave">
      <formula>NOT(ISERROR(SEARCH("Muy Grave",V290)))</formula>
    </cfRule>
  </conditionalFormatting>
  <conditionalFormatting sqref="V291">
    <cfRule type="containsText" dxfId="3842" priority="4934" stopIfTrue="1" operator="containsText" text="Grave">
      <formula>NOT(ISERROR(SEARCH("Grave",V291)))</formula>
    </cfRule>
    <cfRule type="containsText" dxfId="3841" priority="4931" stopIfTrue="1" operator="containsText" text="Muy Grave">
      <formula>NOT(ISERROR(SEARCH("Muy Grave",V291)))</formula>
    </cfRule>
    <cfRule type="containsText" dxfId="3840" priority="4933" stopIfTrue="1" operator="containsText" text="Leve">
      <formula>NOT(ISERROR(SEARCH("Leve",V291)))</formula>
    </cfRule>
    <cfRule type="containsText" dxfId="3839" priority="4932" stopIfTrue="1" operator="containsText" text="Mortal o catastrófico">
      <formula>NOT(ISERROR(SEARCH("Mortal o catastrófico",V291)))</formula>
    </cfRule>
  </conditionalFormatting>
  <conditionalFormatting sqref="V292">
    <cfRule type="containsText" dxfId="3838" priority="4849" stopIfTrue="1" operator="containsText" text="Muy Grave">
      <formula>NOT(ISERROR(SEARCH("Muy Grave",V292)))</formula>
    </cfRule>
    <cfRule type="containsText" dxfId="3837" priority="4852" stopIfTrue="1" operator="containsText" text="Grave">
      <formula>NOT(ISERROR(SEARCH("Grave",V292)))</formula>
    </cfRule>
    <cfRule type="containsText" dxfId="3836" priority="4851" stopIfTrue="1" operator="containsText" text="Leve">
      <formula>NOT(ISERROR(SEARCH("Leve",V292)))</formula>
    </cfRule>
    <cfRule type="containsText" dxfId="3835" priority="4850" stopIfTrue="1" operator="containsText" text="Mortal o catastrófico">
      <formula>NOT(ISERROR(SEARCH("Mortal o catastrófico",V292)))</formula>
    </cfRule>
  </conditionalFormatting>
  <conditionalFormatting sqref="V293">
    <cfRule type="containsText" dxfId="3834" priority="4995" stopIfTrue="1" operator="containsText" text="Grave">
      <formula>NOT(ISERROR(SEARCH("Grave",V293)))</formula>
    </cfRule>
    <cfRule type="containsText" dxfId="3833" priority="4992" stopIfTrue="1" operator="containsText" text="Muy Grave">
      <formula>NOT(ISERROR(SEARCH("Muy Grave",V293)))</formula>
    </cfRule>
    <cfRule type="containsText" dxfId="3832" priority="4993" stopIfTrue="1" operator="containsText" text="Mortal o catastrófico">
      <formula>NOT(ISERROR(SEARCH("Mortal o catastrófico",V293)))</formula>
    </cfRule>
    <cfRule type="containsText" dxfId="3831" priority="4994" stopIfTrue="1" operator="containsText" text="Leve">
      <formula>NOT(ISERROR(SEARCH("Leve",V293)))</formula>
    </cfRule>
  </conditionalFormatting>
  <conditionalFormatting sqref="V294">
    <cfRule type="containsText" dxfId="3830" priority="4975" stopIfTrue="1" operator="containsText" text="Grave">
      <formula>NOT(ISERROR(SEARCH("Grave",V294)))</formula>
    </cfRule>
    <cfRule type="containsText" dxfId="3829" priority="4974" stopIfTrue="1" operator="containsText" text="Leve">
      <formula>NOT(ISERROR(SEARCH("Leve",V294)))</formula>
    </cfRule>
    <cfRule type="containsText" dxfId="3828" priority="4973" stopIfTrue="1" operator="containsText" text="Mortal o catastrófico">
      <formula>NOT(ISERROR(SEARCH("Mortal o catastrófico",V294)))</formula>
    </cfRule>
    <cfRule type="containsText" dxfId="3827" priority="4972" stopIfTrue="1" operator="containsText" text="Muy Grave">
      <formula>NOT(ISERROR(SEARCH("Muy Grave",V294)))</formula>
    </cfRule>
  </conditionalFormatting>
  <conditionalFormatting sqref="V295">
    <cfRule type="containsText" dxfId="3826" priority="4788" stopIfTrue="1" operator="containsText" text="Mortal o catastrófico">
      <formula>NOT(ISERROR(SEARCH("Mortal o catastrófico",V295)))</formula>
    </cfRule>
    <cfRule type="containsText" dxfId="3825" priority="4790" stopIfTrue="1" operator="containsText" text="Grave">
      <formula>NOT(ISERROR(SEARCH("Grave",V295)))</formula>
    </cfRule>
    <cfRule type="containsText" dxfId="3824" priority="4787" stopIfTrue="1" operator="containsText" text="Muy Grave">
      <formula>NOT(ISERROR(SEARCH("Muy Grave",V295)))</formula>
    </cfRule>
    <cfRule type="containsText" dxfId="3823" priority="4789" stopIfTrue="1" operator="containsText" text="Leve">
      <formula>NOT(ISERROR(SEARCH("Leve",V295)))</formula>
    </cfRule>
  </conditionalFormatting>
  <conditionalFormatting sqref="V296">
    <cfRule type="containsText" dxfId="3822" priority="5034" stopIfTrue="1" operator="containsText" text="Mortal o catastrófico">
      <formula>NOT(ISERROR(SEARCH("Mortal o catastrófico",V296)))</formula>
    </cfRule>
    <cfRule type="containsText" dxfId="3821" priority="5035" stopIfTrue="1" operator="containsText" text="Leve">
      <formula>NOT(ISERROR(SEARCH("Leve",V296)))</formula>
    </cfRule>
    <cfRule type="containsText" dxfId="3820" priority="5036" stopIfTrue="1" operator="containsText" text="Grave">
      <formula>NOT(ISERROR(SEARCH("Grave",V296)))</formula>
    </cfRule>
    <cfRule type="containsText" dxfId="3819" priority="5033" stopIfTrue="1" operator="containsText" text="Muy Grave">
      <formula>NOT(ISERROR(SEARCH("Muy Grave",V296)))</formula>
    </cfRule>
  </conditionalFormatting>
  <conditionalFormatting sqref="V297">
    <cfRule type="containsText" dxfId="3818" priority="4814" stopIfTrue="1" operator="containsText" text="Grave">
      <formula>NOT(ISERROR(SEARCH("Grave",V297)))</formula>
    </cfRule>
    <cfRule type="containsText" dxfId="3817" priority="4812" stopIfTrue="1" operator="containsText" text="Mortal o catastrófico">
      <formula>NOT(ISERROR(SEARCH("Mortal o catastrófico",V297)))</formula>
    </cfRule>
    <cfRule type="containsText" dxfId="3816" priority="4811" stopIfTrue="1" operator="containsText" text="Muy Grave">
      <formula>NOT(ISERROR(SEARCH("Muy Grave",V297)))</formula>
    </cfRule>
    <cfRule type="containsText" dxfId="3815" priority="4813" stopIfTrue="1" operator="containsText" text="Leve">
      <formula>NOT(ISERROR(SEARCH("Leve",V297)))</formula>
    </cfRule>
  </conditionalFormatting>
  <conditionalFormatting sqref="V298">
    <cfRule type="containsText" dxfId="3814" priority="4598" stopIfTrue="1" operator="containsText" text="Muy Grave">
      <formula>NOT(ISERROR(SEARCH("Muy Grave",V298)))</formula>
    </cfRule>
    <cfRule type="containsText" dxfId="3813" priority="4600" stopIfTrue="1" operator="containsText" text="Leve">
      <formula>NOT(ISERROR(SEARCH("Leve",V298)))</formula>
    </cfRule>
    <cfRule type="containsText" dxfId="3812" priority="4601" stopIfTrue="1" operator="containsText" text="Grave">
      <formula>NOT(ISERROR(SEARCH("Grave",V298)))</formula>
    </cfRule>
    <cfRule type="containsText" dxfId="3811" priority="4599" stopIfTrue="1" operator="containsText" text="Mortal o catastrófico">
      <formula>NOT(ISERROR(SEARCH("Mortal o catastrófico",V298)))</formula>
    </cfRule>
  </conditionalFormatting>
  <conditionalFormatting sqref="V299">
    <cfRule type="containsText" dxfId="3810" priority="4170" stopIfTrue="1" operator="containsText" text="Grave">
      <formula>NOT(ISERROR(SEARCH("Grave",V299)))</formula>
    </cfRule>
    <cfRule type="containsText" dxfId="3809" priority="4169" stopIfTrue="1" operator="containsText" text="Leve">
      <formula>NOT(ISERROR(SEARCH("Leve",V299)))</formula>
    </cfRule>
    <cfRule type="containsText" dxfId="3808" priority="4168" stopIfTrue="1" operator="containsText" text="Mortal o catastrófico">
      <formula>NOT(ISERROR(SEARCH("Mortal o catastrófico",V299)))</formula>
    </cfRule>
    <cfRule type="containsText" dxfId="3807" priority="4167" stopIfTrue="1" operator="containsText" text="Muy Grave">
      <formula>NOT(ISERROR(SEARCH("Muy Grave",V299)))</formula>
    </cfRule>
  </conditionalFormatting>
  <conditionalFormatting sqref="V300">
    <cfRule type="containsText" dxfId="3806" priority="4134" stopIfTrue="1" operator="containsText" text="Grave">
      <formula>NOT(ISERROR(SEARCH("Grave",V300)))</formula>
    </cfRule>
    <cfRule type="containsText" dxfId="3805" priority="4133" stopIfTrue="1" operator="containsText" text="Leve">
      <formula>NOT(ISERROR(SEARCH("Leve",V300)))</formula>
    </cfRule>
    <cfRule type="containsText" dxfId="3804" priority="4132" stopIfTrue="1" operator="containsText" text="Mortal o catastrófico">
      <formula>NOT(ISERROR(SEARCH("Mortal o catastrófico",V300)))</formula>
    </cfRule>
    <cfRule type="containsText" dxfId="3803" priority="4131" stopIfTrue="1" operator="containsText" text="Muy Grave">
      <formula>NOT(ISERROR(SEARCH("Muy Grave",V300)))</formula>
    </cfRule>
  </conditionalFormatting>
  <conditionalFormatting sqref="V301">
    <cfRule type="containsText" dxfId="3802" priority="4552" stopIfTrue="1" operator="containsText" text="Grave">
      <formula>NOT(ISERROR(SEARCH("Grave",V301)))</formula>
    </cfRule>
    <cfRule type="containsText" dxfId="3801" priority="4551" stopIfTrue="1" operator="containsText" text="Leve">
      <formula>NOT(ISERROR(SEARCH("Leve",V301)))</formula>
    </cfRule>
    <cfRule type="containsText" dxfId="3800" priority="4550" stopIfTrue="1" operator="containsText" text="Mortal o catastrófico">
      <formula>NOT(ISERROR(SEARCH("Mortal o catastrófico",V301)))</formula>
    </cfRule>
    <cfRule type="containsText" dxfId="3799" priority="4549" stopIfTrue="1" operator="containsText" text="Muy Grave">
      <formula>NOT(ISERROR(SEARCH("Muy Grave",V301)))</formula>
    </cfRule>
  </conditionalFormatting>
  <conditionalFormatting sqref="V302">
    <cfRule type="containsText" dxfId="3798" priority="4641" stopIfTrue="1" operator="containsText" text="Muy Grave">
      <formula>NOT(ISERROR(SEARCH("Muy Grave",V302)))</formula>
    </cfRule>
    <cfRule type="containsText" dxfId="3797" priority="4644" stopIfTrue="1" operator="containsText" text="Grave">
      <formula>NOT(ISERROR(SEARCH("Grave",V302)))</formula>
    </cfRule>
    <cfRule type="containsText" dxfId="3796" priority="4642" stopIfTrue="1" operator="containsText" text="Mortal o catastrófico">
      <formula>NOT(ISERROR(SEARCH("Mortal o catastrófico",V302)))</formula>
    </cfRule>
    <cfRule type="containsText" dxfId="3795" priority="4643" stopIfTrue="1" operator="containsText" text="Leve">
      <formula>NOT(ISERROR(SEARCH("Leve",V302)))</formula>
    </cfRule>
  </conditionalFormatting>
  <conditionalFormatting sqref="V303">
    <cfRule type="containsText" dxfId="3794" priority="4505" stopIfTrue="1" operator="containsText" text="Mortal o catastrófico">
      <formula>NOT(ISERROR(SEARCH("Mortal o catastrófico",V303)))</formula>
    </cfRule>
    <cfRule type="containsText" dxfId="3793" priority="4506" stopIfTrue="1" operator="containsText" text="Leve">
      <formula>NOT(ISERROR(SEARCH("Leve",V303)))</formula>
    </cfRule>
    <cfRule type="containsText" dxfId="3792" priority="4507" stopIfTrue="1" operator="containsText" text="Grave">
      <formula>NOT(ISERROR(SEARCH("Grave",V303)))</formula>
    </cfRule>
    <cfRule type="containsText" dxfId="3791" priority="4504" stopIfTrue="1" operator="containsText" text="Muy Grave">
      <formula>NOT(ISERROR(SEARCH("Muy Grave",V303)))</formula>
    </cfRule>
  </conditionalFormatting>
  <conditionalFormatting sqref="V304">
    <cfRule type="containsText" dxfId="3790" priority="4332" stopIfTrue="1" operator="containsText" text="Grave">
      <formula>NOT(ISERROR(SEARCH("Grave",V304)))</formula>
    </cfRule>
    <cfRule type="containsText" dxfId="3789" priority="4331" stopIfTrue="1" operator="containsText" text="Leve">
      <formula>NOT(ISERROR(SEARCH("Leve",V304)))</formula>
    </cfRule>
    <cfRule type="containsText" dxfId="3788" priority="4330" stopIfTrue="1" operator="containsText" text="Mortal o catastrófico">
      <formula>NOT(ISERROR(SEARCH("Mortal o catastrófico",V304)))</formula>
    </cfRule>
    <cfRule type="containsText" dxfId="3787" priority="4329" stopIfTrue="1" operator="containsText" text="Muy Grave">
      <formula>NOT(ISERROR(SEARCH("Muy Grave",V304)))</formula>
    </cfRule>
  </conditionalFormatting>
  <conditionalFormatting sqref="V305">
    <cfRule type="containsText" dxfId="3786" priority="4371" stopIfTrue="1" operator="containsText" text="Grave">
      <formula>NOT(ISERROR(SEARCH("Grave",V305)))</formula>
    </cfRule>
    <cfRule type="containsText" dxfId="3785" priority="4369" stopIfTrue="1" operator="containsText" text="Mortal o catastrófico">
      <formula>NOT(ISERROR(SEARCH("Mortal o catastrófico",V305)))</formula>
    </cfRule>
    <cfRule type="containsText" dxfId="3784" priority="4368" stopIfTrue="1" operator="containsText" text="Muy Grave">
      <formula>NOT(ISERROR(SEARCH("Muy Grave",V305)))</formula>
    </cfRule>
    <cfRule type="containsText" dxfId="3783" priority="4370" stopIfTrue="1" operator="containsText" text="Leve">
      <formula>NOT(ISERROR(SEARCH("Leve",V305)))</formula>
    </cfRule>
  </conditionalFormatting>
  <conditionalFormatting sqref="V306">
    <cfRule type="containsText" dxfId="3782" priority="4286" stopIfTrue="1" operator="containsText" text="Muy Grave">
      <formula>NOT(ISERROR(SEARCH("Muy Grave",V306)))</formula>
    </cfRule>
    <cfRule type="containsText" dxfId="3781" priority="4289" stopIfTrue="1" operator="containsText" text="Grave">
      <formula>NOT(ISERROR(SEARCH("Grave",V306)))</formula>
    </cfRule>
    <cfRule type="containsText" dxfId="3780" priority="4288" stopIfTrue="1" operator="containsText" text="Leve">
      <formula>NOT(ISERROR(SEARCH("Leve",V306)))</formula>
    </cfRule>
    <cfRule type="containsText" dxfId="3779" priority="4287" stopIfTrue="1" operator="containsText" text="Mortal o catastrófico">
      <formula>NOT(ISERROR(SEARCH("Mortal o catastrófico",V306)))</formula>
    </cfRule>
  </conditionalFormatting>
  <conditionalFormatting sqref="V307">
    <cfRule type="containsText" dxfId="3778" priority="4432" stopIfTrue="1" operator="containsText" text="Grave">
      <formula>NOT(ISERROR(SEARCH("Grave",V307)))</formula>
    </cfRule>
    <cfRule type="containsText" dxfId="3777" priority="4430" stopIfTrue="1" operator="containsText" text="Mortal o catastrófico">
      <formula>NOT(ISERROR(SEARCH("Mortal o catastrófico",V307)))</formula>
    </cfRule>
    <cfRule type="containsText" dxfId="3776" priority="4431" stopIfTrue="1" operator="containsText" text="Leve">
      <formula>NOT(ISERROR(SEARCH("Leve",V307)))</formula>
    </cfRule>
    <cfRule type="containsText" dxfId="3775" priority="4429" stopIfTrue="1" operator="containsText" text="Muy Grave">
      <formula>NOT(ISERROR(SEARCH("Muy Grave",V307)))</formula>
    </cfRule>
  </conditionalFormatting>
  <conditionalFormatting sqref="V308">
    <cfRule type="containsText" dxfId="3774" priority="4411" stopIfTrue="1" operator="containsText" text="Leve">
      <formula>NOT(ISERROR(SEARCH("Leve",V308)))</formula>
    </cfRule>
    <cfRule type="containsText" dxfId="3773" priority="4412" stopIfTrue="1" operator="containsText" text="Grave">
      <formula>NOT(ISERROR(SEARCH("Grave",V308)))</formula>
    </cfRule>
    <cfRule type="containsText" dxfId="3772" priority="4410" stopIfTrue="1" operator="containsText" text="Mortal o catastrófico">
      <formula>NOT(ISERROR(SEARCH("Mortal o catastrófico",V308)))</formula>
    </cfRule>
    <cfRule type="containsText" dxfId="3771" priority="4409" stopIfTrue="1" operator="containsText" text="Muy Grave">
      <formula>NOT(ISERROR(SEARCH("Muy Grave",V308)))</formula>
    </cfRule>
  </conditionalFormatting>
  <conditionalFormatting sqref="V309">
    <cfRule type="containsText" dxfId="3770" priority="4225" stopIfTrue="1" operator="containsText" text="Mortal o catastrófico">
      <formula>NOT(ISERROR(SEARCH("Mortal o catastrófico",V309)))</formula>
    </cfRule>
    <cfRule type="containsText" dxfId="3769" priority="4227" stopIfTrue="1" operator="containsText" text="Grave">
      <formula>NOT(ISERROR(SEARCH("Grave",V309)))</formula>
    </cfRule>
    <cfRule type="containsText" dxfId="3768" priority="4224" stopIfTrue="1" operator="containsText" text="Muy Grave">
      <formula>NOT(ISERROR(SEARCH("Muy Grave",V309)))</formula>
    </cfRule>
    <cfRule type="containsText" dxfId="3767" priority="4226" stopIfTrue="1" operator="containsText" text="Leve">
      <formula>NOT(ISERROR(SEARCH("Leve",V309)))</formula>
    </cfRule>
  </conditionalFormatting>
  <conditionalFormatting sqref="V310">
    <cfRule type="containsText" dxfId="3766" priority="4471" stopIfTrue="1" operator="containsText" text="Mortal o catastrófico">
      <formula>NOT(ISERROR(SEARCH("Mortal o catastrófico",V310)))</formula>
    </cfRule>
    <cfRule type="containsText" dxfId="3765" priority="4472" stopIfTrue="1" operator="containsText" text="Leve">
      <formula>NOT(ISERROR(SEARCH("Leve",V310)))</formula>
    </cfRule>
    <cfRule type="containsText" dxfId="3764" priority="4473" stopIfTrue="1" operator="containsText" text="Grave">
      <formula>NOT(ISERROR(SEARCH("Grave",V310)))</formula>
    </cfRule>
    <cfRule type="containsText" dxfId="3763" priority="4470" stopIfTrue="1" operator="containsText" text="Muy Grave">
      <formula>NOT(ISERROR(SEARCH("Muy Grave",V310)))</formula>
    </cfRule>
  </conditionalFormatting>
  <conditionalFormatting sqref="V311">
    <cfRule type="containsText" dxfId="3762" priority="4250" stopIfTrue="1" operator="containsText" text="Leve">
      <formula>NOT(ISERROR(SEARCH("Leve",V311)))</formula>
    </cfRule>
    <cfRule type="containsText" dxfId="3761" priority="4249" stopIfTrue="1" operator="containsText" text="Mortal o catastrófico">
      <formula>NOT(ISERROR(SEARCH("Mortal o catastrófico",V311)))</formula>
    </cfRule>
    <cfRule type="containsText" dxfId="3760" priority="4248" stopIfTrue="1" operator="containsText" text="Muy Grave">
      <formula>NOT(ISERROR(SEARCH("Muy Grave",V311)))</formula>
    </cfRule>
    <cfRule type="containsText" dxfId="3759" priority="4251" stopIfTrue="1" operator="containsText" text="Grave">
      <formula>NOT(ISERROR(SEARCH("Grave",V311)))</formula>
    </cfRule>
  </conditionalFormatting>
  <conditionalFormatting sqref="V312">
    <cfRule type="containsText" dxfId="3758" priority="4032" stopIfTrue="1" operator="containsText" text="Leve">
      <formula>NOT(ISERROR(SEARCH("Leve",V312)))</formula>
    </cfRule>
    <cfRule type="containsText" dxfId="3757" priority="4030" stopIfTrue="1" operator="containsText" text="Muy Grave">
      <formula>NOT(ISERROR(SEARCH("Muy Grave",V312)))</formula>
    </cfRule>
    <cfRule type="containsText" dxfId="3756" priority="4033" stopIfTrue="1" operator="containsText" text="Grave">
      <formula>NOT(ISERROR(SEARCH("Grave",V312)))</formula>
    </cfRule>
    <cfRule type="containsText" dxfId="3755" priority="4031" stopIfTrue="1" operator="containsText" text="Mortal o catastrófico">
      <formula>NOT(ISERROR(SEARCH("Mortal o catastrófico",V312)))</formula>
    </cfRule>
  </conditionalFormatting>
  <conditionalFormatting sqref="V313">
    <cfRule type="containsText" dxfId="3754" priority="3717" stopIfTrue="1" operator="containsText" text="Leve">
      <formula>NOT(ISERROR(SEARCH("Leve",V313)))</formula>
    </cfRule>
    <cfRule type="containsText" dxfId="3753" priority="3716" stopIfTrue="1" operator="containsText" text="Mortal o catastrófico">
      <formula>NOT(ISERROR(SEARCH("Mortal o catastrófico",V313)))</formula>
    </cfRule>
    <cfRule type="containsText" dxfId="3752" priority="3715" stopIfTrue="1" operator="containsText" text="Muy Grave">
      <formula>NOT(ISERROR(SEARCH("Muy Grave",V313)))</formula>
    </cfRule>
    <cfRule type="containsText" dxfId="3751" priority="3718" stopIfTrue="1" operator="containsText" text="Grave">
      <formula>NOT(ISERROR(SEARCH("Grave",V313)))</formula>
    </cfRule>
  </conditionalFormatting>
  <conditionalFormatting sqref="V314">
    <cfRule type="containsText" dxfId="3750" priority="3679" stopIfTrue="1" operator="containsText" text="Muy Grave">
      <formula>NOT(ISERROR(SEARCH("Muy Grave",V314)))</formula>
    </cfRule>
    <cfRule type="containsText" dxfId="3749" priority="3681" stopIfTrue="1" operator="containsText" text="Leve">
      <formula>NOT(ISERROR(SEARCH("Leve",V314)))</formula>
    </cfRule>
    <cfRule type="containsText" dxfId="3748" priority="3680" stopIfTrue="1" operator="containsText" text="Mortal o catastrófico">
      <formula>NOT(ISERROR(SEARCH("Mortal o catastrófico",V314)))</formula>
    </cfRule>
    <cfRule type="containsText" dxfId="3747" priority="3682" stopIfTrue="1" operator="containsText" text="Grave">
      <formula>NOT(ISERROR(SEARCH("Grave",V314)))</formula>
    </cfRule>
  </conditionalFormatting>
  <conditionalFormatting sqref="V315">
    <cfRule type="containsText" dxfId="3746" priority="3988" stopIfTrue="1" operator="containsText" text="Grave">
      <formula>NOT(ISERROR(SEARCH("Grave",V315)))</formula>
    </cfRule>
    <cfRule type="containsText" dxfId="3745" priority="3985" stopIfTrue="1" operator="containsText" text="Muy Grave">
      <formula>NOT(ISERROR(SEARCH("Muy Grave",V315)))</formula>
    </cfRule>
    <cfRule type="containsText" dxfId="3744" priority="3987" stopIfTrue="1" operator="containsText" text="Leve">
      <formula>NOT(ISERROR(SEARCH("Leve",V315)))</formula>
    </cfRule>
    <cfRule type="containsText" dxfId="3743" priority="3986" stopIfTrue="1" operator="containsText" text="Mortal o catastrófico">
      <formula>NOT(ISERROR(SEARCH("Mortal o catastrófico",V315)))</formula>
    </cfRule>
  </conditionalFormatting>
  <conditionalFormatting sqref="V316">
    <cfRule type="containsText" dxfId="3742" priority="4071" stopIfTrue="1" operator="containsText" text="Leve">
      <formula>NOT(ISERROR(SEARCH("Leve",V316)))</formula>
    </cfRule>
    <cfRule type="containsText" dxfId="3741" priority="4072" stopIfTrue="1" operator="containsText" text="Grave">
      <formula>NOT(ISERROR(SEARCH("Grave",V316)))</formula>
    </cfRule>
    <cfRule type="containsText" dxfId="3740" priority="4069" stopIfTrue="1" operator="containsText" text="Muy Grave">
      <formula>NOT(ISERROR(SEARCH("Muy Grave",V316)))</formula>
    </cfRule>
    <cfRule type="containsText" dxfId="3739" priority="4070" stopIfTrue="1" operator="containsText" text="Mortal o catastrófico">
      <formula>NOT(ISERROR(SEARCH("Mortal o catastrófico",V316)))</formula>
    </cfRule>
  </conditionalFormatting>
  <conditionalFormatting sqref="V317">
    <cfRule type="containsText" dxfId="3738" priority="3945" stopIfTrue="1" operator="containsText" text="Mortal o catastrófico">
      <formula>NOT(ISERROR(SEARCH("Mortal o catastrófico",V317)))</formula>
    </cfRule>
    <cfRule type="containsText" dxfId="3737" priority="3944" stopIfTrue="1" operator="containsText" text="Muy Grave">
      <formula>NOT(ISERROR(SEARCH("Muy Grave",V317)))</formula>
    </cfRule>
    <cfRule type="containsText" dxfId="3736" priority="3947" stopIfTrue="1" operator="containsText" text="Grave">
      <formula>NOT(ISERROR(SEARCH("Grave",V317)))</formula>
    </cfRule>
    <cfRule type="containsText" dxfId="3735" priority="3946" stopIfTrue="1" operator="containsText" text="Leve">
      <formula>NOT(ISERROR(SEARCH("Leve",V317)))</formula>
    </cfRule>
  </conditionalFormatting>
  <conditionalFormatting sqref="V318">
    <cfRule type="containsText" dxfId="3734" priority="3816" stopIfTrue="1" operator="containsText" text="Muy Grave">
      <formula>NOT(ISERROR(SEARCH("Muy Grave",V318)))</formula>
    </cfRule>
    <cfRule type="containsText" dxfId="3733" priority="3817" stopIfTrue="1" operator="containsText" text="Mortal o catastrófico">
      <formula>NOT(ISERROR(SEARCH("Mortal o catastrófico",V318)))</formula>
    </cfRule>
    <cfRule type="containsText" dxfId="3732" priority="3818" stopIfTrue="1" operator="containsText" text="Leve">
      <formula>NOT(ISERROR(SEARCH("Leve",V318)))</formula>
    </cfRule>
    <cfRule type="containsText" dxfId="3731" priority="3819" stopIfTrue="1" operator="containsText" text="Grave">
      <formula>NOT(ISERROR(SEARCH("Grave",V318)))</formula>
    </cfRule>
  </conditionalFormatting>
  <conditionalFormatting sqref="V319">
    <cfRule type="containsText" dxfId="3730" priority="3780" stopIfTrue="1" operator="containsText" text="Grave">
      <formula>NOT(ISERROR(SEARCH("Grave",V319)))</formula>
    </cfRule>
    <cfRule type="containsText" dxfId="3729" priority="3779" stopIfTrue="1" operator="containsText" text="Leve">
      <formula>NOT(ISERROR(SEARCH("Leve",V319)))</formula>
    </cfRule>
    <cfRule type="containsText" dxfId="3728" priority="3777" stopIfTrue="1" operator="containsText" text="Muy Grave">
      <formula>NOT(ISERROR(SEARCH("Muy Grave",V319)))</formula>
    </cfRule>
    <cfRule type="containsText" dxfId="3727" priority="3778" stopIfTrue="1" operator="containsText" text="Mortal o catastrófico">
      <formula>NOT(ISERROR(SEARCH("Mortal o catastrófico",V319)))</formula>
    </cfRule>
  </conditionalFormatting>
  <conditionalFormatting sqref="V320">
    <cfRule type="containsText" dxfId="3726" priority="3880" stopIfTrue="1" operator="containsText" text="Grave">
      <formula>NOT(ISERROR(SEARCH("Grave",V320)))</formula>
    </cfRule>
    <cfRule type="containsText" dxfId="3725" priority="3879" stopIfTrue="1" operator="containsText" text="Leve">
      <formula>NOT(ISERROR(SEARCH("Leve",V320)))</formula>
    </cfRule>
    <cfRule type="containsText" dxfId="3724" priority="3878" stopIfTrue="1" operator="containsText" text="Mortal o catastrófico">
      <formula>NOT(ISERROR(SEARCH("Mortal o catastrófico",V320)))</formula>
    </cfRule>
    <cfRule type="containsText" dxfId="3723" priority="3877" stopIfTrue="1" operator="containsText" text="Muy Grave">
      <formula>NOT(ISERROR(SEARCH("Muy Grave",V320)))</formula>
    </cfRule>
  </conditionalFormatting>
  <conditionalFormatting sqref="V321">
    <cfRule type="containsText" dxfId="3722" priority="3860" stopIfTrue="1" operator="containsText" text="Grave">
      <formula>NOT(ISERROR(SEARCH("Grave",V321)))</formula>
    </cfRule>
    <cfRule type="containsText" dxfId="3721" priority="3859" stopIfTrue="1" operator="containsText" text="Leve">
      <formula>NOT(ISERROR(SEARCH("Leve",V321)))</formula>
    </cfRule>
    <cfRule type="containsText" dxfId="3720" priority="3858" stopIfTrue="1" operator="containsText" text="Mortal o catastrófico">
      <formula>NOT(ISERROR(SEARCH("Mortal o catastrófico",V321)))</formula>
    </cfRule>
    <cfRule type="containsText" dxfId="3719" priority="3857" stopIfTrue="1" operator="containsText" text="Muy Grave">
      <formula>NOT(ISERROR(SEARCH("Muy Grave",V321)))</formula>
    </cfRule>
  </conditionalFormatting>
  <conditionalFormatting sqref="V322">
    <cfRule type="containsText" dxfId="3718" priority="3917" stopIfTrue="1" operator="containsText" text="Grave">
      <formula>NOT(ISERROR(SEARCH("Grave",V322)))</formula>
    </cfRule>
    <cfRule type="containsText" dxfId="3717" priority="3915" stopIfTrue="1" operator="containsText" text="Mortal o catastrófico">
      <formula>NOT(ISERROR(SEARCH("Mortal o catastrófico",V322)))</formula>
    </cfRule>
    <cfRule type="containsText" dxfId="3716" priority="3914" stopIfTrue="1" operator="containsText" text="Muy Grave">
      <formula>NOT(ISERROR(SEARCH("Muy Grave",V322)))</formula>
    </cfRule>
    <cfRule type="containsText" dxfId="3715" priority="3916" stopIfTrue="1" operator="containsText" text="Leve">
      <formula>NOT(ISERROR(SEARCH("Leve",V322)))</formula>
    </cfRule>
  </conditionalFormatting>
  <conditionalFormatting sqref="V323">
    <cfRule type="containsText" dxfId="3714" priority="3749" stopIfTrue="1" operator="containsText" text="Leve">
      <formula>NOT(ISERROR(SEARCH("Leve",V323)))</formula>
    </cfRule>
    <cfRule type="containsText" dxfId="3713" priority="3750" stopIfTrue="1" operator="containsText" text="Grave">
      <formula>NOT(ISERROR(SEARCH("Grave",V323)))</formula>
    </cfRule>
    <cfRule type="containsText" dxfId="3712" priority="3748" stopIfTrue="1" operator="containsText" text="Mortal o catastrófico">
      <formula>NOT(ISERROR(SEARCH("Mortal o catastrófico",V323)))</formula>
    </cfRule>
    <cfRule type="containsText" dxfId="3711" priority="3747" stopIfTrue="1" operator="containsText" text="Muy Grave">
      <formula>NOT(ISERROR(SEARCH("Muy Grave",V323)))</formula>
    </cfRule>
  </conditionalFormatting>
  <conditionalFormatting sqref="V324">
    <cfRule type="containsText" dxfId="3710" priority="3589" stopIfTrue="1" operator="containsText" text="Leve">
      <formula>NOT(ISERROR(SEARCH("Leve",V324)))</formula>
    </cfRule>
    <cfRule type="containsText" dxfId="3709" priority="3590" stopIfTrue="1" operator="containsText" text="Grave">
      <formula>NOT(ISERROR(SEARCH("Grave",V324)))</formula>
    </cfRule>
    <cfRule type="containsText" dxfId="3708" priority="3588" stopIfTrue="1" operator="containsText" text="Mortal o catastrófico">
      <formula>NOT(ISERROR(SEARCH("Mortal o catastrófico",V324)))</formula>
    </cfRule>
    <cfRule type="containsText" dxfId="3707" priority="3587" stopIfTrue="1" operator="containsText" text="Muy Grave">
      <formula>NOT(ISERROR(SEARCH("Muy Grave",V324)))</formula>
    </cfRule>
  </conditionalFormatting>
  <conditionalFormatting sqref="V325">
    <cfRule type="containsText" dxfId="3706" priority="3154" stopIfTrue="1" operator="containsText" text="Leve">
      <formula>NOT(ISERROR(SEARCH("Leve",V325)))</formula>
    </cfRule>
    <cfRule type="containsText" dxfId="3705" priority="3152" stopIfTrue="1" operator="containsText" text="Muy Grave">
      <formula>NOT(ISERROR(SEARCH("Muy Grave",V325)))</formula>
    </cfRule>
    <cfRule type="containsText" dxfId="3704" priority="3155" stopIfTrue="1" operator="containsText" text="Grave">
      <formula>NOT(ISERROR(SEARCH("Grave",V325)))</formula>
    </cfRule>
    <cfRule type="containsText" dxfId="3703" priority="3153" stopIfTrue="1" operator="containsText" text="Mortal o catastrófico">
      <formula>NOT(ISERROR(SEARCH("Mortal o catastrófico",V325)))</formula>
    </cfRule>
  </conditionalFormatting>
  <conditionalFormatting sqref="V326">
    <cfRule type="containsText" dxfId="3702" priority="3118" stopIfTrue="1" operator="containsText" text="Leve">
      <formula>NOT(ISERROR(SEARCH("Leve",V326)))</formula>
    </cfRule>
    <cfRule type="containsText" dxfId="3701" priority="3117" stopIfTrue="1" operator="containsText" text="Mortal o catastrófico">
      <formula>NOT(ISERROR(SEARCH("Mortal o catastrófico",V326)))</formula>
    </cfRule>
    <cfRule type="containsText" dxfId="3700" priority="3116" stopIfTrue="1" operator="containsText" text="Muy Grave">
      <formula>NOT(ISERROR(SEARCH("Muy Grave",V326)))</formula>
    </cfRule>
    <cfRule type="containsText" dxfId="3699" priority="3119" stopIfTrue="1" operator="containsText" text="Grave">
      <formula>NOT(ISERROR(SEARCH("Grave",V326)))</formula>
    </cfRule>
  </conditionalFormatting>
  <conditionalFormatting sqref="V327">
    <cfRule type="containsText" dxfId="3698" priority="3541" stopIfTrue="1" operator="containsText" text="Grave">
      <formula>NOT(ISERROR(SEARCH("Grave",V327)))</formula>
    </cfRule>
    <cfRule type="containsText" dxfId="3697" priority="3538" stopIfTrue="1" operator="containsText" text="Muy Grave">
      <formula>NOT(ISERROR(SEARCH("Muy Grave",V327)))</formula>
    </cfRule>
    <cfRule type="containsText" dxfId="3696" priority="3540" stopIfTrue="1" operator="containsText" text="Leve">
      <formula>NOT(ISERROR(SEARCH("Leve",V327)))</formula>
    </cfRule>
    <cfRule type="containsText" dxfId="3695" priority="3539" stopIfTrue="1" operator="containsText" text="Mortal o catastrófico">
      <formula>NOT(ISERROR(SEARCH("Mortal o catastrófico",V327)))</formula>
    </cfRule>
  </conditionalFormatting>
  <conditionalFormatting sqref="V328">
    <cfRule type="containsText" dxfId="3694" priority="3632" stopIfTrue="1" operator="containsText" text="Leve">
      <formula>NOT(ISERROR(SEARCH("Leve",V328)))</formula>
    </cfRule>
    <cfRule type="containsText" dxfId="3693" priority="3633" stopIfTrue="1" operator="containsText" text="Grave">
      <formula>NOT(ISERROR(SEARCH("Grave",V328)))</formula>
    </cfRule>
    <cfRule type="containsText" dxfId="3692" priority="3631" stopIfTrue="1" operator="containsText" text="Mortal o catastrófico">
      <formula>NOT(ISERROR(SEARCH("Mortal o catastrófico",V328)))</formula>
    </cfRule>
    <cfRule type="containsText" dxfId="3691" priority="3630" stopIfTrue="1" operator="containsText" text="Muy Grave">
      <formula>NOT(ISERROR(SEARCH("Muy Grave",V328)))</formula>
    </cfRule>
  </conditionalFormatting>
  <conditionalFormatting sqref="V329">
    <cfRule type="containsText" dxfId="3690" priority="3493" stopIfTrue="1" operator="containsText" text="Muy Grave">
      <formula>NOT(ISERROR(SEARCH("Muy Grave",V329)))</formula>
    </cfRule>
    <cfRule type="containsText" dxfId="3689" priority="3494" stopIfTrue="1" operator="containsText" text="Mortal o catastrófico">
      <formula>NOT(ISERROR(SEARCH("Mortal o catastrófico",V329)))</formula>
    </cfRule>
    <cfRule type="containsText" dxfId="3688" priority="3495" stopIfTrue="1" operator="containsText" text="Leve">
      <formula>NOT(ISERROR(SEARCH("Leve",V329)))</formula>
    </cfRule>
    <cfRule type="containsText" dxfId="3687" priority="3496" stopIfTrue="1" operator="containsText" text="Grave">
      <formula>NOT(ISERROR(SEARCH("Grave",V329)))</formula>
    </cfRule>
  </conditionalFormatting>
  <conditionalFormatting sqref="V330">
    <cfRule type="containsText" dxfId="3686" priority="3319" stopIfTrue="1" operator="containsText" text="Mortal o catastrófico">
      <formula>NOT(ISERROR(SEARCH("Mortal o catastrófico",V330)))</formula>
    </cfRule>
    <cfRule type="containsText" dxfId="3685" priority="3320" stopIfTrue="1" operator="containsText" text="Leve">
      <formula>NOT(ISERROR(SEARCH("Leve",V330)))</formula>
    </cfRule>
    <cfRule type="containsText" dxfId="3684" priority="3321" stopIfTrue="1" operator="containsText" text="Grave">
      <formula>NOT(ISERROR(SEARCH("Grave",V330)))</formula>
    </cfRule>
    <cfRule type="containsText" dxfId="3683" priority="3318" stopIfTrue="1" operator="containsText" text="Muy Grave">
      <formula>NOT(ISERROR(SEARCH("Muy Grave",V330)))</formula>
    </cfRule>
  </conditionalFormatting>
  <conditionalFormatting sqref="V331">
    <cfRule type="containsText" dxfId="3682" priority="3357" stopIfTrue="1" operator="containsText" text="Muy Grave">
      <formula>NOT(ISERROR(SEARCH("Muy Grave",V331)))</formula>
    </cfRule>
    <cfRule type="containsText" dxfId="3681" priority="3358" stopIfTrue="1" operator="containsText" text="Mortal o catastrófico">
      <formula>NOT(ISERROR(SEARCH("Mortal o catastrófico",V331)))</formula>
    </cfRule>
    <cfRule type="containsText" dxfId="3680" priority="3359" stopIfTrue="1" operator="containsText" text="Leve">
      <formula>NOT(ISERROR(SEARCH("Leve",V331)))</formula>
    </cfRule>
    <cfRule type="containsText" dxfId="3679" priority="3360" stopIfTrue="1" operator="containsText" text="Grave">
      <formula>NOT(ISERROR(SEARCH("Grave",V331)))</formula>
    </cfRule>
  </conditionalFormatting>
  <conditionalFormatting sqref="V332">
    <cfRule type="containsText" dxfId="3678" priority="3275" stopIfTrue="1" operator="containsText" text="Muy Grave">
      <formula>NOT(ISERROR(SEARCH("Muy Grave",V332)))</formula>
    </cfRule>
    <cfRule type="containsText" dxfId="3677" priority="3278" stopIfTrue="1" operator="containsText" text="Grave">
      <formula>NOT(ISERROR(SEARCH("Grave",V332)))</formula>
    </cfRule>
    <cfRule type="containsText" dxfId="3676" priority="3277" stopIfTrue="1" operator="containsText" text="Leve">
      <formula>NOT(ISERROR(SEARCH("Leve",V332)))</formula>
    </cfRule>
    <cfRule type="containsText" dxfId="3675" priority="3276" stopIfTrue="1" operator="containsText" text="Mortal o catastrófico">
      <formula>NOT(ISERROR(SEARCH("Mortal o catastrófico",V332)))</formula>
    </cfRule>
  </conditionalFormatting>
  <conditionalFormatting sqref="V333">
    <cfRule type="containsText" dxfId="3674" priority="3420" stopIfTrue="1" operator="containsText" text="Leve">
      <formula>NOT(ISERROR(SEARCH("Leve",V333)))</formula>
    </cfRule>
    <cfRule type="containsText" dxfId="3673" priority="3419" stopIfTrue="1" operator="containsText" text="Mortal o catastrófico">
      <formula>NOT(ISERROR(SEARCH("Mortal o catastrófico",V333)))</formula>
    </cfRule>
    <cfRule type="containsText" dxfId="3672" priority="3418" stopIfTrue="1" operator="containsText" text="Muy Grave">
      <formula>NOT(ISERROR(SEARCH("Muy Grave",V333)))</formula>
    </cfRule>
    <cfRule type="containsText" dxfId="3671" priority="3421" stopIfTrue="1" operator="containsText" text="Grave">
      <formula>NOT(ISERROR(SEARCH("Grave",V333)))</formula>
    </cfRule>
  </conditionalFormatting>
  <conditionalFormatting sqref="V334">
    <cfRule type="containsText" dxfId="3670" priority="3401" stopIfTrue="1" operator="containsText" text="Grave">
      <formula>NOT(ISERROR(SEARCH("Grave",V334)))</formula>
    </cfRule>
    <cfRule type="containsText" dxfId="3669" priority="3400" stopIfTrue="1" operator="containsText" text="Leve">
      <formula>NOT(ISERROR(SEARCH("Leve",V334)))</formula>
    </cfRule>
    <cfRule type="containsText" dxfId="3668" priority="3398" stopIfTrue="1" operator="containsText" text="Muy Grave">
      <formula>NOT(ISERROR(SEARCH("Muy Grave",V334)))</formula>
    </cfRule>
    <cfRule type="containsText" dxfId="3667" priority="3399" stopIfTrue="1" operator="containsText" text="Mortal o catastrófico">
      <formula>NOT(ISERROR(SEARCH("Mortal o catastrófico",V334)))</formula>
    </cfRule>
  </conditionalFormatting>
  <conditionalFormatting sqref="V335">
    <cfRule type="containsText" dxfId="3666" priority="3213" stopIfTrue="1" operator="containsText" text="Muy Grave">
      <formula>NOT(ISERROR(SEARCH("Muy Grave",V335)))</formula>
    </cfRule>
    <cfRule type="containsText" dxfId="3665" priority="3216" stopIfTrue="1" operator="containsText" text="Grave">
      <formula>NOT(ISERROR(SEARCH("Grave",V335)))</formula>
    </cfRule>
    <cfRule type="containsText" dxfId="3664" priority="3215" stopIfTrue="1" operator="containsText" text="Leve">
      <formula>NOT(ISERROR(SEARCH("Leve",V335)))</formula>
    </cfRule>
    <cfRule type="containsText" dxfId="3663" priority="3214" stopIfTrue="1" operator="containsText" text="Mortal o catastrófico">
      <formula>NOT(ISERROR(SEARCH("Mortal o catastrófico",V335)))</formula>
    </cfRule>
  </conditionalFormatting>
  <conditionalFormatting sqref="V336">
    <cfRule type="containsText" dxfId="3662" priority="3462" stopIfTrue="1" operator="containsText" text="Grave">
      <formula>NOT(ISERROR(SEARCH("Grave",V336)))</formula>
    </cfRule>
    <cfRule type="containsText" dxfId="3661" priority="3459" stopIfTrue="1" operator="containsText" text="Muy Grave">
      <formula>NOT(ISERROR(SEARCH("Muy Grave",V336)))</formula>
    </cfRule>
    <cfRule type="containsText" dxfId="3660" priority="3460" stopIfTrue="1" operator="containsText" text="Mortal o catastrófico">
      <formula>NOT(ISERROR(SEARCH("Mortal o catastrófico",V336)))</formula>
    </cfRule>
    <cfRule type="containsText" dxfId="3659" priority="3461" stopIfTrue="1" operator="containsText" text="Leve">
      <formula>NOT(ISERROR(SEARCH("Leve",V336)))</formula>
    </cfRule>
  </conditionalFormatting>
  <conditionalFormatting sqref="V337">
    <cfRule type="containsText" dxfId="3658" priority="3239" stopIfTrue="1" operator="containsText" text="Leve">
      <formula>NOT(ISERROR(SEARCH("Leve",V337)))</formula>
    </cfRule>
    <cfRule type="containsText" dxfId="3657" priority="3240" stopIfTrue="1" operator="containsText" text="Grave">
      <formula>NOT(ISERROR(SEARCH("Grave",V337)))</formula>
    </cfRule>
    <cfRule type="containsText" dxfId="3656" priority="3237" stopIfTrue="1" operator="containsText" text="Muy Grave">
      <formula>NOT(ISERROR(SEARCH("Muy Grave",V337)))</formula>
    </cfRule>
    <cfRule type="containsText" dxfId="3655" priority="3238" stopIfTrue="1" operator="containsText" text="Mortal o catastrófico">
      <formula>NOT(ISERROR(SEARCH("Mortal o catastrófico",V337)))</formula>
    </cfRule>
  </conditionalFormatting>
  <conditionalFormatting sqref="V338">
    <cfRule type="containsText" dxfId="3654" priority="3024" stopIfTrue="1" operator="containsText" text="Muy Grave">
      <formula>NOT(ISERROR(SEARCH("Muy Grave",V338)))</formula>
    </cfRule>
    <cfRule type="containsText" dxfId="3653" priority="3025" stopIfTrue="1" operator="containsText" text="Mortal o catastrófico">
      <formula>NOT(ISERROR(SEARCH("Mortal o catastrófico",V338)))</formula>
    </cfRule>
    <cfRule type="containsText" dxfId="3652" priority="3026" stopIfTrue="1" operator="containsText" text="Leve">
      <formula>NOT(ISERROR(SEARCH("Leve",V338)))</formula>
    </cfRule>
    <cfRule type="containsText" dxfId="3651" priority="3027" stopIfTrue="1" operator="containsText" text="Grave">
      <formula>NOT(ISERROR(SEARCH("Grave",V338)))</formula>
    </cfRule>
  </conditionalFormatting>
  <conditionalFormatting sqref="V339">
    <cfRule type="containsText" dxfId="3650" priority="2591" stopIfTrue="1" operator="containsText" text="Leve">
      <formula>NOT(ISERROR(SEARCH("Leve",V339)))</formula>
    </cfRule>
    <cfRule type="containsText" dxfId="3649" priority="2590" stopIfTrue="1" operator="containsText" text="Mortal o catastrófico">
      <formula>NOT(ISERROR(SEARCH("Mortal o catastrófico",V339)))</formula>
    </cfRule>
    <cfRule type="containsText" dxfId="3648" priority="2589" stopIfTrue="1" operator="containsText" text="Muy Grave">
      <formula>NOT(ISERROR(SEARCH("Muy Grave",V339)))</formula>
    </cfRule>
    <cfRule type="containsText" dxfId="3647" priority="2592" stopIfTrue="1" operator="containsText" text="Grave">
      <formula>NOT(ISERROR(SEARCH("Grave",V339)))</formula>
    </cfRule>
  </conditionalFormatting>
  <conditionalFormatting sqref="V340">
    <cfRule type="containsText" dxfId="3646" priority="2553" stopIfTrue="1" operator="containsText" text="Muy Grave">
      <formula>NOT(ISERROR(SEARCH("Muy Grave",V340)))</formula>
    </cfRule>
    <cfRule type="containsText" dxfId="3645" priority="2554" stopIfTrue="1" operator="containsText" text="Mortal o catastrófico">
      <formula>NOT(ISERROR(SEARCH("Mortal o catastrófico",V340)))</formula>
    </cfRule>
    <cfRule type="containsText" dxfId="3644" priority="2555" stopIfTrue="1" operator="containsText" text="Leve">
      <formula>NOT(ISERROR(SEARCH("Leve",V340)))</formula>
    </cfRule>
    <cfRule type="containsText" dxfId="3643" priority="2556" stopIfTrue="1" operator="containsText" text="Grave">
      <formula>NOT(ISERROR(SEARCH("Grave",V340)))</formula>
    </cfRule>
  </conditionalFormatting>
  <conditionalFormatting sqref="V341">
    <cfRule type="containsText" dxfId="3642" priority="2975" stopIfTrue="1" operator="containsText" text="Muy Grave">
      <formula>NOT(ISERROR(SEARCH("Muy Grave",V341)))</formula>
    </cfRule>
    <cfRule type="containsText" dxfId="3641" priority="2977" stopIfTrue="1" operator="containsText" text="Leve">
      <formula>NOT(ISERROR(SEARCH("Leve",V341)))</formula>
    </cfRule>
    <cfRule type="containsText" dxfId="3640" priority="2978" stopIfTrue="1" operator="containsText" text="Grave">
      <formula>NOT(ISERROR(SEARCH("Grave",V341)))</formula>
    </cfRule>
    <cfRule type="containsText" dxfId="3639" priority="2976" stopIfTrue="1" operator="containsText" text="Mortal o catastrófico">
      <formula>NOT(ISERROR(SEARCH("Mortal o catastrófico",V341)))</formula>
    </cfRule>
  </conditionalFormatting>
  <conditionalFormatting sqref="V342">
    <cfRule type="containsText" dxfId="3638" priority="3067" stopIfTrue="1" operator="containsText" text="Muy Grave">
      <formula>NOT(ISERROR(SEARCH("Muy Grave",V342)))</formula>
    </cfRule>
    <cfRule type="containsText" dxfId="3637" priority="3070" stopIfTrue="1" operator="containsText" text="Grave">
      <formula>NOT(ISERROR(SEARCH("Grave",V342)))</formula>
    </cfRule>
    <cfRule type="containsText" dxfId="3636" priority="3069" stopIfTrue="1" operator="containsText" text="Leve">
      <formula>NOT(ISERROR(SEARCH("Leve",V342)))</formula>
    </cfRule>
    <cfRule type="containsText" dxfId="3635" priority="3068" stopIfTrue="1" operator="containsText" text="Mortal o catastrófico">
      <formula>NOT(ISERROR(SEARCH("Mortal o catastrófico",V342)))</formula>
    </cfRule>
  </conditionalFormatting>
  <conditionalFormatting sqref="V343">
    <cfRule type="containsText" dxfId="3634" priority="2933" stopIfTrue="1" operator="containsText" text="Grave">
      <formula>NOT(ISERROR(SEARCH("Grave",V343)))</formula>
    </cfRule>
    <cfRule type="containsText" dxfId="3633" priority="2932" stopIfTrue="1" operator="containsText" text="Leve">
      <formula>NOT(ISERROR(SEARCH("Leve",V343)))</formula>
    </cfRule>
    <cfRule type="containsText" dxfId="3632" priority="2931" stopIfTrue="1" operator="containsText" text="Mortal o catastrófico">
      <formula>NOT(ISERROR(SEARCH("Mortal o catastrófico",V343)))</formula>
    </cfRule>
    <cfRule type="containsText" dxfId="3631" priority="2930" stopIfTrue="1" operator="containsText" text="Muy Grave">
      <formula>NOT(ISERROR(SEARCH("Muy Grave",V343)))</formula>
    </cfRule>
  </conditionalFormatting>
  <conditionalFormatting sqref="V344">
    <cfRule type="containsText" dxfId="3630" priority="2758" stopIfTrue="1" operator="containsText" text="Grave">
      <formula>NOT(ISERROR(SEARCH("Grave",V344)))</formula>
    </cfRule>
    <cfRule type="containsText" dxfId="3629" priority="2755" stopIfTrue="1" operator="containsText" text="Muy Grave">
      <formula>NOT(ISERROR(SEARCH("Muy Grave",V344)))</formula>
    </cfRule>
    <cfRule type="containsText" dxfId="3628" priority="2757" stopIfTrue="1" operator="containsText" text="Leve">
      <formula>NOT(ISERROR(SEARCH("Leve",V344)))</formula>
    </cfRule>
    <cfRule type="containsText" dxfId="3627" priority="2756" stopIfTrue="1" operator="containsText" text="Mortal o catastrófico">
      <formula>NOT(ISERROR(SEARCH("Mortal o catastrófico",V344)))</formula>
    </cfRule>
  </conditionalFormatting>
  <conditionalFormatting sqref="V345">
    <cfRule type="containsText" dxfId="3626" priority="2795" stopIfTrue="1" operator="containsText" text="Mortal o catastrófico">
      <formula>NOT(ISERROR(SEARCH("Mortal o catastrófico",V345)))</formula>
    </cfRule>
    <cfRule type="containsText" dxfId="3625" priority="2796" stopIfTrue="1" operator="containsText" text="Leve">
      <formula>NOT(ISERROR(SEARCH("Leve",V345)))</formula>
    </cfRule>
    <cfRule type="containsText" dxfId="3624" priority="2794" stopIfTrue="1" operator="containsText" text="Muy Grave">
      <formula>NOT(ISERROR(SEARCH("Muy Grave",V345)))</formula>
    </cfRule>
    <cfRule type="containsText" dxfId="3623" priority="2797" stopIfTrue="1" operator="containsText" text="Grave">
      <formula>NOT(ISERROR(SEARCH("Grave",V345)))</formula>
    </cfRule>
  </conditionalFormatting>
  <conditionalFormatting sqref="V346">
    <cfRule type="containsText" dxfId="3622" priority="2715" stopIfTrue="1" operator="containsText" text="Grave">
      <formula>NOT(ISERROR(SEARCH("Grave",V346)))</formula>
    </cfRule>
    <cfRule type="containsText" dxfId="3621" priority="2713" stopIfTrue="1" operator="containsText" text="Mortal o catastrófico">
      <formula>NOT(ISERROR(SEARCH("Mortal o catastrófico",V346)))</formula>
    </cfRule>
    <cfRule type="containsText" dxfId="3620" priority="2712" stopIfTrue="1" operator="containsText" text="Muy Grave">
      <formula>NOT(ISERROR(SEARCH("Muy Grave",V346)))</formula>
    </cfRule>
    <cfRule type="containsText" dxfId="3619" priority="2714" stopIfTrue="1" operator="containsText" text="Leve">
      <formula>NOT(ISERROR(SEARCH("Leve",V346)))</formula>
    </cfRule>
  </conditionalFormatting>
  <conditionalFormatting sqref="V347">
    <cfRule type="containsText" dxfId="3618" priority="2857" stopIfTrue="1" operator="containsText" text="Leve">
      <formula>NOT(ISERROR(SEARCH("Leve",V347)))</formula>
    </cfRule>
    <cfRule type="containsText" dxfId="3617" priority="2858" stopIfTrue="1" operator="containsText" text="Grave">
      <formula>NOT(ISERROR(SEARCH("Grave",V347)))</formula>
    </cfRule>
    <cfRule type="containsText" dxfId="3616" priority="2856" stopIfTrue="1" operator="containsText" text="Mortal o catastrófico">
      <formula>NOT(ISERROR(SEARCH("Mortal o catastrófico",V347)))</formula>
    </cfRule>
    <cfRule type="containsText" dxfId="3615" priority="2855" stopIfTrue="1" operator="containsText" text="Muy Grave">
      <formula>NOT(ISERROR(SEARCH("Muy Grave",V347)))</formula>
    </cfRule>
  </conditionalFormatting>
  <conditionalFormatting sqref="V348">
    <cfRule type="containsText" dxfId="3614" priority="2835" stopIfTrue="1" operator="containsText" text="Muy Grave">
      <formula>NOT(ISERROR(SEARCH("Muy Grave",V348)))</formula>
    </cfRule>
    <cfRule type="containsText" dxfId="3613" priority="2838" stopIfTrue="1" operator="containsText" text="Grave">
      <formula>NOT(ISERROR(SEARCH("Grave",V348)))</formula>
    </cfRule>
    <cfRule type="containsText" dxfId="3612" priority="2837" stopIfTrue="1" operator="containsText" text="Leve">
      <formula>NOT(ISERROR(SEARCH("Leve",V348)))</formula>
    </cfRule>
    <cfRule type="containsText" dxfId="3611" priority="2836" stopIfTrue="1" operator="containsText" text="Mortal o catastrófico">
      <formula>NOT(ISERROR(SEARCH("Mortal o catastrófico",V348)))</formula>
    </cfRule>
  </conditionalFormatting>
  <conditionalFormatting sqref="V349">
    <cfRule type="containsText" dxfId="3610" priority="2653" stopIfTrue="1" operator="containsText" text="Grave">
      <formula>NOT(ISERROR(SEARCH("Grave",V349)))</formula>
    </cfRule>
    <cfRule type="containsText" dxfId="3609" priority="2651" stopIfTrue="1" operator="containsText" text="Mortal o catastrófico">
      <formula>NOT(ISERROR(SEARCH("Mortal o catastrófico",V349)))</formula>
    </cfRule>
    <cfRule type="containsText" dxfId="3608" priority="2652" stopIfTrue="1" operator="containsText" text="Leve">
      <formula>NOT(ISERROR(SEARCH("Leve",V349)))</formula>
    </cfRule>
    <cfRule type="containsText" dxfId="3607" priority="2650" stopIfTrue="1" operator="containsText" text="Muy Grave">
      <formula>NOT(ISERROR(SEARCH("Muy Grave",V349)))</formula>
    </cfRule>
  </conditionalFormatting>
  <conditionalFormatting sqref="V350">
    <cfRule type="containsText" dxfId="3606" priority="2899" stopIfTrue="1" operator="containsText" text="Grave">
      <formula>NOT(ISERROR(SEARCH("Grave",V350)))</formula>
    </cfRule>
    <cfRule type="containsText" dxfId="3605" priority="2898" stopIfTrue="1" operator="containsText" text="Leve">
      <formula>NOT(ISERROR(SEARCH("Leve",V350)))</formula>
    </cfRule>
    <cfRule type="containsText" dxfId="3604" priority="2897" stopIfTrue="1" operator="containsText" text="Mortal o catastrófico">
      <formula>NOT(ISERROR(SEARCH("Mortal o catastrófico",V350)))</formula>
    </cfRule>
    <cfRule type="containsText" dxfId="3603" priority="2896" stopIfTrue="1" operator="containsText" text="Muy Grave">
      <formula>NOT(ISERROR(SEARCH("Muy Grave",V350)))</formula>
    </cfRule>
  </conditionalFormatting>
  <conditionalFormatting sqref="V351">
    <cfRule type="containsText" dxfId="3602" priority="2674" stopIfTrue="1" operator="containsText" text="Muy Grave">
      <formula>NOT(ISERROR(SEARCH("Muy Grave",V351)))</formula>
    </cfRule>
    <cfRule type="containsText" dxfId="3601" priority="2677" stopIfTrue="1" operator="containsText" text="Grave">
      <formula>NOT(ISERROR(SEARCH("Grave",V351)))</formula>
    </cfRule>
    <cfRule type="containsText" dxfId="3600" priority="2675" stopIfTrue="1" operator="containsText" text="Mortal o catastrófico">
      <formula>NOT(ISERROR(SEARCH("Mortal o catastrófico",V351)))</formula>
    </cfRule>
    <cfRule type="containsText" dxfId="3599" priority="2676" stopIfTrue="1" operator="containsText" text="Leve">
      <formula>NOT(ISERROR(SEARCH("Leve",V351)))</formula>
    </cfRule>
  </conditionalFormatting>
  <conditionalFormatting sqref="V352">
    <cfRule type="containsText" dxfId="3598" priority="2444" stopIfTrue="1" operator="containsText" text="Muy Grave">
      <formula>NOT(ISERROR(SEARCH("Muy Grave",V352)))</formula>
    </cfRule>
    <cfRule type="containsText" dxfId="3597" priority="2445" stopIfTrue="1" operator="containsText" text="Mortal o catastrófico">
      <formula>NOT(ISERROR(SEARCH("Mortal o catastrófico",V352)))</formula>
    </cfRule>
    <cfRule type="containsText" dxfId="3596" priority="2447" stopIfTrue="1" operator="containsText" text="Grave">
      <formula>NOT(ISERROR(SEARCH("Grave",V352)))</formula>
    </cfRule>
    <cfRule type="containsText" dxfId="3595" priority="2446" stopIfTrue="1" operator="containsText" text="Leve">
      <formula>NOT(ISERROR(SEARCH("Leve",V352)))</formula>
    </cfRule>
  </conditionalFormatting>
  <conditionalFormatting sqref="V353">
    <cfRule type="containsText" dxfId="3594" priority="2098" stopIfTrue="1" operator="containsText" text="Muy Grave">
      <formula>NOT(ISERROR(SEARCH("Muy Grave",V353)))</formula>
    </cfRule>
    <cfRule type="containsText" dxfId="3593" priority="2099" stopIfTrue="1" operator="containsText" text="Mortal o catastrófico">
      <formula>NOT(ISERROR(SEARCH("Mortal o catastrófico",V353)))</formula>
    </cfRule>
    <cfRule type="containsText" dxfId="3592" priority="2100" stopIfTrue="1" operator="containsText" text="Leve">
      <formula>NOT(ISERROR(SEARCH("Leve",V353)))</formula>
    </cfRule>
    <cfRule type="containsText" dxfId="3591" priority="2101" stopIfTrue="1" operator="containsText" text="Grave">
      <formula>NOT(ISERROR(SEARCH("Grave",V353)))</formula>
    </cfRule>
  </conditionalFormatting>
  <conditionalFormatting sqref="V354">
    <cfRule type="containsText" dxfId="3590" priority="2133" stopIfTrue="1" operator="containsText" text="Grave">
      <formula>NOT(ISERROR(SEARCH("Grave",V354)))</formula>
    </cfRule>
    <cfRule type="containsText" dxfId="3589" priority="2132" stopIfTrue="1" operator="containsText" text="Leve">
      <formula>NOT(ISERROR(SEARCH("Leve",V354)))</formula>
    </cfRule>
    <cfRule type="containsText" dxfId="3588" priority="2131" stopIfTrue="1" operator="containsText" text="Mortal o catastrófico">
      <formula>NOT(ISERROR(SEARCH("Mortal o catastrófico",V354)))</formula>
    </cfRule>
    <cfRule type="containsText" dxfId="3587" priority="2130" stopIfTrue="1" operator="containsText" text="Muy Grave">
      <formula>NOT(ISERROR(SEARCH("Muy Grave",V354)))</formula>
    </cfRule>
  </conditionalFormatting>
  <conditionalFormatting sqref="V355">
    <cfRule type="containsText" dxfId="3586" priority="2022" stopIfTrue="1" operator="containsText" text="Leve">
      <formula>NOT(ISERROR(SEARCH("Leve",V355)))</formula>
    </cfRule>
    <cfRule type="containsText" dxfId="3585" priority="2021" stopIfTrue="1" operator="containsText" text="Mortal o catastrófico">
      <formula>NOT(ISERROR(SEARCH("Mortal o catastrófico",V355)))</formula>
    </cfRule>
    <cfRule type="containsText" dxfId="3584" priority="2020" stopIfTrue="1" operator="containsText" text="Muy Grave">
      <formula>NOT(ISERROR(SEARCH("Muy Grave",V355)))</formula>
    </cfRule>
    <cfRule type="containsText" dxfId="3583" priority="2023" stopIfTrue="1" operator="containsText" text="Grave">
      <formula>NOT(ISERROR(SEARCH("Grave",V355)))</formula>
    </cfRule>
  </conditionalFormatting>
  <conditionalFormatting sqref="V356">
    <cfRule type="containsText" dxfId="3582" priority="2398" stopIfTrue="1" operator="containsText" text="Grave">
      <formula>NOT(ISERROR(SEARCH("Grave",V356)))</formula>
    </cfRule>
    <cfRule type="containsText" dxfId="3581" priority="2397" stopIfTrue="1" operator="containsText" text="Leve">
      <formula>NOT(ISERROR(SEARCH("Leve",V356)))</formula>
    </cfRule>
    <cfRule type="containsText" dxfId="3580" priority="2395" stopIfTrue="1" operator="containsText" text="Muy Grave">
      <formula>NOT(ISERROR(SEARCH("Muy Grave",V356)))</formula>
    </cfRule>
    <cfRule type="containsText" dxfId="3579" priority="2396" stopIfTrue="1" operator="containsText" text="Mortal o catastrófico">
      <formula>NOT(ISERROR(SEARCH("Mortal o catastrófico",V356)))</formula>
    </cfRule>
  </conditionalFormatting>
  <conditionalFormatting sqref="V357">
    <cfRule type="containsText" dxfId="3578" priority="2490" stopIfTrue="1" operator="containsText" text="Grave">
      <formula>NOT(ISERROR(SEARCH("Grave",V357)))</formula>
    </cfRule>
    <cfRule type="containsText" dxfId="3577" priority="2489" stopIfTrue="1" operator="containsText" text="Leve">
      <formula>NOT(ISERROR(SEARCH("Leve",V357)))</formula>
    </cfRule>
    <cfRule type="containsText" dxfId="3576" priority="2487" stopIfTrue="1" operator="containsText" text="Muy Grave">
      <formula>NOT(ISERROR(SEARCH("Muy Grave",V357)))</formula>
    </cfRule>
    <cfRule type="containsText" dxfId="3575" priority="2488" stopIfTrue="1" operator="containsText" text="Mortal o catastrófico">
      <formula>NOT(ISERROR(SEARCH("Mortal o catastrófico",V357)))</formula>
    </cfRule>
  </conditionalFormatting>
  <conditionalFormatting sqref="V358">
    <cfRule type="containsText" dxfId="3574" priority="2351" stopIfTrue="1" operator="containsText" text="Mortal o catastrófico">
      <formula>NOT(ISERROR(SEARCH("Mortal o catastrófico",V358)))</formula>
    </cfRule>
    <cfRule type="containsText" dxfId="3573" priority="2353" stopIfTrue="1" operator="containsText" text="Grave">
      <formula>NOT(ISERROR(SEARCH("Grave",V358)))</formula>
    </cfRule>
    <cfRule type="containsText" dxfId="3572" priority="2350" stopIfTrue="1" operator="containsText" text="Muy Grave">
      <formula>NOT(ISERROR(SEARCH("Muy Grave",V358)))</formula>
    </cfRule>
    <cfRule type="containsText" dxfId="3571" priority="2352" stopIfTrue="1" operator="containsText" text="Leve">
      <formula>NOT(ISERROR(SEARCH("Leve",V358)))</formula>
    </cfRule>
  </conditionalFormatting>
  <conditionalFormatting sqref="V359">
    <cfRule type="containsText" dxfId="3570" priority="2211" stopIfTrue="1" operator="containsText" text="Grave">
      <formula>NOT(ISERROR(SEARCH("Grave",V359)))</formula>
    </cfRule>
    <cfRule type="containsText" dxfId="3569" priority="2210" stopIfTrue="1" operator="containsText" text="Leve">
      <formula>NOT(ISERROR(SEARCH("Leve",V359)))</formula>
    </cfRule>
    <cfRule type="containsText" dxfId="3568" priority="2209" stopIfTrue="1" operator="containsText" text="Mortal o catastrófico">
      <formula>NOT(ISERROR(SEARCH("Mortal o catastrófico",V359)))</formula>
    </cfRule>
    <cfRule type="containsText" dxfId="3567" priority="2208" stopIfTrue="1" operator="containsText" text="Muy Grave">
      <formula>NOT(ISERROR(SEARCH("Muy Grave",V359)))</formula>
    </cfRule>
  </conditionalFormatting>
  <conditionalFormatting sqref="V360">
    <cfRule type="containsText" dxfId="3566" priority="2275" stopIfTrue="1" operator="containsText" text="Muy Grave">
      <formula>NOT(ISERROR(SEARCH("Muy Grave",V360)))</formula>
    </cfRule>
    <cfRule type="containsText" dxfId="3565" priority="2276" stopIfTrue="1" operator="containsText" text="Mortal o catastrófico">
      <formula>NOT(ISERROR(SEARCH("Mortal o catastrófico",V360)))</formula>
    </cfRule>
    <cfRule type="containsText" dxfId="3564" priority="2277" stopIfTrue="1" operator="containsText" text="Leve">
      <formula>NOT(ISERROR(SEARCH("Leve",V360)))</formula>
    </cfRule>
    <cfRule type="containsText" dxfId="3563" priority="2278" stopIfTrue="1" operator="containsText" text="Grave">
      <formula>NOT(ISERROR(SEARCH("Grave",V360)))</formula>
    </cfRule>
  </conditionalFormatting>
  <conditionalFormatting sqref="V361">
    <cfRule type="containsText" dxfId="3562" priority="2060" stopIfTrue="1" operator="containsText" text="Muy Grave">
      <formula>NOT(ISERROR(SEARCH("Muy Grave",V361)))</formula>
    </cfRule>
    <cfRule type="containsText" dxfId="3561" priority="2061" stopIfTrue="1" operator="containsText" text="Mortal o catastrófico">
      <formula>NOT(ISERROR(SEARCH("Mortal o catastrófico",V361)))</formula>
    </cfRule>
    <cfRule type="containsText" dxfId="3560" priority="2062" stopIfTrue="1" operator="containsText" text="Leve">
      <formula>NOT(ISERROR(SEARCH("Leve",V361)))</formula>
    </cfRule>
    <cfRule type="containsText" dxfId="3559" priority="2063" stopIfTrue="1" operator="containsText" text="Grave">
      <formula>NOT(ISERROR(SEARCH("Grave",V361)))</formula>
    </cfRule>
  </conditionalFormatting>
  <conditionalFormatting sqref="V362">
    <cfRule type="containsText" dxfId="3558" priority="2258" stopIfTrue="1" operator="containsText" text="Grave">
      <formula>NOT(ISERROR(SEARCH("Grave",V362)))</formula>
    </cfRule>
    <cfRule type="containsText" dxfId="3557" priority="2256" stopIfTrue="1" operator="containsText" text="Mortal o catastrófico">
      <formula>NOT(ISERROR(SEARCH("Mortal o catastrófico",V362)))</formula>
    </cfRule>
    <cfRule type="containsText" dxfId="3556" priority="2255" stopIfTrue="1" operator="containsText" text="Muy Grave">
      <formula>NOT(ISERROR(SEARCH("Muy Grave",V362)))</formula>
    </cfRule>
    <cfRule type="containsText" dxfId="3555" priority="2257" stopIfTrue="1" operator="containsText" text="Leve">
      <formula>NOT(ISERROR(SEARCH("Leve",V362)))</formula>
    </cfRule>
  </conditionalFormatting>
  <conditionalFormatting sqref="V363">
    <cfRule type="containsText" dxfId="3554" priority="2318" stopIfTrue="1" operator="containsText" text="Leve">
      <formula>NOT(ISERROR(SEARCH("Leve",V363)))</formula>
    </cfRule>
    <cfRule type="containsText" dxfId="3553" priority="2316" stopIfTrue="1" operator="containsText" text="Muy Grave">
      <formula>NOT(ISERROR(SEARCH("Muy Grave",V363)))</formula>
    </cfRule>
    <cfRule type="containsText" dxfId="3552" priority="2317" stopIfTrue="1" operator="containsText" text="Mortal o catastrófico">
      <formula>NOT(ISERROR(SEARCH("Mortal o catastrófico",V363)))</formula>
    </cfRule>
    <cfRule type="containsText" dxfId="3551" priority="2319" stopIfTrue="1" operator="containsText" text="Grave">
      <formula>NOT(ISERROR(SEARCH("Grave",V363)))</formula>
    </cfRule>
  </conditionalFormatting>
  <conditionalFormatting sqref="V364:V365">
    <cfRule type="containsText" dxfId="3550" priority="2173" stopIfTrue="1" operator="containsText" text="Grave">
      <formula>NOT(ISERROR(SEARCH("Grave",V364)))</formula>
    </cfRule>
    <cfRule type="containsText" dxfId="3549" priority="2172" stopIfTrue="1" operator="containsText" text="Leve">
      <formula>NOT(ISERROR(SEARCH("Leve",V364)))</formula>
    </cfRule>
    <cfRule type="containsText" dxfId="3548" priority="2170" stopIfTrue="1" operator="containsText" text="Muy Grave">
      <formula>NOT(ISERROR(SEARCH("Muy Grave",V364)))</formula>
    </cfRule>
    <cfRule type="containsText" dxfId="3547" priority="2171" stopIfTrue="1" operator="containsText" text="Mortal o catastrófico">
      <formula>NOT(ISERROR(SEARCH("Mortal o catastrófico",V364)))</formula>
    </cfRule>
  </conditionalFormatting>
  <conditionalFormatting sqref="V366">
    <cfRule type="containsText" dxfId="3546" priority="1917" stopIfTrue="1" operator="containsText" text="Leve">
      <formula>NOT(ISERROR(SEARCH("Leve",V366)))</formula>
    </cfRule>
    <cfRule type="containsText" dxfId="3545" priority="1915" stopIfTrue="1" operator="containsText" text="Muy Grave">
      <formula>NOT(ISERROR(SEARCH("Muy Grave",V366)))</formula>
    </cfRule>
    <cfRule type="containsText" dxfId="3544" priority="1916" stopIfTrue="1" operator="containsText" text="Mortal o catastrófico">
      <formula>NOT(ISERROR(SEARCH("Mortal o catastrófico",V366)))</formula>
    </cfRule>
    <cfRule type="containsText" dxfId="3543" priority="1918" stopIfTrue="1" operator="containsText" text="Grave">
      <formula>NOT(ISERROR(SEARCH("Grave",V366)))</formula>
    </cfRule>
  </conditionalFormatting>
  <conditionalFormatting sqref="V367">
    <cfRule type="containsText" dxfId="3542" priority="1568" stopIfTrue="1" operator="containsText" text="Muy Grave">
      <formula>NOT(ISERROR(SEARCH("Muy Grave",V367)))</formula>
    </cfRule>
    <cfRule type="containsText" dxfId="3541" priority="1569" stopIfTrue="1" operator="containsText" text="Mortal o catastrófico">
      <formula>NOT(ISERROR(SEARCH("Mortal o catastrófico",V367)))</formula>
    </cfRule>
    <cfRule type="containsText" dxfId="3540" priority="1570" stopIfTrue="1" operator="containsText" text="Leve">
      <formula>NOT(ISERROR(SEARCH("Leve",V367)))</formula>
    </cfRule>
    <cfRule type="containsText" dxfId="3539" priority="1571" stopIfTrue="1" operator="containsText" text="Grave">
      <formula>NOT(ISERROR(SEARCH("Grave",V367)))</formula>
    </cfRule>
  </conditionalFormatting>
  <conditionalFormatting sqref="V368">
    <cfRule type="containsText" dxfId="3538" priority="1534" stopIfTrue="1" operator="containsText" text="Leve">
      <formula>NOT(ISERROR(SEARCH("Leve",V368)))</formula>
    </cfRule>
    <cfRule type="containsText" dxfId="3537" priority="1532" stopIfTrue="1" operator="containsText" text="Muy Grave">
      <formula>NOT(ISERROR(SEARCH("Muy Grave",V368)))</formula>
    </cfRule>
    <cfRule type="containsText" dxfId="3536" priority="1535" stopIfTrue="1" operator="containsText" text="Grave">
      <formula>NOT(ISERROR(SEARCH("Grave",V368)))</formula>
    </cfRule>
    <cfRule type="containsText" dxfId="3535" priority="1533" stopIfTrue="1" operator="containsText" text="Mortal o catastrófico">
      <formula>NOT(ISERROR(SEARCH("Mortal o catastrófico",V368)))</formula>
    </cfRule>
  </conditionalFormatting>
  <conditionalFormatting sqref="V369">
    <cfRule type="containsText" dxfId="3534" priority="1869" stopIfTrue="1" operator="containsText" text="Grave">
      <formula>NOT(ISERROR(SEARCH("Grave",V369)))</formula>
    </cfRule>
    <cfRule type="containsText" dxfId="3533" priority="1866" stopIfTrue="1" operator="containsText" text="Muy Grave">
      <formula>NOT(ISERROR(SEARCH("Muy Grave",V369)))</formula>
    </cfRule>
    <cfRule type="containsText" dxfId="3532" priority="1867" stopIfTrue="1" operator="containsText" text="Mortal o catastrófico">
      <formula>NOT(ISERROR(SEARCH("Mortal o catastrófico",V369)))</formula>
    </cfRule>
    <cfRule type="containsText" dxfId="3531" priority="1868" stopIfTrue="1" operator="containsText" text="Leve">
      <formula>NOT(ISERROR(SEARCH("Leve",V369)))</formula>
    </cfRule>
  </conditionalFormatting>
  <conditionalFormatting sqref="V370">
    <cfRule type="containsText" dxfId="3530" priority="1959" stopIfTrue="1" operator="containsText" text="Mortal o catastrófico">
      <formula>NOT(ISERROR(SEARCH("Mortal o catastrófico",V370)))</formula>
    </cfRule>
    <cfRule type="containsText" dxfId="3529" priority="1958" stopIfTrue="1" operator="containsText" text="Muy Grave">
      <formula>NOT(ISERROR(SEARCH("Muy Grave",V370)))</formula>
    </cfRule>
    <cfRule type="containsText" dxfId="3528" priority="1960" stopIfTrue="1" operator="containsText" text="Leve">
      <formula>NOT(ISERROR(SEARCH("Leve",V370)))</formula>
    </cfRule>
    <cfRule type="containsText" dxfId="3527" priority="1961" stopIfTrue="1" operator="containsText" text="Grave">
      <formula>NOT(ISERROR(SEARCH("Grave",V370)))</formula>
    </cfRule>
  </conditionalFormatting>
  <conditionalFormatting sqref="V371">
    <cfRule type="containsText" dxfId="3526" priority="1822" stopIfTrue="1" operator="containsText" text="Mortal o catastrófico">
      <formula>NOT(ISERROR(SEARCH("Mortal o catastrófico",V371)))</formula>
    </cfRule>
    <cfRule type="containsText" dxfId="3525" priority="1821" stopIfTrue="1" operator="containsText" text="Muy Grave">
      <formula>NOT(ISERROR(SEARCH("Muy Grave",V371)))</formula>
    </cfRule>
    <cfRule type="containsText" dxfId="3524" priority="1824" stopIfTrue="1" operator="containsText" text="Grave">
      <formula>NOT(ISERROR(SEARCH("Grave",V371)))</formula>
    </cfRule>
    <cfRule type="containsText" dxfId="3523" priority="1823" stopIfTrue="1" operator="containsText" text="Leve">
      <formula>NOT(ISERROR(SEARCH("Leve",V371)))</formula>
    </cfRule>
  </conditionalFormatting>
  <conditionalFormatting sqref="V372">
    <cfRule type="containsText" dxfId="3522" priority="1685" stopIfTrue="1" operator="containsText" text="Muy Grave">
      <formula>NOT(ISERROR(SEARCH("Muy Grave",V372)))</formula>
    </cfRule>
    <cfRule type="containsText" dxfId="3521" priority="1688" stopIfTrue="1" operator="containsText" text="Grave">
      <formula>NOT(ISERROR(SEARCH("Grave",V372)))</formula>
    </cfRule>
    <cfRule type="containsText" dxfId="3520" priority="1687" stopIfTrue="1" operator="containsText" text="Leve">
      <formula>NOT(ISERROR(SEARCH("Leve",V372)))</formula>
    </cfRule>
    <cfRule type="containsText" dxfId="3519" priority="1686" stopIfTrue="1" operator="containsText" text="Mortal o catastrófico">
      <formula>NOT(ISERROR(SEARCH("Mortal o catastrófico",V372)))</formula>
    </cfRule>
  </conditionalFormatting>
  <conditionalFormatting sqref="V373">
    <cfRule type="containsText" dxfId="3518" priority="1644" stopIfTrue="1" operator="containsText" text="Leve">
      <formula>NOT(ISERROR(SEARCH("Leve",V373)))</formula>
    </cfRule>
    <cfRule type="containsText" dxfId="3517" priority="1643" stopIfTrue="1" operator="containsText" text="Mortal o catastrófico">
      <formula>NOT(ISERROR(SEARCH("Mortal o catastrófico",V373)))</formula>
    </cfRule>
    <cfRule type="containsText" dxfId="3516" priority="1645" stopIfTrue="1" operator="containsText" text="Grave">
      <formula>NOT(ISERROR(SEARCH("Grave",V373)))</formula>
    </cfRule>
    <cfRule type="containsText" dxfId="3515" priority="1642" stopIfTrue="1" operator="containsText" text="Muy Grave">
      <formula>NOT(ISERROR(SEARCH("Muy Grave",V373)))</formula>
    </cfRule>
  </conditionalFormatting>
  <conditionalFormatting sqref="V374">
    <cfRule type="containsText" dxfId="3514" priority="1747" stopIfTrue="1" operator="containsText" text="Mortal o catastrófico">
      <formula>NOT(ISERROR(SEARCH("Mortal o catastrófico",V374)))</formula>
    </cfRule>
    <cfRule type="containsText" dxfId="3513" priority="1749" stopIfTrue="1" operator="containsText" text="Grave">
      <formula>NOT(ISERROR(SEARCH("Grave",V374)))</formula>
    </cfRule>
    <cfRule type="containsText" dxfId="3512" priority="1746" stopIfTrue="1" operator="containsText" text="Muy Grave">
      <formula>NOT(ISERROR(SEARCH("Muy Grave",V374)))</formula>
    </cfRule>
    <cfRule type="containsText" dxfId="3511" priority="1748" stopIfTrue="1" operator="containsText" text="Leve">
      <formula>NOT(ISERROR(SEARCH("Leve",V374)))</formula>
    </cfRule>
  </conditionalFormatting>
  <conditionalFormatting sqref="V375">
    <cfRule type="containsText" dxfId="3510" priority="1727" stopIfTrue="1" operator="containsText" text="Mortal o catastrófico">
      <formula>NOT(ISERROR(SEARCH("Mortal o catastrófico",V375)))</formula>
    </cfRule>
    <cfRule type="containsText" dxfId="3509" priority="1729" stopIfTrue="1" operator="containsText" text="Grave">
      <formula>NOT(ISERROR(SEARCH("Grave",V375)))</formula>
    </cfRule>
    <cfRule type="containsText" dxfId="3508" priority="1726" stopIfTrue="1" operator="containsText" text="Muy Grave">
      <formula>NOT(ISERROR(SEARCH("Muy Grave",V375)))</formula>
    </cfRule>
    <cfRule type="containsText" dxfId="3507" priority="1728" stopIfTrue="1" operator="containsText" text="Leve">
      <formula>NOT(ISERROR(SEARCH("Leve",V375)))</formula>
    </cfRule>
  </conditionalFormatting>
  <conditionalFormatting sqref="V376">
    <cfRule type="containsText" dxfId="3506" priority="1787" stopIfTrue="1" operator="containsText" text="Muy Grave">
      <formula>NOT(ISERROR(SEARCH("Muy Grave",V376)))</formula>
    </cfRule>
    <cfRule type="containsText" dxfId="3505" priority="1788" stopIfTrue="1" operator="containsText" text="Mortal o catastrófico">
      <formula>NOT(ISERROR(SEARCH("Mortal o catastrófico",V376)))</formula>
    </cfRule>
    <cfRule type="containsText" dxfId="3504" priority="1790" stopIfTrue="1" operator="containsText" text="Grave">
      <formula>NOT(ISERROR(SEARCH("Grave",V376)))</formula>
    </cfRule>
    <cfRule type="containsText" dxfId="3503" priority="1789" stopIfTrue="1" operator="containsText" text="Leve">
      <formula>NOT(ISERROR(SEARCH("Leve",V376)))</formula>
    </cfRule>
  </conditionalFormatting>
  <conditionalFormatting sqref="V377">
    <cfRule type="containsText" dxfId="3502" priority="1605" stopIfTrue="1" operator="containsText" text="Mortal o catastrófico">
      <formula>NOT(ISERROR(SEARCH("Mortal o catastrófico",V377)))</formula>
    </cfRule>
    <cfRule type="containsText" dxfId="3501" priority="1604" stopIfTrue="1" operator="containsText" text="Muy Grave">
      <formula>NOT(ISERROR(SEARCH("Muy Grave",V377)))</formula>
    </cfRule>
    <cfRule type="containsText" dxfId="3500" priority="1606" stopIfTrue="1" operator="containsText" text="Leve">
      <formula>NOT(ISERROR(SEARCH("Leve",V377)))</formula>
    </cfRule>
    <cfRule type="containsText" dxfId="3499" priority="1607" stopIfTrue="1" operator="containsText" text="Grave">
      <formula>NOT(ISERROR(SEARCH("Grave",V377)))</formula>
    </cfRule>
  </conditionalFormatting>
  <conditionalFormatting sqref="V378">
    <cfRule type="containsText" dxfId="3498" priority="1174" stopIfTrue="1" operator="containsText" text="Grave">
      <formula>NOT(ISERROR(SEARCH("Grave",V378)))</formula>
    </cfRule>
    <cfRule type="containsText" dxfId="3497" priority="1173" stopIfTrue="1" operator="containsText" text="Leve">
      <formula>NOT(ISERROR(SEARCH("Leve",V378)))</formula>
    </cfRule>
    <cfRule type="containsText" dxfId="3496" priority="1171" stopIfTrue="1" operator="containsText" text="Muy Grave">
      <formula>NOT(ISERROR(SEARCH("Muy Grave",V378)))</formula>
    </cfRule>
    <cfRule type="containsText" dxfId="3495" priority="1172" stopIfTrue="1" operator="containsText" text="Mortal o catastrófico">
      <formula>NOT(ISERROR(SEARCH("Mortal o catastrófico",V378)))</formula>
    </cfRule>
  </conditionalFormatting>
  <conditionalFormatting sqref="V379">
    <cfRule type="containsText" dxfId="3494" priority="1137" stopIfTrue="1" operator="containsText" text="Leve">
      <formula>NOT(ISERROR(SEARCH("Leve",V379)))</formula>
    </cfRule>
    <cfRule type="containsText" dxfId="3493" priority="1138" stopIfTrue="1" operator="containsText" text="Grave">
      <formula>NOT(ISERROR(SEARCH("Grave",V379)))</formula>
    </cfRule>
    <cfRule type="containsText" dxfId="3492" priority="1136" stopIfTrue="1" operator="containsText" text="Mortal o catastrófico">
      <formula>NOT(ISERROR(SEARCH("Mortal o catastrófico",V379)))</formula>
    </cfRule>
    <cfRule type="containsText" dxfId="3491" priority="1135" stopIfTrue="1" operator="containsText" text="Muy Grave">
      <formula>NOT(ISERROR(SEARCH("Muy Grave",V379)))</formula>
    </cfRule>
  </conditionalFormatting>
  <conditionalFormatting sqref="V380">
    <cfRule type="containsText" dxfId="3490" priority="1432" stopIfTrue="1" operator="containsText" text="Leve">
      <formula>NOT(ISERROR(SEARCH("Leve",V380)))</formula>
    </cfRule>
    <cfRule type="containsText" dxfId="3489" priority="1431" stopIfTrue="1" operator="containsText" text="Mortal o catastrófico">
      <formula>NOT(ISERROR(SEARCH("Mortal o catastrófico",V380)))</formula>
    </cfRule>
    <cfRule type="containsText" dxfId="3488" priority="1433" stopIfTrue="1" operator="containsText" text="Grave">
      <formula>NOT(ISERROR(SEARCH("Grave",V380)))</formula>
    </cfRule>
    <cfRule type="containsText" dxfId="3487" priority="1430" stopIfTrue="1" operator="containsText" text="Muy Grave">
      <formula>NOT(ISERROR(SEARCH("Muy Grave",V380)))</formula>
    </cfRule>
  </conditionalFormatting>
  <conditionalFormatting sqref="V381">
    <cfRule type="containsText" dxfId="3486" priority="1478" stopIfTrue="1" operator="containsText" text="Grave">
      <formula>NOT(ISERROR(SEARCH("Grave",V381)))</formula>
    </cfRule>
    <cfRule type="containsText" dxfId="3485" priority="1477" stopIfTrue="1" operator="containsText" text="Leve">
      <formula>NOT(ISERROR(SEARCH("Leve",V381)))</formula>
    </cfRule>
    <cfRule type="containsText" dxfId="3484" priority="1476" stopIfTrue="1" operator="containsText" text="Mortal o catastrófico">
      <formula>NOT(ISERROR(SEARCH("Mortal o catastrófico",V381)))</formula>
    </cfRule>
    <cfRule type="containsText" dxfId="3483" priority="1475" stopIfTrue="1" operator="containsText" text="Muy Grave">
      <formula>NOT(ISERROR(SEARCH("Muy Grave",V381)))</formula>
    </cfRule>
  </conditionalFormatting>
  <conditionalFormatting sqref="V382">
    <cfRule type="containsText" dxfId="3482" priority="1294" stopIfTrue="1" operator="containsText" text="Muy Grave">
      <formula>NOT(ISERROR(SEARCH("Muy Grave",V382)))</formula>
    </cfRule>
    <cfRule type="containsText" dxfId="3481" priority="1295" stopIfTrue="1" operator="containsText" text="Mortal o catastrófico">
      <formula>NOT(ISERROR(SEARCH("Mortal o catastrófico",V382)))</formula>
    </cfRule>
    <cfRule type="containsText" dxfId="3480" priority="1297" stopIfTrue="1" operator="containsText" text="Grave">
      <formula>NOT(ISERROR(SEARCH("Grave",V382)))</formula>
    </cfRule>
    <cfRule type="containsText" dxfId="3479" priority="1296" stopIfTrue="1" operator="containsText" text="Leve">
      <formula>NOT(ISERROR(SEARCH("Leve",V382)))</formula>
    </cfRule>
  </conditionalFormatting>
  <conditionalFormatting sqref="V383">
    <cfRule type="containsText" dxfId="3478" priority="1252" stopIfTrue="1" operator="containsText" text="Grave">
      <formula>NOT(ISERROR(SEARCH("Grave",V383)))</formula>
    </cfRule>
    <cfRule type="containsText" dxfId="3477" priority="1249" stopIfTrue="1" operator="containsText" text="Muy Grave">
      <formula>NOT(ISERROR(SEARCH("Muy Grave",V383)))</formula>
    </cfRule>
    <cfRule type="containsText" dxfId="3476" priority="1250" stopIfTrue="1" operator="containsText" text="Mortal o catastrófico">
      <formula>NOT(ISERROR(SEARCH("Mortal o catastrófico",V383)))</formula>
    </cfRule>
    <cfRule type="containsText" dxfId="3475" priority="1251" stopIfTrue="1" operator="containsText" text="Leve">
      <formula>NOT(ISERROR(SEARCH("Leve",V383)))</formula>
    </cfRule>
  </conditionalFormatting>
  <conditionalFormatting sqref="V384">
    <cfRule type="containsText" dxfId="3474" priority="1356" stopIfTrue="1" operator="containsText" text="Mortal o catastrófico">
      <formula>NOT(ISERROR(SEARCH("Mortal o catastrófico",V384)))</formula>
    </cfRule>
    <cfRule type="containsText" dxfId="3473" priority="1355" stopIfTrue="1" operator="containsText" text="Muy Grave">
      <formula>NOT(ISERROR(SEARCH("Muy Grave",V384)))</formula>
    </cfRule>
    <cfRule type="containsText" dxfId="3472" priority="1357" stopIfTrue="1" operator="containsText" text="Leve">
      <formula>NOT(ISERROR(SEARCH("Leve",V384)))</formula>
    </cfRule>
    <cfRule type="containsText" dxfId="3471" priority="1358" stopIfTrue="1" operator="containsText" text="Grave">
      <formula>NOT(ISERROR(SEARCH("Grave",V384)))</formula>
    </cfRule>
  </conditionalFormatting>
  <conditionalFormatting sqref="V385">
    <cfRule type="containsText" dxfId="3470" priority="1338" stopIfTrue="1" operator="containsText" text="Grave">
      <formula>NOT(ISERROR(SEARCH("Grave",V385)))</formula>
    </cfRule>
    <cfRule type="containsText" dxfId="3469" priority="1337" stopIfTrue="1" operator="containsText" text="Leve">
      <formula>NOT(ISERROR(SEARCH("Leve",V385)))</formula>
    </cfRule>
    <cfRule type="containsText" dxfId="3468" priority="1336" stopIfTrue="1" operator="containsText" text="Mortal o catastrófico">
      <formula>NOT(ISERROR(SEARCH("Mortal o catastrófico",V385)))</formula>
    </cfRule>
    <cfRule type="containsText" dxfId="3467" priority="1335" stopIfTrue="1" operator="containsText" text="Muy Grave">
      <formula>NOT(ISERROR(SEARCH("Muy Grave",V385)))</formula>
    </cfRule>
  </conditionalFormatting>
  <conditionalFormatting sqref="V386">
    <cfRule type="containsText" dxfId="3466" priority="1396" stopIfTrue="1" operator="containsText" text="Muy Grave">
      <formula>NOT(ISERROR(SEARCH("Muy Grave",V386)))</formula>
    </cfRule>
    <cfRule type="containsText" dxfId="3465" priority="1397" stopIfTrue="1" operator="containsText" text="Mortal o catastrófico">
      <formula>NOT(ISERROR(SEARCH("Mortal o catastrófico",V386)))</formula>
    </cfRule>
    <cfRule type="containsText" dxfId="3464" priority="1398" stopIfTrue="1" operator="containsText" text="Leve">
      <formula>NOT(ISERROR(SEARCH("Leve",V386)))</formula>
    </cfRule>
    <cfRule type="containsText" dxfId="3463" priority="1399" stopIfTrue="1" operator="containsText" text="Grave">
      <formula>NOT(ISERROR(SEARCH("Grave",V386)))</formula>
    </cfRule>
  </conditionalFormatting>
  <conditionalFormatting sqref="V387">
    <cfRule type="containsText" dxfId="3462" priority="1211" stopIfTrue="1" operator="containsText" text="Muy Grave">
      <formula>NOT(ISERROR(SEARCH("Muy Grave",V387)))</formula>
    </cfRule>
    <cfRule type="containsText" dxfId="3461" priority="1212" stopIfTrue="1" operator="containsText" text="Mortal o catastrófico">
      <formula>NOT(ISERROR(SEARCH("Mortal o catastrófico",V387)))</formula>
    </cfRule>
    <cfRule type="containsText" dxfId="3460" priority="1213" stopIfTrue="1" operator="containsText" text="Leve">
      <formula>NOT(ISERROR(SEARCH("Leve",V387)))</formula>
    </cfRule>
    <cfRule type="containsText" dxfId="3459" priority="1214" stopIfTrue="1" operator="containsText" text="Grave">
      <formula>NOT(ISERROR(SEARCH("Grave",V387)))</formula>
    </cfRule>
  </conditionalFormatting>
  <conditionalFormatting sqref="V388">
    <cfRule type="containsText" dxfId="3458" priority="1030" stopIfTrue="1" operator="containsText" text="Muy Grave">
      <formula>NOT(ISERROR(SEARCH("Muy Grave",V388)))</formula>
    </cfRule>
    <cfRule type="containsText" dxfId="3457" priority="1032" stopIfTrue="1" operator="containsText" text="Leve">
      <formula>NOT(ISERROR(SEARCH("Leve",V388)))</formula>
    </cfRule>
    <cfRule type="containsText" dxfId="3456" priority="1031" stopIfTrue="1" operator="containsText" text="Mortal o catastrófico">
      <formula>NOT(ISERROR(SEARCH("Mortal o catastrófico",V388)))</formula>
    </cfRule>
    <cfRule type="containsText" dxfId="3455" priority="1033" stopIfTrue="1" operator="containsText" text="Grave">
      <formula>NOT(ISERROR(SEARCH("Grave",V388)))</formula>
    </cfRule>
  </conditionalFormatting>
  <conditionalFormatting sqref="V389">
    <cfRule type="containsText" dxfId="3454" priority="683" stopIfTrue="1" operator="containsText" text="Muy Grave">
      <formula>NOT(ISERROR(SEARCH("Muy Grave",V389)))</formula>
    </cfRule>
    <cfRule type="containsText" dxfId="3453" priority="685" stopIfTrue="1" operator="containsText" text="Leve">
      <formula>NOT(ISERROR(SEARCH("Leve",V389)))</formula>
    </cfRule>
    <cfRule type="containsText" dxfId="3452" priority="686" stopIfTrue="1" operator="containsText" text="Grave">
      <formula>NOT(ISERROR(SEARCH("Grave",V389)))</formula>
    </cfRule>
    <cfRule type="containsText" dxfId="3451" priority="684" stopIfTrue="1" operator="containsText" text="Mortal o catastrófico">
      <formula>NOT(ISERROR(SEARCH("Mortal o catastrófico",V389)))</formula>
    </cfRule>
  </conditionalFormatting>
  <conditionalFormatting sqref="V390">
    <cfRule type="containsText" dxfId="3450" priority="649" stopIfTrue="1" operator="containsText" text="Leve">
      <formula>NOT(ISERROR(SEARCH("Leve",V390)))</formula>
    </cfRule>
    <cfRule type="containsText" dxfId="3449" priority="650" stopIfTrue="1" operator="containsText" text="Grave">
      <formula>NOT(ISERROR(SEARCH("Grave",V390)))</formula>
    </cfRule>
    <cfRule type="containsText" dxfId="3448" priority="648" stopIfTrue="1" operator="containsText" text="Mortal o catastrófico">
      <formula>NOT(ISERROR(SEARCH("Mortal o catastrófico",V390)))</formula>
    </cfRule>
    <cfRule type="containsText" dxfId="3447" priority="647" stopIfTrue="1" operator="containsText" text="Muy Grave">
      <formula>NOT(ISERROR(SEARCH("Muy Grave",V390)))</formula>
    </cfRule>
  </conditionalFormatting>
  <conditionalFormatting sqref="V391">
    <cfRule type="containsText" dxfId="3446" priority="984" stopIfTrue="1" operator="containsText" text="Grave">
      <formula>NOT(ISERROR(SEARCH("Grave",V391)))</formula>
    </cfRule>
    <cfRule type="containsText" dxfId="3445" priority="981" stopIfTrue="1" operator="containsText" text="Muy Grave">
      <formula>NOT(ISERROR(SEARCH("Muy Grave",V391)))</formula>
    </cfRule>
    <cfRule type="containsText" dxfId="3444" priority="982" stopIfTrue="1" operator="containsText" text="Mortal o catastrófico">
      <formula>NOT(ISERROR(SEARCH("Mortal o catastrófico",V391)))</formula>
    </cfRule>
    <cfRule type="containsText" dxfId="3443" priority="983" stopIfTrue="1" operator="containsText" text="Leve">
      <formula>NOT(ISERROR(SEARCH("Leve",V391)))</formula>
    </cfRule>
  </conditionalFormatting>
  <conditionalFormatting sqref="V392">
    <cfRule type="containsText" dxfId="3442" priority="1075" stopIfTrue="1" operator="containsText" text="Leve">
      <formula>NOT(ISERROR(SEARCH("Leve",V392)))</formula>
    </cfRule>
    <cfRule type="containsText" dxfId="3441" priority="1074" stopIfTrue="1" operator="containsText" text="Mortal o catastrófico">
      <formula>NOT(ISERROR(SEARCH("Mortal o catastrófico",V392)))</formula>
    </cfRule>
    <cfRule type="containsText" dxfId="3440" priority="1073" stopIfTrue="1" operator="containsText" text="Muy Grave">
      <formula>NOT(ISERROR(SEARCH("Muy Grave",V392)))</formula>
    </cfRule>
    <cfRule type="containsText" dxfId="3439" priority="1076" stopIfTrue="1" operator="containsText" text="Grave">
      <formula>NOT(ISERROR(SEARCH("Grave",V392)))</formula>
    </cfRule>
  </conditionalFormatting>
  <conditionalFormatting sqref="V393">
    <cfRule type="containsText" dxfId="3438" priority="938" stopIfTrue="1" operator="containsText" text="Leve">
      <formula>NOT(ISERROR(SEARCH("Leve",V393)))</formula>
    </cfRule>
    <cfRule type="containsText" dxfId="3437" priority="939" stopIfTrue="1" operator="containsText" text="Grave">
      <formula>NOT(ISERROR(SEARCH("Grave",V393)))</formula>
    </cfRule>
    <cfRule type="containsText" dxfId="3436" priority="936" stopIfTrue="1" operator="containsText" text="Muy Grave">
      <formula>NOT(ISERROR(SEARCH("Muy Grave",V393)))</formula>
    </cfRule>
    <cfRule type="containsText" dxfId="3435" priority="937" stopIfTrue="1" operator="containsText" text="Mortal o catastrófico">
      <formula>NOT(ISERROR(SEARCH("Mortal o catastrófico",V393)))</formula>
    </cfRule>
  </conditionalFormatting>
  <conditionalFormatting sqref="V394">
    <cfRule type="containsText" dxfId="3434" priority="801" stopIfTrue="1" operator="containsText" text="Mortal o catastrófico">
      <formula>NOT(ISERROR(SEARCH("Mortal o catastrófico",V394)))</formula>
    </cfRule>
    <cfRule type="containsText" dxfId="3433" priority="800" stopIfTrue="1" operator="containsText" text="Muy Grave">
      <formula>NOT(ISERROR(SEARCH("Muy Grave",V394)))</formula>
    </cfRule>
    <cfRule type="containsText" dxfId="3432" priority="802" stopIfTrue="1" operator="containsText" text="Leve">
      <formula>NOT(ISERROR(SEARCH("Leve",V394)))</formula>
    </cfRule>
    <cfRule type="containsText" dxfId="3431" priority="803" stopIfTrue="1" operator="containsText" text="Grave">
      <formula>NOT(ISERROR(SEARCH("Grave",V394)))</formula>
    </cfRule>
  </conditionalFormatting>
  <conditionalFormatting sqref="V395">
    <cfRule type="containsText" dxfId="3430" priority="759" stopIfTrue="1" operator="containsText" text="Leve">
      <formula>NOT(ISERROR(SEARCH("Leve",V395)))</formula>
    </cfRule>
    <cfRule type="containsText" dxfId="3429" priority="758" stopIfTrue="1" operator="containsText" text="Mortal o catastrófico">
      <formula>NOT(ISERROR(SEARCH("Mortal o catastrófico",V395)))</formula>
    </cfRule>
    <cfRule type="containsText" dxfId="3428" priority="760" stopIfTrue="1" operator="containsText" text="Grave">
      <formula>NOT(ISERROR(SEARCH("Grave",V395)))</formula>
    </cfRule>
    <cfRule type="containsText" dxfId="3427" priority="757" stopIfTrue="1" operator="containsText" text="Muy Grave">
      <formula>NOT(ISERROR(SEARCH("Muy Grave",V395)))</formula>
    </cfRule>
  </conditionalFormatting>
  <conditionalFormatting sqref="V396">
    <cfRule type="containsText" dxfId="3426" priority="864" stopIfTrue="1" operator="containsText" text="Grave">
      <formula>NOT(ISERROR(SEARCH("Grave",V396)))</formula>
    </cfRule>
    <cfRule type="containsText" dxfId="3425" priority="863" stopIfTrue="1" operator="containsText" text="Leve">
      <formula>NOT(ISERROR(SEARCH("Leve",V396)))</formula>
    </cfRule>
    <cfRule type="containsText" dxfId="3424" priority="861" stopIfTrue="1" operator="containsText" text="Muy Grave">
      <formula>NOT(ISERROR(SEARCH("Muy Grave",V396)))</formula>
    </cfRule>
    <cfRule type="containsText" dxfId="3423" priority="862" stopIfTrue="1" operator="containsText" text="Mortal o catastrófico">
      <formula>NOT(ISERROR(SEARCH("Mortal o catastrófico",V396)))</formula>
    </cfRule>
  </conditionalFormatting>
  <conditionalFormatting sqref="V397">
    <cfRule type="containsText" dxfId="3422" priority="841" stopIfTrue="1" operator="containsText" text="Muy Grave">
      <formula>NOT(ISERROR(SEARCH("Muy Grave",V397)))</formula>
    </cfRule>
    <cfRule type="containsText" dxfId="3421" priority="842" stopIfTrue="1" operator="containsText" text="Mortal o catastrófico">
      <formula>NOT(ISERROR(SEARCH("Mortal o catastrófico",V397)))</formula>
    </cfRule>
    <cfRule type="containsText" dxfId="3420" priority="843" stopIfTrue="1" operator="containsText" text="Leve">
      <formula>NOT(ISERROR(SEARCH("Leve",V397)))</formula>
    </cfRule>
    <cfRule type="containsText" dxfId="3419" priority="844" stopIfTrue="1" operator="containsText" text="Grave">
      <formula>NOT(ISERROR(SEARCH("Grave",V397)))</formula>
    </cfRule>
  </conditionalFormatting>
  <conditionalFormatting sqref="V398">
    <cfRule type="containsText" dxfId="3418" priority="904" stopIfTrue="1" operator="containsText" text="Leve">
      <formula>NOT(ISERROR(SEARCH("Leve",V398)))</formula>
    </cfRule>
    <cfRule type="containsText" dxfId="3417" priority="902" stopIfTrue="1" operator="containsText" text="Muy Grave">
      <formula>NOT(ISERROR(SEARCH("Muy Grave",V398)))</formula>
    </cfRule>
    <cfRule type="containsText" dxfId="3416" priority="903" stopIfTrue="1" operator="containsText" text="Mortal o catastrófico">
      <formula>NOT(ISERROR(SEARCH("Mortal o catastrófico",V398)))</formula>
    </cfRule>
    <cfRule type="containsText" dxfId="3415" priority="905" stopIfTrue="1" operator="containsText" text="Grave">
      <formula>NOT(ISERROR(SEARCH("Grave",V398)))</formula>
    </cfRule>
  </conditionalFormatting>
  <conditionalFormatting sqref="V399">
    <cfRule type="containsText" dxfId="3414" priority="719" stopIfTrue="1" operator="containsText" text="Muy Grave">
      <formula>NOT(ISERROR(SEARCH("Muy Grave",V399)))</formula>
    </cfRule>
    <cfRule type="containsText" dxfId="3413" priority="720" stopIfTrue="1" operator="containsText" text="Mortal o catastrófico">
      <formula>NOT(ISERROR(SEARCH("Mortal o catastrófico",V399)))</formula>
    </cfRule>
    <cfRule type="containsText" dxfId="3412" priority="721" stopIfTrue="1" operator="containsText" text="Leve">
      <formula>NOT(ISERROR(SEARCH("Leve",V399)))</formula>
    </cfRule>
    <cfRule type="containsText" dxfId="3411" priority="722" stopIfTrue="1" operator="containsText" text="Grave">
      <formula>NOT(ISERROR(SEARCH("Grave",V399)))</formula>
    </cfRule>
  </conditionalFormatting>
  <conditionalFormatting sqref="V400">
    <cfRule type="containsText" dxfId="3410" priority="610" stopIfTrue="1" operator="containsText" text="Mortal o catastrófico">
      <formula>NOT(ISERROR(SEARCH("Mortal o catastrófico",V400)))</formula>
    </cfRule>
    <cfRule type="containsText" dxfId="3409" priority="611" stopIfTrue="1" operator="containsText" text="Leve">
      <formula>NOT(ISERROR(SEARCH("Leve",V400)))</formula>
    </cfRule>
    <cfRule type="containsText" dxfId="3408" priority="612" stopIfTrue="1" operator="containsText" text="Grave">
      <formula>NOT(ISERROR(SEARCH("Grave",V400)))</formula>
    </cfRule>
    <cfRule type="containsText" dxfId="3407" priority="609" stopIfTrue="1" operator="containsText" text="Muy Grave">
      <formula>NOT(ISERROR(SEARCH("Muy Grave",V400)))</formula>
    </cfRule>
  </conditionalFormatting>
  <conditionalFormatting sqref="V401">
    <cfRule type="containsText" dxfId="3406" priority="500" stopIfTrue="1" operator="containsText" text="Muy Grave">
      <formula>NOT(ISERROR(SEARCH("Muy Grave",V401)))</formula>
    </cfRule>
    <cfRule type="containsText" dxfId="3405" priority="501" stopIfTrue="1" operator="containsText" text="Mortal o catastrófico">
      <formula>NOT(ISERROR(SEARCH("Mortal o catastrófico",V401)))</formula>
    </cfRule>
    <cfRule type="containsText" dxfId="3404" priority="503" stopIfTrue="1" operator="containsText" text="Grave">
      <formula>NOT(ISERROR(SEARCH("Grave",V401)))</formula>
    </cfRule>
    <cfRule type="containsText" dxfId="3403" priority="502" stopIfTrue="1" operator="containsText" text="Leve">
      <formula>NOT(ISERROR(SEARCH("Leve",V401)))</formula>
    </cfRule>
  </conditionalFormatting>
  <conditionalFormatting sqref="V402">
    <cfRule type="containsText" dxfId="3402" priority="153" stopIfTrue="1" operator="containsText" text="Muy Grave">
      <formula>NOT(ISERROR(SEARCH("Muy Grave",V402)))</formula>
    </cfRule>
    <cfRule type="containsText" dxfId="3401" priority="155" stopIfTrue="1" operator="containsText" text="Leve">
      <formula>NOT(ISERROR(SEARCH("Leve",V402)))</formula>
    </cfRule>
    <cfRule type="containsText" dxfId="3400" priority="156" stopIfTrue="1" operator="containsText" text="Grave">
      <formula>NOT(ISERROR(SEARCH("Grave",V402)))</formula>
    </cfRule>
    <cfRule type="containsText" dxfId="3399" priority="154" stopIfTrue="1" operator="containsText" text="Mortal o catastrófico">
      <formula>NOT(ISERROR(SEARCH("Mortal o catastrófico",V402)))</formula>
    </cfRule>
  </conditionalFormatting>
  <conditionalFormatting sqref="V403">
    <cfRule type="containsText" dxfId="3398" priority="118" stopIfTrue="1" operator="containsText" text="Mortal o catastrófico">
      <formula>NOT(ISERROR(SEARCH("Mortal o catastrófico",V403)))</formula>
    </cfRule>
    <cfRule type="containsText" dxfId="3397" priority="120" stopIfTrue="1" operator="containsText" text="Grave">
      <formula>NOT(ISERROR(SEARCH("Grave",V403)))</formula>
    </cfRule>
    <cfRule type="containsText" dxfId="3396" priority="119" stopIfTrue="1" operator="containsText" text="Leve">
      <formula>NOT(ISERROR(SEARCH("Leve",V403)))</formula>
    </cfRule>
    <cfRule type="containsText" dxfId="3395" priority="117" stopIfTrue="1" operator="containsText" text="Muy Grave">
      <formula>NOT(ISERROR(SEARCH("Muy Grave",V403)))</formula>
    </cfRule>
  </conditionalFormatting>
  <conditionalFormatting sqref="V404">
    <cfRule type="containsText" dxfId="3394" priority="454" stopIfTrue="1" operator="containsText" text="Grave">
      <formula>NOT(ISERROR(SEARCH("Grave",V404)))</formula>
    </cfRule>
    <cfRule type="containsText" dxfId="3393" priority="451" stopIfTrue="1" operator="containsText" text="Muy Grave">
      <formula>NOT(ISERROR(SEARCH("Muy Grave",V404)))</formula>
    </cfRule>
    <cfRule type="containsText" dxfId="3392" priority="452" stopIfTrue="1" operator="containsText" text="Mortal o catastrófico">
      <formula>NOT(ISERROR(SEARCH("Mortal o catastrófico",V404)))</formula>
    </cfRule>
    <cfRule type="containsText" dxfId="3391" priority="453" stopIfTrue="1" operator="containsText" text="Leve">
      <formula>NOT(ISERROR(SEARCH("Leve",V404)))</formula>
    </cfRule>
  </conditionalFormatting>
  <conditionalFormatting sqref="V405">
    <cfRule type="containsText" dxfId="3390" priority="544" stopIfTrue="1" operator="containsText" text="Mortal o catastrófico">
      <formula>NOT(ISERROR(SEARCH("Mortal o catastrófico",V405)))</formula>
    </cfRule>
    <cfRule type="containsText" dxfId="3389" priority="545" stopIfTrue="1" operator="containsText" text="Leve">
      <formula>NOT(ISERROR(SEARCH("Leve",V405)))</formula>
    </cfRule>
    <cfRule type="containsText" dxfId="3388" priority="543" stopIfTrue="1" operator="containsText" text="Muy Grave">
      <formula>NOT(ISERROR(SEARCH("Muy Grave",V405)))</formula>
    </cfRule>
    <cfRule type="containsText" dxfId="3387" priority="546" stopIfTrue="1" operator="containsText" text="Grave">
      <formula>NOT(ISERROR(SEARCH("Grave",V405)))</formula>
    </cfRule>
  </conditionalFormatting>
  <conditionalFormatting sqref="V406">
    <cfRule type="containsText" dxfId="3386" priority="409" stopIfTrue="1" operator="containsText" text="Grave">
      <formula>NOT(ISERROR(SEARCH("Grave",V406)))</formula>
    </cfRule>
    <cfRule type="containsText" dxfId="3385" priority="408" stopIfTrue="1" operator="containsText" text="Leve">
      <formula>NOT(ISERROR(SEARCH("Leve",V406)))</formula>
    </cfRule>
    <cfRule type="containsText" dxfId="3384" priority="407" stopIfTrue="1" operator="containsText" text="Mortal o catastrófico">
      <formula>NOT(ISERROR(SEARCH("Mortal o catastrófico",V406)))</formula>
    </cfRule>
    <cfRule type="containsText" dxfId="3383" priority="406" stopIfTrue="1" operator="containsText" text="Muy Grave">
      <formula>NOT(ISERROR(SEARCH("Muy Grave",V406)))</formula>
    </cfRule>
  </conditionalFormatting>
  <conditionalFormatting sqref="V407">
    <cfRule type="containsText" dxfId="3382" priority="271" stopIfTrue="1" operator="containsText" text="Mortal o catastrófico">
      <formula>NOT(ISERROR(SEARCH("Mortal o catastrófico",V407)))</formula>
    </cfRule>
    <cfRule type="containsText" dxfId="3381" priority="273" stopIfTrue="1" operator="containsText" text="Grave">
      <formula>NOT(ISERROR(SEARCH("Grave",V407)))</formula>
    </cfRule>
    <cfRule type="containsText" dxfId="3380" priority="270" stopIfTrue="1" operator="containsText" text="Muy Grave">
      <formula>NOT(ISERROR(SEARCH("Muy Grave",V407)))</formula>
    </cfRule>
    <cfRule type="containsText" dxfId="3379" priority="272" stopIfTrue="1" operator="containsText" text="Leve">
      <formula>NOT(ISERROR(SEARCH("Leve",V407)))</formula>
    </cfRule>
  </conditionalFormatting>
  <conditionalFormatting sqref="V408">
    <cfRule type="containsText" dxfId="3378" priority="227" stopIfTrue="1" operator="containsText" text="Muy Grave">
      <formula>NOT(ISERROR(SEARCH("Muy Grave",V408)))</formula>
    </cfRule>
    <cfRule type="containsText" dxfId="3377" priority="228" stopIfTrue="1" operator="containsText" text="Mortal o catastrófico">
      <formula>NOT(ISERROR(SEARCH("Mortal o catastrófico",V408)))</formula>
    </cfRule>
    <cfRule type="containsText" dxfId="3376" priority="229" stopIfTrue="1" operator="containsText" text="Leve">
      <formula>NOT(ISERROR(SEARCH("Leve",V408)))</formula>
    </cfRule>
    <cfRule type="containsText" dxfId="3375" priority="230" stopIfTrue="1" operator="containsText" text="Grave">
      <formula>NOT(ISERROR(SEARCH("Grave",V408)))</formula>
    </cfRule>
  </conditionalFormatting>
  <conditionalFormatting sqref="V409">
    <cfRule type="containsText" dxfId="3374" priority="334" stopIfTrue="1" operator="containsText" text="Grave">
      <formula>NOT(ISERROR(SEARCH("Grave",V409)))</formula>
    </cfRule>
    <cfRule type="containsText" dxfId="3373" priority="333" stopIfTrue="1" operator="containsText" text="Leve">
      <formula>NOT(ISERROR(SEARCH("Leve",V409)))</formula>
    </cfRule>
    <cfRule type="containsText" dxfId="3372" priority="332" stopIfTrue="1" operator="containsText" text="Mortal o catastrófico">
      <formula>NOT(ISERROR(SEARCH("Mortal o catastrófico",V409)))</formula>
    </cfRule>
    <cfRule type="containsText" dxfId="3371" priority="331" stopIfTrue="1" operator="containsText" text="Muy Grave">
      <formula>NOT(ISERROR(SEARCH("Muy Grave",V409)))</formula>
    </cfRule>
  </conditionalFormatting>
  <conditionalFormatting sqref="V410">
    <cfRule type="containsText" dxfId="3370" priority="313" stopIfTrue="1" operator="containsText" text="Leve">
      <formula>NOT(ISERROR(SEARCH("Leve",V410)))</formula>
    </cfRule>
    <cfRule type="containsText" dxfId="3369" priority="314" stopIfTrue="1" operator="containsText" text="Grave">
      <formula>NOT(ISERROR(SEARCH("Grave",V410)))</formula>
    </cfRule>
    <cfRule type="containsText" dxfId="3368" priority="311" stopIfTrue="1" operator="containsText" text="Muy Grave">
      <formula>NOT(ISERROR(SEARCH("Muy Grave",V410)))</formula>
    </cfRule>
    <cfRule type="containsText" dxfId="3367" priority="312" stopIfTrue="1" operator="containsText" text="Mortal o catastrófico">
      <formula>NOT(ISERROR(SEARCH("Mortal o catastrófico",V410)))</formula>
    </cfRule>
  </conditionalFormatting>
  <conditionalFormatting sqref="V411">
    <cfRule type="containsText" dxfId="3366" priority="374" stopIfTrue="1" operator="containsText" text="Leve">
      <formula>NOT(ISERROR(SEARCH("Leve",V411)))</formula>
    </cfRule>
    <cfRule type="containsText" dxfId="3365" priority="375" stopIfTrue="1" operator="containsText" text="Grave">
      <formula>NOT(ISERROR(SEARCH("Grave",V411)))</formula>
    </cfRule>
    <cfRule type="containsText" dxfId="3364" priority="373" stopIfTrue="1" operator="containsText" text="Mortal o catastrófico">
      <formula>NOT(ISERROR(SEARCH("Mortal o catastrófico",V411)))</formula>
    </cfRule>
    <cfRule type="containsText" dxfId="3363" priority="372" stopIfTrue="1" operator="containsText" text="Muy Grave">
      <formula>NOT(ISERROR(SEARCH("Muy Grave",V411)))</formula>
    </cfRule>
  </conditionalFormatting>
  <conditionalFormatting sqref="V412">
    <cfRule type="containsText" dxfId="3362" priority="192" stopIfTrue="1" operator="containsText" text="Grave">
      <formula>NOT(ISERROR(SEARCH("Grave",V412)))</formula>
    </cfRule>
    <cfRule type="containsText" dxfId="3361" priority="191" stopIfTrue="1" operator="containsText" text="Leve">
      <formula>NOT(ISERROR(SEARCH("Leve",V412)))</formula>
    </cfRule>
    <cfRule type="containsText" dxfId="3360" priority="190" stopIfTrue="1" operator="containsText" text="Mortal o catastrófico">
      <formula>NOT(ISERROR(SEARCH("Mortal o catastrófico",V412)))</formula>
    </cfRule>
    <cfRule type="containsText" dxfId="3359" priority="189" stopIfTrue="1" operator="containsText" text="Muy Grave">
      <formula>NOT(ISERROR(SEARCH("Muy Grave",V412)))</formula>
    </cfRule>
  </conditionalFormatting>
  <conditionalFormatting sqref="V413:V415">
    <cfRule type="containsText" dxfId="3358" priority="80" stopIfTrue="1" operator="containsText" text="Mortal o catastrófico">
      <formula>NOT(ISERROR(SEARCH("Mortal o catastrófico",V413)))</formula>
    </cfRule>
    <cfRule type="containsText" dxfId="3357" priority="81" stopIfTrue="1" operator="containsText" text="Leve">
      <formula>NOT(ISERROR(SEARCH("Leve",V413)))</formula>
    </cfRule>
    <cfRule type="containsText" dxfId="3356" priority="82" stopIfTrue="1" operator="containsText" text="Grave">
      <formula>NOT(ISERROR(SEARCH("Grave",V413)))</formula>
    </cfRule>
    <cfRule type="containsText" dxfId="3355" priority="79" stopIfTrue="1" operator="containsText" text="Muy Grave">
      <formula>NOT(ISERROR(SEARCH("Muy Grave",V413)))</formula>
    </cfRule>
  </conditionalFormatting>
  <conditionalFormatting sqref="V416:V439">
    <cfRule type="containsText" dxfId="3354" priority="13" stopIfTrue="1" operator="containsText" text="Muy Grave">
      <formula>NOT(ISERROR(SEARCH("Muy Grave",V416)))</formula>
    </cfRule>
    <cfRule type="containsText" dxfId="3353" priority="14" stopIfTrue="1" operator="containsText" text="Mortal o catastrófico">
      <formula>NOT(ISERROR(SEARCH("Mortal o catastrófico",V416)))</formula>
    </cfRule>
    <cfRule type="containsText" dxfId="3352" priority="22" stopIfTrue="1" operator="containsText" text="Leve">
      <formula>NOT(ISERROR(SEARCH("Leve",V416)))</formula>
    </cfRule>
    <cfRule type="containsText" dxfId="3351" priority="23" stopIfTrue="1" operator="containsText" text="Grave">
      <formula>NOT(ISERROR(SEARCH("Grave",V416)))</formula>
    </cfRule>
  </conditionalFormatting>
  <conditionalFormatting sqref="Y20:Y22 Y44:Y46 Y66:Y68">
    <cfRule type="containsText" dxfId="3350" priority="13030" stopIfTrue="1" operator="containsText" text="Nivel III: Riesgo Moderado (Aceptable)">
      <formula>NOT(ISERROR(SEARCH("Nivel III: Riesgo Moderado (Aceptable)",Y20)))</formula>
    </cfRule>
  </conditionalFormatting>
  <conditionalFormatting sqref="Y31">
    <cfRule type="containsText" dxfId="3349" priority="8792" stopIfTrue="1" operator="containsText" text="Nivel I: Riesgo Inaceptable">
      <formula>NOT(ISERROR(SEARCH("Nivel I: Riesgo Inaceptable",Y31)))</formula>
    </cfRule>
    <cfRule type="containsText" dxfId="3348" priority="8791" stopIfTrue="1" operator="containsText" text="Nivel II: Riesgo Importante">
      <formula>NOT(ISERROR(SEARCH("Nivel II: Riesgo Importante",Y31)))</formula>
    </cfRule>
    <cfRule type="containsText" dxfId="3347" priority="8800" stopIfTrue="1" operator="containsText" text="Nivel I: Riesgo Inaceptable">
      <formula>NOT(ISERROR(SEARCH("Nivel I: Riesgo Inaceptable",Y31)))</formula>
    </cfRule>
    <cfRule type="containsText" dxfId="3346" priority="8790" stopIfTrue="1" operator="containsText" text="Nivel III: Riesgo Moderado (Aceptable)">
      <formula>NOT(ISERROR(SEARCH("Nivel III: Riesgo Moderado (Aceptable)",Y31)))</formula>
    </cfRule>
    <cfRule type="containsText" dxfId="3345" priority="8799" stopIfTrue="1" operator="containsText" text="Nivel II: Riesgo Importante">
      <formula>NOT(ISERROR(SEARCH("Nivel II: Riesgo Importante",Y31)))</formula>
    </cfRule>
    <cfRule type="containsText" dxfId="3344" priority="8793" stopIfTrue="1" operator="containsText" text="Nivel IV: Riesgo Tolerable (Aceptable)">
      <formula>NOT(ISERROR(SEARCH("Nivel IV: Riesgo Tolerable (Aceptable)",Y31)))</formula>
    </cfRule>
    <cfRule type="containsText" dxfId="3343" priority="8801" stopIfTrue="1" operator="containsText" text="Nivel IV: Riesgo Tolerable (Aceptable)">
      <formula>NOT(ISERROR(SEARCH("Nivel IV: Riesgo Tolerable (Aceptable)",Y31)))</formula>
    </cfRule>
  </conditionalFormatting>
  <conditionalFormatting sqref="Y32:Y96 Z76:Z77">
    <cfRule type="containsText" dxfId="3342" priority="13965" stopIfTrue="1" operator="containsText" text="Nivel I: Riesgo Inaceptable">
      <formula>NOT(ISERROR(SEARCH("Nivel I: Riesgo Inaceptable",Y32)))</formula>
    </cfRule>
    <cfRule type="containsText" dxfId="3341" priority="13964" stopIfTrue="1" operator="containsText" text="Nivel II: Riesgo Importante">
      <formula>NOT(ISERROR(SEARCH("Nivel II: Riesgo Importante",Y32)))</formula>
    </cfRule>
    <cfRule type="containsText" dxfId="3340" priority="13966" stopIfTrue="1" operator="containsText" text="Nivel IV: Riesgo Tolerable (Aceptable)">
      <formula>NOT(ISERROR(SEARCH("Nivel IV: Riesgo Tolerable (Aceptable)",Y32)))</formula>
    </cfRule>
    <cfRule type="containsText" dxfId="3339" priority="13963" stopIfTrue="1" operator="containsText" text="Nivel III: Riesgo Moderado (Aceptable)">
      <formula>NOT(ISERROR(SEARCH("Nivel III: Riesgo Moderado (Aceptable)",Y32)))</formula>
    </cfRule>
  </conditionalFormatting>
  <conditionalFormatting sqref="Y51:Y57 Y78:Y79 Y85:Y88">
    <cfRule type="containsText" dxfId="3338" priority="13026" stopIfTrue="1" operator="containsText" text="Nivel III: Riesgo Moderado (Aceptable)">
      <formula>NOT(ISERROR(SEARCH("Nivel III: Riesgo Moderado (Aceptable)",Y51)))</formula>
    </cfRule>
  </conditionalFormatting>
  <conditionalFormatting sqref="Y85">
    <cfRule type="containsText" dxfId="3337" priority="13366" stopIfTrue="1" operator="containsText" text="Nivel IV: Riesgo Tolerable (Aceptable)">
      <formula>NOT(ISERROR(SEARCH("Nivel IV: Riesgo Tolerable (Aceptable)",Y85)))</formula>
    </cfRule>
    <cfRule type="containsText" dxfId="3336" priority="13364" stopIfTrue="1" operator="containsText" text="Nivel II: Riesgo Importante">
      <formula>NOT(ISERROR(SEARCH("Nivel II: Riesgo Importante",Y85)))</formula>
    </cfRule>
    <cfRule type="containsText" dxfId="3335" priority="13365" stopIfTrue="1" operator="containsText" text="Nivel I: Riesgo Inaceptable">
      <formula>NOT(ISERROR(SEARCH("Nivel I: Riesgo Inaceptable",Y85)))</formula>
    </cfRule>
  </conditionalFormatting>
  <conditionalFormatting sqref="Y90:Y97">
    <cfRule type="containsText" dxfId="3334" priority="13022" stopIfTrue="1" operator="containsText" text="Nivel III: Riesgo Moderado (Aceptable)">
      <formula>NOT(ISERROR(SEARCH("Nivel III: Riesgo Moderado (Aceptable)",Y90)))</formula>
    </cfRule>
  </conditionalFormatting>
  <conditionalFormatting sqref="Y93:Y94 Y87:Y88 Y79 Y55:Y57">
    <cfRule type="containsText" dxfId="3333" priority="13029" stopIfTrue="1" operator="containsText" text="Nivel IV: Riesgo Tolerable (Aceptable)">
      <formula>NOT(ISERROR(SEARCH("Nivel IV: Riesgo Tolerable (Aceptable)",Y55)))</formula>
    </cfRule>
    <cfRule type="containsText" dxfId="3332" priority="13028" stopIfTrue="1" operator="containsText" text="Nivel I: Riesgo Inaceptable">
      <formula>NOT(ISERROR(SEARCH("Nivel I: Riesgo Inaceptable",Y55)))</formula>
    </cfRule>
    <cfRule type="containsText" dxfId="3331" priority="13027" stopIfTrue="1" operator="containsText" text="Nivel II: Riesgo Importante">
      <formula>NOT(ISERROR(SEARCH("Nivel II: Riesgo Importante",Y55)))</formula>
    </cfRule>
  </conditionalFormatting>
  <conditionalFormatting sqref="Y95:Y96 Y90:Y92 Y86 Y78 Y66:Y68 Y51:Y54 Y44:Y46 Y20:Y22">
    <cfRule type="containsText" dxfId="3330" priority="13033" stopIfTrue="1" operator="containsText" text="Nivel IV: Riesgo Tolerable (Aceptable)">
      <formula>NOT(ISERROR(SEARCH("Nivel IV: Riesgo Tolerable (Aceptable)",Y20)))</formula>
    </cfRule>
    <cfRule type="containsText" dxfId="3329" priority="13032" stopIfTrue="1" operator="containsText" text="Nivel I: Riesgo Inaceptable">
      <formula>NOT(ISERROR(SEARCH("Nivel I: Riesgo Inaceptable",Y20)))</formula>
    </cfRule>
    <cfRule type="containsText" dxfId="3328" priority="13031" stopIfTrue="1" operator="containsText" text="Nivel II: Riesgo Importante">
      <formula>NOT(ISERROR(SEARCH("Nivel II: Riesgo Importante",Y20)))</formula>
    </cfRule>
  </conditionalFormatting>
  <conditionalFormatting sqref="Y97">
    <cfRule type="containsText" dxfId="3327" priority="13025" stopIfTrue="1" operator="containsText" text="Nivel IV: Riesgo Tolerable (Aceptable)">
      <formula>NOT(ISERROR(SEARCH("Nivel IV: Riesgo Tolerable (Aceptable)",Y97)))</formula>
    </cfRule>
    <cfRule type="containsText" dxfId="3326" priority="13023" stopIfTrue="1" operator="containsText" text="Nivel II: Riesgo Importante">
      <formula>NOT(ISERROR(SEARCH("Nivel II: Riesgo Importante",Y97)))</formula>
    </cfRule>
    <cfRule type="containsText" dxfId="3325" priority="12982" stopIfTrue="1" operator="containsText" text="Nivel II: Riesgo Importante">
      <formula>NOT(ISERROR(SEARCH("Nivel II: Riesgo Importante",Y97)))</formula>
    </cfRule>
    <cfRule type="containsText" dxfId="3324" priority="12983" stopIfTrue="1" operator="containsText" text="Nivel I: Riesgo Inaceptable">
      <formula>NOT(ISERROR(SEARCH("Nivel I: Riesgo Inaceptable",Y97)))</formula>
    </cfRule>
    <cfRule type="containsText" dxfId="3323" priority="12984" stopIfTrue="1" operator="containsText" text="Nivel IV: Riesgo Tolerable (Aceptable)">
      <formula>NOT(ISERROR(SEARCH("Nivel IV: Riesgo Tolerable (Aceptable)",Y97)))</formula>
    </cfRule>
    <cfRule type="containsText" dxfId="3322" priority="13024" stopIfTrue="1" operator="containsText" text="Nivel I: Riesgo Inaceptable">
      <formula>NOT(ISERROR(SEARCH("Nivel I: Riesgo Inaceptable",Y97)))</formula>
    </cfRule>
  </conditionalFormatting>
  <conditionalFormatting sqref="Y97:Y98">
    <cfRule type="containsText" dxfId="3321" priority="8747" stopIfTrue="1" operator="containsText" text="Nivel III: Riesgo Moderado (Aceptable)">
      <formula>NOT(ISERROR(SEARCH("Nivel III: Riesgo Moderado (Aceptable)",Y97)))</formula>
    </cfRule>
  </conditionalFormatting>
  <conditionalFormatting sqref="Y98">
    <cfRule type="containsText" dxfId="3320" priority="8748" stopIfTrue="1" operator="containsText" text="Nivel II: Riesgo Importante">
      <formula>NOT(ISERROR(SEARCH("Nivel II: Riesgo Importante",Y98)))</formula>
    </cfRule>
    <cfRule type="containsText" dxfId="3319" priority="8742" stopIfTrue="1" operator="containsText" text="Nivel IV: Riesgo Tolerable (Aceptable)">
      <formula>NOT(ISERROR(SEARCH("Nivel IV: Riesgo Tolerable (Aceptable)",Y98)))</formula>
    </cfRule>
    <cfRule type="containsText" dxfId="3318" priority="8750" stopIfTrue="1" operator="containsText" text="Nivel IV: Riesgo Tolerable (Aceptable)">
      <formula>NOT(ISERROR(SEARCH("Nivel IV: Riesgo Tolerable (Aceptable)",Y98)))</formula>
    </cfRule>
    <cfRule type="containsText" dxfId="3317" priority="8749" stopIfTrue="1" operator="containsText" text="Nivel I: Riesgo Inaceptable">
      <formula>NOT(ISERROR(SEARCH("Nivel I: Riesgo Inaceptable",Y98)))</formula>
    </cfRule>
    <cfRule type="containsText" dxfId="3316" priority="8741" stopIfTrue="1" operator="containsText" text="Nivel I: Riesgo Inaceptable">
      <formula>NOT(ISERROR(SEARCH("Nivel I: Riesgo Inaceptable",Y98)))</formula>
    </cfRule>
    <cfRule type="containsText" dxfId="3315" priority="8740" stopIfTrue="1" operator="containsText" text="Nivel II: Riesgo Importante">
      <formula>NOT(ISERROR(SEARCH("Nivel II: Riesgo Importante",Y98)))</formula>
    </cfRule>
  </conditionalFormatting>
  <conditionalFormatting sqref="Y99">
    <cfRule type="containsText" dxfId="3314" priority="12830" stopIfTrue="1" operator="containsText" text="Nivel II: Riesgo Importante">
      <formula>NOT(ISERROR(SEARCH("Nivel II: Riesgo Importante",Y99)))</formula>
    </cfRule>
    <cfRule type="containsText" dxfId="3313" priority="12832" stopIfTrue="1" operator="containsText" text="Nivel IV: Riesgo Tolerable (Aceptable)">
      <formula>NOT(ISERROR(SEARCH("Nivel IV: Riesgo Tolerable (Aceptable)",Y99)))</formula>
    </cfRule>
    <cfRule type="containsText" dxfId="3312" priority="12836" stopIfTrue="1" operator="containsText" text="Nivel IV: Riesgo Tolerable (Aceptable)">
      <formula>NOT(ISERROR(SEARCH("Nivel IV: Riesgo Tolerable (Aceptable)",Y99)))</formula>
    </cfRule>
    <cfRule type="containsText" dxfId="3311" priority="12831" stopIfTrue="1" operator="containsText" text="Nivel I: Riesgo Inaceptable">
      <formula>NOT(ISERROR(SEARCH("Nivel I: Riesgo Inaceptable",Y99)))</formula>
    </cfRule>
    <cfRule type="containsText" dxfId="3310" priority="12834" stopIfTrue="1" operator="containsText" text="Nivel II: Riesgo Importante">
      <formula>NOT(ISERROR(SEARCH("Nivel II: Riesgo Importante",Y99)))</formula>
    </cfRule>
    <cfRule type="containsText" dxfId="3309" priority="12835" stopIfTrue="1" operator="containsText" text="Nivel I: Riesgo Inaceptable">
      <formula>NOT(ISERROR(SEARCH("Nivel I: Riesgo Inaceptable",Y99)))</formula>
    </cfRule>
  </conditionalFormatting>
  <conditionalFormatting sqref="Y99:Y101">
    <cfRule type="containsText" dxfId="3308" priority="12788" stopIfTrue="1" operator="containsText" text="Nivel III: Riesgo Moderado (Aceptable)">
      <formula>NOT(ISERROR(SEARCH("Nivel III: Riesgo Moderado (Aceptable)",Y99)))</formula>
    </cfRule>
  </conditionalFormatting>
  <conditionalFormatting sqref="Y100">
    <cfRule type="containsText" dxfId="3307" priority="12789" stopIfTrue="1" operator="containsText" text="Nivel II: Riesgo Importante">
      <formula>NOT(ISERROR(SEARCH("Nivel II: Riesgo Importante",Y100)))</formula>
    </cfRule>
    <cfRule type="containsText" dxfId="3306" priority="12786" stopIfTrue="1" operator="containsText" text="Nivel I: Riesgo Inaceptable">
      <formula>NOT(ISERROR(SEARCH("Nivel I: Riesgo Inaceptable",Y100)))</formula>
    </cfRule>
    <cfRule type="containsText" dxfId="3305" priority="12790" stopIfTrue="1" operator="containsText" text="Nivel I: Riesgo Inaceptable">
      <formula>NOT(ISERROR(SEARCH("Nivel I: Riesgo Inaceptable",Y100)))</formula>
    </cfRule>
    <cfRule type="containsText" dxfId="3304" priority="12791" stopIfTrue="1" operator="containsText" text="Nivel IV: Riesgo Tolerable (Aceptable)">
      <formula>NOT(ISERROR(SEARCH("Nivel IV: Riesgo Tolerable (Aceptable)",Y100)))</formula>
    </cfRule>
    <cfRule type="containsText" dxfId="3303" priority="12787" stopIfTrue="1" operator="containsText" text="Nivel IV: Riesgo Tolerable (Aceptable)">
      <formula>NOT(ISERROR(SEARCH("Nivel IV: Riesgo Tolerable (Aceptable)",Y100)))</formula>
    </cfRule>
    <cfRule type="containsText" dxfId="3302" priority="12785" stopIfTrue="1" operator="containsText" text="Nivel II: Riesgo Importante">
      <formula>NOT(ISERROR(SEARCH("Nivel II: Riesgo Importante",Y100)))</formula>
    </cfRule>
  </conditionalFormatting>
  <conditionalFormatting sqref="Y101">
    <cfRule type="containsText" dxfId="3301" priority="12937" stopIfTrue="1" operator="containsText" text="Nivel II: Riesgo Importante">
      <formula>NOT(ISERROR(SEARCH("Nivel II: Riesgo Importante",Y101)))</formula>
    </cfRule>
    <cfRule type="containsText" dxfId="3300" priority="12942" stopIfTrue="1" operator="containsText" text="Nivel I: Riesgo Inaceptable">
      <formula>NOT(ISERROR(SEARCH("Nivel I: Riesgo Inaceptable",Y101)))</formula>
    </cfRule>
    <cfRule type="containsText" dxfId="3299" priority="12938" stopIfTrue="1" operator="containsText" text="Nivel I: Riesgo Inaceptable">
      <formula>NOT(ISERROR(SEARCH("Nivel I: Riesgo Inaceptable",Y101)))</formula>
    </cfRule>
    <cfRule type="containsText" dxfId="3298" priority="12943" stopIfTrue="1" operator="containsText" text="Nivel IV: Riesgo Tolerable (Aceptable)">
      <formula>NOT(ISERROR(SEARCH("Nivel IV: Riesgo Tolerable (Aceptable)",Y101)))</formula>
    </cfRule>
    <cfRule type="containsText" dxfId="3297" priority="12941" stopIfTrue="1" operator="containsText" text="Nivel II: Riesgo Importante">
      <formula>NOT(ISERROR(SEARCH("Nivel II: Riesgo Importante",Y101)))</formula>
    </cfRule>
    <cfRule type="containsText" dxfId="3296" priority="12939" stopIfTrue="1" operator="containsText" text="Nivel IV: Riesgo Tolerable (Aceptable)">
      <formula>NOT(ISERROR(SEARCH("Nivel IV: Riesgo Tolerable (Aceptable)",Y101)))</formula>
    </cfRule>
  </conditionalFormatting>
  <conditionalFormatting sqref="Y102">
    <cfRule type="containsText" dxfId="3295" priority="12744" stopIfTrue="1" operator="containsText" text="Nivel II: Riesgo Importante">
      <formula>NOT(ISERROR(SEARCH("Nivel II: Riesgo Importante",Y102)))</formula>
    </cfRule>
    <cfRule type="containsText" dxfId="3294" priority="12745" stopIfTrue="1" operator="containsText" text="Nivel I: Riesgo Inaceptable">
      <formula>NOT(ISERROR(SEARCH("Nivel I: Riesgo Inaceptable",Y102)))</formula>
    </cfRule>
    <cfRule type="containsText" dxfId="3293" priority="12746" stopIfTrue="1" operator="containsText" text="Nivel IV: Riesgo Tolerable (Aceptable)">
      <formula>NOT(ISERROR(SEARCH("Nivel IV: Riesgo Tolerable (Aceptable)",Y102)))</formula>
    </cfRule>
    <cfRule type="containsText" dxfId="3292" priority="12741" stopIfTrue="1" operator="containsText" text="Nivel I: Riesgo Inaceptable">
      <formula>NOT(ISERROR(SEARCH("Nivel I: Riesgo Inaceptable",Y102)))</formula>
    </cfRule>
    <cfRule type="containsText" dxfId="3291" priority="12742" stopIfTrue="1" operator="containsText" text="Nivel IV: Riesgo Tolerable (Aceptable)">
      <formula>NOT(ISERROR(SEARCH("Nivel IV: Riesgo Tolerable (Aceptable)",Y102)))</formula>
    </cfRule>
    <cfRule type="containsText" dxfId="3290" priority="12740" stopIfTrue="1" operator="containsText" text="Nivel II: Riesgo Importante">
      <formula>NOT(ISERROR(SEARCH("Nivel II: Riesgo Importante",Y102)))</formula>
    </cfRule>
  </conditionalFormatting>
  <conditionalFormatting sqref="Y102:Y103">
    <cfRule type="containsText" dxfId="3289" priority="12698" stopIfTrue="1" operator="containsText" text="Nivel III: Riesgo Moderado (Aceptable)">
      <formula>NOT(ISERROR(SEARCH("Nivel III: Riesgo Moderado (Aceptable)",Y102)))</formula>
    </cfRule>
  </conditionalFormatting>
  <conditionalFormatting sqref="Y103">
    <cfRule type="containsText" dxfId="3288" priority="12695" stopIfTrue="1" operator="containsText" text="Nivel II: Riesgo Importante">
      <formula>NOT(ISERROR(SEARCH("Nivel II: Riesgo Importante",Y103)))</formula>
    </cfRule>
    <cfRule type="containsText" dxfId="3287" priority="12696" stopIfTrue="1" operator="containsText" text="Nivel I: Riesgo Inaceptable">
      <formula>NOT(ISERROR(SEARCH("Nivel I: Riesgo Inaceptable",Y103)))</formula>
    </cfRule>
    <cfRule type="containsText" dxfId="3286" priority="12697" stopIfTrue="1" operator="containsText" text="Nivel IV: Riesgo Tolerable (Aceptable)">
      <formula>NOT(ISERROR(SEARCH("Nivel IV: Riesgo Tolerable (Aceptable)",Y103)))</formula>
    </cfRule>
    <cfRule type="containsText" dxfId="3285" priority="12701" stopIfTrue="1" operator="containsText" text="Nivel IV: Riesgo Tolerable (Aceptable)">
      <formula>NOT(ISERROR(SEARCH("Nivel IV: Riesgo Tolerable (Aceptable)",Y103)))</formula>
    </cfRule>
    <cfRule type="containsText" dxfId="3284" priority="12700" stopIfTrue="1" operator="containsText" text="Nivel I: Riesgo Inaceptable">
      <formula>NOT(ISERROR(SEARCH("Nivel I: Riesgo Inaceptable",Y103)))</formula>
    </cfRule>
    <cfRule type="containsText" dxfId="3283" priority="12699" stopIfTrue="1" operator="containsText" text="Nivel II: Riesgo Importante">
      <formula>NOT(ISERROR(SEARCH("Nivel II: Riesgo Importante",Y103)))</formula>
    </cfRule>
  </conditionalFormatting>
  <conditionalFormatting sqref="Y104">
    <cfRule type="containsText" dxfId="3282" priority="12305" stopIfTrue="1" operator="containsText" text="Nivel IV: Riesgo Tolerable (Aceptable)">
      <formula>NOT(ISERROR(SEARCH("Nivel IV: Riesgo Tolerable (Aceptable)",Y104)))</formula>
    </cfRule>
    <cfRule type="containsText" dxfId="3281" priority="12304" stopIfTrue="1" operator="containsText" text="Nivel I: Riesgo Inaceptable">
      <formula>NOT(ISERROR(SEARCH("Nivel I: Riesgo Inaceptable",Y104)))</formula>
    </cfRule>
    <cfRule type="containsText" dxfId="3280" priority="12303" stopIfTrue="1" operator="containsText" text="Nivel II: Riesgo Importante">
      <formula>NOT(ISERROR(SEARCH("Nivel II: Riesgo Importante",Y104)))</formula>
    </cfRule>
  </conditionalFormatting>
  <conditionalFormatting sqref="Y104:Y105">
    <cfRule type="containsText" dxfId="3279" priority="12302" stopIfTrue="1" operator="containsText" text="Nivel III: Riesgo Moderado (Aceptable)">
      <formula>NOT(ISERROR(SEARCH("Nivel III: Riesgo Moderado (Aceptable)",Y104)))</formula>
    </cfRule>
  </conditionalFormatting>
  <conditionalFormatting sqref="Y105">
    <cfRule type="containsText" dxfId="3278" priority="12341" stopIfTrue="1" operator="containsText" text="Nivel I: Riesgo Inaceptable">
      <formula>NOT(ISERROR(SEARCH("Nivel I: Riesgo Inaceptable",Y105)))</formula>
    </cfRule>
    <cfRule type="containsText" dxfId="3277" priority="12342" stopIfTrue="1" operator="containsText" text="Nivel IV: Riesgo Tolerable (Aceptable)">
      <formula>NOT(ISERROR(SEARCH("Nivel IV: Riesgo Tolerable (Aceptable)",Y105)))</formula>
    </cfRule>
    <cfRule type="containsText" dxfId="3276" priority="12340" stopIfTrue="1" operator="containsText" text="Nivel II: Riesgo Importante">
      <formula>NOT(ISERROR(SEARCH("Nivel II: Riesgo Importante",Y105)))</formula>
    </cfRule>
  </conditionalFormatting>
  <conditionalFormatting sqref="Y106">
    <cfRule type="containsText" dxfId="3275" priority="12501" stopIfTrue="1" operator="containsText" text="Nivel I: Riesgo Inaceptable">
      <formula>NOT(ISERROR(SEARCH("Nivel I: Riesgo Inaceptable",Y106)))</formula>
    </cfRule>
    <cfRule type="containsText" dxfId="3274" priority="12520" stopIfTrue="1" operator="containsText" text="Nivel II: Riesgo Importante">
      <formula>NOT(ISERROR(SEARCH("Nivel II: Riesgo Importante",Y106)))</formula>
    </cfRule>
    <cfRule type="containsText" dxfId="3273" priority="12521" stopIfTrue="1" operator="containsText" text="Nivel I: Riesgo Inaceptable">
      <formula>NOT(ISERROR(SEARCH("Nivel I: Riesgo Inaceptable",Y106)))</formula>
    </cfRule>
    <cfRule type="containsText" dxfId="3272" priority="12502" stopIfTrue="1" operator="containsText" text="Nivel IV: Riesgo Tolerable (Aceptable)">
      <formula>NOT(ISERROR(SEARCH("Nivel IV: Riesgo Tolerable (Aceptable)",Y106)))</formula>
    </cfRule>
    <cfRule type="containsText" dxfId="3271" priority="12500" stopIfTrue="1" operator="containsText" text="Nivel II: Riesgo Importante">
      <formula>NOT(ISERROR(SEARCH("Nivel II: Riesgo Importante",Y106)))</formula>
    </cfRule>
    <cfRule type="containsText" dxfId="3270" priority="12522" stopIfTrue="1" operator="containsText" text="Nivel IV: Riesgo Tolerable (Aceptable)">
      <formula>NOT(ISERROR(SEARCH("Nivel IV: Riesgo Tolerable (Aceptable)",Y106)))</formula>
    </cfRule>
  </conditionalFormatting>
  <conditionalFormatting sqref="Y106:Y107">
    <cfRule type="containsText" dxfId="3269" priority="12519" stopIfTrue="1" operator="containsText" text="Nivel III: Riesgo Moderado (Aceptable)">
      <formula>NOT(ISERROR(SEARCH("Nivel III: Riesgo Moderado (Aceptable)",Y106)))</formula>
    </cfRule>
  </conditionalFormatting>
  <conditionalFormatting sqref="Y107">
    <cfRule type="containsText" dxfId="3268" priority="12542" stopIfTrue="1" operator="containsText" text="Nivel I: Riesgo Inaceptable">
      <formula>NOT(ISERROR(SEARCH("Nivel I: Riesgo Inaceptable",Y107)))</formula>
    </cfRule>
    <cfRule type="containsText" dxfId="3267" priority="12541" stopIfTrue="1" operator="containsText" text="Nivel II: Riesgo Importante">
      <formula>NOT(ISERROR(SEARCH("Nivel II: Riesgo Importante",Y107)))</formula>
    </cfRule>
    <cfRule type="containsText" dxfId="3266" priority="12543" stopIfTrue="1" operator="containsText" text="Nivel IV: Riesgo Tolerable (Aceptable)">
      <formula>NOT(ISERROR(SEARCH("Nivel IV: Riesgo Tolerable (Aceptable)",Y107)))</formula>
    </cfRule>
  </conditionalFormatting>
  <conditionalFormatting sqref="Y108">
    <cfRule type="containsText" dxfId="3265" priority="12658" stopIfTrue="1" operator="containsText" text="Nivel II: Riesgo Importante">
      <formula>NOT(ISERROR(SEARCH("Nivel II: Riesgo Importante",Y108)))</formula>
    </cfRule>
    <cfRule type="containsText" dxfId="3264" priority="12659" stopIfTrue="1" operator="containsText" text="Nivel I: Riesgo Inaceptable">
      <formula>NOT(ISERROR(SEARCH("Nivel I: Riesgo Inaceptable",Y108)))</formula>
    </cfRule>
    <cfRule type="containsText" dxfId="3263" priority="12660" stopIfTrue="1" operator="containsText" text="Nivel IV: Riesgo Tolerable (Aceptable)">
      <formula>NOT(ISERROR(SEARCH("Nivel IV: Riesgo Tolerable (Aceptable)",Y108)))</formula>
    </cfRule>
  </conditionalFormatting>
  <conditionalFormatting sqref="Y108:Y109">
    <cfRule type="containsText" dxfId="3262" priority="12642" stopIfTrue="1" operator="containsText" text="Nivel III: Riesgo Moderado (Aceptable)">
      <formula>NOT(ISERROR(SEARCH("Nivel III: Riesgo Moderado (Aceptable)",Y108)))</formula>
    </cfRule>
  </conditionalFormatting>
  <conditionalFormatting sqref="Y109">
    <cfRule type="containsText" dxfId="3261" priority="12644" stopIfTrue="1" operator="containsText" text="Nivel I: Riesgo Inaceptable">
      <formula>NOT(ISERROR(SEARCH("Nivel I: Riesgo Inaceptable",Y109)))</formula>
    </cfRule>
    <cfRule type="containsText" dxfId="3260" priority="12645" stopIfTrue="1" operator="containsText" text="Nivel IV: Riesgo Tolerable (Aceptable)">
      <formula>NOT(ISERROR(SEARCH("Nivel IV: Riesgo Tolerable (Aceptable)",Y109)))</formula>
    </cfRule>
    <cfRule type="containsText" dxfId="3259" priority="12617" stopIfTrue="1" operator="containsText" text="Nivel IV: Riesgo Tolerable (Aceptable)">
      <formula>NOT(ISERROR(SEARCH("Nivel IV: Riesgo Tolerable (Aceptable)",Y109)))</formula>
    </cfRule>
    <cfRule type="containsText" dxfId="3258" priority="12643" stopIfTrue="1" operator="containsText" text="Nivel II: Riesgo Importante">
      <formula>NOT(ISERROR(SEARCH("Nivel II: Riesgo Importante",Y109)))</formula>
    </cfRule>
    <cfRule type="containsText" dxfId="3257" priority="12615" stopIfTrue="1" operator="containsText" text="Nivel II: Riesgo Importante">
      <formula>NOT(ISERROR(SEARCH("Nivel II: Riesgo Importante",Y109)))</formula>
    </cfRule>
    <cfRule type="containsText" dxfId="3256" priority="12616" stopIfTrue="1" operator="containsText" text="Nivel I: Riesgo Inaceptable">
      <formula>NOT(ISERROR(SEARCH("Nivel I: Riesgo Inaceptable",Y109)))</formula>
    </cfRule>
  </conditionalFormatting>
  <conditionalFormatting sqref="Y110">
    <cfRule type="containsText" dxfId="3255" priority="12579" stopIfTrue="1" operator="containsText" text="Nivel I: Riesgo Inaceptable">
      <formula>NOT(ISERROR(SEARCH("Nivel I: Riesgo Inaceptable",Y110)))</formula>
    </cfRule>
    <cfRule type="containsText" dxfId="3254" priority="12580" stopIfTrue="1" operator="containsText" text="Nivel IV: Riesgo Tolerable (Aceptable)">
      <formula>NOT(ISERROR(SEARCH("Nivel IV: Riesgo Tolerable (Aceptable)",Y110)))</formula>
    </cfRule>
    <cfRule type="containsText" dxfId="3253" priority="12578" stopIfTrue="1" operator="containsText" text="Nivel II: Riesgo Importante">
      <formula>NOT(ISERROR(SEARCH("Nivel II: Riesgo Importante",Y110)))</formula>
    </cfRule>
  </conditionalFormatting>
  <conditionalFormatting sqref="Y110:Y115">
    <cfRule type="containsText" dxfId="3252" priority="12257" stopIfTrue="1" operator="containsText" text="Nivel III: Riesgo Moderado (Aceptable)">
      <formula>NOT(ISERROR(SEARCH("Nivel III: Riesgo Moderado (Aceptable)",Y110)))</formula>
    </cfRule>
  </conditionalFormatting>
  <conditionalFormatting sqref="Y111">
    <cfRule type="containsText" dxfId="3251" priority="12377" stopIfTrue="1" operator="containsText" text="Nivel II: Riesgo Importante">
      <formula>NOT(ISERROR(SEARCH("Nivel II: Riesgo Importante",Y111)))</formula>
    </cfRule>
    <cfRule type="containsText" dxfId="3250" priority="12378" stopIfTrue="1" operator="containsText" text="Nivel I: Riesgo Inaceptable">
      <formula>NOT(ISERROR(SEARCH("Nivel I: Riesgo Inaceptable",Y111)))</formula>
    </cfRule>
    <cfRule type="containsText" dxfId="3249" priority="12379" stopIfTrue="1" operator="containsText" text="Nivel IV: Riesgo Tolerable (Aceptable)">
      <formula>NOT(ISERROR(SEARCH("Nivel IV: Riesgo Tolerable (Aceptable)",Y111)))</formula>
    </cfRule>
  </conditionalFormatting>
  <conditionalFormatting sqref="Y112">
    <cfRule type="containsText" dxfId="3248" priority="12418" stopIfTrue="1" operator="containsText" text="Nivel IV: Riesgo Tolerable (Aceptable)">
      <formula>NOT(ISERROR(SEARCH("Nivel IV: Riesgo Tolerable (Aceptable)",Y112)))</formula>
    </cfRule>
    <cfRule type="containsText" dxfId="3247" priority="12416" stopIfTrue="1" operator="containsText" text="Nivel II: Riesgo Importante">
      <formula>NOT(ISERROR(SEARCH("Nivel II: Riesgo Importante",Y112)))</formula>
    </cfRule>
    <cfRule type="containsText" dxfId="3246" priority="12417" stopIfTrue="1" operator="containsText" text="Nivel I: Riesgo Inaceptable">
      <formula>NOT(ISERROR(SEARCH("Nivel I: Riesgo Inaceptable",Y112)))</formula>
    </cfRule>
  </conditionalFormatting>
  <conditionalFormatting sqref="Y113">
    <cfRule type="containsText" dxfId="3245" priority="12461" stopIfTrue="1" operator="containsText" text="Nivel IV: Riesgo Tolerable (Aceptable)">
      <formula>NOT(ISERROR(SEARCH("Nivel IV: Riesgo Tolerable (Aceptable)",Y113)))</formula>
    </cfRule>
    <cfRule type="containsText" dxfId="3244" priority="12460" stopIfTrue="1" operator="containsText" text="Nivel I: Riesgo Inaceptable">
      <formula>NOT(ISERROR(SEARCH("Nivel I: Riesgo Inaceptable",Y113)))</formula>
    </cfRule>
    <cfRule type="containsText" dxfId="3243" priority="12455" stopIfTrue="1" operator="containsText" text="Nivel II: Riesgo Importante">
      <formula>NOT(ISERROR(SEARCH("Nivel II: Riesgo Importante",Y113)))</formula>
    </cfRule>
    <cfRule type="containsText" dxfId="3242" priority="12459" stopIfTrue="1" operator="containsText" text="Nivel II: Riesgo Importante">
      <formula>NOT(ISERROR(SEARCH("Nivel II: Riesgo Importante",Y113)))</formula>
    </cfRule>
    <cfRule type="containsText" dxfId="3241" priority="12457" stopIfTrue="1" operator="containsText" text="Nivel IV: Riesgo Tolerable (Aceptable)">
      <formula>NOT(ISERROR(SEARCH("Nivel IV: Riesgo Tolerable (Aceptable)",Y113)))</formula>
    </cfRule>
    <cfRule type="containsText" dxfId="3240" priority="12456" stopIfTrue="1" operator="containsText" text="Nivel I: Riesgo Inaceptable">
      <formula>NOT(ISERROR(SEARCH("Nivel I: Riesgo Inaceptable",Y113)))</formula>
    </cfRule>
  </conditionalFormatting>
  <conditionalFormatting sqref="Y114:Y115">
    <cfRule type="containsText" dxfId="3239" priority="12258" stopIfTrue="1" operator="containsText" text="Nivel II: Riesgo Importante">
      <formula>NOT(ISERROR(SEARCH("Nivel II: Riesgo Importante",Y114)))</formula>
    </cfRule>
    <cfRule type="containsText" dxfId="3238" priority="12259" stopIfTrue="1" operator="containsText" text="Nivel I: Riesgo Inaceptable">
      <formula>NOT(ISERROR(SEARCH("Nivel I: Riesgo Inaceptable",Y114)))</formula>
    </cfRule>
    <cfRule type="containsText" dxfId="3237" priority="12254" stopIfTrue="1" operator="containsText" text="Nivel II: Riesgo Importante">
      <formula>NOT(ISERROR(SEARCH("Nivel II: Riesgo Importante",Y114)))</formula>
    </cfRule>
    <cfRule type="containsText" dxfId="3236" priority="12256" stopIfTrue="1" operator="containsText" text="Nivel IV: Riesgo Tolerable (Aceptable)">
      <formula>NOT(ISERROR(SEARCH("Nivel IV: Riesgo Tolerable (Aceptable)",Y114)))</formula>
    </cfRule>
    <cfRule type="containsText" dxfId="3235" priority="12260" stopIfTrue="1" operator="containsText" text="Nivel IV: Riesgo Tolerable (Aceptable)">
      <formula>NOT(ISERROR(SEARCH("Nivel IV: Riesgo Tolerable (Aceptable)",Y114)))</formula>
    </cfRule>
    <cfRule type="containsText" dxfId="3234" priority="12255" stopIfTrue="1" operator="containsText" text="Nivel I: Riesgo Inaceptable">
      <formula>NOT(ISERROR(SEARCH("Nivel I: Riesgo Inaceptable",Y114)))</formula>
    </cfRule>
  </conditionalFormatting>
  <conditionalFormatting sqref="Y116">
    <cfRule type="containsText" dxfId="3233" priority="12212" stopIfTrue="1" operator="containsText" text="Nivel I: Riesgo Inaceptable">
      <formula>NOT(ISERROR(SEARCH("Nivel I: Riesgo Inaceptable",Y116)))</formula>
    </cfRule>
    <cfRule type="containsText" dxfId="3232" priority="12211" stopIfTrue="1" operator="containsText" text="Nivel II: Riesgo Importante">
      <formula>NOT(ISERROR(SEARCH("Nivel II: Riesgo Importante",Y116)))</formula>
    </cfRule>
    <cfRule type="containsText" dxfId="3231" priority="12241" stopIfTrue="1" operator="containsText" text="Nivel IV: Riesgo Tolerable (Aceptable)">
      <formula>NOT(ISERROR(SEARCH("Nivel IV: Riesgo Tolerable (Aceptable)",Y116)))</formula>
    </cfRule>
    <cfRule type="containsText" dxfId="3230" priority="12240" stopIfTrue="1" operator="containsText" text="Nivel I: Riesgo Inaceptable">
      <formula>NOT(ISERROR(SEARCH("Nivel I: Riesgo Inaceptable",Y116)))</formula>
    </cfRule>
    <cfRule type="containsText" dxfId="3229" priority="12239" stopIfTrue="1" operator="containsText" text="Nivel II: Riesgo Importante">
      <formula>NOT(ISERROR(SEARCH("Nivel II: Riesgo Importante",Y116)))</formula>
    </cfRule>
    <cfRule type="containsText" dxfId="3228" priority="12213" stopIfTrue="1" operator="containsText" text="Nivel IV: Riesgo Tolerable (Aceptable)">
      <formula>NOT(ISERROR(SEARCH("Nivel IV: Riesgo Tolerable (Aceptable)",Y116)))</formula>
    </cfRule>
  </conditionalFormatting>
  <conditionalFormatting sqref="Y116:Y117">
    <cfRule type="containsText" dxfId="3227" priority="12206" stopIfTrue="1" operator="containsText" text="Nivel III: Riesgo Moderado (Aceptable)">
      <formula>NOT(ISERROR(SEARCH("Nivel III: Riesgo Moderado (Aceptable)",Y116)))</formula>
    </cfRule>
  </conditionalFormatting>
  <conditionalFormatting sqref="Y117">
    <cfRule type="containsText" dxfId="3226" priority="12207" stopIfTrue="1" operator="containsText" text="Nivel II: Riesgo Importante">
      <formula>NOT(ISERROR(SEARCH("Nivel II: Riesgo Importante",Y117)))</formula>
    </cfRule>
    <cfRule type="containsText" dxfId="3225" priority="12183" stopIfTrue="1" operator="containsText" text="Nivel IV: Riesgo Tolerable (Aceptable)">
      <formula>NOT(ISERROR(SEARCH("Nivel IV: Riesgo Tolerable (Aceptable)",Y117)))</formula>
    </cfRule>
    <cfRule type="containsText" dxfId="3224" priority="12182" stopIfTrue="1" operator="containsText" text="Nivel I: Riesgo Inaceptable">
      <formula>NOT(ISERROR(SEARCH("Nivel I: Riesgo Inaceptable",Y117)))</formula>
    </cfRule>
    <cfRule type="containsText" dxfId="3223" priority="12181" stopIfTrue="1" operator="containsText" text="Nivel II: Riesgo Importante">
      <formula>NOT(ISERROR(SEARCH("Nivel II: Riesgo Importante",Y117)))</formula>
    </cfRule>
    <cfRule type="containsText" dxfId="3222" priority="12209" stopIfTrue="1" operator="containsText" text="Nivel IV: Riesgo Tolerable (Aceptable)">
      <formula>NOT(ISERROR(SEARCH("Nivel IV: Riesgo Tolerable (Aceptable)",Y117)))</formula>
    </cfRule>
    <cfRule type="containsText" dxfId="3221" priority="12208" stopIfTrue="1" operator="containsText" text="Nivel I: Riesgo Inaceptable">
      <formula>NOT(ISERROR(SEARCH("Nivel I: Riesgo Inaceptable",Y117)))</formula>
    </cfRule>
  </conditionalFormatting>
  <conditionalFormatting sqref="Y118">
    <cfRule type="containsText" dxfId="3220" priority="8688" stopIfTrue="1" operator="containsText" text="Nivel III: Riesgo Moderado (Aceptable)">
      <formula>NOT(ISERROR(SEARCH("Nivel III: Riesgo Moderado (Aceptable)",Y118)))</formula>
    </cfRule>
    <cfRule type="containsText" dxfId="3219" priority="8699" stopIfTrue="1" operator="containsText" text="Nivel IV: Riesgo Tolerable (Aceptable)">
      <formula>NOT(ISERROR(SEARCH("Nivel IV: Riesgo Tolerable (Aceptable)",Y118)))</formula>
    </cfRule>
    <cfRule type="containsText" dxfId="3218" priority="8698" stopIfTrue="1" operator="containsText" text="Nivel I: Riesgo Inaceptable">
      <formula>NOT(ISERROR(SEARCH("Nivel I: Riesgo Inaceptable",Y118)))</formula>
    </cfRule>
    <cfRule type="containsText" dxfId="3217" priority="8691" stopIfTrue="1" operator="containsText" text="Nivel IV: Riesgo Tolerable (Aceptable)">
      <formula>NOT(ISERROR(SEARCH("Nivel IV: Riesgo Tolerable (Aceptable)",Y118)))</formula>
    </cfRule>
    <cfRule type="containsText" dxfId="3216" priority="8697" stopIfTrue="1" operator="containsText" text="Nivel II: Riesgo Importante">
      <formula>NOT(ISERROR(SEARCH("Nivel II: Riesgo Importante",Y118)))</formula>
    </cfRule>
    <cfRule type="containsText" dxfId="3215" priority="8690" stopIfTrue="1" operator="containsText" text="Nivel I: Riesgo Inaceptable">
      <formula>NOT(ISERROR(SEARCH("Nivel I: Riesgo Inaceptable",Y118)))</formula>
    </cfRule>
    <cfRule type="containsText" dxfId="3214" priority="8689" stopIfTrue="1" operator="containsText" text="Nivel II: Riesgo Importante">
      <formula>NOT(ISERROR(SEARCH("Nivel II: Riesgo Importante",Y118)))</formula>
    </cfRule>
  </conditionalFormatting>
  <conditionalFormatting sqref="Y119">
    <cfRule type="containsText" dxfId="3213" priority="12031" stopIfTrue="1" operator="containsText" text="Nivel IV: Riesgo Tolerable (Aceptable)">
      <formula>NOT(ISERROR(SEARCH("Nivel IV: Riesgo Tolerable (Aceptable)",Y119)))</formula>
    </cfRule>
    <cfRule type="containsText" dxfId="3212" priority="12029" stopIfTrue="1" operator="containsText" text="Nivel II: Riesgo Importante">
      <formula>NOT(ISERROR(SEARCH("Nivel II: Riesgo Importante",Y119)))</formula>
    </cfRule>
    <cfRule type="containsText" dxfId="3211" priority="12030" stopIfTrue="1" operator="containsText" text="Nivel I: Riesgo Inaceptable">
      <formula>NOT(ISERROR(SEARCH("Nivel I: Riesgo Inaceptable",Y119)))</formula>
    </cfRule>
    <cfRule type="containsText" dxfId="3210" priority="12033" stopIfTrue="1" operator="containsText" text="Nivel II: Riesgo Importante">
      <formula>NOT(ISERROR(SEARCH("Nivel II: Riesgo Importante",Y119)))</formula>
    </cfRule>
    <cfRule type="containsText" dxfId="3209" priority="12034" stopIfTrue="1" operator="containsText" text="Nivel I: Riesgo Inaceptable">
      <formula>NOT(ISERROR(SEARCH("Nivel I: Riesgo Inaceptable",Y119)))</formula>
    </cfRule>
    <cfRule type="containsText" dxfId="3208" priority="12035" stopIfTrue="1" operator="containsText" text="Nivel IV: Riesgo Tolerable (Aceptable)">
      <formula>NOT(ISERROR(SEARCH("Nivel IV: Riesgo Tolerable (Aceptable)",Y119)))</formula>
    </cfRule>
  </conditionalFormatting>
  <conditionalFormatting sqref="Y119:Y121">
    <cfRule type="containsText" dxfId="3207" priority="11987" stopIfTrue="1" operator="containsText" text="Nivel III: Riesgo Moderado (Aceptable)">
      <formula>NOT(ISERROR(SEARCH("Nivel III: Riesgo Moderado (Aceptable)",Y119)))</formula>
    </cfRule>
  </conditionalFormatting>
  <conditionalFormatting sqref="Y120">
    <cfRule type="containsText" dxfId="3206" priority="11990" stopIfTrue="1" operator="containsText" text="Nivel IV: Riesgo Tolerable (Aceptable)">
      <formula>NOT(ISERROR(SEARCH("Nivel IV: Riesgo Tolerable (Aceptable)",Y120)))</formula>
    </cfRule>
    <cfRule type="containsText" dxfId="3205" priority="11985" stopIfTrue="1" operator="containsText" text="Nivel I: Riesgo Inaceptable">
      <formula>NOT(ISERROR(SEARCH("Nivel I: Riesgo Inaceptable",Y120)))</formula>
    </cfRule>
    <cfRule type="containsText" dxfId="3204" priority="11986" stopIfTrue="1" operator="containsText" text="Nivel IV: Riesgo Tolerable (Aceptable)">
      <formula>NOT(ISERROR(SEARCH("Nivel IV: Riesgo Tolerable (Aceptable)",Y120)))</formula>
    </cfRule>
    <cfRule type="containsText" dxfId="3203" priority="11988" stopIfTrue="1" operator="containsText" text="Nivel II: Riesgo Importante">
      <formula>NOT(ISERROR(SEARCH("Nivel II: Riesgo Importante",Y120)))</formula>
    </cfRule>
    <cfRule type="containsText" dxfId="3202" priority="11984" stopIfTrue="1" operator="containsText" text="Nivel II: Riesgo Importante">
      <formula>NOT(ISERROR(SEARCH("Nivel II: Riesgo Importante",Y120)))</formula>
    </cfRule>
    <cfRule type="containsText" dxfId="3201" priority="11989" stopIfTrue="1" operator="containsText" text="Nivel I: Riesgo Inaceptable">
      <formula>NOT(ISERROR(SEARCH("Nivel I: Riesgo Inaceptable",Y120)))</formula>
    </cfRule>
  </conditionalFormatting>
  <conditionalFormatting sqref="Y121">
    <cfRule type="containsText" dxfId="3200" priority="12142" stopIfTrue="1" operator="containsText" text="Nivel IV: Riesgo Tolerable (Aceptable)">
      <formula>NOT(ISERROR(SEARCH("Nivel IV: Riesgo Tolerable (Aceptable)",Y121)))</formula>
    </cfRule>
    <cfRule type="containsText" dxfId="3199" priority="12136" stopIfTrue="1" operator="containsText" text="Nivel II: Riesgo Importante">
      <formula>NOT(ISERROR(SEARCH("Nivel II: Riesgo Importante",Y121)))</formula>
    </cfRule>
    <cfRule type="containsText" dxfId="3198" priority="12137" stopIfTrue="1" operator="containsText" text="Nivel I: Riesgo Inaceptable">
      <formula>NOT(ISERROR(SEARCH("Nivel I: Riesgo Inaceptable",Y121)))</formula>
    </cfRule>
    <cfRule type="containsText" dxfId="3197" priority="12138" stopIfTrue="1" operator="containsText" text="Nivel IV: Riesgo Tolerable (Aceptable)">
      <formula>NOT(ISERROR(SEARCH("Nivel IV: Riesgo Tolerable (Aceptable)",Y121)))</formula>
    </cfRule>
    <cfRule type="containsText" dxfId="3196" priority="12140" stopIfTrue="1" operator="containsText" text="Nivel II: Riesgo Importante">
      <formula>NOT(ISERROR(SEARCH("Nivel II: Riesgo Importante",Y121)))</formula>
    </cfRule>
    <cfRule type="containsText" dxfId="3195" priority="12141" stopIfTrue="1" operator="containsText" text="Nivel I: Riesgo Inaceptable">
      <formula>NOT(ISERROR(SEARCH("Nivel I: Riesgo Inaceptable",Y121)))</formula>
    </cfRule>
  </conditionalFormatting>
  <conditionalFormatting sqref="Y122">
    <cfRule type="containsText" dxfId="3194" priority="11939" stopIfTrue="1" operator="containsText" text="Nivel II: Riesgo Importante">
      <formula>NOT(ISERROR(SEARCH("Nivel II: Riesgo Importante",Y122)))</formula>
    </cfRule>
    <cfRule type="containsText" dxfId="3193" priority="11945" stopIfTrue="1" operator="containsText" text="Nivel IV: Riesgo Tolerable (Aceptable)">
      <formula>NOT(ISERROR(SEARCH("Nivel IV: Riesgo Tolerable (Aceptable)",Y122)))</formula>
    </cfRule>
    <cfRule type="containsText" dxfId="3192" priority="11943" stopIfTrue="1" operator="containsText" text="Nivel II: Riesgo Importante">
      <formula>NOT(ISERROR(SEARCH("Nivel II: Riesgo Importante",Y122)))</formula>
    </cfRule>
    <cfRule type="containsText" dxfId="3191" priority="11941" stopIfTrue="1" operator="containsText" text="Nivel IV: Riesgo Tolerable (Aceptable)">
      <formula>NOT(ISERROR(SEARCH("Nivel IV: Riesgo Tolerable (Aceptable)",Y122)))</formula>
    </cfRule>
    <cfRule type="containsText" dxfId="3190" priority="11940" stopIfTrue="1" operator="containsText" text="Nivel I: Riesgo Inaceptable">
      <formula>NOT(ISERROR(SEARCH("Nivel I: Riesgo Inaceptable",Y122)))</formula>
    </cfRule>
    <cfRule type="containsText" dxfId="3189" priority="11944" stopIfTrue="1" operator="containsText" text="Nivel I: Riesgo Inaceptable">
      <formula>NOT(ISERROR(SEARCH("Nivel I: Riesgo Inaceptable",Y122)))</formula>
    </cfRule>
  </conditionalFormatting>
  <conditionalFormatting sqref="Y122:Y123">
    <cfRule type="containsText" dxfId="3188" priority="11897" stopIfTrue="1" operator="containsText" text="Nivel III: Riesgo Moderado (Aceptable)">
      <formula>NOT(ISERROR(SEARCH("Nivel III: Riesgo Moderado (Aceptable)",Y122)))</formula>
    </cfRule>
  </conditionalFormatting>
  <conditionalFormatting sqref="Y123">
    <cfRule type="containsText" dxfId="3187" priority="11898" stopIfTrue="1" operator="containsText" text="Nivel II: Riesgo Importante">
      <formula>NOT(ISERROR(SEARCH("Nivel II: Riesgo Importante",Y123)))</formula>
    </cfRule>
    <cfRule type="containsText" dxfId="3186" priority="11900" stopIfTrue="1" operator="containsText" text="Nivel IV: Riesgo Tolerable (Aceptable)">
      <formula>NOT(ISERROR(SEARCH("Nivel IV: Riesgo Tolerable (Aceptable)",Y123)))</formula>
    </cfRule>
    <cfRule type="containsText" dxfId="3185" priority="11899" stopIfTrue="1" operator="containsText" text="Nivel I: Riesgo Inaceptable">
      <formula>NOT(ISERROR(SEARCH("Nivel I: Riesgo Inaceptable",Y123)))</formula>
    </cfRule>
    <cfRule type="containsText" dxfId="3184" priority="11894" stopIfTrue="1" operator="containsText" text="Nivel II: Riesgo Importante">
      <formula>NOT(ISERROR(SEARCH("Nivel II: Riesgo Importante",Y123)))</formula>
    </cfRule>
    <cfRule type="containsText" dxfId="3183" priority="11895" stopIfTrue="1" operator="containsText" text="Nivel I: Riesgo Inaceptable">
      <formula>NOT(ISERROR(SEARCH("Nivel I: Riesgo Inaceptable",Y123)))</formula>
    </cfRule>
    <cfRule type="containsText" dxfId="3182" priority="11896" stopIfTrue="1" operator="containsText" text="Nivel IV: Riesgo Tolerable (Aceptable)">
      <formula>NOT(ISERROR(SEARCH("Nivel IV: Riesgo Tolerable (Aceptable)",Y123)))</formula>
    </cfRule>
  </conditionalFormatting>
  <conditionalFormatting sqref="Y124">
    <cfRule type="containsText" dxfId="3181" priority="11588" stopIfTrue="1" operator="containsText" text="Nivel IV: Riesgo Tolerable (Aceptable)">
      <formula>NOT(ISERROR(SEARCH("Nivel IV: Riesgo Tolerable (Aceptable)",Y124)))</formula>
    </cfRule>
    <cfRule type="containsText" dxfId="3180" priority="11587" stopIfTrue="1" operator="containsText" text="Nivel I: Riesgo Inaceptable">
      <formula>NOT(ISERROR(SEARCH("Nivel I: Riesgo Inaceptable",Y124)))</formula>
    </cfRule>
    <cfRule type="containsText" dxfId="3179" priority="11586" stopIfTrue="1" operator="containsText" text="Nivel II: Riesgo Importante">
      <formula>NOT(ISERROR(SEARCH("Nivel II: Riesgo Importante",Y124)))</formula>
    </cfRule>
  </conditionalFormatting>
  <conditionalFormatting sqref="Y124:Y125">
    <cfRule type="containsText" dxfId="3178" priority="11585" stopIfTrue="1" operator="containsText" text="Nivel III: Riesgo Moderado (Aceptable)">
      <formula>NOT(ISERROR(SEARCH("Nivel III: Riesgo Moderado (Aceptable)",Y124)))</formula>
    </cfRule>
  </conditionalFormatting>
  <conditionalFormatting sqref="Y125">
    <cfRule type="containsText" dxfId="3177" priority="11625" stopIfTrue="1" operator="containsText" text="Nivel IV: Riesgo Tolerable (Aceptable)">
      <formula>NOT(ISERROR(SEARCH("Nivel IV: Riesgo Tolerable (Aceptable)",Y125)))</formula>
    </cfRule>
    <cfRule type="containsText" dxfId="3176" priority="11624" stopIfTrue="1" operator="containsText" text="Nivel I: Riesgo Inaceptable">
      <formula>NOT(ISERROR(SEARCH("Nivel I: Riesgo Inaceptable",Y125)))</formula>
    </cfRule>
    <cfRule type="containsText" dxfId="3175" priority="11623" stopIfTrue="1" operator="containsText" text="Nivel II: Riesgo Importante">
      <formula>NOT(ISERROR(SEARCH("Nivel II: Riesgo Importante",Y125)))</formula>
    </cfRule>
  </conditionalFormatting>
  <conditionalFormatting sqref="Y126">
    <cfRule type="containsText" dxfId="3174" priority="11700" stopIfTrue="1" operator="containsText" text="Nivel I: Riesgo Inaceptable">
      <formula>NOT(ISERROR(SEARCH("Nivel I: Riesgo Inaceptable",Y126)))</formula>
    </cfRule>
    <cfRule type="containsText" dxfId="3173" priority="11721" stopIfTrue="1" operator="containsText" text="Nivel IV: Riesgo Tolerable (Aceptable)">
      <formula>NOT(ISERROR(SEARCH("Nivel IV: Riesgo Tolerable (Aceptable)",Y126)))</formula>
    </cfRule>
    <cfRule type="containsText" dxfId="3172" priority="11699" stopIfTrue="1" operator="containsText" text="Nivel II: Riesgo Importante">
      <formula>NOT(ISERROR(SEARCH("Nivel II: Riesgo Importante",Y126)))</formula>
    </cfRule>
    <cfRule type="containsText" dxfId="3171" priority="11720" stopIfTrue="1" operator="containsText" text="Nivel I: Riesgo Inaceptable">
      <formula>NOT(ISERROR(SEARCH("Nivel I: Riesgo Inaceptable",Y126)))</formula>
    </cfRule>
    <cfRule type="containsText" dxfId="3170" priority="11719" stopIfTrue="1" operator="containsText" text="Nivel II: Riesgo Importante">
      <formula>NOT(ISERROR(SEARCH("Nivel II: Riesgo Importante",Y126)))</formula>
    </cfRule>
    <cfRule type="containsText" dxfId="3169" priority="11701" stopIfTrue="1" operator="containsText" text="Nivel IV: Riesgo Tolerable (Aceptable)">
      <formula>NOT(ISERROR(SEARCH("Nivel IV: Riesgo Tolerable (Aceptable)",Y126)))</formula>
    </cfRule>
  </conditionalFormatting>
  <conditionalFormatting sqref="Y126:Y127">
    <cfRule type="containsText" dxfId="3168" priority="11718" stopIfTrue="1" operator="containsText" text="Nivel III: Riesgo Moderado (Aceptable)">
      <formula>NOT(ISERROR(SEARCH("Nivel III: Riesgo Moderado (Aceptable)",Y126)))</formula>
    </cfRule>
  </conditionalFormatting>
  <conditionalFormatting sqref="Y127">
    <cfRule type="containsText" dxfId="3167" priority="11742" stopIfTrue="1" operator="containsText" text="Nivel IV: Riesgo Tolerable (Aceptable)">
      <formula>NOT(ISERROR(SEARCH("Nivel IV: Riesgo Tolerable (Aceptable)",Y127)))</formula>
    </cfRule>
    <cfRule type="containsText" dxfId="3166" priority="11741" stopIfTrue="1" operator="containsText" text="Nivel I: Riesgo Inaceptable">
      <formula>NOT(ISERROR(SEARCH("Nivel I: Riesgo Inaceptable",Y127)))</formula>
    </cfRule>
    <cfRule type="containsText" dxfId="3165" priority="11740" stopIfTrue="1" operator="containsText" text="Nivel II: Riesgo Importante">
      <formula>NOT(ISERROR(SEARCH("Nivel II: Riesgo Importante",Y127)))</formula>
    </cfRule>
  </conditionalFormatting>
  <conditionalFormatting sqref="Y128">
    <cfRule type="containsText" dxfId="3164" priority="11859" stopIfTrue="1" operator="containsText" text="Nivel IV: Riesgo Tolerable (Aceptable)">
      <formula>NOT(ISERROR(SEARCH("Nivel IV: Riesgo Tolerable (Aceptable)",Y128)))</formula>
    </cfRule>
    <cfRule type="containsText" dxfId="3163" priority="11858" stopIfTrue="1" operator="containsText" text="Nivel I: Riesgo Inaceptable">
      <formula>NOT(ISERROR(SEARCH("Nivel I: Riesgo Inaceptable",Y128)))</formula>
    </cfRule>
    <cfRule type="containsText" dxfId="3162" priority="11857" stopIfTrue="1" operator="containsText" text="Nivel II: Riesgo Importante">
      <formula>NOT(ISERROR(SEARCH("Nivel II: Riesgo Importante",Y128)))</formula>
    </cfRule>
  </conditionalFormatting>
  <conditionalFormatting sqref="Y128:Y129">
    <cfRule type="containsText" dxfId="3161" priority="11841" stopIfTrue="1" operator="containsText" text="Nivel III: Riesgo Moderado (Aceptable)">
      <formula>NOT(ISERROR(SEARCH("Nivel III: Riesgo Moderado (Aceptable)",Y128)))</formula>
    </cfRule>
  </conditionalFormatting>
  <conditionalFormatting sqref="Y129">
    <cfRule type="containsText" dxfId="3160" priority="11816" stopIfTrue="1" operator="containsText" text="Nivel IV: Riesgo Tolerable (Aceptable)">
      <formula>NOT(ISERROR(SEARCH("Nivel IV: Riesgo Tolerable (Aceptable)",Y129)))</formula>
    </cfRule>
    <cfRule type="containsText" dxfId="3159" priority="11814" stopIfTrue="1" operator="containsText" text="Nivel II: Riesgo Importante">
      <formula>NOT(ISERROR(SEARCH("Nivel II: Riesgo Importante",Y129)))</formula>
    </cfRule>
    <cfRule type="containsText" dxfId="3158" priority="11815" stopIfTrue="1" operator="containsText" text="Nivel I: Riesgo Inaceptable">
      <formula>NOT(ISERROR(SEARCH("Nivel I: Riesgo Inaceptable",Y129)))</formula>
    </cfRule>
    <cfRule type="containsText" dxfId="3157" priority="11842" stopIfTrue="1" operator="containsText" text="Nivel II: Riesgo Importante">
      <formula>NOT(ISERROR(SEARCH("Nivel II: Riesgo Importante",Y129)))</formula>
    </cfRule>
    <cfRule type="containsText" dxfId="3156" priority="11843" stopIfTrue="1" operator="containsText" text="Nivel I: Riesgo Inaceptable">
      <formula>NOT(ISERROR(SEARCH("Nivel I: Riesgo Inaceptable",Y129)))</formula>
    </cfRule>
    <cfRule type="containsText" dxfId="3155" priority="11844" stopIfTrue="1" operator="containsText" text="Nivel IV: Riesgo Tolerable (Aceptable)">
      <formula>NOT(ISERROR(SEARCH("Nivel IV: Riesgo Tolerable (Aceptable)",Y129)))</formula>
    </cfRule>
  </conditionalFormatting>
  <conditionalFormatting sqref="Y130">
    <cfRule type="containsText" dxfId="3154" priority="11779" stopIfTrue="1" operator="containsText" text="Nivel IV: Riesgo Tolerable (Aceptable)">
      <formula>NOT(ISERROR(SEARCH("Nivel IV: Riesgo Tolerable (Aceptable)",Y130)))</formula>
    </cfRule>
    <cfRule type="containsText" dxfId="3153" priority="11778" stopIfTrue="1" operator="containsText" text="Nivel I: Riesgo Inaceptable">
      <formula>NOT(ISERROR(SEARCH("Nivel I: Riesgo Inaceptable",Y130)))</formula>
    </cfRule>
    <cfRule type="containsText" dxfId="3152" priority="11777" stopIfTrue="1" operator="containsText" text="Nivel II: Riesgo Importante">
      <formula>NOT(ISERROR(SEARCH("Nivel II: Riesgo Importante",Y130)))</formula>
    </cfRule>
  </conditionalFormatting>
  <conditionalFormatting sqref="Y130:Y132">
    <cfRule type="containsText" dxfId="3151" priority="11544" stopIfTrue="1" operator="containsText" text="Nivel III: Riesgo Moderado (Aceptable)">
      <formula>NOT(ISERROR(SEARCH("Nivel III: Riesgo Moderado (Aceptable)",Y130)))</formula>
    </cfRule>
  </conditionalFormatting>
  <conditionalFormatting sqref="Y131">
    <cfRule type="containsText" dxfId="3150" priority="11660" stopIfTrue="1" operator="containsText" text="Nivel II: Riesgo Importante">
      <formula>NOT(ISERROR(SEARCH("Nivel II: Riesgo Importante",Y131)))</formula>
    </cfRule>
    <cfRule type="containsText" dxfId="3149" priority="11662" stopIfTrue="1" operator="containsText" text="Nivel IV: Riesgo Tolerable (Aceptable)">
      <formula>NOT(ISERROR(SEARCH("Nivel IV: Riesgo Tolerable (Aceptable)",Y131)))</formula>
    </cfRule>
    <cfRule type="containsText" dxfId="3148" priority="11661" stopIfTrue="1" operator="containsText" text="Nivel I: Riesgo Inaceptable">
      <formula>NOT(ISERROR(SEARCH("Nivel I: Riesgo Inaceptable",Y131)))</formula>
    </cfRule>
  </conditionalFormatting>
  <conditionalFormatting sqref="Y132">
    <cfRule type="containsText" dxfId="3147" priority="11542" stopIfTrue="1" operator="containsText" text="Nivel I: Riesgo Inaceptable">
      <formula>NOT(ISERROR(SEARCH("Nivel I: Riesgo Inaceptable",Y132)))</formula>
    </cfRule>
    <cfRule type="containsText" dxfId="3146" priority="11543" stopIfTrue="1" operator="containsText" text="Nivel IV: Riesgo Tolerable (Aceptable)">
      <formula>NOT(ISERROR(SEARCH("Nivel IV: Riesgo Tolerable (Aceptable)",Y132)))</formula>
    </cfRule>
    <cfRule type="containsText" dxfId="3145" priority="11541" stopIfTrue="1" operator="containsText" text="Nivel II: Riesgo Importante">
      <formula>NOT(ISERROR(SEARCH("Nivel II: Riesgo Importante",Y132)))</formula>
    </cfRule>
    <cfRule type="containsText" dxfId="3144" priority="11545" stopIfTrue="1" operator="containsText" text="Nivel II: Riesgo Importante">
      <formula>NOT(ISERROR(SEARCH("Nivel II: Riesgo Importante",Y132)))</formula>
    </cfRule>
    <cfRule type="containsText" dxfId="3143" priority="11546" stopIfTrue="1" operator="containsText" text="Nivel I: Riesgo Inaceptable">
      <formula>NOT(ISERROR(SEARCH("Nivel I: Riesgo Inaceptable",Y132)))</formula>
    </cfRule>
    <cfRule type="containsText" dxfId="3142" priority="11547" stopIfTrue="1" operator="containsText" text="Nivel IV: Riesgo Tolerable (Aceptable)">
      <formula>NOT(ISERROR(SEARCH("Nivel IV: Riesgo Tolerable (Aceptable)",Y132)))</formula>
    </cfRule>
  </conditionalFormatting>
  <conditionalFormatting sqref="Y133:Y134">
    <cfRule type="containsText" dxfId="3141" priority="11493" stopIfTrue="1" operator="containsText" text="Nivel I: Riesgo Inaceptable">
      <formula>NOT(ISERROR(SEARCH("Nivel I: Riesgo Inaceptable",Y133)))</formula>
    </cfRule>
    <cfRule type="containsText" dxfId="3140" priority="11494" stopIfTrue="1" operator="containsText" text="Nivel IV: Riesgo Tolerable (Aceptable)">
      <formula>NOT(ISERROR(SEARCH("Nivel IV: Riesgo Tolerable (Aceptable)",Y133)))</formula>
    </cfRule>
    <cfRule type="containsText" dxfId="3139" priority="11496" stopIfTrue="1" operator="containsText" text="Nivel II: Riesgo Importante">
      <formula>NOT(ISERROR(SEARCH("Nivel II: Riesgo Importante",Y133)))</formula>
    </cfRule>
    <cfRule type="containsText" dxfId="3138" priority="11497" stopIfTrue="1" operator="containsText" text="Nivel I: Riesgo Inaceptable">
      <formula>NOT(ISERROR(SEARCH("Nivel I: Riesgo Inaceptable",Y133)))</formula>
    </cfRule>
    <cfRule type="containsText" dxfId="3137" priority="11498" stopIfTrue="1" operator="containsText" text="Nivel IV: Riesgo Tolerable (Aceptable)">
      <formula>NOT(ISERROR(SEARCH("Nivel IV: Riesgo Tolerable (Aceptable)",Y133)))</formula>
    </cfRule>
    <cfRule type="containsText" dxfId="3136" priority="11492" stopIfTrue="1" operator="containsText" text="Nivel II: Riesgo Importante">
      <formula>NOT(ISERROR(SEARCH("Nivel II: Riesgo Importante",Y133)))</formula>
    </cfRule>
  </conditionalFormatting>
  <conditionalFormatting sqref="Y133:Y135">
    <cfRule type="containsText" dxfId="3135" priority="11483" stopIfTrue="1" operator="containsText" text="Nivel III: Riesgo Moderado (Aceptable)">
      <formula>NOT(ISERROR(SEARCH("Nivel III: Riesgo Moderado (Aceptable)",Y133)))</formula>
    </cfRule>
  </conditionalFormatting>
  <conditionalFormatting sqref="Y135">
    <cfRule type="containsText" dxfId="3134" priority="11459" stopIfTrue="1" operator="containsText" text="Nivel I: Riesgo Inaceptable">
      <formula>NOT(ISERROR(SEARCH("Nivel I: Riesgo Inaceptable",Y135)))</formula>
    </cfRule>
    <cfRule type="containsText" dxfId="3133" priority="11460" stopIfTrue="1" operator="containsText" text="Nivel IV: Riesgo Tolerable (Aceptable)">
      <formula>NOT(ISERROR(SEARCH("Nivel IV: Riesgo Tolerable (Aceptable)",Y135)))</formula>
    </cfRule>
    <cfRule type="containsText" dxfId="3132" priority="11484" stopIfTrue="1" operator="containsText" text="Nivel II: Riesgo Importante">
      <formula>NOT(ISERROR(SEARCH("Nivel II: Riesgo Importante",Y135)))</formula>
    </cfRule>
    <cfRule type="containsText" dxfId="3131" priority="11485" stopIfTrue="1" operator="containsText" text="Nivel I: Riesgo Inaceptable">
      <formula>NOT(ISERROR(SEARCH("Nivel I: Riesgo Inaceptable",Y135)))</formula>
    </cfRule>
    <cfRule type="containsText" dxfId="3130" priority="11486" stopIfTrue="1" operator="containsText" text="Nivel IV: Riesgo Tolerable (Aceptable)">
      <formula>NOT(ISERROR(SEARCH("Nivel IV: Riesgo Tolerable (Aceptable)",Y135)))</formula>
    </cfRule>
    <cfRule type="containsText" dxfId="3129" priority="11458" stopIfTrue="1" operator="containsText" text="Nivel II: Riesgo Importante">
      <formula>NOT(ISERROR(SEARCH("Nivel II: Riesgo Importante",Y135)))</formula>
    </cfRule>
  </conditionalFormatting>
  <conditionalFormatting sqref="Y136 Y155:Z155 Y173:Z173">
    <cfRule type="containsText" dxfId="3128" priority="8637" stopIfTrue="1" operator="containsText" text="Nivel III: Riesgo Moderado (Aceptable)">
      <formula>NOT(ISERROR(SEARCH("Nivel III: Riesgo Moderado (Aceptable)",Y136)))</formula>
    </cfRule>
  </conditionalFormatting>
  <conditionalFormatting sqref="Y137">
    <cfRule type="containsText" dxfId="3127" priority="11267" stopIfTrue="1" operator="containsText" text="Nivel IV: Riesgo Tolerable (Aceptable)">
      <formula>NOT(ISERROR(SEARCH("Nivel IV: Riesgo Tolerable (Aceptable)",Y137)))</formula>
    </cfRule>
    <cfRule type="containsText" dxfId="3126" priority="11266" stopIfTrue="1" operator="containsText" text="Nivel I: Riesgo Inaceptable">
      <formula>NOT(ISERROR(SEARCH("Nivel I: Riesgo Inaceptable",Y137)))</formula>
    </cfRule>
    <cfRule type="containsText" dxfId="3125" priority="11265" stopIfTrue="1" operator="containsText" text="Nivel II: Riesgo Importante">
      <formula>NOT(ISERROR(SEARCH("Nivel II: Riesgo Importante",Y137)))</formula>
    </cfRule>
    <cfRule type="containsText" dxfId="3124" priority="11263" stopIfTrue="1" operator="containsText" text="Nivel IV: Riesgo Tolerable (Aceptable)">
      <formula>NOT(ISERROR(SEARCH("Nivel IV: Riesgo Tolerable (Aceptable)",Y137)))</formula>
    </cfRule>
    <cfRule type="containsText" dxfId="3123" priority="11262" stopIfTrue="1" operator="containsText" text="Nivel I: Riesgo Inaceptable">
      <formula>NOT(ISERROR(SEARCH("Nivel I: Riesgo Inaceptable",Y137)))</formula>
    </cfRule>
    <cfRule type="containsText" dxfId="3122" priority="11261" stopIfTrue="1" operator="containsText" text="Nivel II: Riesgo Importante">
      <formula>NOT(ISERROR(SEARCH("Nivel II: Riesgo Importante",Y137)))</formula>
    </cfRule>
  </conditionalFormatting>
  <conditionalFormatting sqref="Y137:Y138">
    <cfRule type="containsText" dxfId="3121" priority="11264" stopIfTrue="1" operator="containsText" text="Nivel III: Riesgo Moderado (Aceptable)">
      <formula>NOT(ISERROR(SEARCH("Nivel III: Riesgo Moderado (Aceptable)",Y137)))</formula>
    </cfRule>
  </conditionalFormatting>
  <conditionalFormatting sqref="Y138">
    <cfRule type="containsText" dxfId="3120" priority="11418" stopIfTrue="1" operator="containsText" text="Nivel I: Riesgo Inaceptable">
      <formula>NOT(ISERROR(SEARCH("Nivel I: Riesgo Inaceptable",Y138)))</formula>
    </cfRule>
    <cfRule type="containsText" dxfId="3119" priority="11413" stopIfTrue="1" operator="containsText" text="Nivel II: Riesgo Importante">
      <formula>NOT(ISERROR(SEARCH("Nivel II: Riesgo Importante",Y138)))</formula>
    </cfRule>
    <cfRule type="containsText" dxfId="3118" priority="11417" stopIfTrue="1" operator="containsText" text="Nivel II: Riesgo Importante">
      <formula>NOT(ISERROR(SEARCH("Nivel II: Riesgo Importante",Y138)))</formula>
    </cfRule>
    <cfRule type="containsText" dxfId="3117" priority="11415" stopIfTrue="1" operator="containsText" text="Nivel IV: Riesgo Tolerable (Aceptable)">
      <formula>NOT(ISERROR(SEARCH("Nivel IV: Riesgo Tolerable (Aceptable)",Y138)))</formula>
    </cfRule>
    <cfRule type="containsText" dxfId="3116" priority="11414" stopIfTrue="1" operator="containsText" text="Nivel I: Riesgo Inaceptable">
      <formula>NOT(ISERROR(SEARCH("Nivel I: Riesgo Inaceptable",Y138)))</formula>
    </cfRule>
    <cfRule type="containsText" dxfId="3115" priority="11419" stopIfTrue="1" operator="containsText" text="Nivel IV: Riesgo Tolerable (Aceptable)">
      <formula>NOT(ISERROR(SEARCH("Nivel IV: Riesgo Tolerable (Aceptable)",Y138)))</formula>
    </cfRule>
  </conditionalFormatting>
  <conditionalFormatting sqref="Y139">
    <cfRule type="containsText" dxfId="3114" priority="11217" stopIfTrue="1" operator="containsText" text="Nivel I: Riesgo Inaceptable">
      <formula>NOT(ISERROR(SEARCH("Nivel I: Riesgo Inaceptable",Y139)))</formula>
    </cfRule>
    <cfRule type="containsText" dxfId="3113" priority="11216" stopIfTrue="1" operator="containsText" text="Nivel II: Riesgo Importante">
      <formula>NOT(ISERROR(SEARCH("Nivel II: Riesgo Importante",Y139)))</formula>
    </cfRule>
    <cfRule type="containsText" dxfId="3112" priority="11218" stopIfTrue="1" operator="containsText" text="Nivel IV: Riesgo Tolerable (Aceptable)">
      <formula>NOT(ISERROR(SEARCH("Nivel IV: Riesgo Tolerable (Aceptable)",Y139)))</formula>
    </cfRule>
    <cfRule type="containsText" dxfId="3111" priority="11222" stopIfTrue="1" operator="containsText" text="Nivel IV: Riesgo Tolerable (Aceptable)">
      <formula>NOT(ISERROR(SEARCH("Nivel IV: Riesgo Tolerable (Aceptable)",Y139)))</formula>
    </cfRule>
    <cfRule type="containsText" dxfId="3110" priority="11221" stopIfTrue="1" operator="containsText" text="Nivel I: Riesgo Inaceptable">
      <formula>NOT(ISERROR(SEARCH("Nivel I: Riesgo Inaceptable",Y139)))</formula>
    </cfRule>
    <cfRule type="containsText" dxfId="3109" priority="11220" stopIfTrue="1" operator="containsText" text="Nivel II: Riesgo Importante">
      <formula>NOT(ISERROR(SEARCH("Nivel II: Riesgo Importante",Y139)))</formula>
    </cfRule>
  </conditionalFormatting>
  <conditionalFormatting sqref="Y139:Y140">
    <cfRule type="containsText" dxfId="3108" priority="11174" stopIfTrue="1" operator="containsText" text="Nivel III: Riesgo Moderado (Aceptable)">
      <formula>NOT(ISERROR(SEARCH("Nivel III: Riesgo Moderado (Aceptable)",Y139)))</formula>
    </cfRule>
  </conditionalFormatting>
  <conditionalFormatting sqref="Y140">
    <cfRule type="containsText" dxfId="3107" priority="11175" stopIfTrue="1" operator="containsText" text="Nivel II: Riesgo Importante">
      <formula>NOT(ISERROR(SEARCH("Nivel II: Riesgo Importante",Y140)))</formula>
    </cfRule>
    <cfRule type="containsText" dxfId="3106" priority="11176" stopIfTrue="1" operator="containsText" text="Nivel I: Riesgo Inaceptable">
      <formula>NOT(ISERROR(SEARCH("Nivel I: Riesgo Inaceptable",Y140)))</formula>
    </cfRule>
    <cfRule type="containsText" dxfId="3105" priority="11177" stopIfTrue="1" operator="containsText" text="Nivel IV: Riesgo Tolerable (Aceptable)">
      <formula>NOT(ISERROR(SEARCH("Nivel IV: Riesgo Tolerable (Aceptable)",Y140)))</formula>
    </cfRule>
    <cfRule type="containsText" dxfId="3104" priority="11171" stopIfTrue="1" operator="containsText" text="Nivel II: Riesgo Importante">
      <formula>NOT(ISERROR(SEARCH("Nivel II: Riesgo Importante",Y140)))</formula>
    </cfRule>
    <cfRule type="containsText" dxfId="3103" priority="11172" stopIfTrue="1" operator="containsText" text="Nivel I: Riesgo Inaceptable">
      <formula>NOT(ISERROR(SEARCH("Nivel I: Riesgo Inaceptable",Y140)))</formula>
    </cfRule>
    <cfRule type="containsText" dxfId="3102" priority="11173" stopIfTrue="1" operator="containsText" text="Nivel IV: Riesgo Tolerable (Aceptable)">
      <formula>NOT(ISERROR(SEARCH("Nivel IV: Riesgo Tolerable (Aceptable)",Y140)))</formula>
    </cfRule>
  </conditionalFormatting>
  <conditionalFormatting sqref="Y141">
    <cfRule type="containsText" dxfId="3101" priority="10783" stopIfTrue="1" operator="containsText" text="Nivel II: Riesgo Importante">
      <formula>NOT(ISERROR(SEARCH("Nivel II: Riesgo Importante",Y141)))</formula>
    </cfRule>
    <cfRule type="containsText" dxfId="3100" priority="10784" stopIfTrue="1" operator="containsText" text="Nivel I: Riesgo Inaceptable">
      <formula>NOT(ISERROR(SEARCH("Nivel I: Riesgo Inaceptable",Y141)))</formula>
    </cfRule>
    <cfRule type="containsText" dxfId="3099" priority="10785" stopIfTrue="1" operator="containsText" text="Nivel IV: Riesgo Tolerable (Aceptable)">
      <formula>NOT(ISERROR(SEARCH("Nivel IV: Riesgo Tolerable (Aceptable)",Y141)))</formula>
    </cfRule>
  </conditionalFormatting>
  <conditionalFormatting sqref="Y141:Y142">
    <cfRule type="containsText" dxfId="3098" priority="10782" stopIfTrue="1" operator="containsText" text="Nivel III: Riesgo Moderado (Aceptable)">
      <formula>NOT(ISERROR(SEARCH("Nivel III: Riesgo Moderado (Aceptable)",Y141)))</formula>
    </cfRule>
  </conditionalFormatting>
  <conditionalFormatting sqref="Y142">
    <cfRule type="containsText" dxfId="3097" priority="10822" stopIfTrue="1" operator="containsText" text="Nivel IV: Riesgo Tolerable (Aceptable)">
      <formula>NOT(ISERROR(SEARCH("Nivel IV: Riesgo Tolerable (Aceptable)",Y142)))</formula>
    </cfRule>
    <cfRule type="containsText" dxfId="3096" priority="10820" stopIfTrue="1" operator="containsText" text="Nivel II: Riesgo Importante">
      <formula>NOT(ISERROR(SEARCH("Nivel II: Riesgo Importante",Y142)))</formula>
    </cfRule>
    <cfRule type="containsText" dxfId="3095" priority="10821" stopIfTrue="1" operator="containsText" text="Nivel I: Riesgo Inaceptable">
      <formula>NOT(ISERROR(SEARCH("Nivel I: Riesgo Inaceptable",Y142)))</formula>
    </cfRule>
  </conditionalFormatting>
  <conditionalFormatting sqref="Y143">
    <cfRule type="containsText" dxfId="3094" priority="10977" stopIfTrue="1" operator="containsText" text="Nivel I: Riesgo Inaceptable">
      <formula>NOT(ISERROR(SEARCH("Nivel I: Riesgo Inaceptable",Y143)))</formula>
    </cfRule>
    <cfRule type="containsText" dxfId="3093" priority="10978" stopIfTrue="1" operator="containsText" text="Nivel IV: Riesgo Tolerable (Aceptable)">
      <formula>NOT(ISERROR(SEARCH("Nivel IV: Riesgo Tolerable (Aceptable)",Y143)))</formula>
    </cfRule>
    <cfRule type="containsText" dxfId="3092" priority="10996" stopIfTrue="1" operator="containsText" text="Nivel II: Riesgo Importante">
      <formula>NOT(ISERROR(SEARCH("Nivel II: Riesgo Importante",Y143)))</formula>
    </cfRule>
    <cfRule type="containsText" dxfId="3091" priority="10998" stopIfTrue="1" operator="containsText" text="Nivel IV: Riesgo Tolerable (Aceptable)">
      <formula>NOT(ISERROR(SEARCH("Nivel IV: Riesgo Tolerable (Aceptable)",Y143)))</formula>
    </cfRule>
    <cfRule type="containsText" dxfId="3090" priority="10997" stopIfTrue="1" operator="containsText" text="Nivel I: Riesgo Inaceptable">
      <formula>NOT(ISERROR(SEARCH("Nivel I: Riesgo Inaceptable",Y143)))</formula>
    </cfRule>
    <cfRule type="containsText" dxfId="3089" priority="10976" stopIfTrue="1" operator="containsText" text="Nivel II: Riesgo Importante">
      <formula>NOT(ISERROR(SEARCH("Nivel II: Riesgo Importante",Y143)))</formula>
    </cfRule>
  </conditionalFormatting>
  <conditionalFormatting sqref="Y143:Y144">
    <cfRule type="containsText" dxfId="3088" priority="10995" stopIfTrue="1" operator="containsText" text="Nivel III: Riesgo Moderado (Aceptable)">
      <formula>NOT(ISERROR(SEARCH("Nivel III: Riesgo Moderado (Aceptable)",Y143)))</formula>
    </cfRule>
  </conditionalFormatting>
  <conditionalFormatting sqref="Y144">
    <cfRule type="containsText" dxfId="3087" priority="11017" stopIfTrue="1" operator="containsText" text="Nivel II: Riesgo Importante">
      <formula>NOT(ISERROR(SEARCH("Nivel II: Riesgo Importante",Y144)))</formula>
    </cfRule>
    <cfRule type="containsText" dxfId="3086" priority="11018" stopIfTrue="1" operator="containsText" text="Nivel I: Riesgo Inaceptable">
      <formula>NOT(ISERROR(SEARCH("Nivel I: Riesgo Inaceptable",Y144)))</formula>
    </cfRule>
    <cfRule type="containsText" dxfId="3085" priority="11019" stopIfTrue="1" operator="containsText" text="Nivel IV: Riesgo Tolerable (Aceptable)">
      <formula>NOT(ISERROR(SEARCH("Nivel IV: Riesgo Tolerable (Aceptable)",Y144)))</formula>
    </cfRule>
  </conditionalFormatting>
  <conditionalFormatting sqref="Y145">
    <cfRule type="containsText" dxfId="3084" priority="11135" stopIfTrue="1" operator="containsText" text="Nivel I: Riesgo Inaceptable">
      <formula>NOT(ISERROR(SEARCH("Nivel I: Riesgo Inaceptable",Y145)))</formula>
    </cfRule>
    <cfRule type="containsText" dxfId="3083" priority="11136" stopIfTrue="1" operator="containsText" text="Nivel IV: Riesgo Tolerable (Aceptable)">
      <formula>NOT(ISERROR(SEARCH("Nivel IV: Riesgo Tolerable (Aceptable)",Y145)))</formula>
    </cfRule>
    <cfRule type="containsText" dxfId="3082" priority="11134" stopIfTrue="1" operator="containsText" text="Nivel II: Riesgo Importante">
      <formula>NOT(ISERROR(SEARCH("Nivel II: Riesgo Importante",Y145)))</formula>
    </cfRule>
  </conditionalFormatting>
  <conditionalFormatting sqref="Y145:Y146">
    <cfRule type="containsText" dxfId="3081" priority="11118" stopIfTrue="1" operator="containsText" text="Nivel III: Riesgo Moderado (Aceptable)">
      <formula>NOT(ISERROR(SEARCH("Nivel III: Riesgo Moderado (Aceptable)",Y145)))</formula>
    </cfRule>
  </conditionalFormatting>
  <conditionalFormatting sqref="Y146">
    <cfRule type="containsText" dxfId="3080" priority="11091" stopIfTrue="1" operator="containsText" text="Nivel II: Riesgo Importante">
      <formula>NOT(ISERROR(SEARCH("Nivel II: Riesgo Importante",Y146)))</formula>
    </cfRule>
    <cfRule type="containsText" dxfId="3079" priority="11120" stopIfTrue="1" operator="containsText" text="Nivel I: Riesgo Inaceptable">
      <formula>NOT(ISERROR(SEARCH("Nivel I: Riesgo Inaceptable",Y146)))</formula>
    </cfRule>
    <cfRule type="containsText" dxfId="3078" priority="11119" stopIfTrue="1" operator="containsText" text="Nivel II: Riesgo Importante">
      <formula>NOT(ISERROR(SEARCH("Nivel II: Riesgo Importante",Y146)))</formula>
    </cfRule>
    <cfRule type="containsText" dxfId="3077" priority="11092" stopIfTrue="1" operator="containsText" text="Nivel I: Riesgo Inaceptable">
      <formula>NOT(ISERROR(SEARCH("Nivel I: Riesgo Inaceptable",Y146)))</formula>
    </cfRule>
    <cfRule type="containsText" dxfId="3076" priority="11093" stopIfTrue="1" operator="containsText" text="Nivel IV: Riesgo Tolerable (Aceptable)">
      <formula>NOT(ISERROR(SEARCH("Nivel IV: Riesgo Tolerable (Aceptable)",Y146)))</formula>
    </cfRule>
    <cfRule type="containsText" dxfId="3075" priority="11121" stopIfTrue="1" operator="containsText" text="Nivel IV: Riesgo Tolerable (Aceptable)">
      <formula>NOT(ISERROR(SEARCH("Nivel IV: Riesgo Tolerable (Aceptable)",Y146)))</formula>
    </cfRule>
  </conditionalFormatting>
  <conditionalFormatting sqref="Y147">
    <cfRule type="containsText" dxfId="3074" priority="11055" stopIfTrue="1" operator="containsText" text="Nivel I: Riesgo Inaceptable">
      <formula>NOT(ISERROR(SEARCH("Nivel I: Riesgo Inaceptable",Y147)))</formula>
    </cfRule>
    <cfRule type="containsText" dxfId="3073" priority="11056" stopIfTrue="1" operator="containsText" text="Nivel IV: Riesgo Tolerable (Aceptable)">
      <formula>NOT(ISERROR(SEARCH("Nivel IV: Riesgo Tolerable (Aceptable)",Y147)))</formula>
    </cfRule>
    <cfRule type="containsText" dxfId="3072" priority="11054" stopIfTrue="1" operator="containsText" text="Nivel II: Riesgo Importante">
      <formula>NOT(ISERROR(SEARCH("Nivel II: Riesgo Importante",Y147)))</formula>
    </cfRule>
  </conditionalFormatting>
  <conditionalFormatting sqref="Y147:Y152">
    <cfRule type="containsText" dxfId="3071" priority="10745" stopIfTrue="1" operator="containsText" text="Nivel III: Riesgo Moderado (Aceptable)">
      <formula>NOT(ISERROR(SEARCH("Nivel III: Riesgo Moderado (Aceptable)",Y147)))</formula>
    </cfRule>
  </conditionalFormatting>
  <conditionalFormatting sqref="Y148">
    <cfRule type="containsText" dxfId="3070" priority="10859" stopIfTrue="1" operator="containsText" text="Nivel IV: Riesgo Tolerable (Aceptable)">
      <formula>NOT(ISERROR(SEARCH("Nivel IV: Riesgo Tolerable (Aceptable)",Y148)))</formula>
    </cfRule>
    <cfRule type="containsText" dxfId="3069" priority="10858" stopIfTrue="1" operator="containsText" text="Nivel I: Riesgo Inaceptable">
      <formula>NOT(ISERROR(SEARCH("Nivel I: Riesgo Inaceptable",Y148)))</formula>
    </cfRule>
    <cfRule type="containsText" dxfId="3068" priority="10857" stopIfTrue="1" operator="containsText" text="Nivel II: Riesgo Importante">
      <formula>NOT(ISERROR(SEARCH("Nivel II: Riesgo Importante",Y148)))</formula>
    </cfRule>
  </conditionalFormatting>
  <conditionalFormatting sqref="Y149">
    <cfRule type="containsText" dxfId="3067" priority="10896" stopIfTrue="1" operator="containsText" text="Nivel II: Riesgo Importante">
      <formula>NOT(ISERROR(SEARCH("Nivel II: Riesgo Importante",Y149)))</formula>
    </cfRule>
    <cfRule type="containsText" dxfId="3066" priority="10898" stopIfTrue="1" operator="containsText" text="Nivel IV: Riesgo Tolerable (Aceptable)">
      <formula>NOT(ISERROR(SEARCH("Nivel IV: Riesgo Tolerable (Aceptable)",Y149)))</formula>
    </cfRule>
    <cfRule type="containsText" dxfId="3065" priority="10897" stopIfTrue="1" operator="containsText" text="Nivel I: Riesgo Inaceptable">
      <formula>NOT(ISERROR(SEARCH("Nivel I: Riesgo Inaceptable",Y149)))</formula>
    </cfRule>
  </conditionalFormatting>
  <conditionalFormatting sqref="Y150">
    <cfRule type="containsText" dxfId="3064" priority="10941" stopIfTrue="1" operator="containsText" text="Nivel IV: Riesgo Tolerable (Aceptable)">
      <formula>NOT(ISERROR(SEARCH("Nivel IV: Riesgo Tolerable (Aceptable)",Y150)))</formula>
    </cfRule>
    <cfRule type="containsText" dxfId="3063" priority="10935" stopIfTrue="1" operator="containsText" text="Nivel II: Riesgo Importante">
      <formula>NOT(ISERROR(SEARCH("Nivel II: Riesgo Importante",Y150)))</formula>
    </cfRule>
    <cfRule type="containsText" dxfId="3062" priority="10936" stopIfTrue="1" operator="containsText" text="Nivel I: Riesgo Inaceptable">
      <formula>NOT(ISERROR(SEARCH("Nivel I: Riesgo Inaceptable",Y150)))</formula>
    </cfRule>
    <cfRule type="containsText" dxfId="3061" priority="10937" stopIfTrue="1" operator="containsText" text="Nivel IV: Riesgo Tolerable (Aceptable)">
      <formula>NOT(ISERROR(SEARCH("Nivel IV: Riesgo Tolerable (Aceptable)",Y150)))</formula>
    </cfRule>
    <cfRule type="containsText" dxfId="3060" priority="10939" stopIfTrue="1" operator="containsText" text="Nivel II: Riesgo Importante">
      <formula>NOT(ISERROR(SEARCH("Nivel II: Riesgo Importante",Y150)))</formula>
    </cfRule>
    <cfRule type="containsText" dxfId="3059" priority="10940" stopIfTrue="1" operator="containsText" text="Nivel I: Riesgo Inaceptable">
      <formula>NOT(ISERROR(SEARCH("Nivel I: Riesgo Inaceptable",Y150)))</formula>
    </cfRule>
  </conditionalFormatting>
  <conditionalFormatting sqref="Y151:Y152">
    <cfRule type="containsText" dxfId="3058" priority="10744" stopIfTrue="1" operator="containsText" text="Nivel IV: Riesgo Tolerable (Aceptable)">
      <formula>NOT(ISERROR(SEARCH("Nivel IV: Riesgo Tolerable (Aceptable)",Y151)))</formula>
    </cfRule>
    <cfRule type="containsText" dxfId="3057" priority="10746" stopIfTrue="1" operator="containsText" text="Nivel II: Riesgo Importante">
      <formula>NOT(ISERROR(SEARCH("Nivel II: Riesgo Importante",Y151)))</formula>
    </cfRule>
    <cfRule type="containsText" dxfId="3056" priority="10747" stopIfTrue="1" operator="containsText" text="Nivel I: Riesgo Inaceptable">
      <formula>NOT(ISERROR(SEARCH("Nivel I: Riesgo Inaceptable",Y151)))</formula>
    </cfRule>
    <cfRule type="containsText" dxfId="3055" priority="10748" stopIfTrue="1" operator="containsText" text="Nivel IV: Riesgo Tolerable (Aceptable)">
      <formula>NOT(ISERROR(SEARCH("Nivel IV: Riesgo Tolerable (Aceptable)",Y151)))</formula>
    </cfRule>
    <cfRule type="containsText" dxfId="3054" priority="10742" stopIfTrue="1" operator="containsText" text="Nivel II: Riesgo Importante">
      <formula>NOT(ISERROR(SEARCH("Nivel II: Riesgo Importante",Y151)))</formula>
    </cfRule>
    <cfRule type="containsText" dxfId="3053" priority="10743" stopIfTrue="1" operator="containsText" text="Nivel I: Riesgo Inaceptable">
      <formula>NOT(ISERROR(SEARCH("Nivel I: Riesgo Inaceptable",Y151)))</formula>
    </cfRule>
  </conditionalFormatting>
  <conditionalFormatting sqref="Y153">
    <cfRule type="containsText" dxfId="3052" priority="10727" stopIfTrue="1" operator="containsText" text="Nivel II: Riesgo Importante">
      <formula>NOT(ISERROR(SEARCH("Nivel II: Riesgo Importante",Y153)))</formula>
    </cfRule>
    <cfRule type="containsText" dxfId="3051" priority="10699" stopIfTrue="1" operator="containsText" text="Nivel II: Riesgo Importante">
      <formula>NOT(ISERROR(SEARCH("Nivel II: Riesgo Importante",Y153)))</formula>
    </cfRule>
    <cfRule type="containsText" dxfId="3050" priority="10701" stopIfTrue="1" operator="containsText" text="Nivel IV: Riesgo Tolerable (Aceptable)">
      <formula>NOT(ISERROR(SEARCH("Nivel IV: Riesgo Tolerable (Aceptable)",Y153)))</formula>
    </cfRule>
    <cfRule type="containsText" dxfId="3049" priority="10700" stopIfTrue="1" operator="containsText" text="Nivel I: Riesgo Inaceptable">
      <formula>NOT(ISERROR(SEARCH("Nivel I: Riesgo Inaceptable",Y153)))</formula>
    </cfRule>
    <cfRule type="containsText" dxfId="3048" priority="10729" stopIfTrue="1" operator="containsText" text="Nivel IV: Riesgo Tolerable (Aceptable)">
      <formula>NOT(ISERROR(SEARCH("Nivel IV: Riesgo Tolerable (Aceptable)",Y153)))</formula>
    </cfRule>
    <cfRule type="containsText" dxfId="3047" priority="10728" stopIfTrue="1" operator="containsText" text="Nivel I: Riesgo Inaceptable">
      <formula>NOT(ISERROR(SEARCH("Nivel I: Riesgo Inaceptable",Y153)))</formula>
    </cfRule>
  </conditionalFormatting>
  <conditionalFormatting sqref="Y153:Y154">
    <cfRule type="containsText" dxfId="3046" priority="10690" stopIfTrue="1" operator="containsText" text="Nivel III: Riesgo Moderado (Aceptable)">
      <formula>NOT(ISERROR(SEARCH("Nivel III: Riesgo Moderado (Aceptable)",Y153)))</formula>
    </cfRule>
  </conditionalFormatting>
  <conditionalFormatting sqref="Y154">
    <cfRule type="containsText" dxfId="3045" priority="10665" stopIfTrue="1" operator="containsText" text="Nivel II: Riesgo Importante">
      <formula>NOT(ISERROR(SEARCH("Nivel II: Riesgo Importante",Y154)))</formula>
    </cfRule>
    <cfRule type="containsText" dxfId="3044" priority="10693" stopIfTrue="1" operator="containsText" text="Nivel IV: Riesgo Tolerable (Aceptable)">
      <formula>NOT(ISERROR(SEARCH("Nivel IV: Riesgo Tolerable (Aceptable)",Y154)))</formula>
    </cfRule>
    <cfRule type="containsText" dxfId="3043" priority="10667" stopIfTrue="1" operator="containsText" text="Nivel IV: Riesgo Tolerable (Aceptable)">
      <formula>NOT(ISERROR(SEARCH("Nivel IV: Riesgo Tolerable (Aceptable)",Y154)))</formula>
    </cfRule>
    <cfRule type="containsText" dxfId="3042" priority="10692" stopIfTrue="1" operator="containsText" text="Nivel I: Riesgo Inaceptable">
      <formula>NOT(ISERROR(SEARCH("Nivel I: Riesgo Inaceptable",Y154)))</formula>
    </cfRule>
    <cfRule type="containsText" dxfId="3041" priority="10691" stopIfTrue="1" operator="containsText" text="Nivel II: Riesgo Importante">
      <formula>NOT(ISERROR(SEARCH("Nivel II: Riesgo Importante",Y154)))</formula>
    </cfRule>
    <cfRule type="containsText" dxfId="3040" priority="10666" stopIfTrue="1" operator="containsText" text="Nivel I: Riesgo Inaceptable">
      <formula>NOT(ISERROR(SEARCH("Nivel I: Riesgo Inaceptable",Y154)))</formula>
    </cfRule>
  </conditionalFormatting>
  <conditionalFormatting sqref="Y156">
    <cfRule type="containsText" dxfId="3039" priority="10518" stopIfTrue="1" operator="containsText" text="Nivel I: Riesgo Inaceptable">
      <formula>NOT(ISERROR(SEARCH("Nivel I: Riesgo Inaceptable",Y156)))</formula>
    </cfRule>
    <cfRule type="containsText" dxfId="3038" priority="10513" stopIfTrue="1" operator="containsText" text="Nivel II: Riesgo Importante">
      <formula>NOT(ISERROR(SEARCH("Nivel II: Riesgo Importante",Y156)))</formula>
    </cfRule>
    <cfRule type="containsText" dxfId="3037" priority="10519" stopIfTrue="1" operator="containsText" text="Nivel IV: Riesgo Tolerable (Aceptable)">
      <formula>NOT(ISERROR(SEARCH("Nivel IV: Riesgo Tolerable (Aceptable)",Y156)))</formula>
    </cfRule>
    <cfRule type="containsText" dxfId="3036" priority="10515" stopIfTrue="1" operator="containsText" text="Nivel IV: Riesgo Tolerable (Aceptable)">
      <formula>NOT(ISERROR(SEARCH("Nivel IV: Riesgo Tolerable (Aceptable)",Y156)))</formula>
    </cfRule>
    <cfRule type="containsText" dxfId="3035" priority="10514" stopIfTrue="1" operator="containsText" text="Nivel I: Riesgo Inaceptable">
      <formula>NOT(ISERROR(SEARCH("Nivel I: Riesgo Inaceptable",Y156)))</formula>
    </cfRule>
    <cfRule type="containsText" dxfId="3034" priority="10517" stopIfTrue="1" operator="containsText" text="Nivel II: Riesgo Importante">
      <formula>NOT(ISERROR(SEARCH("Nivel II: Riesgo Importante",Y156)))</formula>
    </cfRule>
  </conditionalFormatting>
  <conditionalFormatting sqref="Y156:Y158">
    <cfRule type="containsText" dxfId="3033" priority="10471" stopIfTrue="1" operator="containsText" text="Nivel III: Riesgo Moderado (Aceptable)">
      <formula>NOT(ISERROR(SEARCH("Nivel III: Riesgo Moderado (Aceptable)",Y156)))</formula>
    </cfRule>
  </conditionalFormatting>
  <conditionalFormatting sqref="Y157">
    <cfRule type="containsText" dxfId="3032" priority="10474" stopIfTrue="1" operator="containsText" text="Nivel IV: Riesgo Tolerable (Aceptable)">
      <formula>NOT(ISERROR(SEARCH("Nivel IV: Riesgo Tolerable (Aceptable)",Y157)))</formula>
    </cfRule>
    <cfRule type="containsText" dxfId="3031" priority="10469" stopIfTrue="1" operator="containsText" text="Nivel I: Riesgo Inaceptable">
      <formula>NOT(ISERROR(SEARCH("Nivel I: Riesgo Inaceptable",Y157)))</formula>
    </cfRule>
    <cfRule type="containsText" dxfId="3030" priority="10468" stopIfTrue="1" operator="containsText" text="Nivel II: Riesgo Importante">
      <formula>NOT(ISERROR(SEARCH("Nivel II: Riesgo Importante",Y157)))</formula>
    </cfRule>
    <cfRule type="containsText" dxfId="3029" priority="10473" stopIfTrue="1" operator="containsText" text="Nivel I: Riesgo Inaceptable">
      <formula>NOT(ISERROR(SEARCH("Nivel I: Riesgo Inaceptable",Y157)))</formula>
    </cfRule>
    <cfRule type="containsText" dxfId="3028" priority="10470" stopIfTrue="1" operator="containsText" text="Nivel IV: Riesgo Tolerable (Aceptable)">
      <formula>NOT(ISERROR(SEARCH("Nivel IV: Riesgo Tolerable (Aceptable)",Y157)))</formula>
    </cfRule>
    <cfRule type="containsText" dxfId="3027" priority="10472" stopIfTrue="1" operator="containsText" text="Nivel II: Riesgo Importante">
      <formula>NOT(ISERROR(SEARCH("Nivel II: Riesgo Importante",Y157)))</formula>
    </cfRule>
  </conditionalFormatting>
  <conditionalFormatting sqref="Y158">
    <cfRule type="containsText" dxfId="3026" priority="10622" stopIfTrue="1" operator="containsText" text="Nivel IV: Riesgo Tolerable (Aceptable)">
      <formula>NOT(ISERROR(SEARCH("Nivel IV: Riesgo Tolerable (Aceptable)",Y158)))</formula>
    </cfRule>
    <cfRule type="containsText" dxfId="3025" priority="10626" stopIfTrue="1" operator="containsText" text="Nivel IV: Riesgo Tolerable (Aceptable)">
      <formula>NOT(ISERROR(SEARCH("Nivel IV: Riesgo Tolerable (Aceptable)",Y158)))</formula>
    </cfRule>
    <cfRule type="containsText" dxfId="3024" priority="10621" stopIfTrue="1" operator="containsText" text="Nivel I: Riesgo Inaceptable">
      <formula>NOT(ISERROR(SEARCH("Nivel I: Riesgo Inaceptable",Y158)))</formula>
    </cfRule>
    <cfRule type="containsText" dxfId="3023" priority="10625" stopIfTrue="1" operator="containsText" text="Nivel I: Riesgo Inaceptable">
      <formula>NOT(ISERROR(SEARCH("Nivel I: Riesgo Inaceptable",Y158)))</formula>
    </cfRule>
    <cfRule type="containsText" dxfId="3022" priority="10624" stopIfTrue="1" operator="containsText" text="Nivel II: Riesgo Importante">
      <formula>NOT(ISERROR(SEARCH("Nivel II: Riesgo Importante",Y158)))</formula>
    </cfRule>
    <cfRule type="containsText" dxfId="3021" priority="10620" stopIfTrue="1" operator="containsText" text="Nivel II: Riesgo Importante">
      <formula>NOT(ISERROR(SEARCH("Nivel II: Riesgo Importante",Y158)))</formula>
    </cfRule>
  </conditionalFormatting>
  <conditionalFormatting sqref="Y159">
    <cfRule type="containsText" dxfId="3020" priority="10427" stopIfTrue="1" operator="containsText" text="Nivel II: Riesgo Importante">
      <formula>NOT(ISERROR(SEARCH("Nivel II: Riesgo Importante",Y159)))</formula>
    </cfRule>
    <cfRule type="containsText" dxfId="3019" priority="10425" stopIfTrue="1" operator="containsText" text="Nivel IV: Riesgo Tolerable (Aceptable)">
      <formula>NOT(ISERROR(SEARCH("Nivel IV: Riesgo Tolerable (Aceptable)",Y159)))</formula>
    </cfRule>
    <cfRule type="containsText" dxfId="3018" priority="10423" stopIfTrue="1" operator="containsText" text="Nivel II: Riesgo Importante">
      <formula>NOT(ISERROR(SEARCH("Nivel II: Riesgo Importante",Y159)))</formula>
    </cfRule>
    <cfRule type="containsText" dxfId="3017" priority="10428" stopIfTrue="1" operator="containsText" text="Nivel I: Riesgo Inaceptable">
      <formula>NOT(ISERROR(SEARCH("Nivel I: Riesgo Inaceptable",Y159)))</formula>
    </cfRule>
    <cfRule type="containsText" dxfId="3016" priority="10429" stopIfTrue="1" operator="containsText" text="Nivel IV: Riesgo Tolerable (Aceptable)">
      <formula>NOT(ISERROR(SEARCH("Nivel IV: Riesgo Tolerable (Aceptable)",Y159)))</formula>
    </cfRule>
    <cfRule type="containsText" dxfId="3015" priority="10424" stopIfTrue="1" operator="containsText" text="Nivel I: Riesgo Inaceptable">
      <formula>NOT(ISERROR(SEARCH("Nivel I: Riesgo Inaceptable",Y159)))</formula>
    </cfRule>
  </conditionalFormatting>
  <conditionalFormatting sqref="Y159:Y160">
    <cfRule type="containsText" dxfId="3014" priority="10381" stopIfTrue="1" operator="containsText" text="Nivel III: Riesgo Moderado (Aceptable)">
      <formula>NOT(ISERROR(SEARCH("Nivel III: Riesgo Moderado (Aceptable)",Y159)))</formula>
    </cfRule>
  </conditionalFormatting>
  <conditionalFormatting sqref="Y160">
    <cfRule type="containsText" dxfId="3013" priority="10379" stopIfTrue="1" operator="containsText" text="Nivel I: Riesgo Inaceptable">
      <formula>NOT(ISERROR(SEARCH("Nivel I: Riesgo Inaceptable",Y160)))</formula>
    </cfRule>
    <cfRule type="containsText" dxfId="3012" priority="10384" stopIfTrue="1" operator="containsText" text="Nivel IV: Riesgo Tolerable (Aceptable)">
      <formula>NOT(ISERROR(SEARCH("Nivel IV: Riesgo Tolerable (Aceptable)",Y160)))</formula>
    </cfRule>
    <cfRule type="containsText" dxfId="3011" priority="10378" stopIfTrue="1" operator="containsText" text="Nivel II: Riesgo Importante">
      <formula>NOT(ISERROR(SEARCH("Nivel II: Riesgo Importante",Y160)))</formula>
    </cfRule>
    <cfRule type="containsText" dxfId="3010" priority="10383" stopIfTrue="1" operator="containsText" text="Nivel I: Riesgo Inaceptable">
      <formula>NOT(ISERROR(SEARCH("Nivel I: Riesgo Inaceptable",Y160)))</formula>
    </cfRule>
    <cfRule type="containsText" dxfId="3009" priority="10382" stopIfTrue="1" operator="containsText" text="Nivel II: Riesgo Importante">
      <formula>NOT(ISERROR(SEARCH("Nivel II: Riesgo Importante",Y160)))</formula>
    </cfRule>
    <cfRule type="containsText" dxfId="3008" priority="10380" stopIfTrue="1" operator="containsText" text="Nivel IV: Riesgo Tolerable (Aceptable)">
      <formula>NOT(ISERROR(SEARCH("Nivel IV: Riesgo Tolerable (Aceptable)",Y160)))</formula>
    </cfRule>
  </conditionalFormatting>
  <conditionalFormatting sqref="Y161">
    <cfRule type="containsText" dxfId="3007" priority="9992" stopIfTrue="1" operator="containsText" text="Nivel IV: Riesgo Tolerable (Aceptable)">
      <formula>NOT(ISERROR(SEARCH("Nivel IV: Riesgo Tolerable (Aceptable)",Y161)))</formula>
    </cfRule>
    <cfRule type="containsText" dxfId="3006" priority="9991" stopIfTrue="1" operator="containsText" text="Nivel I: Riesgo Inaceptable">
      <formula>NOT(ISERROR(SEARCH("Nivel I: Riesgo Inaceptable",Y161)))</formula>
    </cfRule>
    <cfRule type="containsText" dxfId="3005" priority="9990" stopIfTrue="1" operator="containsText" text="Nivel II: Riesgo Importante">
      <formula>NOT(ISERROR(SEARCH("Nivel II: Riesgo Importante",Y161)))</formula>
    </cfRule>
  </conditionalFormatting>
  <conditionalFormatting sqref="Y161:Y162">
    <cfRule type="containsText" dxfId="3004" priority="9989" stopIfTrue="1" operator="containsText" text="Nivel III: Riesgo Moderado (Aceptable)">
      <formula>NOT(ISERROR(SEARCH("Nivel III: Riesgo Moderado (Aceptable)",Y161)))</formula>
    </cfRule>
  </conditionalFormatting>
  <conditionalFormatting sqref="Y162">
    <cfRule type="containsText" dxfId="3003" priority="10027" stopIfTrue="1" operator="containsText" text="Nivel II: Riesgo Importante">
      <formula>NOT(ISERROR(SEARCH("Nivel II: Riesgo Importante",Y162)))</formula>
    </cfRule>
    <cfRule type="containsText" dxfId="3002" priority="10028" stopIfTrue="1" operator="containsText" text="Nivel I: Riesgo Inaceptable">
      <formula>NOT(ISERROR(SEARCH("Nivel I: Riesgo Inaceptable",Y162)))</formula>
    </cfRule>
    <cfRule type="containsText" dxfId="3001" priority="10029" stopIfTrue="1" operator="containsText" text="Nivel IV: Riesgo Tolerable (Aceptable)">
      <formula>NOT(ISERROR(SEARCH("Nivel IV: Riesgo Tolerable (Aceptable)",Y162)))</formula>
    </cfRule>
  </conditionalFormatting>
  <conditionalFormatting sqref="Y163">
    <cfRule type="containsText" dxfId="3000" priority="10204" stopIfTrue="1" operator="containsText" text="Nivel I: Riesgo Inaceptable">
      <formula>NOT(ISERROR(SEARCH("Nivel I: Riesgo Inaceptable",Y163)))</formula>
    </cfRule>
    <cfRule type="containsText" dxfId="2999" priority="10203" stopIfTrue="1" operator="containsText" text="Nivel II: Riesgo Importante">
      <formula>NOT(ISERROR(SEARCH("Nivel II: Riesgo Importante",Y163)))</formula>
    </cfRule>
    <cfRule type="containsText" dxfId="2998" priority="10184" stopIfTrue="1" operator="containsText" text="Nivel I: Riesgo Inaceptable">
      <formula>NOT(ISERROR(SEARCH("Nivel I: Riesgo Inaceptable",Y163)))</formula>
    </cfRule>
    <cfRule type="containsText" dxfId="2997" priority="10185" stopIfTrue="1" operator="containsText" text="Nivel IV: Riesgo Tolerable (Aceptable)">
      <formula>NOT(ISERROR(SEARCH("Nivel IV: Riesgo Tolerable (Aceptable)",Y163)))</formula>
    </cfRule>
    <cfRule type="containsText" dxfId="2996" priority="10183" stopIfTrue="1" operator="containsText" text="Nivel II: Riesgo Importante">
      <formula>NOT(ISERROR(SEARCH("Nivel II: Riesgo Importante",Y163)))</formula>
    </cfRule>
    <cfRule type="containsText" dxfId="2995" priority="10205" stopIfTrue="1" operator="containsText" text="Nivel IV: Riesgo Tolerable (Aceptable)">
      <formula>NOT(ISERROR(SEARCH("Nivel IV: Riesgo Tolerable (Aceptable)",Y163)))</formula>
    </cfRule>
  </conditionalFormatting>
  <conditionalFormatting sqref="Y163:Y164">
    <cfRule type="containsText" dxfId="2994" priority="10202" stopIfTrue="1" operator="containsText" text="Nivel III: Riesgo Moderado (Aceptable)">
      <formula>NOT(ISERROR(SEARCH("Nivel III: Riesgo Moderado (Aceptable)",Y163)))</formula>
    </cfRule>
  </conditionalFormatting>
  <conditionalFormatting sqref="Y164">
    <cfRule type="containsText" dxfId="2993" priority="10225" stopIfTrue="1" operator="containsText" text="Nivel I: Riesgo Inaceptable">
      <formula>NOT(ISERROR(SEARCH("Nivel I: Riesgo Inaceptable",Y164)))</formula>
    </cfRule>
    <cfRule type="containsText" dxfId="2992" priority="10224" stopIfTrue="1" operator="containsText" text="Nivel II: Riesgo Importante">
      <formula>NOT(ISERROR(SEARCH("Nivel II: Riesgo Importante",Y164)))</formula>
    </cfRule>
    <cfRule type="containsText" dxfId="2991" priority="10226" stopIfTrue="1" operator="containsText" text="Nivel IV: Riesgo Tolerable (Aceptable)">
      <formula>NOT(ISERROR(SEARCH("Nivel IV: Riesgo Tolerable (Aceptable)",Y164)))</formula>
    </cfRule>
  </conditionalFormatting>
  <conditionalFormatting sqref="Y165">
    <cfRule type="containsText" dxfId="2990" priority="10343" stopIfTrue="1" operator="containsText" text="Nivel IV: Riesgo Tolerable (Aceptable)">
      <formula>NOT(ISERROR(SEARCH("Nivel IV: Riesgo Tolerable (Aceptable)",Y165)))</formula>
    </cfRule>
    <cfRule type="containsText" dxfId="2989" priority="10342" stopIfTrue="1" operator="containsText" text="Nivel I: Riesgo Inaceptable">
      <formula>NOT(ISERROR(SEARCH("Nivel I: Riesgo Inaceptable",Y165)))</formula>
    </cfRule>
    <cfRule type="containsText" dxfId="2988" priority="10341" stopIfTrue="1" operator="containsText" text="Nivel II: Riesgo Importante">
      <formula>NOT(ISERROR(SEARCH("Nivel II: Riesgo Importante",Y165)))</formula>
    </cfRule>
  </conditionalFormatting>
  <conditionalFormatting sqref="Y165:Y166">
    <cfRule type="containsText" dxfId="2987" priority="10325" stopIfTrue="1" operator="containsText" text="Nivel III: Riesgo Moderado (Aceptable)">
      <formula>NOT(ISERROR(SEARCH("Nivel III: Riesgo Moderado (Aceptable)",Y165)))</formula>
    </cfRule>
  </conditionalFormatting>
  <conditionalFormatting sqref="Y166">
    <cfRule type="containsText" dxfId="2986" priority="10326" stopIfTrue="1" operator="containsText" text="Nivel II: Riesgo Importante">
      <formula>NOT(ISERROR(SEARCH("Nivel II: Riesgo Importante",Y166)))</formula>
    </cfRule>
    <cfRule type="containsText" dxfId="2985" priority="10327" stopIfTrue="1" operator="containsText" text="Nivel I: Riesgo Inaceptable">
      <formula>NOT(ISERROR(SEARCH("Nivel I: Riesgo Inaceptable",Y166)))</formula>
    </cfRule>
    <cfRule type="containsText" dxfId="2984" priority="10328" stopIfTrue="1" operator="containsText" text="Nivel IV: Riesgo Tolerable (Aceptable)">
      <formula>NOT(ISERROR(SEARCH("Nivel IV: Riesgo Tolerable (Aceptable)",Y166)))</formula>
    </cfRule>
    <cfRule type="containsText" dxfId="2983" priority="10300" stopIfTrue="1" operator="containsText" text="Nivel IV: Riesgo Tolerable (Aceptable)">
      <formula>NOT(ISERROR(SEARCH("Nivel IV: Riesgo Tolerable (Aceptable)",Y166)))</formula>
    </cfRule>
    <cfRule type="containsText" dxfId="2982" priority="10299" stopIfTrue="1" operator="containsText" text="Nivel I: Riesgo Inaceptable">
      <formula>NOT(ISERROR(SEARCH("Nivel I: Riesgo Inaceptable",Y166)))</formula>
    </cfRule>
    <cfRule type="containsText" dxfId="2981" priority="10298" stopIfTrue="1" operator="containsText" text="Nivel II: Riesgo Importante">
      <formula>NOT(ISERROR(SEARCH("Nivel II: Riesgo Importante",Y166)))</formula>
    </cfRule>
  </conditionalFormatting>
  <conditionalFormatting sqref="Y167">
    <cfRule type="containsText" dxfId="2980" priority="10261" stopIfTrue="1" operator="containsText" text="Nivel II: Riesgo Importante">
      <formula>NOT(ISERROR(SEARCH("Nivel II: Riesgo Importante",Y167)))</formula>
    </cfRule>
    <cfRule type="containsText" dxfId="2979" priority="10262" stopIfTrue="1" operator="containsText" text="Nivel I: Riesgo Inaceptable">
      <formula>NOT(ISERROR(SEARCH("Nivel I: Riesgo Inaceptable",Y167)))</formula>
    </cfRule>
    <cfRule type="containsText" dxfId="2978" priority="10263" stopIfTrue="1" operator="containsText" text="Nivel IV: Riesgo Tolerable (Aceptable)">
      <formula>NOT(ISERROR(SEARCH("Nivel IV: Riesgo Tolerable (Aceptable)",Y167)))</formula>
    </cfRule>
  </conditionalFormatting>
  <conditionalFormatting sqref="Y167:Y168">
    <cfRule type="containsText" dxfId="2977" priority="9858" stopIfTrue="1" operator="containsText" text="Nivel III: Riesgo Moderado (Aceptable)">
      <formula>NOT(ISERROR(SEARCH("Nivel III: Riesgo Moderado (Aceptable)",Y167)))</formula>
    </cfRule>
  </conditionalFormatting>
  <conditionalFormatting sqref="Y168">
    <cfRule type="containsText" dxfId="2976" priority="9859" stopIfTrue="1" operator="containsText" text="Nivel II: Riesgo Importante">
      <formula>NOT(ISERROR(SEARCH("Nivel II: Riesgo Importante",Y168)))</formula>
    </cfRule>
    <cfRule type="containsText" dxfId="2975" priority="9860" stopIfTrue="1" operator="containsText" text="Nivel I: Riesgo Inaceptable">
      <formula>NOT(ISERROR(SEARCH("Nivel I: Riesgo Inaceptable",Y168)))</formula>
    </cfRule>
    <cfRule type="containsText" dxfId="2974" priority="9861" stopIfTrue="1" operator="containsText" text="Nivel IV: Riesgo Tolerable (Aceptable)">
      <formula>NOT(ISERROR(SEARCH("Nivel IV: Riesgo Tolerable (Aceptable)",Y168)))</formula>
    </cfRule>
  </conditionalFormatting>
  <conditionalFormatting sqref="Y169">
    <cfRule type="containsText" dxfId="2973" priority="10142" stopIfTrue="1" operator="containsText" text="Nivel II: Riesgo Importante">
      <formula>NOT(ISERROR(SEARCH("Nivel II: Riesgo Importante",Y169)))</formula>
    </cfRule>
    <cfRule type="containsText" dxfId="2972" priority="10143" stopIfTrue="1" operator="containsText" text="Nivel I: Riesgo Inaceptable">
      <formula>NOT(ISERROR(SEARCH("Nivel I: Riesgo Inaceptable",Y169)))</formula>
    </cfRule>
    <cfRule type="containsText" dxfId="2971" priority="10144" stopIfTrue="1" operator="containsText" text="Nivel IV: Riesgo Tolerable (Aceptable)">
      <formula>NOT(ISERROR(SEARCH("Nivel IV: Riesgo Tolerable (Aceptable)",Y169)))</formula>
    </cfRule>
    <cfRule type="containsText" dxfId="2970" priority="10147" stopIfTrue="1" operator="containsText" text="Nivel I: Riesgo Inaceptable">
      <formula>NOT(ISERROR(SEARCH("Nivel I: Riesgo Inaceptable",Y169)))</formula>
    </cfRule>
    <cfRule type="containsText" dxfId="2969" priority="10148" stopIfTrue="1" operator="containsText" text="Nivel IV: Riesgo Tolerable (Aceptable)">
      <formula>NOT(ISERROR(SEARCH("Nivel IV: Riesgo Tolerable (Aceptable)",Y169)))</formula>
    </cfRule>
    <cfRule type="containsText" dxfId="2968" priority="10146" stopIfTrue="1" operator="containsText" text="Nivel II: Riesgo Importante">
      <formula>NOT(ISERROR(SEARCH("Nivel II: Riesgo Importante",Y169)))</formula>
    </cfRule>
  </conditionalFormatting>
  <conditionalFormatting sqref="Y169:Y171">
    <cfRule type="containsText" dxfId="2967" priority="9952" stopIfTrue="1" operator="containsText" text="Nivel III: Riesgo Moderado (Aceptable)">
      <formula>NOT(ISERROR(SEARCH("Nivel III: Riesgo Moderado (Aceptable)",Y169)))</formula>
    </cfRule>
  </conditionalFormatting>
  <conditionalFormatting sqref="Y170:Y171">
    <cfRule type="containsText" dxfId="2966" priority="9955" stopIfTrue="1" operator="containsText" text="Nivel IV: Riesgo Tolerable (Aceptable)">
      <formula>NOT(ISERROR(SEARCH("Nivel IV: Riesgo Tolerable (Aceptable)",Y170)))</formula>
    </cfRule>
    <cfRule type="containsText" dxfId="2965" priority="9954" stopIfTrue="1" operator="containsText" text="Nivel I: Riesgo Inaceptable">
      <formula>NOT(ISERROR(SEARCH("Nivel I: Riesgo Inaceptable",Y170)))</formula>
    </cfRule>
    <cfRule type="containsText" dxfId="2964" priority="9953" stopIfTrue="1" operator="containsText" text="Nivel II: Riesgo Importante">
      <formula>NOT(ISERROR(SEARCH("Nivel II: Riesgo Importante",Y170)))</formula>
    </cfRule>
    <cfRule type="containsText" dxfId="2963" priority="9951" stopIfTrue="1" operator="containsText" text="Nivel IV: Riesgo Tolerable (Aceptable)">
      <formula>NOT(ISERROR(SEARCH("Nivel IV: Riesgo Tolerable (Aceptable)",Y170)))</formula>
    </cfRule>
    <cfRule type="containsText" dxfId="2962" priority="9950" stopIfTrue="1" operator="containsText" text="Nivel I: Riesgo Inaceptable">
      <formula>NOT(ISERROR(SEARCH("Nivel I: Riesgo Inaceptable",Y170)))</formula>
    </cfRule>
    <cfRule type="containsText" dxfId="2961" priority="9949" stopIfTrue="1" operator="containsText" text="Nivel II: Riesgo Importante">
      <formula>NOT(ISERROR(SEARCH("Nivel II: Riesgo Importante",Y170)))</formula>
    </cfRule>
  </conditionalFormatting>
  <conditionalFormatting sqref="Y172">
    <cfRule type="containsText" dxfId="2960" priority="9826" stopIfTrue="1" operator="containsText" text="Nivel I: Riesgo Inaceptable">
      <formula>NOT(ISERROR(SEARCH("Nivel I: Riesgo Inaceptable",Y172)))</formula>
    </cfRule>
    <cfRule type="containsText" dxfId="2959" priority="9847" stopIfTrue="1" operator="containsText" text="Nivel II: Riesgo Importante">
      <formula>NOT(ISERROR(SEARCH("Nivel II: Riesgo Importante",Y172)))</formula>
    </cfRule>
    <cfRule type="containsText" dxfId="2958" priority="9848" stopIfTrue="1" operator="containsText" text="Nivel I: Riesgo Inaceptable">
      <formula>NOT(ISERROR(SEARCH("Nivel I: Riesgo Inaceptable",Y172)))</formula>
    </cfRule>
    <cfRule type="containsText" dxfId="2957" priority="9849" stopIfTrue="1" operator="containsText" text="Nivel IV: Riesgo Tolerable (Aceptable)">
      <formula>NOT(ISERROR(SEARCH("Nivel IV: Riesgo Tolerable (Aceptable)",Y172)))</formula>
    </cfRule>
    <cfRule type="containsText" dxfId="2956" priority="9827" stopIfTrue="1" operator="containsText" text="Nivel IV: Riesgo Tolerable (Aceptable)">
      <formula>NOT(ISERROR(SEARCH("Nivel IV: Riesgo Tolerable (Aceptable)",Y172)))</formula>
    </cfRule>
    <cfRule type="containsText" dxfId="2955" priority="9825" stopIfTrue="1" operator="containsText" text="Nivel II: Riesgo Importante">
      <formula>NOT(ISERROR(SEARCH("Nivel II: Riesgo Importante",Y172)))</formula>
    </cfRule>
  </conditionalFormatting>
  <conditionalFormatting sqref="Y173 Y155 Y136">
    <cfRule type="containsText" dxfId="2954" priority="8648" stopIfTrue="1" operator="containsText" text="Nivel IV: Riesgo Tolerable (Aceptable)">
      <formula>NOT(ISERROR(SEARCH("Nivel IV: Riesgo Tolerable (Aceptable)",Y136)))</formula>
    </cfRule>
    <cfRule type="containsText" dxfId="2953" priority="8639" stopIfTrue="1" operator="containsText" text="Nivel I: Riesgo Inaceptable">
      <formula>NOT(ISERROR(SEARCH("Nivel I: Riesgo Inaceptable",Y136)))</formula>
    </cfRule>
    <cfRule type="containsText" dxfId="2952" priority="8646" stopIfTrue="1" operator="containsText" text="Nivel II: Riesgo Importante">
      <formula>NOT(ISERROR(SEARCH("Nivel II: Riesgo Importante",Y136)))</formula>
    </cfRule>
    <cfRule type="containsText" dxfId="2951" priority="8647" stopIfTrue="1" operator="containsText" text="Nivel I: Riesgo Inaceptable">
      <formula>NOT(ISERROR(SEARCH("Nivel I: Riesgo Inaceptable",Y136)))</formula>
    </cfRule>
    <cfRule type="containsText" dxfId="2950" priority="8640" stopIfTrue="1" operator="containsText" text="Nivel IV: Riesgo Tolerable (Aceptable)">
      <formula>NOT(ISERROR(SEARCH("Nivel IV: Riesgo Tolerable (Aceptable)",Y136)))</formula>
    </cfRule>
    <cfRule type="containsText" dxfId="2949" priority="8638" stopIfTrue="1" operator="containsText" text="Nivel II: Riesgo Importante">
      <formula>NOT(ISERROR(SEARCH("Nivel II: Riesgo Importante",Y136)))</formula>
    </cfRule>
  </conditionalFormatting>
  <conditionalFormatting sqref="Y174">
    <cfRule type="containsText" dxfId="2948" priority="9675" stopIfTrue="1" operator="containsText" text="Nivel IV: Riesgo Tolerable (Aceptable)">
      <formula>NOT(ISERROR(SEARCH("Nivel IV: Riesgo Tolerable (Aceptable)",Y174)))</formula>
    </cfRule>
    <cfRule type="containsText" dxfId="2947" priority="9678" stopIfTrue="1" operator="containsText" text="Nivel I: Riesgo Inaceptable">
      <formula>NOT(ISERROR(SEARCH("Nivel I: Riesgo Inaceptable",Y174)))</formula>
    </cfRule>
    <cfRule type="containsText" dxfId="2946" priority="9679" stopIfTrue="1" operator="containsText" text="Nivel IV: Riesgo Tolerable (Aceptable)">
      <formula>NOT(ISERROR(SEARCH("Nivel IV: Riesgo Tolerable (Aceptable)",Y174)))</formula>
    </cfRule>
    <cfRule type="containsText" dxfId="2945" priority="9677" stopIfTrue="1" operator="containsText" text="Nivel II: Riesgo Importante">
      <formula>NOT(ISERROR(SEARCH("Nivel II: Riesgo Importante",Y174)))</formula>
    </cfRule>
    <cfRule type="containsText" dxfId="2944" priority="9673" stopIfTrue="1" operator="containsText" text="Nivel II: Riesgo Importante">
      <formula>NOT(ISERROR(SEARCH("Nivel II: Riesgo Importante",Y174)))</formula>
    </cfRule>
    <cfRule type="containsText" dxfId="2943" priority="9674" stopIfTrue="1" operator="containsText" text="Nivel I: Riesgo Inaceptable">
      <formula>NOT(ISERROR(SEARCH("Nivel I: Riesgo Inaceptable",Y174)))</formula>
    </cfRule>
  </conditionalFormatting>
  <conditionalFormatting sqref="Y174:Y176">
    <cfRule type="containsText" dxfId="2942" priority="9631" stopIfTrue="1" operator="containsText" text="Nivel III: Riesgo Moderado (Aceptable)">
      <formula>NOT(ISERROR(SEARCH("Nivel III: Riesgo Moderado (Aceptable)",Y174)))</formula>
    </cfRule>
  </conditionalFormatting>
  <conditionalFormatting sqref="Y175">
    <cfRule type="containsText" dxfId="2941" priority="9630" stopIfTrue="1" operator="containsText" text="Nivel IV: Riesgo Tolerable (Aceptable)">
      <formula>NOT(ISERROR(SEARCH("Nivel IV: Riesgo Tolerable (Aceptable)",Y175)))</formula>
    </cfRule>
    <cfRule type="containsText" dxfId="2940" priority="9629" stopIfTrue="1" operator="containsText" text="Nivel I: Riesgo Inaceptable">
      <formula>NOT(ISERROR(SEARCH("Nivel I: Riesgo Inaceptable",Y175)))</formula>
    </cfRule>
    <cfRule type="containsText" dxfId="2939" priority="9632" stopIfTrue="1" operator="containsText" text="Nivel II: Riesgo Importante">
      <formula>NOT(ISERROR(SEARCH("Nivel II: Riesgo Importante",Y175)))</formula>
    </cfRule>
    <cfRule type="containsText" dxfId="2938" priority="9628" stopIfTrue="1" operator="containsText" text="Nivel II: Riesgo Importante">
      <formula>NOT(ISERROR(SEARCH("Nivel II: Riesgo Importante",Y175)))</formula>
    </cfRule>
    <cfRule type="containsText" dxfId="2937" priority="9633" stopIfTrue="1" operator="containsText" text="Nivel I: Riesgo Inaceptable">
      <formula>NOT(ISERROR(SEARCH("Nivel I: Riesgo Inaceptable",Y175)))</formula>
    </cfRule>
    <cfRule type="containsText" dxfId="2936" priority="9634" stopIfTrue="1" operator="containsText" text="Nivel IV: Riesgo Tolerable (Aceptable)">
      <formula>NOT(ISERROR(SEARCH("Nivel IV: Riesgo Tolerable (Aceptable)",Y175)))</formula>
    </cfRule>
  </conditionalFormatting>
  <conditionalFormatting sqref="Y176">
    <cfRule type="containsText" dxfId="2935" priority="9780" stopIfTrue="1" operator="containsText" text="Nivel II: Riesgo Importante">
      <formula>NOT(ISERROR(SEARCH("Nivel II: Riesgo Importante",Y176)))</formula>
    </cfRule>
    <cfRule type="containsText" dxfId="2934" priority="9782" stopIfTrue="1" operator="containsText" text="Nivel IV: Riesgo Tolerable (Aceptable)">
      <formula>NOT(ISERROR(SEARCH("Nivel IV: Riesgo Tolerable (Aceptable)",Y176)))</formula>
    </cfRule>
    <cfRule type="containsText" dxfId="2933" priority="9781" stopIfTrue="1" operator="containsText" text="Nivel I: Riesgo Inaceptable">
      <formula>NOT(ISERROR(SEARCH("Nivel I: Riesgo Inaceptable",Y176)))</formula>
    </cfRule>
    <cfRule type="containsText" dxfId="2932" priority="9786" stopIfTrue="1" operator="containsText" text="Nivel IV: Riesgo Tolerable (Aceptable)">
      <formula>NOT(ISERROR(SEARCH("Nivel IV: Riesgo Tolerable (Aceptable)",Y176)))</formula>
    </cfRule>
    <cfRule type="containsText" dxfId="2931" priority="9784" stopIfTrue="1" operator="containsText" text="Nivel II: Riesgo Importante">
      <formula>NOT(ISERROR(SEARCH("Nivel II: Riesgo Importante",Y176)))</formula>
    </cfRule>
    <cfRule type="containsText" dxfId="2930" priority="9785" stopIfTrue="1" operator="containsText" text="Nivel I: Riesgo Inaceptable">
      <formula>NOT(ISERROR(SEARCH("Nivel I: Riesgo Inaceptable",Y176)))</formula>
    </cfRule>
  </conditionalFormatting>
  <conditionalFormatting sqref="Y177">
    <cfRule type="containsText" dxfId="2929" priority="9588" stopIfTrue="1" operator="containsText" text="Nivel I: Riesgo Inaceptable">
      <formula>NOT(ISERROR(SEARCH("Nivel I: Riesgo Inaceptable",Y177)))</formula>
    </cfRule>
    <cfRule type="containsText" dxfId="2928" priority="9589" stopIfTrue="1" operator="containsText" text="Nivel IV: Riesgo Tolerable (Aceptable)">
      <formula>NOT(ISERROR(SEARCH("Nivel IV: Riesgo Tolerable (Aceptable)",Y177)))</formula>
    </cfRule>
    <cfRule type="containsText" dxfId="2927" priority="9584" stopIfTrue="1" operator="containsText" text="Nivel I: Riesgo Inaceptable">
      <formula>NOT(ISERROR(SEARCH("Nivel I: Riesgo Inaceptable",Y177)))</formula>
    </cfRule>
    <cfRule type="containsText" dxfId="2926" priority="9583" stopIfTrue="1" operator="containsText" text="Nivel II: Riesgo Importante">
      <formula>NOT(ISERROR(SEARCH("Nivel II: Riesgo Importante",Y177)))</formula>
    </cfRule>
    <cfRule type="containsText" dxfId="2925" priority="9585" stopIfTrue="1" operator="containsText" text="Nivel IV: Riesgo Tolerable (Aceptable)">
      <formula>NOT(ISERROR(SEARCH("Nivel IV: Riesgo Tolerable (Aceptable)",Y177)))</formula>
    </cfRule>
    <cfRule type="containsText" dxfId="2924" priority="9587" stopIfTrue="1" operator="containsText" text="Nivel II: Riesgo Importante">
      <formula>NOT(ISERROR(SEARCH("Nivel II: Riesgo Importante",Y177)))</formula>
    </cfRule>
  </conditionalFormatting>
  <conditionalFormatting sqref="Y177:Y178">
    <cfRule type="containsText" dxfId="2923" priority="9541" stopIfTrue="1" operator="containsText" text="Nivel III: Riesgo Moderado (Aceptable)">
      <formula>NOT(ISERROR(SEARCH("Nivel III: Riesgo Moderado (Aceptable)",Y177)))</formula>
    </cfRule>
  </conditionalFormatting>
  <conditionalFormatting sqref="Y178">
    <cfRule type="containsText" dxfId="2922" priority="9540" stopIfTrue="1" operator="containsText" text="Nivel IV: Riesgo Tolerable (Aceptable)">
      <formula>NOT(ISERROR(SEARCH("Nivel IV: Riesgo Tolerable (Aceptable)",Y178)))</formula>
    </cfRule>
    <cfRule type="containsText" dxfId="2921" priority="9539" stopIfTrue="1" operator="containsText" text="Nivel I: Riesgo Inaceptable">
      <formula>NOT(ISERROR(SEARCH("Nivel I: Riesgo Inaceptable",Y178)))</formula>
    </cfRule>
    <cfRule type="containsText" dxfId="2920" priority="9544" stopIfTrue="1" operator="containsText" text="Nivel IV: Riesgo Tolerable (Aceptable)">
      <formula>NOT(ISERROR(SEARCH("Nivel IV: Riesgo Tolerable (Aceptable)",Y178)))</formula>
    </cfRule>
    <cfRule type="containsText" dxfId="2919" priority="9538" stopIfTrue="1" operator="containsText" text="Nivel II: Riesgo Importante">
      <formula>NOT(ISERROR(SEARCH("Nivel II: Riesgo Importante",Y178)))</formula>
    </cfRule>
    <cfRule type="containsText" dxfId="2918" priority="9543" stopIfTrue="1" operator="containsText" text="Nivel I: Riesgo Inaceptable">
      <formula>NOT(ISERROR(SEARCH("Nivel I: Riesgo Inaceptable",Y178)))</formula>
    </cfRule>
    <cfRule type="containsText" dxfId="2917" priority="9542" stopIfTrue="1" operator="containsText" text="Nivel II: Riesgo Importante">
      <formula>NOT(ISERROR(SEARCH("Nivel II: Riesgo Importante",Y178)))</formula>
    </cfRule>
  </conditionalFormatting>
  <conditionalFormatting sqref="Y179">
    <cfRule type="containsText" dxfId="2916" priority="9233" stopIfTrue="1" operator="containsText" text="Nivel I: Riesgo Inaceptable">
      <formula>NOT(ISERROR(SEARCH("Nivel I: Riesgo Inaceptable",Y179)))</formula>
    </cfRule>
    <cfRule type="containsText" dxfId="2915" priority="9234" stopIfTrue="1" operator="containsText" text="Nivel IV: Riesgo Tolerable (Aceptable)">
      <formula>NOT(ISERROR(SEARCH("Nivel IV: Riesgo Tolerable (Aceptable)",Y179)))</formula>
    </cfRule>
    <cfRule type="containsText" dxfId="2914" priority="9232" stopIfTrue="1" operator="containsText" text="Nivel II: Riesgo Importante">
      <formula>NOT(ISERROR(SEARCH("Nivel II: Riesgo Importante",Y179)))</formula>
    </cfRule>
  </conditionalFormatting>
  <conditionalFormatting sqref="Y179:Y180">
    <cfRule type="containsText" dxfId="2913" priority="9231" stopIfTrue="1" operator="containsText" text="Nivel III: Riesgo Moderado (Aceptable)">
      <formula>NOT(ISERROR(SEARCH("Nivel III: Riesgo Moderado (Aceptable)",Y179)))</formula>
    </cfRule>
  </conditionalFormatting>
  <conditionalFormatting sqref="Y180">
    <cfRule type="containsText" dxfId="2912" priority="9271" stopIfTrue="1" operator="containsText" text="Nivel IV: Riesgo Tolerable (Aceptable)">
      <formula>NOT(ISERROR(SEARCH("Nivel IV: Riesgo Tolerable (Aceptable)",Y180)))</formula>
    </cfRule>
    <cfRule type="containsText" dxfId="2911" priority="9269" stopIfTrue="1" operator="containsText" text="Nivel II: Riesgo Importante">
      <formula>NOT(ISERROR(SEARCH("Nivel II: Riesgo Importante",Y180)))</formula>
    </cfRule>
    <cfRule type="containsText" dxfId="2910" priority="9270" stopIfTrue="1" operator="containsText" text="Nivel I: Riesgo Inaceptable">
      <formula>NOT(ISERROR(SEARCH("Nivel I: Riesgo Inaceptable",Y180)))</formula>
    </cfRule>
  </conditionalFormatting>
  <conditionalFormatting sqref="Y181">
    <cfRule type="containsText" dxfId="2909" priority="9343" stopIfTrue="1" operator="containsText" text="Nivel II: Riesgo Importante">
      <formula>NOT(ISERROR(SEARCH("Nivel II: Riesgo Importante",Y181)))</formula>
    </cfRule>
    <cfRule type="containsText" dxfId="2908" priority="9365" stopIfTrue="1" operator="containsText" text="Nivel IV: Riesgo Tolerable (Aceptable)">
      <formula>NOT(ISERROR(SEARCH("Nivel IV: Riesgo Tolerable (Aceptable)",Y181)))</formula>
    </cfRule>
    <cfRule type="containsText" dxfId="2907" priority="9364" stopIfTrue="1" operator="containsText" text="Nivel I: Riesgo Inaceptable">
      <formula>NOT(ISERROR(SEARCH("Nivel I: Riesgo Inaceptable",Y181)))</formula>
    </cfRule>
    <cfRule type="containsText" dxfId="2906" priority="9363" stopIfTrue="1" operator="containsText" text="Nivel II: Riesgo Importante">
      <formula>NOT(ISERROR(SEARCH("Nivel II: Riesgo Importante",Y181)))</formula>
    </cfRule>
    <cfRule type="containsText" dxfId="2905" priority="9345" stopIfTrue="1" operator="containsText" text="Nivel IV: Riesgo Tolerable (Aceptable)">
      <formula>NOT(ISERROR(SEARCH("Nivel IV: Riesgo Tolerable (Aceptable)",Y181)))</formula>
    </cfRule>
    <cfRule type="containsText" dxfId="2904" priority="9344" stopIfTrue="1" operator="containsText" text="Nivel I: Riesgo Inaceptable">
      <formula>NOT(ISERROR(SEARCH("Nivel I: Riesgo Inaceptable",Y181)))</formula>
    </cfRule>
  </conditionalFormatting>
  <conditionalFormatting sqref="Y181:Y182">
    <cfRule type="containsText" dxfId="2903" priority="9362" stopIfTrue="1" operator="containsText" text="Nivel III: Riesgo Moderado (Aceptable)">
      <formula>NOT(ISERROR(SEARCH("Nivel III: Riesgo Moderado (Aceptable)",Y181)))</formula>
    </cfRule>
  </conditionalFormatting>
  <conditionalFormatting sqref="Y182">
    <cfRule type="containsText" dxfId="2902" priority="9385" stopIfTrue="1" operator="containsText" text="Nivel I: Riesgo Inaceptable">
      <formula>NOT(ISERROR(SEARCH("Nivel I: Riesgo Inaceptable",Y182)))</formula>
    </cfRule>
    <cfRule type="containsText" dxfId="2901" priority="9384" stopIfTrue="1" operator="containsText" text="Nivel II: Riesgo Importante">
      <formula>NOT(ISERROR(SEARCH("Nivel II: Riesgo Importante",Y182)))</formula>
    </cfRule>
    <cfRule type="containsText" dxfId="2900" priority="9386" stopIfTrue="1" operator="containsText" text="Nivel IV: Riesgo Tolerable (Aceptable)">
      <formula>NOT(ISERROR(SEARCH("Nivel IV: Riesgo Tolerable (Aceptable)",Y182)))</formula>
    </cfRule>
  </conditionalFormatting>
  <conditionalFormatting sqref="Y183">
    <cfRule type="containsText" dxfId="2899" priority="9502" stopIfTrue="1" operator="containsText" text="Nivel I: Riesgo Inaceptable">
      <formula>NOT(ISERROR(SEARCH("Nivel I: Riesgo Inaceptable",Y183)))</formula>
    </cfRule>
    <cfRule type="containsText" dxfId="2898" priority="9501" stopIfTrue="1" operator="containsText" text="Nivel II: Riesgo Importante">
      <formula>NOT(ISERROR(SEARCH("Nivel II: Riesgo Importante",Y183)))</formula>
    </cfRule>
    <cfRule type="containsText" dxfId="2897" priority="9503" stopIfTrue="1" operator="containsText" text="Nivel IV: Riesgo Tolerable (Aceptable)">
      <formula>NOT(ISERROR(SEARCH("Nivel IV: Riesgo Tolerable (Aceptable)",Y183)))</formula>
    </cfRule>
  </conditionalFormatting>
  <conditionalFormatting sqref="Y183:Y184">
    <cfRule type="containsText" dxfId="2896" priority="9485" stopIfTrue="1" operator="containsText" text="Nivel III: Riesgo Moderado (Aceptable)">
      <formula>NOT(ISERROR(SEARCH("Nivel III: Riesgo Moderado (Aceptable)",Y183)))</formula>
    </cfRule>
  </conditionalFormatting>
  <conditionalFormatting sqref="Y184">
    <cfRule type="containsText" dxfId="2895" priority="9459" stopIfTrue="1" operator="containsText" text="Nivel I: Riesgo Inaceptable">
      <formula>NOT(ISERROR(SEARCH("Nivel I: Riesgo Inaceptable",Y184)))</formula>
    </cfRule>
    <cfRule type="containsText" dxfId="2894" priority="9486" stopIfTrue="1" operator="containsText" text="Nivel II: Riesgo Importante">
      <formula>NOT(ISERROR(SEARCH("Nivel II: Riesgo Importante",Y184)))</formula>
    </cfRule>
    <cfRule type="containsText" dxfId="2893" priority="9488" stopIfTrue="1" operator="containsText" text="Nivel IV: Riesgo Tolerable (Aceptable)">
      <formula>NOT(ISERROR(SEARCH("Nivel IV: Riesgo Tolerable (Aceptable)",Y184)))</formula>
    </cfRule>
    <cfRule type="containsText" dxfId="2892" priority="9487" stopIfTrue="1" operator="containsText" text="Nivel I: Riesgo Inaceptable">
      <formula>NOT(ISERROR(SEARCH("Nivel I: Riesgo Inaceptable",Y184)))</formula>
    </cfRule>
    <cfRule type="containsText" dxfId="2891" priority="9460" stopIfTrue="1" operator="containsText" text="Nivel IV: Riesgo Tolerable (Aceptable)">
      <formula>NOT(ISERROR(SEARCH("Nivel IV: Riesgo Tolerable (Aceptable)",Y184)))</formula>
    </cfRule>
    <cfRule type="containsText" dxfId="2890" priority="9458" stopIfTrue="1" operator="containsText" text="Nivel II: Riesgo Importante">
      <formula>NOT(ISERROR(SEARCH("Nivel II: Riesgo Importante",Y184)))</formula>
    </cfRule>
  </conditionalFormatting>
  <conditionalFormatting sqref="Y185">
    <cfRule type="containsText" dxfId="2889" priority="9422" stopIfTrue="1" operator="containsText" text="Nivel I: Riesgo Inaceptable">
      <formula>NOT(ISERROR(SEARCH("Nivel I: Riesgo Inaceptable",Y185)))</formula>
    </cfRule>
    <cfRule type="containsText" dxfId="2888" priority="9423" stopIfTrue="1" operator="containsText" text="Nivel IV: Riesgo Tolerable (Aceptable)">
      <formula>NOT(ISERROR(SEARCH("Nivel IV: Riesgo Tolerable (Aceptable)",Y185)))</formula>
    </cfRule>
    <cfRule type="containsText" dxfId="2887" priority="9421" stopIfTrue="1" operator="containsText" text="Nivel II: Riesgo Importante">
      <formula>NOT(ISERROR(SEARCH("Nivel II: Riesgo Importante",Y185)))</formula>
    </cfRule>
  </conditionalFormatting>
  <conditionalFormatting sqref="Y185:Y186">
    <cfRule type="containsText" dxfId="2886" priority="9143" stopIfTrue="1" operator="containsText" text="Nivel III: Riesgo Moderado (Aceptable)">
      <formula>NOT(ISERROR(SEARCH("Nivel III: Riesgo Moderado (Aceptable)",Y185)))</formula>
    </cfRule>
  </conditionalFormatting>
  <conditionalFormatting sqref="Y186">
    <cfRule type="containsText" dxfId="2885" priority="9146" stopIfTrue="1" operator="containsText" text="Nivel IV: Riesgo Tolerable (Aceptable)">
      <formula>NOT(ISERROR(SEARCH("Nivel IV: Riesgo Tolerable (Aceptable)",Y186)))</formula>
    </cfRule>
    <cfRule type="containsText" dxfId="2884" priority="9145" stopIfTrue="1" operator="containsText" text="Nivel I: Riesgo Inaceptable">
      <formula>NOT(ISERROR(SEARCH("Nivel I: Riesgo Inaceptable",Y186)))</formula>
    </cfRule>
    <cfRule type="containsText" dxfId="2883" priority="9144" stopIfTrue="1" operator="containsText" text="Nivel II: Riesgo Importante">
      <formula>NOT(ISERROR(SEARCH("Nivel II: Riesgo Importante",Y186)))</formula>
    </cfRule>
  </conditionalFormatting>
  <conditionalFormatting sqref="Y187">
    <cfRule type="containsText" dxfId="2882" priority="9303" stopIfTrue="1" operator="containsText" text="Nivel I: Riesgo Inaceptable">
      <formula>NOT(ISERROR(SEARCH("Nivel I: Riesgo Inaceptable",Y187)))</formula>
    </cfRule>
    <cfRule type="containsText" dxfId="2881" priority="9302" stopIfTrue="1" operator="containsText" text="Nivel II: Riesgo Importante">
      <formula>NOT(ISERROR(SEARCH("Nivel II: Riesgo Importante",Y187)))</formula>
    </cfRule>
    <cfRule type="containsText" dxfId="2880" priority="9308" stopIfTrue="1" operator="containsText" text="Nivel IV: Riesgo Tolerable (Aceptable)">
      <formula>NOT(ISERROR(SEARCH("Nivel IV: Riesgo Tolerable (Aceptable)",Y187)))</formula>
    </cfRule>
    <cfRule type="containsText" dxfId="2879" priority="9304" stopIfTrue="1" operator="containsText" text="Nivel IV: Riesgo Tolerable (Aceptable)">
      <formula>NOT(ISERROR(SEARCH("Nivel IV: Riesgo Tolerable (Aceptable)",Y187)))</formula>
    </cfRule>
    <cfRule type="containsText" dxfId="2878" priority="9306" stopIfTrue="1" operator="containsText" text="Nivel II: Riesgo Importante">
      <formula>NOT(ISERROR(SEARCH("Nivel II: Riesgo Importante",Y187)))</formula>
    </cfRule>
    <cfRule type="containsText" dxfId="2877" priority="9307" stopIfTrue="1" operator="containsText" text="Nivel I: Riesgo Inaceptable">
      <formula>NOT(ISERROR(SEARCH("Nivel I: Riesgo Inaceptable",Y187)))</formula>
    </cfRule>
  </conditionalFormatting>
  <conditionalFormatting sqref="Y187:Y189">
    <cfRule type="containsText" dxfId="2876" priority="9194" stopIfTrue="1" operator="containsText" text="Nivel III: Riesgo Moderado (Aceptable)">
      <formula>NOT(ISERROR(SEARCH("Nivel III: Riesgo Moderado (Aceptable)",Y187)))</formula>
    </cfRule>
  </conditionalFormatting>
  <conditionalFormatting sqref="Y188:Y189">
    <cfRule type="containsText" dxfId="2875" priority="9191" stopIfTrue="1" operator="containsText" text="Nivel II: Riesgo Importante">
      <formula>NOT(ISERROR(SEARCH("Nivel II: Riesgo Importante",Y188)))</formula>
    </cfRule>
    <cfRule type="containsText" dxfId="2874" priority="9197" stopIfTrue="1" operator="containsText" text="Nivel IV: Riesgo Tolerable (Aceptable)">
      <formula>NOT(ISERROR(SEARCH("Nivel IV: Riesgo Tolerable (Aceptable)",Y188)))</formula>
    </cfRule>
    <cfRule type="containsText" dxfId="2873" priority="9196" stopIfTrue="1" operator="containsText" text="Nivel I: Riesgo Inaceptable">
      <formula>NOT(ISERROR(SEARCH("Nivel I: Riesgo Inaceptable",Y188)))</formula>
    </cfRule>
    <cfRule type="containsText" dxfId="2872" priority="9195" stopIfTrue="1" operator="containsText" text="Nivel II: Riesgo Importante">
      <formula>NOT(ISERROR(SEARCH("Nivel II: Riesgo Importante",Y188)))</formula>
    </cfRule>
    <cfRule type="containsText" dxfId="2871" priority="9192" stopIfTrue="1" operator="containsText" text="Nivel I: Riesgo Inaceptable">
      <formula>NOT(ISERROR(SEARCH("Nivel I: Riesgo Inaceptable",Y188)))</formula>
    </cfRule>
    <cfRule type="containsText" dxfId="2870" priority="9193" stopIfTrue="1" operator="containsText" text="Nivel IV: Riesgo Tolerable (Aceptable)">
      <formula>NOT(ISERROR(SEARCH("Nivel IV: Riesgo Tolerable (Aceptable)",Y188)))</formula>
    </cfRule>
  </conditionalFormatting>
  <conditionalFormatting sqref="Y190">
    <cfRule type="containsText" dxfId="2869" priority="9093" stopIfTrue="1" operator="containsText" text="Nivel II: Riesgo Importante">
      <formula>NOT(ISERROR(SEARCH("Nivel II: Riesgo Importante",Y190)))</formula>
    </cfRule>
    <cfRule type="containsText" dxfId="2868" priority="9094" stopIfTrue="1" operator="containsText" text="Nivel I: Riesgo Inaceptable">
      <formula>NOT(ISERROR(SEARCH("Nivel I: Riesgo Inaceptable",Y190)))</formula>
    </cfRule>
    <cfRule type="containsText" dxfId="2867" priority="9099" stopIfTrue="1" operator="containsText" text="Nivel IV: Riesgo Tolerable (Aceptable)">
      <formula>NOT(ISERROR(SEARCH("Nivel IV: Riesgo Tolerable (Aceptable)",Y190)))</formula>
    </cfRule>
    <cfRule type="containsText" dxfId="2866" priority="9095" stopIfTrue="1" operator="containsText" text="Nivel IV: Riesgo Tolerable (Aceptable)">
      <formula>NOT(ISERROR(SEARCH("Nivel IV: Riesgo Tolerable (Aceptable)",Y190)))</formula>
    </cfRule>
    <cfRule type="containsText" dxfId="2865" priority="9098" stopIfTrue="1" operator="containsText" text="Nivel I: Riesgo Inaceptable">
      <formula>NOT(ISERROR(SEARCH("Nivel I: Riesgo Inaceptable",Y190)))</formula>
    </cfRule>
    <cfRule type="containsText" dxfId="2864" priority="9097" stopIfTrue="1" operator="containsText" text="Nivel II: Riesgo Importante">
      <formula>NOT(ISERROR(SEARCH("Nivel II: Riesgo Importante",Y190)))</formula>
    </cfRule>
  </conditionalFormatting>
  <conditionalFormatting sqref="Y190:Y191">
    <cfRule type="containsText" dxfId="2863" priority="9058" stopIfTrue="1" operator="containsText" text="Nivel III: Riesgo Moderado (Aceptable)">
      <formula>NOT(ISERROR(SEARCH("Nivel III: Riesgo Moderado (Aceptable)",Y190)))</formula>
    </cfRule>
  </conditionalFormatting>
  <conditionalFormatting sqref="Y191">
    <cfRule type="containsText" dxfId="2862" priority="9057" stopIfTrue="1" operator="containsText" text="Nivel IV: Riesgo Tolerable (Aceptable)">
      <formula>NOT(ISERROR(SEARCH("Nivel IV: Riesgo Tolerable (Aceptable)",Y191)))</formula>
    </cfRule>
    <cfRule type="containsText" dxfId="2861" priority="9055" stopIfTrue="1" operator="containsText" text="Nivel II: Riesgo Importante">
      <formula>NOT(ISERROR(SEARCH("Nivel II: Riesgo Importante",Y191)))</formula>
    </cfRule>
    <cfRule type="containsText" dxfId="2860" priority="9061" stopIfTrue="1" operator="containsText" text="Nivel IV: Riesgo Tolerable (Aceptable)">
      <formula>NOT(ISERROR(SEARCH("Nivel IV: Riesgo Tolerable (Aceptable)",Y191)))</formula>
    </cfRule>
    <cfRule type="containsText" dxfId="2859" priority="9059" stopIfTrue="1" operator="containsText" text="Nivel II: Riesgo Importante">
      <formula>NOT(ISERROR(SEARCH("Nivel II: Riesgo Importante",Y191)))</formula>
    </cfRule>
    <cfRule type="containsText" dxfId="2858" priority="9056" stopIfTrue="1" operator="containsText" text="Nivel I: Riesgo Inaceptable">
      <formula>NOT(ISERROR(SEARCH("Nivel I: Riesgo Inaceptable",Y191)))</formula>
    </cfRule>
    <cfRule type="containsText" dxfId="2857" priority="9060" stopIfTrue="1" operator="containsText" text="Nivel I: Riesgo Inaceptable">
      <formula>NOT(ISERROR(SEARCH("Nivel I: Riesgo Inaceptable",Y191)))</formula>
    </cfRule>
  </conditionalFormatting>
  <conditionalFormatting sqref="Y192">
    <cfRule type="containsText" dxfId="2856" priority="9021" stopIfTrue="1" operator="containsText" text="Nivel II: Riesgo Importante">
      <formula>NOT(ISERROR(SEARCH("Nivel II: Riesgo Importante",Y192)))</formula>
    </cfRule>
    <cfRule type="containsText" dxfId="2855" priority="9018" stopIfTrue="1" operator="containsText" text="Nivel I: Riesgo Inaceptable">
      <formula>NOT(ISERROR(SEARCH("Nivel I: Riesgo Inaceptable",Y192)))</formula>
    </cfRule>
    <cfRule type="containsText" dxfId="2854" priority="9017" stopIfTrue="1" operator="containsText" text="Nivel II: Riesgo Importante">
      <formula>NOT(ISERROR(SEARCH("Nivel II: Riesgo Importante",Y192)))</formula>
    </cfRule>
    <cfRule type="containsText" dxfId="2853" priority="9022" stopIfTrue="1" operator="containsText" text="Nivel I: Riesgo Inaceptable">
      <formula>NOT(ISERROR(SEARCH("Nivel I: Riesgo Inaceptable",Y192)))</formula>
    </cfRule>
    <cfRule type="containsText" dxfId="2852" priority="9023" stopIfTrue="1" operator="containsText" text="Nivel IV: Riesgo Tolerable (Aceptable)">
      <formula>NOT(ISERROR(SEARCH("Nivel IV: Riesgo Tolerable (Aceptable)",Y192)))</formula>
    </cfRule>
    <cfRule type="containsText" dxfId="2851" priority="9019" stopIfTrue="1" operator="containsText" text="Nivel IV: Riesgo Tolerable (Aceptable)">
      <formula>NOT(ISERROR(SEARCH("Nivel IV: Riesgo Tolerable (Aceptable)",Y192)))</formula>
    </cfRule>
  </conditionalFormatting>
  <conditionalFormatting sqref="Y192:Y193">
    <cfRule type="containsText" dxfId="2850" priority="8986" stopIfTrue="1" operator="containsText" text="Nivel III: Riesgo Moderado (Aceptable)">
      <formula>NOT(ISERROR(SEARCH("Nivel III: Riesgo Moderado (Aceptable)",Y192)))</formula>
    </cfRule>
  </conditionalFormatting>
  <conditionalFormatting sqref="Y193">
    <cfRule type="containsText" dxfId="2849" priority="8983" stopIfTrue="1" operator="containsText" text="Nivel II: Riesgo Importante">
      <formula>NOT(ISERROR(SEARCH("Nivel II: Riesgo Importante",Y193)))</formula>
    </cfRule>
    <cfRule type="containsText" dxfId="2848" priority="8987" stopIfTrue="1" operator="containsText" text="Nivel II: Riesgo Importante">
      <formula>NOT(ISERROR(SEARCH("Nivel II: Riesgo Importante",Y193)))</formula>
    </cfRule>
    <cfRule type="containsText" dxfId="2847" priority="8984" stopIfTrue="1" operator="containsText" text="Nivel I: Riesgo Inaceptable">
      <formula>NOT(ISERROR(SEARCH("Nivel I: Riesgo Inaceptable",Y193)))</formula>
    </cfRule>
    <cfRule type="containsText" dxfId="2846" priority="8989" stopIfTrue="1" operator="containsText" text="Nivel IV: Riesgo Tolerable (Aceptable)">
      <formula>NOT(ISERROR(SEARCH("Nivel IV: Riesgo Tolerable (Aceptable)",Y193)))</formula>
    </cfRule>
    <cfRule type="containsText" dxfId="2845" priority="8988" stopIfTrue="1" operator="containsText" text="Nivel I: Riesgo Inaceptable">
      <formula>NOT(ISERROR(SEARCH("Nivel I: Riesgo Inaceptable",Y193)))</formula>
    </cfRule>
    <cfRule type="containsText" dxfId="2844" priority="8985" stopIfTrue="1" operator="containsText" text="Nivel IV: Riesgo Tolerable (Aceptable)">
      <formula>NOT(ISERROR(SEARCH("Nivel IV: Riesgo Tolerable (Aceptable)",Y193)))</formula>
    </cfRule>
  </conditionalFormatting>
  <conditionalFormatting sqref="Y194">
    <cfRule type="containsText" dxfId="2843" priority="8959" stopIfTrue="1" operator="containsText" text="Nivel IV: Riesgo Tolerable (Aceptable)">
      <formula>NOT(ISERROR(SEARCH("Nivel IV: Riesgo Tolerable (Aceptable)",Y194)))</formula>
    </cfRule>
    <cfRule type="containsText" dxfId="2842" priority="8958" stopIfTrue="1" operator="containsText" text="Nivel I: Riesgo Inaceptable">
      <formula>NOT(ISERROR(SEARCH("Nivel I: Riesgo Inaceptable",Y194)))</formula>
    </cfRule>
    <cfRule type="containsText" dxfId="2841" priority="8957" stopIfTrue="1" operator="containsText" text="Nivel II: Riesgo Importante">
      <formula>NOT(ISERROR(SEARCH("Nivel II: Riesgo Importante",Y194)))</formula>
    </cfRule>
  </conditionalFormatting>
  <conditionalFormatting sqref="Y194:Y199">
    <cfRule type="containsText" dxfId="2840" priority="8629" stopIfTrue="1" operator="containsText" text="Nivel III: Riesgo Moderado (Aceptable)">
      <formula>NOT(ISERROR(SEARCH("Nivel III: Riesgo Moderado (Aceptable)",Y194)))</formula>
    </cfRule>
  </conditionalFormatting>
  <conditionalFormatting sqref="Y195">
    <cfRule type="containsText" dxfId="2839" priority="8905" stopIfTrue="1" operator="containsText" text="Nivel II: Riesgo Importante">
      <formula>NOT(ISERROR(SEARCH("Nivel II: Riesgo Importante",Y195)))</formula>
    </cfRule>
    <cfRule type="containsText" dxfId="2838" priority="8907" stopIfTrue="1" operator="containsText" text="Nivel IV: Riesgo Tolerable (Aceptable)">
      <formula>NOT(ISERROR(SEARCH("Nivel IV: Riesgo Tolerable (Aceptable)",Y195)))</formula>
    </cfRule>
    <cfRule type="containsText" dxfId="2837" priority="8906" stopIfTrue="1" operator="containsText" text="Nivel I: Riesgo Inaceptable">
      <formula>NOT(ISERROR(SEARCH("Nivel I: Riesgo Inaceptable",Y195)))</formula>
    </cfRule>
  </conditionalFormatting>
  <conditionalFormatting sqref="Y196">
    <cfRule type="containsText" dxfId="2836" priority="8931" stopIfTrue="1" operator="containsText" text="Nivel II: Riesgo Importante">
      <formula>NOT(ISERROR(SEARCH("Nivel II: Riesgo Importante",Y196)))</formula>
    </cfRule>
    <cfRule type="containsText" dxfId="2835" priority="8932" stopIfTrue="1" operator="containsText" text="Nivel I: Riesgo Inaceptable">
      <formula>NOT(ISERROR(SEARCH("Nivel I: Riesgo Inaceptable",Y196)))</formula>
    </cfRule>
    <cfRule type="containsText" dxfId="2834" priority="8933" stopIfTrue="1" operator="containsText" text="Nivel IV: Riesgo Tolerable (Aceptable)">
      <formula>NOT(ISERROR(SEARCH("Nivel IV: Riesgo Tolerable (Aceptable)",Y196)))</formula>
    </cfRule>
  </conditionalFormatting>
  <conditionalFormatting sqref="Y197">
    <cfRule type="containsText" dxfId="2833" priority="8880" stopIfTrue="1" operator="containsText" text="Nivel I: Riesgo Inaceptable">
      <formula>NOT(ISERROR(SEARCH("Nivel I: Riesgo Inaceptable",Y197)))</formula>
    </cfRule>
    <cfRule type="containsText" dxfId="2832" priority="8879" stopIfTrue="1" operator="containsText" text="Nivel II: Riesgo Importante">
      <formula>NOT(ISERROR(SEARCH("Nivel II: Riesgo Importante",Y197)))</formula>
    </cfRule>
    <cfRule type="containsText" dxfId="2831" priority="8881" stopIfTrue="1" operator="containsText" text="Nivel IV: Riesgo Tolerable (Aceptable)">
      <formula>NOT(ISERROR(SEARCH("Nivel IV: Riesgo Tolerable (Aceptable)",Y197)))</formula>
    </cfRule>
  </conditionalFormatting>
  <conditionalFormatting sqref="Y198">
    <cfRule type="containsText" dxfId="2830" priority="8844" stopIfTrue="1" operator="containsText" text="Nivel IV: Riesgo Tolerable (Aceptable)">
      <formula>NOT(ISERROR(SEARCH("Nivel IV: Riesgo Tolerable (Aceptable)",Y198)))</formula>
    </cfRule>
    <cfRule type="containsText" dxfId="2829" priority="8843" stopIfTrue="1" operator="containsText" text="Nivel I: Riesgo Inaceptable">
      <formula>NOT(ISERROR(SEARCH("Nivel I: Riesgo Inaceptable",Y198)))</formula>
    </cfRule>
    <cfRule type="containsText" dxfId="2828" priority="8842" stopIfTrue="1" operator="containsText" text="Nivel II: Riesgo Importante">
      <formula>NOT(ISERROR(SEARCH("Nivel II: Riesgo Importante",Y198)))</formula>
    </cfRule>
  </conditionalFormatting>
  <conditionalFormatting sqref="Y199">
    <cfRule type="containsText" dxfId="2827" priority="8608" stopIfTrue="1" operator="containsText" text="Nivel II: Riesgo Importante">
      <formula>NOT(ISERROR(SEARCH("Nivel II: Riesgo Importante",Y199)))</formula>
    </cfRule>
    <cfRule type="containsText" dxfId="2826" priority="8632" stopIfTrue="1" operator="containsText" text="Nivel IV: Riesgo Tolerable (Aceptable)">
      <formula>NOT(ISERROR(SEARCH("Nivel IV: Riesgo Tolerable (Aceptable)",Y199)))</formula>
    </cfRule>
    <cfRule type="containsText" dxfId="2825" priority="8631" stopIfTrue="1" operator="containsText" text="Nivel I: Riesgo Inaceptable">
      <formula>NOT(ISERROR(SEARCH("Nivel I: Riesgo Inaceptable",Y199)))</formula>
    </cfRule>
    <cfRule type="containsText" dxfId="2824" priority="8609" stopIfTrue="1" operator="containsText" text="Nivel I: Riesgo Inaceptable">
      <formula>NOT(ISERROR(SEARCH("Nivel I: Riesgo Inaceptable",Y199)))</formula>
    </cfRule>
    <cfRule type="containsText" dxfId="2823" priority="8630" stopIfTrue="1" operator="containsText" text="Nivel II: Riesgo Importante">
      <formula>NOT(ISERROR(SEARCH("Nivel II: Riesgo Importante",Y199)))</formula>
    </cfRule>
    <cfRule type="containsText" dxfId="2822" priority="8610" stopIfTrue="1" operator="containsText" text="Nivel IV: Riesgo Tolerable (Aceptable)">
      <formula>NOT(ISERROR(SEARCH("Nivel IV: Riesgo Tolerable (Aceptable)",Y199)))</formula>
    </cfRule>
  </conditionalFormatting>
  <conditionalFormatting sqref="Y199:Y200">
    <cfRule type="containsText" dxfId="2821" priority="8508" stopIfTrue="1" operator="containsText" text="Nivel III: Riesgo Moderado (Aceptable)">
      <formula>NOT(ISERROR(SEARCH("Nivel III: Riesgo Moderado (Aceptable)",Y199)))</formula>
    </cfRule>
  </conditionalFormatting>
  <conditionalFormatting sqref="Y200">
    <cfRule type="containsText" dxfId="2820" priority="8511" stopIfTrue="1" operator="containsText" text="Nivel IV: Riesgo Tolerable (Aceptable)">
      <formula>NOT(ISERROR(SEARCH("Nivel IV: Riesgo Tolerable (Aceptable)",Y200)))</formula>
    </cfRule>
    <cfRule type="containsText" dxfId="2819" priority="8510" stopIfTrue="1" operator="containsText" text="Nivel I: Riesgo Inaceptable">
      <formula>NOT(ISERROR(SEARCH("Nivel I: Riesgo Inaceptable",Y200)))</formula>
    </cfRule>
    <cfRule type="containsText" dxfId="2818" priority="8509" stopIfTrue="1" operator="containsText" text="Nivel II: Riesgo Importante">
      <formula>NOT(ISERROR(SEARCH("Nivel II: Riesgo Importante",Y200)))</formula>
    </cfRule>
    <cfRule type="containsText" dxfId="2817" priority="8502" stopIfTrue="1" operator="containsText" text="Nivel I: Riesgo Inaceptable">
      <formula>NOT(ISERROR(SEARCH("Nivel I: Riesgo Inaceptable",Y200)))</formula>
    </cfRule>
    <cfRule type="containsText" dxfId="2816" priority="8503" stopIfTrue="1" operator="containsText" text="Nivel IV: Riesgo Tolerable (Aceptable)">
      <formula>NOT(ISERROR(SEARCH("Nivel IV: Riesgo Tolerable (Aceptable)",Y200)))</formula>
    </cfRule>
    <cfRule type="containsText" dxfId="2815" priority="8501" stopIfTrue="1" operator="containsText" text="Nivel II: Riesgo Importante">
      <formula>NOT(ISERROR(SEARCH("Nivel II: Riesgo Importante",Y200)))</formula>
    </cfRule>
  </conditionalFormatting>
  <conditionalFormatting sqref="Y201">
    <cfRule type="containsText" dxfId="2814" priority="8112" stopIfTrue="1" operator="containsText" text="Nivel I: Riesgo Inaceptable">
      <formula>NOT(ISERROR(SEARCH("Nivel I: Riesgo Inaceptable",Y201)))</formula>
    </cfRule>
    <cfRule type="containsText" dxfId="2813" priority="8113" stopIfTrue="1" operator="containsText" text="Nivel IV: Riesgo Tolerable (Aceptable)">
      <formula>NOT(ISERROR(SEARCH("Nivel IV: Riesgo Tolerable (Aceptable)",Y201)))</formula>
    </cfRule>
    <cfRule type="containsText" dxfId="2812" priority="8141" stopIfTrue="1" operator="containsText" text="Nivel IV: Riesgo Tolerable (Aceptable)">
      <formula>NOT(ISERROR(SEARCH("Nivel IV: Riesgo Tolerable (Aceptable)",Y201)))</formula>
    </cfRule>
    <cfRule type="containsText" dxfId="2811" priority="8140" stopIfTrue="1" operator="containsText" text="Nivel I: Riesgo Inaceptable">
      <formula>NOT(ISERROR(SEARCH("Nivel I: Riesgo Inaceptable",Y201)))</formula>
    </cfRule>
    <cfRule type="containsText" dxfId="2810" priority="8139" stopIfTrue="1" operator="containsText" text="Nivel II: Riesgo Importante">
      <formula>NOT(ISERROR(SEARCH("Nivel II: Riesgo Importante",Y201)))</formula>
    </cfRule>
    <cfRule type="containsText" dxfId="2809" priority="8111" stopIfTrue="1" operator="containsText" text="Nivel II: Riesgo Importante">
      <formula>NOT(ISERROR(SEARCH("Nivel II: Riesgo Importante",Y201)))</formula>
    </cfRule>
  </conditionalFormatting>
  <conditionalFormatting sqref="Y202">
    <cfRule type="containsText" dxfId="2808" priority="8104" stopIfTrue="1" operator="containsText" text="Nivel I: Riesgo Inaceptable">
      <formula>NOT(ISERROR(SEARCH("Nivel I: Riesgo Inaceptable",Y202)))</formula>
    </cfRule>
    <cfRule type="containsText" dxfId="2807" priority="8103" stopIfTrue="1" operator="containsText" text="Nivel II: Riesgo Importante">
      <formula>NOT(ISERROR(SEARCH("Nivel II: Riesgo Importante",Y202)))</formula>
    </cfRule>
    <cfRule type="containsText" dxfId="2806" priority="8105" stopIfTrue="1" operator="containsText" text="Nivel IV: Riesgo Tolerable (Aceptable)">
      <formula>NOT(ISERROR(SEARCH("Nivel IV: Riesgo Tolerable (Aceptable)",Y202)))</formula>
    </cfRule>
    <cfRule type="containsText" dxfId="2805" priority="8075" stopIfTrue="1" operator="containsText" text="Nivel II: Riesgo Importante">
      <formula>NOT(ISERROR(SEARCH("Nivel II: Riesgo Importante",Y202)))</formula>
    </cfRule>
    <cfRule type="containsText" dxfId="2804" priority="8077" stopIfTrue="1" operator="containsText" text="Nivel IV: Riesgo Tolerable (Aceptable)">
      <formula>NOT(ISERROR(SEARCH("Nivel IV: Riesgo Tolerable (Aceptable)",Y202)))</formula>
    </cfRule>
    <cfRule type="containsText" dxfId="2803" priority="8076" stopIfTrue="1" operator="containsText" text="Nivel I: Riesgo Inaceptable">
      <formula>NOT(ISERROR(SEARCH("Nivel I: Riesgo Inaceptable",Y202)))</formula>
    </cfRule>
  </conditionalFormatting>
  <conditionalFormatting sqref="Y203">
    <cfRule type="containsText" dxfId="2802" priority="8460" stopIfTrue="1" operator="containsText" text="Nivel II: Riesgo Importante">
      <formula>NOT(ISERROR(SEARCH("Nivel II: Riesgo Importante",Y203)))</formula>
    </cfRule>
    <cfRule type="containsText" dxfId="2801" priority="8462" stopIfTrue="1" operator="containsText" text="Nivel IV: Riesgo Tolerable (Aceptable)">
      <formula>NOT(ISERROR(SEARCH("Nivel IV: Riesgo Tolerable (Aceptable)",Y203)))</formula>
    </cfRule>
    <cfRule type="containsText" dxfId="2800" priority="8461" stopIfTrue="1" operator="containsText" text="Nivel I: Riesgo Inaceptable">
      <formula>NOT(ISERROR(SEARCH("Nivel I: Riesgo Inaceptable",Y203)))</formula>
    </cfRule>
    <cfRule type="containsText" dxfId="2799" priority="8456" stopIfTrue="1" operator="containsText" text="Nivel II: Riesgo Importante">
      <formula>NOT(ISERROR(SEARCH("Nivel II: Riesgo Importante",Y203)))</formula>
    </cfRule>
    <cfRule type="containsText" dxfId="2798" priority="8457" stopIfTrue="1" operator="containsText" text="Nivel I: Riesgo Inaceptable">
      <formula>NOT(ISERROR(SEARCH("Nivel I: Riesgo Inaceptable",Y203)))</formula>
    </cfRule>
    <cfRule type="containsText" dxfId="2797" priority="8458" stopIfTrue="1" operator="containsText" text="Nivel IV: Riesgo Tolerable (Aceptable)">
      <formula>NOT(ISERROR(SEARCH("Nivel IV: Riesgo Tolerable (Aceptable)",Y203)))</formula>
    </cfRule>
  </conditionalFormatting>
  <conditionalFormatting sqref="Y203:Y204">
    <cfRule type="containsText" dxfId="2796" priority="8459" stopIfTrue="1" operator="containsText" text="Nivel III: Riesgo Moderado (Aceptable)">
      <formula>NOT(ISERROR(SEARCH("Nivel III: Riesgo Moderado (Aceptable)",Y203)))</formula>
    </cfRule>
  </conditionalFormatting>
  <conditionalFormatting sqref="Y204">
    <cfRule type="containsText" dxfId="2795" priority="8564" stopIfTrue="1" operator="containsText" text="Nivel I: Riesgo Inaceptable">
      <formula>NOT(ISERROR(SEARCH("Nivel I: Riesgo Inaceptable",Y204)))</formula>
    </cfRule>
    <cfRule type="containsText" dxfId="2794" priority="8565" stopIfTrue="1" operator="containsText" text="Nivel IV: Riesgo Tolerable (Aceptable)">
      <formula>NOT(ISERROR(SEARCH("Nivel IV: Riesgo Tolerable (Aceptable)",Y204)))</formula>
    </cfRule>
    <cfRule type="containsText" dxfId="2793" priority="8563" stopIfTrue="1" operator="containsText" text="Nivel II: Riesgo Importante">
      <formula>NOT(ISERROR(SEARCH("Nivel II: Riesgo Importante",Y204)))</formula>
    </cfRule>
    <cfRule type="containsText" dxfId="2792" priority="8568" stopIfTrue="1" operator="containsText" text="Nivel I: Riesgo Inaceptable">
      <formula>NOT(ISERROR(SEARCH("Nivel I: Riesgo Inaceptable",Y204)))</formula>
    </cfRule>
    <cfRule type="containsText" dxfId="2791" priority="8569" stopIfTrue="1" operator="containsText" text="Nivel IV: Riesgo Tolerable (Aceptable)">
      <formula>NOT(ISERROR(SEARCH("Nivel IV: Riesgo Tolerable (Aceptable)",Y204)))</formula>
    </cfRule>
    <cfRule type="containsText" dxfId="2790" priority="8567" stopIfTrue="1" operator="containsText" text="Nivel II: Riesgo Importante">
      <formula>NOT(ISERROR(SEARCH("Nivel II: Riesgo Importante",Y204)))</formula>
    </cfRule>
  </conditionalFormatting>
  <conditionalFormatting sqref="Y205">
    <cfRule type="containsText" dxfId="2789" priority="8415" stopIfTrue="1" operator="containsText" text="Nivel II: Riesgo Importante">
      <formula>NOT(ISERROR(SEARCH("Nivel II: Riesgo Importante",Y205)))</formula>
    </cfRule>
    <cfRule type="containsText" dxfId="2788" priority="8411" stopIfTrue="1" operator="containsText" text="Nivel II: Riesgo Importante">
      <formula>NOT(ISERROR(SEARCH("Nivel II: Riesgo Importante",Y205)))</formula>
    </cfRule>
    <cfRule type="containsText" dxfId="2787" priority="8412" stopIfTrue="1" operator="containsText" text="Nivel I: Riesgo Inaceptable">
      <formula>NOT(ISERROR(SEARCH("Nivel I: Riesgo Inaceptable",Y205)))</formula>
    </cfRule>
    <cfRule type="containsText" dxfId="2786" priority="8413" stopIfTrue="1" operator="containsText" text="Nivel IV: Riesgo Tolerable (Aceptable)">
      <formula>NOT(ISERROR(SEARCH("Nivel IV: Riesgo Tolerable (Aceptable)",Y205)))</formula>
    </cfRule>
    <cfRule type="containsText" dxfId="2785" priority="8416" stopIfTrue="1" operator="containsText" text="Nivel I: Riesgo Inaceptable">
      <formula>NOT(ISERROR(SEARCH("Nivel I: Riesgo Inaceptable",Y205)))</formula>
    </cfRule>
    <cfRule type="containsText" dxfId="2784" priority="8417" stopIfTrue="1" operator="containsText" text="Nivel IV: Riesgo Tolerable (Aceptable)">
      <formula>NOT(ISERROR(SEARCH("Nivel IV: Riesgo Tolerable (Aceptable)",Y205)))</formula>
    </cfRule>
  </conditionalFormatting>
  <conditionalFormatting sqref="Y205:Y208">
    <cfRule type="containsText" dxfId="2783" priority="8146" stopIfTrue="1" operator="containsText" text="Nivel III: Riesgo Moderado (Aceptable)">
      <formula>NOT(ISERROR(SEARCH("Nivel III: Riesgo Moderado (Aceptable)",Y205)))</formula>
    </cfRule>
  </conditionalFormatting>
  <conditionalFormatting sqref="Y206">
    <cfRule type="containsText" dxfId="2782" priority="8245" stopIfTrue="1" operator="containsText" text="Nivel IV: Riesgo Tolerable (Aceptable)">
      <formula>NOT(ISERROR(SEARCH("Nivel IV: Riesgo Tolerable (Aceptable)",Y206)))</formula>
    </cfRule>
    <cfRule type="containsText" dxfId="2781" priority="8244" stopIfTrue="1" operator="containsText" text="Nivel I: Riesgo Inaceptable">
      <formula>NOT(ISERROR(SEARCH("Nivel I: Riesgo Inaceptable",Y206)))</formula>
    </cfRule>
    <cfRule type="containsText" dxfId="2780" priority="8243" stopIfTrue="1" operator="containsText" text="Nivel II: Riesgo Importante">
      <formula>NOT(ISERROR(SEARCH("Nivel II: Riesgo Importante",Y206)))</formula>
    </cfRule>
  </conditionalFormatting>
  <conditionalFormatting sqref="Y207">
    <cfRule type="containsText" dxfId="2779" priority="8177" stopIfTrue="1" operator="containsText" text="Nivel IV: Riesgo Tolerable (Aceptable)">
      <formula>NOT(ISERROR(SEARCH("Nivel IV: Riesgo Tolerable (Aceptable)",Y207)))</formula>
    </cfRule>
    <cfRule type="containsText" dxfId="2778" priority="8175" stopIfTrue="1" operator="containsText" text="Nivel II: Riesgo Importante">
      <formula>NOT(ISERROR(SEARCH("Nivel II: Riesgo Importante",Y207)))</formula>
    </cfRule>
    <cfRule type="containsText" dxfId="2777" priority="8176" stopIfTrue="1" operator="containsText" text="Nivel I: Riesgo Inaceptable">
      <formula>NOT(ISERROR(SEARCH("Nivel I: Riesgo Inaceptable",Y207)))</formula>
    </cfRule>
  </conditionalFormatting>
  <conditionalFormatting sqref="Y208">
    <cfRule type="containsText" dxfId="2776" priority="8149" stopIfTrue="1" operator="containsText" text="Nivel IV: Riesgo Tolerable (Aceptable)">
      <formula>NOT(ISERROR(SEARCH("Nivel IV: Riesgo Tolerable (Aceptable)",Y208)))</formula>
    </cfRule>
    <cfRule type="containsText" dxfId="2775" priority="8147" stopIfTrue="1" operator="containsText" text="Nivel II: Riesgo Importante">
      <formula>NOT(ISERROR(SEARCH("Nivel II: Riesgo Importante",Y208)))</formula>
    </cfRule>
    <cfRule type="containsText" dxfId="2774" priority="8148" stopIfTrue="1" operator="containsText" text="Nivel I: Riesgo Inaceptable">
      <formula>NOT(ISERROR(SEARCH("Nivel I: Riesgo Inaceptable",Y208)))</formula>
    </cfRule>
  </conditionalFormatting>
  <conditionalFormatting sqref="Y209">
    <cfRule type="containsText" dxfId="2773" priority="8358" stopIfTrue="1" operator="containsText" text="Nivel IV: Riesgo Tolerable (Aceptable)">
      <formula>NOT(ISERROR(SEARCH("Nivel IV: Riesgo Tolerable (Aceptable)",Y209)))</formula>
    </cfRule>
    <cfRule type="containsText" dxfId="2772" priority="8357" stopIfTrue="1" operator="containsText" text="Nivel I: Riesgo Inaceptable">
      <formula>NOT(ISERROR(SEARCH("Nivel I: Riesgo Inaceptable",Y209)))</formula>
    </cfRule>
    <cfRule type="containsText" dxfId="2771" priority="8356" stopIfTrue="1" operator="containsText" text="Nivel II: Riesgo Importante">
      <formula>NOT(ISERROR(SEARCH("Nivel II: Riesgo Importante",Y209)))</formula>
    </cfRule>
    <cfRule type="containsText" dxfId="2770" priority="8337" stopIfTrue="1" operator="containsText" text="Nivel I: Riesgo Inaceptable">
      <formula>NOT(ISERROR(SEARCH("Nivel I: Riesgo Inaceptable",Y209)))</formula>
    </cfRule>
    <cfRule type="containsText" dxfId="2769" priority="8338" stopIfTrue="1" operator="containsText" text="Nivel IV: Riesgo Tolerable (Aceptable)">
      <formula>NOT(ISERROR(SEARCH("Nivel IV: Riesgo Tolerable (Aceptable)",Y209)))</formula>
    </cfRule>
    <cfRule type="containsText" dxfId="2768" priority="8336" stopIfTrue="1" operator="containsText" text="Nivel II: Riesgo Importante">
      <formula>NOT(ISERROR(SEARCH("Nivel II: Riesgo Importante",Y209)))</formula>
    </cfRule>
  </conditionalFormatting>
  <conditionalFormatting sqref="Y209:Y211">
    <cfRule type="containsText" dxfId="2767" priority="8298" stopIfTrue="1" operator="containsText" text="Nivel III: Riesgo Moderado (Aceptable)">
      <formula>NOT(ISERROR(SEARCH("Nivel III: Riesgo Moderado (Aceptable)",Y209)))</formula>
    </cfRule>
  </conditionalFormatting>
  <conditionalFormatting sqref="Y210">
    <cfRule type="containsText" dxfId="2766" priority="8300" stopIfTrue="1" operator="containsText" text="Nivel I: Riesgo Inaceptable">
      <formula>NOT(ISERROR(SEARCH("Nivel I: Riesgo Inaceptable",Y210)))</formula>
    </cfRule>
    <cfRule type="containsText" dxfId="2765" priority="8296" stopIfTrue="1" operator="containsText" text="Nivel I: Riesgo Inaceptable">
      <formula>NOT(ISERROR(SEARCH("Nivel I: Riesgo Inaceptable",Y210)))</formula>
    </cfRule>
    <cfRule type="containsText" dxfId="2764" priority="8299" stopIfTrue="1" operator="containsText" text="Nivel II: Riesgo Importante">
      <formula>NOT(ISERROR(SEARCH("Nivel II: Riesgo Importante",Y210)))</formula>
    </cfRule>
    <cfRule type="containsText" dxfId="2763" priority="8295" stopIfTrue="1" operator="containsText" text="Nivel II: Riesgo Importante">
      <formula>NOT(ISERROR(SEARCH("Nivel II: Riesgo Importante",Y210)))</formula>
    </cfRule>
    <cfRule type="containsText" dxfId="2762" priority="8297" stopIfTrue="1" operator="containsText" text="Nivel IV: Riesgo Tolerable (Aceptable)">
      <formula>NOT(ISERROR(SEARCH("Nivel IV: Riesgo Tolerable (Aceptable)",Y210)))</formula>
    </cfRule>
    <cfRule type="containsText" dxfId="2761" priority="8301" stopIfTrue="1" operator="containsText" text="Nivel IV: Riesgo Tolerable (Aceptable)">
      <formula>NOT(ISERROR(SEARCH("Nivel IV: Riesgo Tolerable (Aceptable)",Y210)))</formula>
    </cfRule>
  </conditionalFormatting>
  <conditionalFormatting sqref="Y211">
    <cfRule type="containsText" dxfId="2760" priority="8381" stopIfTrue="1" operator="containsText" text="Nivel II: Riesgo Importante">
      <formula>NOT(ISERROR(SEARCH("Nivel II: Riesgo Importante",Y211)))</formula>
    </cfRule>
    <cfRule type="containsText" dxfId="2759" priority="8383" stopIfTrue="1" operator="containsText" text="Nivel IV: Riesgo Tolerable (Aceptable)">
      <formula>NOT(ISERROR(SEARCH("Nivel IV: Riesgo Tolerable (Aceptable)",Y211)))</formula>
    </cfRule>
    <cfRule type="containsText" dxfId="2758" priority="8382" stopIfTrue="1" operator="containsText" text="Nivel I: Riesgo Inaceptable">
      <formula>NOT(ISERROR(SEARCH("Nivel I: Riesgo Inaceptable",Y211)))</formula>
    </cfRule>
    <cfRule type="containsText" dxfId="2757" priority="8379" stopIfTrue="1" operator="containsText" text="Nivel IV: Riesgo Tolerable (Aceptable)">
      <formula>NOT(ISERROR(SEARCH("Nivel IV: Riesgo Tolerable (Aceptable)",Y211)))</formula>
    </cfRule>
    <cfRule type="containsText" dxfId="2756" priority="8377" stopIfTrue="1" operator="containsText" text="Nivel II: Riesgo Importante">
      <formula>NOT(ISERROR(SEARCH("Nivel II: Riesgo Importante",Y211)))</formula>
    </cfRule>
    <cfRule type="containsText" dxfId="2755" priority="8378" stopIfTrue="1" operator="containsText" text="Nivel I: Riesgo Inaceptable">
      <formula>NOT(ISERROR(SEARCH("Nivel I: Riesgo Inaceptable",Y211)))</formula>
    </cfRule>
  </conditionalFormatting>
  <conditionalFormatting sqref="Y212">
    <cfRule type="containsText" dxfId="2754" priority="8203" stopIfTrue="1" operator="containsText" text="Nivel II: Riesgo Importante">
      <formula>NOT(ISERROR(SEARCH("Nivel II: Riesgo Importante",Y212)))</formula>
    </cfRule>
    <cfRule type="containsText" dxfId="2753" priority="8209" stopIfTrue="1" operator="containsText" text="Nivel IV: Riesgo Tolerable (Aceptable)">
      <formula>NOT(ISERROR(SEARCH("Nivel IV: Riesgo Tolerable (Aceptable)",Y212)))</formula>
    </cfRule>
    <cfRule type="containsText" dxfId="2752" priority="8208" stopIfTrue="1" operator="containsText" text="Nivel I: Riesgo Inaceptable">
      <formula>NOT(ISERROR(SEARCH("Nivel I: Riesgo Inaceptable",Y212)))</formula>
    </cfRule>
    <cfRule type="containsText" dxfId="2751" priority="8207" stopIfTrue="1" operator="containsText" text="Nivel II: Riesgo Importante">
      <formula>NOT(ISERROR(SEARCH("Nivel II: Riesgo Importante",Y212)))</formula>
    </cfRule>
    <cfRule type="containsText" dxfId="2750" priority="8205" stopIfTrue="1" operator="containsText" text="Nivel IV: Riesgo Tolerable (Aceptable)">
      <formula>NOT(ISERROR(SEARCH("Nivel IV: Riesgo Tolerable (Aceptable)",Y212)))</formula>
    </cfRule>
    <cfRule type="containsText" dxfId="2749" priority="8204" stopIfTrue="1" operator="containsText" text="Nivel I: Riesgo Inaceptable">
      <formula>NOT(ISERROR(SEARCH("Nivel I: Riesgo Inaceptable",Y212)))</formula>
    </cfRule>
  </conditionalFormatting>
  <conditionalFormatting sqref="Y212:Y213">
    <cfRule type="containsText" dxfId="2748" priority="7982" stopIfTrue="1" operator="containsText" text="Nivel III: Riesgo Moderado (Aceptable)">
      <formula>NOT(ISERROR(SEARCH("Nivel III: Riesgo Moderado (Aceptable)",Y212)))</formula>
    </cfRule>
  </conditionalFormatting>
  <conditionalFormatting sqref="Y213">
    <cfRule type="containsText" dxfId="2747" priority="7983" stopIfTrue="1" operator="containsText" text="Nivel II: Riesgo Importante">
      <formula>NOT(ISERROR(SEARCH("Nivel II: Riesgo Importante",Y213)))</formula>
    </cfRule>
    <cfRule type="containsText" dxfId="2746" priority="7975" stopIfTrue="1" operator="containsText" text="Nivel II: Riesgo Importante">
      <formula>NOT(ISERROR(SEARCH("Nivel II: Riesgo Importante",Y213)))</formula>
    </cfRule>
    <cfRule type="containsText" dxfId="2745" priority="7976" stopIfTrue="1" operator="containsText" text="Nivel I: Riesgo Inaceptable">
      <formula>NOT(ISERROR(SEARCH("Nivel I: Riesgo Inaceptable",Y213)))</formula>
    </cfRule>
    <cfRule type="containsText" dxfId="2744" priority="7984" stopIfTrue="1" operator="containsText" text="Nivel I: Riesgo Inaceptable">
      <formula>NOT(ISERROR(SEARCH("Nivel I: Riesgo Inaceptable",Y213)))</formula>
    </cfRule>
    <cfRule type="containsText" dxfId="2743" priority="7985" stopIfTrue="1" operator="containsText" text="Nivel IV: Riesgo Tolerable (Aceptable)">
      <formula>NOT(ISERROR(SEARCH("Nivel IV: Riesgo Tolerable (Aceptable)",Y213)))</formula>
    </cfRule>
    <cfRule type="containsText" dxfId="2742" priority="7977" stopIfTrue="1" operator="containsText" text="Nivel IV: Riesgo Tolerable (Aceptable)">
      <formula>NOT(ISERROR(SEARCH("Nivel IV: Riesgo Tolerable (Aceptable)",Y213)))</formula>
    </cfRule>
  </conditionalFormatting>
  <conditionalFormatting sqref="Y214">
    <cfRule type="containsText" dxfId="2741" priority="7578" stopIfTrue="1" operator="containsText" text="Nivel IV: Riesgo Tolerable (Aceptable)">
      <formula>NOT(ISERROR(SEARCH("Nivel IV: Riesgo Tolerable (Aceptable)",Y214)))</formula>
    </cfRule>
    <cfRule type="containsText" dxfId="2740" priority="7548" stopIfTrue="1" operator="containsText" text="Nivel II: Riesgo Importante">
      <formula>NOT(ISERROR(SEARCH("Nivel II: Riesgo Importante",Y214)))</formula>
    </cfRule>
    <cfRule type="containsText" dxfId="2739" priority="7549" stopIfTrue="1" operator="containsText" text="Nivel I: Riesgo Inaceptable">
      <formula>NOT(ISERROR(SEARCH("Nivel I: Riesgo Inaceptable",Y214)))</formula>
    </cfRule>
    <cfRule type="containsText" dxfId="2738" priority="7550" stopIfTrue="1" operator="containsText" text="Nivel IV: Riesgo Tolerable (Aceptable)">
      <formula>NOT(ISERROR(SEARCH("Nivel IV: Riesgo Tolerable (Aceptable)",Y214)))</formula>
    </cfRule>
    <cfRule type="containsText" dxfId="2737" priority="7576" stopIfTrue="1" operator="containsText" text="Nivel II: Riesgo Importante">
      <formula>NOT(ISERROR(SEARCH("Nivel II: Riesgo Importante",Y214)))</formula>
    </cfRule>
    <cfRule type="containsText" dxfId="2736" priority="7577" stopIfTrue="1" operator="containsText" text="Nivel I: Riesgo Inaceptable">
      <formula>NOT(ISERROR(SEARCH("Nivel I: Riesgo Inaceptable",Y214)))</formula>
    </cfRule>
  </conditionalFormatting>
  <conditionalFormatting sqref="Y215">
    <cfRule type="containsText" dxfId="2735" priority="7540" stopIfTrue="1" operator="containsText" text="Nivel II: Riesgo Importante">
      <formula>NOT(ISERROR(SEARCH("Nivel II: Riesgo Importante",Y215)))</formula>
    </cfRule>
    <cfRule type="containsText" dxfId="2734" priority="7542" stopIfTrue="1" operator="containsText" text="Nivel IV: Riesgo Tolerable (Aceptable)">
      <formula>NOT(ISERROR(SEARCH("Nivel IV: Riesgo Tolerable (Aceptable)",Y215)))</formula>
    </cfRule>
    <cfRule type="containsText" dxfId="2733" priority="7541" stopIfTrue="1" operator="containsText" text="Nivel I: Riesgo Inaceptable">
      <formula>NOT(ISERROR(SEARCH("Nivel I: Riesgo Inaceptable",Y215)))</formula>
    </cfRule>
    <cfRule type="containsText" dxfId="2732" priority="7514" stopIfTrue="1" operator="containsText" text="Nivel IV: Riesgo Tolerable (Aceptable)">
      <formula>NOT(ISERROR(SEARCH("Nivel IV: Riesgo Tolerable (Aceptable)",Y215)))</formula>
    </cfRule>
    <cfRule type="containsText" dxfId="2731" priority="7513" stopIfTrue="1" operator="containsText" text="Nivel I: Riesgo Inaceptable">
      <formula>NOT(ISERROR(SEARCH("Nivel I: Riesgo Inaceptable",Y215)))</formula>
    </cfRule>
    <cfRule type="containsText" dxfId="2730" priority="7512" stopIfTrue="1" operator="containsText" text="Nivel II: Riesgo Importante">
      <formula>NOT(ISERROR(SEARCH("Nivel II: Riesgo Importante",Y215)))</formula>
    </cfRule>
  </conditionalFormatting>
  <conditionalFormatting sqref="Y216">
    <cfRule type="containsText" dxfId="2729" priority="7930" stopIfTrue="1" operator="containsText" text="Nivel II: Riesgo Importante">
      <formula>NOT(ISERROR(SEARCH("Nivel II: Riesgo Importante",Y216)))</formula>
    </cfRule>
    <cfRule type="containsText" dxfId="2728" priority="7931" stopIfTrue="1" operator="containsText" text="Nivel I: Riesgo Inaceptable">
      <formula>NOT(ISERROR(SEARCH("Nivel I: Riesgo Inaceptable",Y216)))</formula>
    </cfRule>
    <cfRule type="containsText" dxfId="2727" priority="7932" stopIfTrue="1" operator="containsText" text="Nivel IV: Riesgo Tolerable (Aceptable)">
      <formula>NOT(ISERROR(SEARCH("Nivel IV: Riesgo Tolerable (Aceptable)",Y216)))</formula>
    </cfRule>
    <cfRule type="containsText" dxfId="2726" priority="7936" stopIfTrue="1" operator="containsText" text="Nivel IV: Riesgo Tolerable (Aceptable)">
      <formula>NOT(ISERROR(SEARCH("Nivel IV: Riesgo Tolerable (Aceptable)",Y216)))</formula>
    </cfRule>
    <cfRule type="containsText" dxfId="2725" priority="7934" stopIfTrue="1" operator="containsText" text="Nivel II: Riesgo Importante">
      <formula>NOT(ISERROR(SEARCH("Nivel II: Riesgo Importante",Y216)))</formula>
    </cfRule>
    <cfRule type="containsText" dxfId="2724" priority="7935" stopIfTrue="1" operator="containsText" text="Nivel I: Riesgo Inaceptable">
      <formula>NOT(ISERROR(SEARCH("Nivel I: Riesgo Inaceptable",Y216)))</formula>
    </cfRule>
  </conditionalFormatting>
  <conditionalFormatting sqref="Y216:Y217">
    <cfRule type="containsText" dxfId="2723" priority="7933" stopIfTrue="1" operator="containsText" text="Nivel III: Riesgo Moderado (Aceptable)">
      <formula>NOT(ISERROR(SEARCH("Nivel III: Riesgo Moderado (Aceptable)",Y216)))</formula>
    </cfRule>
  </conditionalFormatting>
  <conditionalFormatting sqref="Y217">
    <cfRule type="containsText" dxfId="2722" priority="8023" stopIfTrue="1" operator="containsText" text="Nivel I: Riesgo Inaceptable">
      <formula>NOT(ISERROR(SEARCH("Nivel I: Riesgo Inaceptable",Y217)))</formula>
    </cfRule>
    <cfRule type="containsText" dxfId="2721" priority="8028" stopIfTrue="1" operator="containsText" text="Nivel IV: Riesgo Tolerable (Aceptable)">
      <formula>NOT(ISERROR(SEARCH("Nivel IV: Riesgo Tolerable (Aceptable)",Y217)))</formula>
    </cfRule>
    <cfRule type="containsText" dxfId="2720" priority="8027" stopIfTrue="1" operator="containsText" text="Nivel I: Riesgo Inaceptable">
      <formula>NOT(ISERROR(SEARCH("Nivel I: Riesgo Inaceptable",Y217)))</formula>
    </cfRule>
    <cfRule type="containsText" dxfId="2719" priority="8026" stopIfTrue="1" operator="containsText" text="Nivel II: Riesgo Importante">
      <formula>NOT(ISERROR(SEARCH("Nivel II: Riesgo Importante",Y217)))</formula>
    </cfRule>
    <cfRule type="containsText" dxfId="2718" priority="8024" stopIfTrue="1" operator="containsText" text="Nivel IV: Riesgo Tolerable (Aceptable)">
      <formula>NOT(ISERROR(SEARCH("Nivel IV: Riesgo Tolerable (Aceptable)",Y217)))</formula>
    </cfRule>
    <cfRule type="containsText" dxfId="2717" priority="8022" stopIfTrue="1" operator="containsText" text="Nivel II: Riesgo Importante">
      <formula>NOT(ISERROR(SEARCH("Nivel II: Riesgo Importante",Y217)))</formula>
    </cfRule>
  </conditionalFormatting>
  <conditionalFormatting sqref="Y218">
    <cfRule type="containsText" dxfId="2716" priority="7887" stopIfTrue="1" operator="containsText" text="Nivel IV: Riesgo Tolerable (Aceptable)">
      <formula>NOT(ISERROR(SEARCH("Nivel IV: Riesgo Tolerable (Aceptable)",Y218)))</formula>
    </cfRule>
    <cfRule type="containsText" dxfId="2715" priority="7890" stopIfTrue="1" operator="containsText" text="Nivel I: Riesgo Inaceptable">
      <formula>NOT(ISERROR(SEARCH("Nivel I: Riesgo Inaceptable",Y218)))</formula>
    </cfRule>
    <cfRule type="containsText" dxfId="2714" priority="7889" stopIfTrue="1" operator="containsText" text="Nivel II: Riesgo Importante">
      <formula>NOT(ISERROR(SEARCH("Nivel II: Riesgo Importante",Y218)))</formula>
    </cfRule>
    <cfRule type="containsText" dxfId="2713" priority="7886" stopIfTrue="1" operator="containsText" text="Nivel I: Riesgo Inaceptable">
      <formula>NOT(ISERROR(SEARCH("Nivel I: Riesgo Inaceptable",Y218)))</formula>
    </cfRule>
    <cfRule type="containsText" dxfId="2712" priority="7885" stopIfTrue="1" operator="containsText" text="Nivel II: Riesgo Importante">
      <formula>NOT(ISERROR(SEARCH("Nivel II: Riesgo Importante",Y218)))</formula>
    </cfRule>
    <cfRule type="containsText" dxfId="2711" priority="7891" stopIfTrue="1" operator="containsText" text="Nivel IV: Riesgo Tolerable (Aceptable)">
      <formula>NOT(ISERROR(SEARCH("Nivel IV: Riesgo Tolerable (Aceptable)",Y218)))</formula>
    </cfRule>
  </conditionalFormatting>
  <conditionalFormatting sqref="Y218:Y221">
    <cfRule type="containsText" dxfId="2710" priority="7662" stopIfTrue="1" operator="containsText" text="Nivel III: Riesgo Moderado (Aceptable)">
      <formula>NOT(ISERROR(SEARCH("Nivel III: Riesgo Moderado (Aceptable)",Y218)))</formula>
    </cfRule>
  </conditionalFormatting>
  <conditionalFormatting sqref="Y219">
    <cfRule type="containsText" dxfId="2709" priority="7694" stopIfTrue="1" operator="containsText" text="Nivel I: Riesgo Inaceptable">
      <formula>NOT(ISERROR(SEARCH("Nivel I: Riesgo Inaceptable",Y219)))</formula>
    </cfRule>
    <cfRule type="containsText" dxfId="2708" priority="7695" stopIfTrue="1" operator="containsText" text="Nivel IV: Riesgo Tolerable (Aceptable)">
      <formula>NOT(ISERROR(SEARCH("Nivel IV: Riesgo Tolerable (Aceptable)",Y219)))</formula>
    </cfRule>
    <cfRule type="containsText" dxfId="2707" priority="7693" stopIfTrue="1" operator="containsText" text="Nivel II: Riesgo Importante">
      <formula>NOT(ISERROR(SEARCH("Nivel II: Riesgo Importante",Y219)))</formula>
    </cfRule>
  </conditionalFormatting>
  <conditionalFormatting sqref="Y220">
    <cfRule type="containsText" dxfId="2706" priority="7732" stopIfTrue="1" operator="containsText" text="Nivel IV: Riesgo Tolerable (Aceptable)">
      <formula>NOT(ISERROR(SEARCH("Nivel IV: Riesgo Tolerable (Aceptable)",Y220)))</formula>
    </cfRule>
    <cfRule type="containsText" dxfId="2705" priority="7730" stopIfTrue="1" operator="containsText" text="Nivel II: Riesgo Importante">
      <formula>NOT(ISERROR(SEARCH("Nivel II: Riesgo Importante",Y220)))</formula>
    </cfRule>
    <cfRule type="containsText" dxfId="2704" priority="7731" stopIfTrue="1" operator="containsText" text="Nivel I: Riesgo Inaceptable">
      <formula>NOT(ISERROR(SEARCH("Nivel I: Riesgo Inaceptable",Y220)))</formula>
    </cfRule>
  </conditionalFormatting>
  <conditionalFormatting sqref="Y221">
    <cfRule type="containsText" dxfId="2703" priority="7664" stopIfTrue="1" operator="containsText" text="Nivel I: Riesgo Inaceptable">
      <formula>NOT(ISERROR(SEARCH("Nivel I: Riesgo Inaceptable",Y221)))</formula>
    </cfRule>
    <cfRule type="containsText" dxfId="2702" priority="7663" stopIfTrue="1" operator="containsText" text="Nivel II: Riesgo Importante">
      <formula>NOT(ISERROR(SEARCH("Nivel II: Riesgo Importante",Y221)))</formula>
    </cfRule>
    <cfRule type="containsText" dxfId="2701" priority="7665" stopIfTrue="1" operator="containsText" text="Nivel IV: Riesgo Tolerable (Aceptable)">
      <formula>NOT(ISERROR(SEARCH("Nivel IV: Riesgo Tolerable (Aceptable)",Y221)))</formula>
    </cfRule>
  </conditionalFormatting>
  <conditionalFormatting sqref="Y222:Y223">
    <cfRule type="containsText" dxfId="2700" priority="7832" stopIfTrue="1" operator="containsText" text="Nivel IV: Riesgo Tolerable (Aceptable)">
      <formula>NOT(ISERROR(SEARCH("Nivel IV: Riesgo Tolerable (Aceptable)",Y222)))</formula>
    </cfRule>
    <cfRule type="containsText" dxfId="2699" priority="7810" stopIfTrue="1" operator="containsText" text="Nivel II: Riesgo Importante">
      <formula>NOT(ISERROR(SEARCH("Nivel II: Riesgo Importante",Y222)))</formula>
    </cfRule>
    <cfRule type="containsText" dxfId="2698" priority="7812" stopIfTrue="1" operator="containsText" text="Nivel IV: Riesgo Tolerable (Aceptable)">
      <formula>NOT(ISERROR(SEARCH("Nivel IV: Riesgo Tolerable (Aceptable)",Y222)))</formula>
    </cfRule>
    <cfRule type="containsText" dxfId="2697" priority="7830" stopIfTrue="1" operator="containsText" text="Nivel II: Riesgo Importante">
      <formula>NOT(ISERROR(SEARCH("Nivel II: Riesgo Importante",Y222)))</formula>
    </cfRule>
    <cfRule type="containsText" dxfId="2696" priority="7811" stopIfTrue="1" operator="containsText" text="Nivel I: Riesgo Inaceptable">
      <formula>NOT(ISERROR(SEARCH("Nivel I: Riesgo Inaceptable",Y222)))</formula>
    </cfRule>
    <cfRule type="containsText" dxfId="2695" priority="7831" stopIfTrue="1" operator="containsText" text="Nivel I: Riesgo Inaceptable">
      <formula>NOT(ISERROR(SEARCH("Nivel I: Riesgo Inaceptable",Y222)))</formula>
    </cfRule>
  </conditionalFormatting>
  <conditionalFormatting sqref="Y222:Y224">
    <cfRule type="containsText" dxfId="2694" priority="7772" stopIfTrue="1" operator="containsText" text="Nivel III: Riesgo Moderado (Aceptable)">
      <formula>NOT(ISERROR(SEARCH("Nivel III: Riesgo Moderado (Aceptable)",Y222)))</formula>
    </cfRule>
  </conditionalFormatting>
  <conditionalFormatting sqref="Y224">
    <cfRule type="containsText" dxfId="2693" priority="7770" stopIfTrue="1" operator="containsText" text="Nivel I: Riesgo Inaceptable">
      <formula>NOT(ISERROR(SEARCH("Nivel I: Riesgo Inaceptable",Y224)))</formula>
    </cfRule>
    <cfRule type="containsText" dxfId="2692" priority="7775" stopIfTrue="1" operator="containsText" text="Nivel IV: Riesgo Tolerable (Aceptable)">
      <formula>NOT(ISERROR(SEARCH("Nivel IV: Riesgo Tolerable (Aceptable)",Y224)))</formula>
    </cfRule>
    <cfRule type="containsText" dxfId="2691" priority="7773" stopIfTrue="1" operator="containsText" text="Nivel II: Riesgo Importante">
      <formula>NOT(ISERROR(SEARCH("Nivel II: Riesgo Importante",Y224)))</formula>
    </cfRule>
    <cfRule type="containsText" dxfId="2690" priority="7771" stopIfTrue="1" operator="containsText" text="Nivel IV: Riesgo Tolerable (Aceptable)">
      <formula>NOT(ISERROR(SEARCH("Nivel IV: Riesgo Tolerable (Aceptable)",Y224)))</formula>
    </cfRule>
    <cfRule type="containsText" dxfId="2689" priority="7769" stopIfTrue="1" operator="containsText" text="Nivel II: Riesgo Importante">
      <formula>NOT(ISERROR(SEARCH("Nivel II: Riesgo Importante",Y224)))</formula>
    </cfRule>
    <cfRule type="containsText" dxfId="2688" priority="7774" stopIfTrue="1" operator="containsText" text="Nivel I: Riesgo Inaceptable">
      <formula>NOT(ISERROR(SEARCH("Nivel I: Riesgo Inaceptable",Y224)))</formula>
    </cfRule>
  </conditionalFormatting>
  <conditionalFormatting sqref="Y225">
    <cfRule type="containsText" dxfId="2687" priority="7589" stopIfTrue="1" operator="containsText" text="Nivel I: Riesgo Inaceptable">
      <formula>NOT(ISERROR(SEARCH("Nivel I: Riesgo Inaceptable",Y225)))</formula>
    </cfRule>
    <cfRule type="containsText" dxfId="2686" priority="7590" stopIfTrue="1" operator="containsText" text="Nivel IV: Riesgo Tolerable (Aceptable)">
      <formula>NOT(ISERROR(SEARCH("Nivel IV: Riesgo Tolerable (Aceptable)",Y225)))</formula>
    </cfRule>
    <cfRule type="containsText" dxfId="2685" priority="7584" stopIfTrue="1" operator="containsText" text="Nivel II: Riesgo Importante">
      <formula>NOT(ISERROR(SEARCH("Nivel II: Riesgo Importante",Y225)))</formula>
    </cfRule>
    <cfRule type="containsText" dxfId="2684" priority="7583" stopIfTrue="1" operator="containsText" text="Nivel III: Riesgo Moderado (Aceptable)">
      <formula>NOT(ISERROR(SEARCH("Nivel III: Riesgo Moderado (Aceptable)",Y225)))</formula>
    </cfRule>
    <cfRule type="containsText" dxfId="2683" priority="7585" stopIfTrue="1" operator="containsText" text="Nivel I: Riesgo Inaceptable">
      <formula>NOT(ISERROR(SEARCH("Nivel I: Riesgo Inaceptable",Y225)))</formula>
    </cfRule>
    <cfRule type="containsText" dxfId="2682" priority="7586" stopIfTrue="1" operator="containsText" text="Nivel IV: Riesgo Tolerable (Aceptable)">
      <formula>NOT(ISERROR(SEARCH("Nivel IV: Riesgo Tolerable (Aceptable)",Y225)))</formula>
    </cfRule>
    <cfRule type="containsText" dxfId="2681" priority="7588" stopIfTrue="1" operator="containsText" text="Nivel II: Riesgo Importante">
      <formula>NOT(ISERROR(SEARCH("Nivel II: Riesgo Importante",Y225)))</formula>
    </cfRule>
  </conditionalFormatting>
  <conditionalFormatting sqref="Y226">
    <cfRule type="containsText" dxfId="2680" priority="7851" stopIfTrue="1" operator="containsText" text="Nivel II: Riesgo Importante">
      <formula>NOT(ISERROR(SEARCH("Nivel II: Riesgo Importante",Y226)))</formula>
    </cfRule>
    <cfRule type="containsText" dxfId="2679" priority="7852" stopIfTrue="1" operator="containsText" text="Nivel I: Riesgo Inaceptable">
      <formula>NOT(ISERROR(SEARCH("Nivel I: Riesgo Inaceptable",Y226)))</formula>
    </cfRule>
    <cfRule type="containsText" dxfId="2678" priority="7853" stopIfTrue="1" operator="containsText" text="Nivel IV: Riesgo Tolerable (Aceptable)">
      <formula>NOT(ISERROR(SEARCH("Nivel IV: Riesgo Tolerable (Aceptable)",Y226)))</formula>
    </cfRule>
    <cfRule type="containsText" dxfId="2677" priority="7855" stopIfTrue="1" operator="containsText" text="Nivel II: Riesgo Importante">
      <formula>NOT(ISERROR(SEARCH("Nivel II: Riesgo Importante",Y226)))</formula>
    </cfRule>
    <cfRule type="containsText" dxfId="2676" priority="7856" stopIfTrue="1" operator="containsText" text="Nivel I: Riesgo Inaceptable">
      <formula>NOT(ISERROR(SEARCH("Nivel I: Riesgo Inaceptable",Y226)))</formula>
    </cfRule>
    <cfRule type="containsText" dxfId="2675" priority="7857" stopIfTrue="1" operator="containsText" text="Nivel IV: Riesgo Tolerable (Aceptable)">
      <formula>NOT(ISERROR(SEARCH("Nivel IV: Riesgo Tolerable (Aceptable)",Y226)))</formula>
    </cfRule>
  </conditionalFormatting>
  <conditionalFormatting sqref="Y226:Y227">
    <cfRule type="containsText" dxfId="2674" priority="7632" stopIfTrue="1" operator="containsText" text="Nivel III: Riesgo Moderado (Aceptable)">
      <formula>NOT(ISERROR(SEARCH("Nivel III: Riesgo Moderado (Aceptable)",Y226)))</formula>
    </cfRule>
  </conditionalFormatting>
  <conditionalFormatting sqref="Y227">
    <cfRule type="containsText" dxfId="2673" priority="7633" stopIfTrue="1" operator="containsText" text="Nivel II: Riesgo Importante">
      <formula>NOT(ISERROR(SEARCH("Nivel II: Riesgo Importante",Y227)))</formula>
    </cfRule>
    <cfRule type="containsText" dxfId="2672" priority="7634" stopIfTrue="1" operator="containsText" text="Nivel I: Riesgo Inaceptable">
      <formula>NOT(ISERROR(SEARCH("Nivel I: Riesgo Inaceptable",Y227)))</formula>
    </cfRule>
    <cfRule type="containsText" dxfId="2671" priority="7635" stopIfTrue="1" operator="containsText" text="Nivel IV: Riesgo Tolerable (Aceptable)">
      <formula>NOT(ISERROR(SEARCH("Nivel IV: Riesgo Tolerable (Aceptable)",Y227)))</formula>
    </cfRule>
    <cfRule type="containsText" dxfId="2670" priority="7629" stopIfTrue="1" operator="containsText" text="Nivel II: Riesgo Importante">
      <formula>NOT(ISERROR(SEARCH("Nivel II: Riesgo Importante",Y227)))</formula>
    </cfRule>
    <cfRule type="containsText" dxfId="2669" priority="7630" stopIfTrue="1" operator="containsText" text="Nivel I: Riesgo Inaceptable">
      <formula>NOT(ISERROR(SEARCH("Nivel I: Riesgo Inaceptable",Y227)))</formula>
    </cfRule>
    <cfRule type="containsText" dxfId="2668" priority="7631" stopIfTrue="1" operator="containsText" text="Nivel IV: Riesgo Tolerable (Aceptable)">
      <formula>NOT(ISERROR(SEARCH("Nivel IV: Riesgo Tolerable (Aceptable)",Y227)))</formula>
    </cfRule>
  </conditionalFormatting>
  <conditionalFormatting sqref="Y228">
    <cfRule type="containsText" dxfId="2667" priority="7480" stopIfTrue="1" operator="containsText" text="Nivel IV: Riesgo Tolerable (Aceptable)">
      <formula>NOT(ISERROR(SEARCH("Nivel IV: Riesgo Tolerable (Aceptable)",Y228)))</formula>
    </cfRule>
    <cfRule type="containsText" dxfId="2666" priority="7502" stopIfTrue="1" operator="containsText" text="Nivel IV: Riesgo Tolerable (Aceptable)">
      <formula>NOT(ISERROR(SEARCH("Nivel IV: Riesgo Tolerable (Aceptable)",Y228)))</formula>
    </cfRule>
    <cfRule type="containsText" dxfId="2665" priority="7479" stopIfTrue="1" operator="containsText" text="Nivel I: Riesgo Inaceptable">
      <formula>NOT(ISERROR(SEARCH("Nivel I: Riesgo Inaceptable",Y228)))</formula>
    </cfRule>
    <cfRule type="containsText" dxfId="2664" priority="7499" stopIfTrue="1" operator="containsText" text="Nivel III: Riesgo Moderado (Aceptable)">
      <formula>NOT(ISERROR(SEARCH("Nivel III: Riesgo Moderado (Aceptable)",Y228)))</formula>
    </cfRule>
    <cfRule type="containsText" dxfId="2663" priority="7500" stopIfTrue="1" operator="containsText" text="Nivel II: Riesgo Importante">
      <formula>NOT(ISERROR(SEARCH("Nivel II: Riesgo Importante",Y228)))</formula>
    </cfRule>
    <cfRule type="containsText" dxfId="2662" priority="7501" stopIfTrue="1" operator="containsText" text="Nivel I: Riesgo Inaceptable">
      <formula>NOT(ISERROR(SEARCH("Nivel I: Riesgo Inaceptable",Y228)))</formula>
    </cfRule>
    <cfRule type="containsText" dxfId="2661" priority="7478" stopIfTrue="1" operator="containsText" text="Nivel II: Riesgo Importante">
      <formula>NOT(ISERROR(SEARCH("Nivel II: Riesgo Importante",Y228)))</formula>
    </cfRule>
  </conditionalFormatting>
  <conditionalFormatting sqref="Y228:Y229">
    <cfRule type="containsText" dxfId="2660" priority="7378" stopIfTrue="1" operator="containsText" text="Nivel III: Riesgo Moderado (Aceptable)">
      <formula>NOT(ISERROR(SEARCH("Nivel III: Riesgo Moderado (Aceptable)",Y228)))</formula>
    </cfRule>
  </conditionalFormatting>
  <conditionalFormatting sqref="Y229">
    <cfRule type="containsText" dxfId="2659" priority="7381" stopIfTrue="1" operator="containsText" text="Nivel IV: Riesgo Tolerable (Aceptable)">
      <formula>NOT(ISERROR(SEARCH("Nivel IV: Riesgo Tolerable (Aceptable)",Y229)))</formula>
    </cfRule>
    <cfRule type="containsText" dxfId="2658" priority="7372" stopIfTrue="1" operator="containsText" text="Nivel I: Riesgo Inaceptable">
      <formula>NOT(ISERROR(SEARCH("Nivel I: Riesgo Inaceptable",Y229)))</formula>
    </cfRule>
    <cfRule type="containsText" dxfId="2657" priority="7379" stopIfTrue="1" operator="containsText" text="Nivel II: Riesgo Importante">
      <formula>NOT(ISERROR(SEARCH("Nivel II: Riesgo Importante",Y229)))</formula>
    </cfRule>
    <cfRule type="containsText" dxfId="2656" priority="7373" stopIfTrue="1" operator="containsText" text="Nivel IV: Riesgo Tolerable (Aceptable)">
      <formula>NOT(ISERROR(SEARCH("Nivel IV: Riesgo Tolerable (Aceptable)",Y229)))</formula>
    </cfRule>
    <cfRule type="containsText" dxfId="2655" priority="7380" stopIfTrue="1" operator="containsText" text="Nivel I: Riesgo Inaceptable">
      <formula>NOT(ISERROR(SEARCH("Nivel I: Riesgo Inaceptable",Y229)))</formula>
    </cfRule>
    <cfRule type="containsText" dxfId="2654" priority="7371" stopIfTrue="1" operator="containsText" text="Nivel II: Riesgo Importante">
      <formula>NOT(ISERROR(SEARCH("Nivel II: Riesgo Importante",Y229)))</formula>
    </cfRule>
  </conditionalFormatting>
  <conditionalFormatting sqref="Y230">
    <cfRule type="containsText" dxfId="2653" priority="6974" stopIfTrue="1" operator="containsText" text="Nivel IV: Riesgo Tolerable (Aceptable)">
      <formula>NOT(ISERROR(SEARCH("Nivel IV: Riesgo Tolerable (Aceptable)",Y230)))</formula>
    </cfRule>
    <cfRule type="containsText" dxfId="2652" priority="6973" stopIfTrue="1" operator="containsText" text="Nivel I: Riesgo Inaceptable">
      <formula>NOT(ISERROR(SEARCH("Nivel I: Riesgo Inaceptable",Y230)))</formula>
    </cfRule>
    <cfRule type="containsText" dxfId="2651" priority="6948" stopIfTrue="1" operator="containsText" text="Nivel II: Riesgo Importante">
      <formula>NOT(ISERROR(SEARCH("Nivel II: Riesgo Importante",Y230)))</formula>
    </cfRule>
    <cfRule type="containsText" dxfId="2650" priority="6949" stopIfTrue="1" operator="containsText" text="Nivel I: Riesgo Inaceptable">
      <formula>NOT(ISERROR(SEARCH("Nivel I: Riesgo Inaceptable",Y230)))</formula>
    </cfRule>
    <cfRule type="containsText" dxfId="2649" priority="6950" stopIfTrue="1" operator="containsText" text="Nivel IV: Riesgo Tolerable (Aceptable)">
      <formula>NOT(ISERROR(SEARCH("Nivel IV: Riesgo Tolerable (Aceptable)",Y230)))</formula>
    </cfRule>
    <cfRule type="containsText" dxfId="2648" priority="6972" stopIfTrue="1" operator="containsText" text="Nivel II: Riesgo Importante">
      <formula>NOT(ISERROR(SEARCH("Nivel II: Riesgo Importante",Y230)))</formula>
    </cfRule>
  </conditionalFormatting>
  <conditionalFormatting sqref="Y231">
    <cfRule type="containsText" dxfId="2647" priority="6942" stopIfTrue="1" operator="containsText" text="Nivel IV: Riesgo Tolerable (Aceptable)">
      <formula>NOT(ISERROR(SEARCH("Nivel IV: Riesgo Tolerable (Aceptable)",Y231)))</formula>
    </cfRule>
    <cfRule type="containsText" dxfId="2646" priority="6914" stopIfTrue="1" operator="containsText" text="Nivel IV: Riesgo Tolerable (Aceptable)">
      <formula>NOT(ISERROR(SEARCH("Nivel IV: Riesgo Tolerable (Aceptable)",Y231)))</formula>
    </cfRule>
    <cfRule type="containsText" dxfId="2645" priority="6912" stopIfTrue="1" operator="containsText" text="Nivel II: Riesgo Importante">
      <formula>NOT(ISERROR(SEARCH("Nivel II: Riesgo Importante",Y231)))</formula>
    </cfRule>
    <cfRule type="containsText" dxfId="2644" priority="6913" stopIfTrue="1" operator="containsText" text="Nivel I: Riesgo Inaceptable">
      <formula>NOT(ISERROR(SEARCH("Nivel I: Riesgo Inaceptable",Y231)))</formula>
    </cfRule>
    <cfRule type="containsText" dxfId="2643" priority="6941" stopIfTrue="1" operator="containsText" text="Nivel I: Riesgo Inaceptable">
      <formula>NOT(ISERROR(SEARCH("Nivel I: Riesgo Inaceptable",Y231)))</formula>
    </cfRule>
    <cfRule type="containsText" dxfId="2642" priority="6940" stopIfTrue="1" operator="containsText" text="Nivel II: Riesgo Importante">
      <formula>NOT(ISERROR(SEARCH("Nivel II: Riesgo Importante",Y231)))</formula>
    </cfRule>
  </conditionalFormatting>
  <conditionalFormatting sqref="Y232">
    <cfRule type="containsText" dxfId="2641" priority="7328" stopIfTrue="1" operator="containsText" text="Nivel IV: Riesgo Tolerable (Aceptable)">
      <formula>NOT(ISERROR(SEARCH("Nivel IV: Riesgo Tolerable (Aceptable)",Y232)))</formula>
    </cfRule>
    <cfRule type="containsText" dxfId="2640" priority="7332" stopIfTrue="1" operator="containsText" text="Nivel IV: Riesgo Tolerable (Aceptable)">
      <formula>NOT(ISERROR(SEARCH("Nivel IV: Riesgo Tolerable (Aceptable)",Y232)))</formula>
    </cfRule>
    <cfRule type="containsText" dxfId="2639" priority="7326" stopIfTrue="1" operator="containsText" text="Nivel II: Riesgo Importante">
      <formula>NOT(ISERROR(SEARCH("Nivel II: Riesgo Importante",Y232)))</formula>
    </cfRule>
    <cfRule type="containsText" dxfId="2638" priority="7331" stopIfTrue="1" operator="containsText" text="Nivel I: Riesgo Inaceptable">
      <formula>NOT(ISERROR(SEARCH("Nivel I: Riesgo Inaceptable",Y232)))</formula>
    </cfRule>
    <cfRule type="containsText" dxfId="2637" priority="7330" stopIfTrue="1" operator="containsText" text="Nivel II: Riesgo Importante">
      <formula>NOT(ISERROR(SEARCH("Nivel II: Riesgo Importante",Y232)))</formula>
    </cfRule>
    <cfRule type="containsText" dxfId="2636" priority="7327" stopIfTrue="1" operator="containsText" text="Nivel I: Riesgo Inaceptable">
      <formula>NOT(ISERROR(SEARCH("Nivel I: Riesgo Inaceptable",Y232)))</formula>
    </cfRule>
  </conditionalFormatting>
  <conditionalFormatting sqref="Y232:Y233">
    <cfRule type="containsText" dxfId="2635" priority="7329" stopIfTrue="1" operator="containsText" text="Nivel III: Riesgo Moderado (Aceptable)">
      <formula>NOT(ISERROR(SEARCH("Nivel III: Riesgo Moderado (Aceptable)",Y232)))</formula>
    </cfRule>
  </conditionalFormatting>
  <conditionalFormatting sqref="Y233">
    <cfRule type="containsText" dxfId="2634" priority="7437" stopIfTrue="1" operator="containsText" text="Nivel II: Riesgo Importante">
      <formula>NOT(ISERROR(SEARCH("Nivel II: Riesgo Importante",Y233)))</formula>
    </cfRule>
    <cfRule type="containsText" dxfId="2633" priority="7435" stopIfTrue="1" operator="containsText" text="Nivel IV: Riesgo Tolerable (Aceptable)">
      <formula>NOT(ISERROR(SEARCH("Nivel IV: Riesgo Tolerable (Aceptable)",Y233)))</formula>
    </cfRule>
    <cfRule type="containsText" dxfId="2632" priority="7439" stopIfTrue="1" operator="containsText" text="Nivel IV: Riesgo Tolerable (Aceptable)">
      <formula>NOT(ISERROR(SEARCH("Nivel IV: Riesgo Tolerable (Aceptable)",Y233)))</formula>
    </cfRule>
    <cfRule type="containsText" dxfId="2631" priority="7434" stopIfTrue="1" operator="containsText" text="Nivel I: Riesgo Inaceptable">
      <formula>NOT(ISERROR(SEARCH("Nivel I: Riesgo Inaceptable",Y233)))</formula>
    </cfRule>
    <cfRule type="containsText" dxfId="2630" priority="7438" stopIfTrue="1" operator="containsText" text="Nivel I: Riesgo Inaceptable">
      <formula>NOT(ISERROR(SEARCH("Nivel I: Riesgo Inaceptable",Y233)))</formula>
    </cfRule>
    <cfRule type="containsText" dxfId="2629" priority="7433" stopIfTrue="1" operator="containsText" text="Nivel II: Riesgo Importante">
      <formula>NOT(ISERROR(SEARCH("Nivel II: Riesgo Importante",Y233)))</formula>
    </cfRule>
  </conditionalFormatting>
  <conditionalFormatting sqref="Y234">
    <cfRule type="containsText" dxfId="2628" priority="7283" stopIfTrue="1" operator="containsText" text="Nivel IV: Riesgo Tolerable (Aceptable)">
      <formula>NOT(ISERROR(SEARCH("Nivel IV: Riesgo Tolerable (Aceptable)",Y234)))</formula>
    </cfRule>
    <cfRule type="containsText" dxfId="2627" priority="7282" stopIfTrue="1" operator="containsText" text="Nivel I: Riesgo Inaceptable">
      <formula>NOT(ISERROR(SEARCH("Nivel I: Riesgo Inaceptable",Y234)))</formula>
    </cfRule>
    <cfRule type="containsText" dxfId="2626" priority="7281" stopIfTrue="1" operator="containsText" text="Nivel II: Riesgo Importante">
      <formula>NOT(ISERROR(SEARCH("Nivel II: Riesgo Importante",Y234)))</formula>
    </cfRule>
    <cfRule type="containsText" dxfId="2625" priority="7286" stopIfTrue="1" operator="containsText" text="Nivel I: Riesgo Inaceptable">
      <formula>NOT(ISERROR(SEARCH("Nivel I: Riesgo Inaceptable",Y234)))</formula>
    </cfRule>
    <cfRule type="containsText" dxfId="2624" priority="7285" stopIfTrue="1" operator="containsText" text="Nivel II: Riesgo Importante">
      <formula>NOT(ISERROR(SEARCH("Nivel II: Riesgo Importante",Y234)))</formula>
    </cfRule>
    <cfRule type="containsText" dxfId="2623" priority="7287" stopIfTrue="1" operator="containsText" text="Nivel IV: Riesgo Tolerable (Aceptable)">
      <formula>NOT(ISERROR(SEARCH("Nivel IV: Riesgo Tolerable (Aceptable)",Y234)))</formula>
    </cfRule>
  </conditionalFormatting>
  <conditionalFormatting sqref="Y234:Y237">
    <cfRule type="containsText" dxfId="2622" priority="7058" stopIfTrue="1" operator="containsText" text="Nivel III: Riesgo Moderado (Aceptable)">
      <formula>NOT(ISERROR(SEARCH("Nivel III: Riesgo Moderado (Aceptable)",Y234)))</formula>
    </cfRule>
  </conditionalFormatting>
  <conditionalFormatting sqref="Y235">
    <cfRule type="containsText" dxfId="2621" priority="7089" stopIfTrue="1" operator="containsText" text="Nivel II: Riesgo Importante">
      <formula>NOT(ISERROR(SEARCH("Nivel II: Riesgo Importante",Y235)))</formula>
    </cfRule>
    <cfRule type="containsText" dxfId="2620" priority="7091" stopIfTrue="1" operator="containsText" text="Nivel IV: Riesgo Tolerable (Aceptable)">
      <formula>NOT(ISERROR(SEARCH("Nivel IV: Riesgo Tolerable (Aceptable)",Y235)))</formula>
    </cfRule>
    <cfRule type="containsText" dxfId="2619" priority="7090" stopIfTrue="1" operator="containsText" text="Nivel I: Riesgo Inaceptable">
      <formula>NOT(ISERROR(SEARCH("Nivel I: Riesgo Inaceptable",Y235)))</formula>
    </cfRule>
  </conditionalFormatting>
  <conditionalFormatting sqref="Y236">
    <cfRule type="containsText" dxfId="2618" priority="7128" stopIfTrue="1" operator="containsText" text="Nivel IV: Riesgo Tolerable (Aceptable)">
      <formula>NOT(ISERROR(SEARCH("Nivel IV: Riesgo Tolerable (Aceptable)",Y236)))</formula>
    </cfRule>
    <cfRule type="containsText" dxfId="2617" priority="7126" stopIfTrue="1" operator="containsText" text="Nivel II: Riesgo Importante">
      <formula>NOT(ISERROR(SEARCH("Nivel II: Riesgo Importante",Y236)))</formula>
    </cfRule>
    <cfRule type="containsText" dxfId="2616" priority="7127" stopIfTrue="1" operator="containsText" text="Nivel I: Riesgo Inaceptable">
      <formula>NOT(ISERROR(SEARCH("Nivel I: Riesgo Inaceptable",Y236)))</formula>
    </cfRule>
  </conditionalFormatting>
  <conditionalFormatting sqref="Y237">
    <cfRule type="containsText" dxfId="2615" priority="7060" stopIfTrue="1" operator="containsText" text="Nivel I: Riesgo Inaceptable">
      <formula>NOT(ISERROR(SEARCH("Nivel I: Riesgo Inaceptable",Y237)))</formula>
    </cfRule>
    <cfRule type="containsText" dxfId="2614" priority="7059" stopIfTrue="1" operator="containsText" text="Nivel II: Riesgo Importante">
      <formula>NOT(ISERROR(SEARCH("Nivel II: Riesgo Importante",Y237)))</formula>
    </cfRule>
    <cfRule type="containsText" dxfId="2613" priority="7061" stopIfTrue="1" operator="containsText" text="Nivel IV: Riesgo Tolerable (Aceptable)">
      <formula>NOT(ISERROR(SEARCH("Nivel IV: Riesgo Tolerable (Aceptable)",Y237)))</formula>
    </cfRule>
  </conditionalFormatting>
  <conditionalFormatting sqref="Y238">
    <cfRule type="containsText" dxfId="2612" priority="7227" stopIfTrue="1" operator="containsText" text="Nivel I: Riesgo Inaceptable">
      <formula>NOT(ISERROR(SEARCH("Nivel I: Riesgo Inaceptable",Y238)))</formula>
    </cfRule>
    <cfRule type="containsText" dxfId="2611" priority="7206" stopIfTrue="1" operator="containsText" text="Nivel II: Riesgo Importante">
      <formula>NOT(ISERROR(SEARCH("Nivel II: Riesgo Importante",Y238)))</formula>
    </cfRule>
    <cfRule type="containsText" dxfId="2610" priority="7228" stopIfTrue="1" operator="containsText" text="Nivel IV: Riesgo Tolerable (Aceptable)">
      <formula>NOT(ISERROR(SEARCH("Nivel IV: Riesgo Tolerable (Aceptable)",Y238)))</formula>
    </cfRule>
    <cfRule type="containsText" dxfId="2609" priority="7208" stopIfTrue="1" operator="containsText" text="Nivel IV: Riesgo Tolerable (Aceptable)">
      <formula>NOT(ISERROR(SEARCH("Nivel IV: Riesgo Tolerable (Aceptable)",Y238)))</formula>
    </cfRule>
    <cfRule type="containsText" dxfId="2608" priority="7226" stopIfTrue="1" operator="containsText" text="Nivel II: Riesgo Importante">
      <formula>NOT(ISERROR(SEARCH("Nivel II: Riesgo Importante",Y238)))</formula>
    </cfRule>
    <cfRule type="containsText" dxfId="2607" priority="7207" stopIfTrue="1" operator="containsText" text="Nivel I: Riesgo Inaceptable">
      <formula>NOT(ISERROR(SEARCH("Nivel I: Riesgo Inaceptable",Y238)))</formula>
    </cfRule>
  </conditionalFormatting>
  <conditionalFormatting sqref="Y238:Y239">
    <cfRule type="containsText" dxfId="2606" priority="7168" stopIfTrue="1" operator="containsText" text="Nivel III: Riesgo Moderado (Aceptable)">
      <formula>NOT(ISERROR(SEARCH("Nivel III: Riesgo Moderado (Aceptable)",Y238)))</formula>
    </cfRule>
  </conditionalFormatting>
  <conditionalFormatting sqref="Y239">
    <cfRule type="containsText" dxfId="2605" priority="7166" stopIfTrue="1" operator="containsText" text="Nivel I: Riesgo Inaceptable">
      <formula>NOT(ISERROR(SEARCH("Nivel I: Riesgo Inaceptable",Y239)))</formula>
    </cfRule>
    <cfRule type="containsText" dxfId="2604" priority="7167" stopIfTrue="1" operator="containsText" text="Nivel IV: Riesgo Tolerable (Aceptable)">
      <formula>NOT(ISERROR(SEARCH("Nivel IV: Riesgo Tolerable (Aceptable)",Y239)))</formula>
    </cfRule>
    <cfRule type="containsText" dxfId="2603" priority="7165" stopIfTrue="1" operator="containsText" text="Nivel II: Riesgo Importante">
      <formula>NOT(ISERROR(SEARCH("Nivel II: Riesgo Importante",Y239)))</formula>
    </cfRule>
    <cfRule type="containsText" dxfId="2602" priority="7169" stopIfTrue="1" operator="containsText" text="Nivel II: Riesgo Importante">
      <formula>NOT(ISERROR(SEARCH("Nivel II: Riesgo Importante",Y239)))</formula>
    </cfRule>
    <cfRule type="containsText" dxfId="2601" priority="7171" stopIfTrue="1" operator="containsText" text="Nivel IV: Riesgo Tolerable (Aceptable)">
      <formula>NOT(ISERROR(SEARCH("Nivel IV: Riesgo Tolerable (Aceptable)",Y239)))</formula>
    </cfRule>
    <cfRule type="containsText" dxfId="2600" priority="7170" stopIfTrue="1" operator="containsText" text="Nivel I: Riesgo Inaceptable">
      <formula>NOT(ISERROR(SEARCH("Nivel I: Riesgo Inaceptable",Y239)))</formula>
    </cfRule>
  </conditionalFormatting>
  <conditionalFormatting sqref="Y240">
    <cfRule type="containsText" dxfId="2599" priority="6981" stopIfTrue="1" operator="containsText" text="Nivel I: Riesgo Inaceptable">
      <formula>NOT(ISERROR(SEARCH("Nivel I: Riesgo Inaceptable",Y240)))</formula>
    </cfRule>
    <cfRule type="containsText" dxfId="2598" priority="6980" stopIfTrue="1" operator="containsText" text="Nivel II: Riesgo Importante">
      <formula>NOT(ISERROR(SEARCH("Nivel II: Riesgo Importante",Y240)))</formula>
    </cfRule>
    <cfRule type="containsText" dxfId="2597" priority="6986" stopIfTrue="1" operator="containsText" text="Nivel IV: Riesgo Tolerable (Aceptable)">
      <formula>NOT(ISERROR(SEARCH("Nivel IV: Riesgo Tolerable (Aceptable)",Y240)))</formula>
    </cfRule>
    <cfRule type="containsText" dxfId="2596" priority="6979" stopIfTrue="1" operator="containsText" text="Nivel III: Riesgo Moderado (Aceptable)">
      <formula>NOT(ISERROR(SEARCH("Nivel III: Riesgo Moderado (Aceptable)",Y240)))</formula>
    </cfRule>
    <cfRule type="containsText" dxfId="2595" priority="6985" stopIfTrue="1" operator="containsText" text="Nivel I: Riesgo Inaceptable">
      <formula>NOT(ISERROR(SEARCH("Nivel I: Riesgo Inaceptable",Y240)))</formula>
    </cfRule>
    <cfRule type="containsText" dxfId="2594" priority="6984" stopIfTrue="1" operator="containsText" text="Nivel II: Riesgo Importante">
      <formula>NOT(ISERROR(SEARCH("Nivel II: Riesgo Importante",Y240)))</formula>
    </cfRule>
    <cfRule type="containsText" dxfId="2593" priority="6982" stopIfTrue="1" operator="containsText" text="Nivel IV: Riesgo Tolerable (Aceptable)">
      <formula>NOT(ISERROR(SEARCH("Nivel IV: Riesgo Tolerable (Aceptable)",Y240)))</formula>
    </cfRule>
  </conditionalFormatting>
  <conditionalFormatting sqref="Y241">
    <cfRule type="containsText" dxfId="2592" priority="7249" stopIfTrue="1" operator="containsText" text="Nivel IV: Riesgo Tolerable (Aceptable)">
      <formula>NOT(ISERROR(SEARCH("Nivel IV: Riesgo Tolerable (Aceptable)",Y241)))</formula>
    </cfRule>
    <cfRule type="containsText" dxfId="2591" priority="7251" stopIfTrue="1" operator="containsText" text="Nivel II: Riesgo Importante">
      <formula>NOT(ISERROR(SEARCH("Nivel II: Riesgo Importante",Y241)))</formula>
    </cfRule>
    <cfRule type="containsText" dxfId="2590" priority="7247" stopIfTrue="1" operator="containsText" text="Nivel II: Riesgo Importante">
      <formula>NOT(ISERROR(SEARCH("Nivel II: Riesgo Importante",Y241)))</formula>
    </cfRule>
    <cfRule type="containsText" dxfId="2589" priority="7253" stopIfTrue="1" operator="containsText" text="Nivel IV: Riesgo Tolerable (Aceptable)">
      <formula>NOT(ISERROR(SEARCH("Nivel IV: Riesgo Tolerable (Aceptable)",Y241)))</formula>
    </cfRule>
    <cfRule type="containsText" dxfId="2588" priority="7252" stopIfTrue="1" operator="containsText" text="Nivel I: Riesgo Inaceptable">
      <formula>NOT(ISERROR(SEARCH("Nivel I: Riesgo Inaceptable",Y241)))</formula>
    </cfRule>
    <cfRule type="containsText" dxfId="2587" priority="7248" stopIfTrue="1" operator="containsText" text="Nivel I: Riesgo Inaceptable">
      <formula>NOT(ISERROR(SEARCH("Nivel I: Riesgo Inaceptable",Y241)))</formula>
    </cfRule>
  </conditionalFormatting>
  <conditionalFormatting sqref="Y241:Y242">
    <cfRule type="containsText" dxfId="2586" priority="7028" stopIfTrue="1" operator="containsText" text="Nivel III: Riesgo Moderado (Aceptable)">
      <formula>NOT(ISERROR(SEARCH("Nivel III: Riesgo Moderado (Aceptable)",Y241)))</formula>
    </cfRule>
  </conditionalFormatting>
  <conditionalFormatting sqref="Y242">
    <cfRule type="containsText" dxfId="2585" priority="7031" stopIfTrue="1" operator="containsText" text="Nivel IV: Riesgo Tolerable (Aceptable)">
      <formula>NOT(ISERROR(SEARCH("Nivel IV: Riesgo Tolerable (Aceptable)",Y242)))</formula>
    </cfRule>
    <cfRule type="containsText" dxfId="2584" priority="7027" stopIfTrue="1" operator="containsText" text="Nivel IV: Riesgo Tolerable (Aceptable)">
      <formula>NOT(ISERROR(SEARCH("Nivel IV: Riesgo Tolerable (Aceptable)",Y242)))</formula>
    </cfRule>
    <cfRule type="containsText" dxfId="2583" priority="7025" stopIfTrue="1" operator="containsText" text="Nivel II: Riesgo Importante">
      <formula>NOT(ISERROR(SEARCH("Nivel II: Riesgo Importante",Y242)))</formula>
    </cfRule>
    <cfRule type="containsText" dxfId="2582" priority="7026" stopIfTrue="1" operator="containsText" text="Nivel I: Riesgo Inaceptable">
      <formula>NOT(ISERROR(SEARCH("Nivel I: Riesgo Inaceptable",Y242)))</formula>
    </cfRule>
    <cfRule type="containsText" dxfId="2581" priority="7029" stopIfTrue="1" operator="containsText" text="Nivel II: Riesgo Importante">
      <formula>NOT(ISERROR(SEARCH("Nivel II: Riesgo Importante",Y242)))</formula>
    </cfRule>
    <cfRule type="containsText" dxfId="2580" priority="7030" stopIfTrue="1" operator="containsText" text="Nivel I: Riesgo Inaceptable">
      <formula>NOT(ISERROR(SEARCH("Nivel I: Riesgo Inaceptable",Y242)))</formula>
    </cfRule>
  </conditionalFormatting>
  <conditionalFormatting sqref="Y243">
    <cfRule type="containsText" dxfId="2579" priority="6895" stopIfTrue="1" operator="containsText" text="Nivel III: Riesgo Moderado (Aceptable)">
      <formula>NOT(ISERROR(SEARCH("Nivel III: Riesgo Moderado (Aceptable)",Y243)))</formula>
    </cfRule>
    <cfRule type="containsText" dxfId="2578" priority="6896" stopIfTrue="1" operator="containsText" text="Nivel II: Riesgo Importante">
      <formula>NOT(ISERROR(SEARCH("Nivel II: Riesgo Importante",Y243)))</formula>
    </cfRule>
    <cfRule type="containsText" dxfId="2577" priority="6897" stopIfTrue="1" operator="containsText" text="Nivel I: Riesgo Inaceptable">
      <formula>NOT(ISERROR(SEARCH("Nivel I: Riesgo Inaceptable",Y243)))</formula>
    </cfRule>
    <cfRule type="containsText" dxfId="2576" priority="6898" stopIfTrue="1" operator="containsText" text="Nivel IV: Riesgo Tolerable (Aceptable)">
      <formula>NOT(ISERROR(SEARCH("Nivel IV: Riesgo Tolerable (Aceptable)",Y243)))</formula>
    </cfRule>
    <cfRule type="containsText" dxfId="2575" priority="6875" stopIfTrue="1" operator="containsText" text="Nivel I: Riesgo Inaceptable">
      <formula>NOT(ISERROR(SEARCH("Nivel I: Riesgo Inaceptable",Y243)))</formula>
    </cfRule>
    <cfRule type="containsText" dxfId="2574" priority="6874" stopIfTrue="1" operator="containsText" text="Nivel II: Riesgo Importante">
      <formula>NOT(ISERROR(SEARCH("Nivel II: Riesgo Importante",Y243)))</formula>
    </cfRule>
    <cfRule type="containsText" dxfId="2573" priority="6876" stopIfTrue="1" operator="containsText" text="Nivel IV: Riesgo Tolerable (Aceptable)">
      <formula>NOT(ISERROR(SEARCH("Nivel IV: Riesgo Tolerable (Aceptable)",Y243)))</formula>
    </cfRule>
  </conditionalFormatting>
  <conditionalFormatting sqref="Y243:Y244">
    <cfRule type="containsText" dxfId="2572" priority="6774" stopIfTrue="1" operator="containsText" text="Nivel III: Riesgo Moderado (Aceptable)">
      <formula>NOT(ISERROR(SEARCH("Nivel III: Riesgo Moderado (Aceptable)",Y243)))</formula>
    </cfRule>
  </conditionalFormatting>
  <conditionalFormatting sqref="Y244">
    <cfRule type="containsText" dxfId="2571" priority="6776" stopIfTrue="1" operator="containsText" text="Nivel I: Riesgo Inaceptable">
      <formula>NOT(ISERROR(SEARCH("Nivel I: Riesgo Inaceptable",Y244)))</formula>
    </cfRule>
    <cfRule type="containsText" dxfId="2570" priority="6775" stopIfTrue="1" operator="containsText" text="Nivel II: Riesgo Importante">
      <formula>NOT(ISERROR(SEARCH("Nivel II: Riesgo Importante",Y244)))</formula>
    </cfRule>
    <cfRule type="containsText" dxfId="2569" priority="6768" stopIfTrue="1" operator="containsText" text="Nivel I: Riesgo Inaceptable">
      <formula>NOT(ISERROR(SEARCH("Nivel I: Riesgo Inaceptable",Y244)))</formula>
    </cfRule>
    <cfRule type="containsText" dxfId="2568" priority="6767" stopIfTrue="1" operator="containsText" text="Nivel II: Riesgo Importante">
      <formula>NOT(ISERROR(SEARCH("Nivel II: Riesgo Importante",Y244)))</formula>
    </cfRule>
    <cfRule type="containsText" dxfId="2567" priority="6777" stopIfTrue="1" operator="containsText" text="Nivel IV: Riesgo Tolerable (Aceptable)">
      <formula>NOT(ISERROR(SEARCH("Nivel IV: Riesgo Tolerable (Aceptable)",Y244)))</formula>
    </cfRule>
    <cfRule type="containsText" dxfId="2566" priority="6769" stopIfTrue="1" operator="containsText" text="Nivel IV: Riesgo Tolerable (Aceptable)">
      <formula>NOT(ISERROR(SEARCH("Nivel IV: Riesgo Tolerable (Aceptable)",Y244)))</formula>
    </cfRule>
  </conditionalFormatting>
  <conditionalFormatting sqref="Y245">
    <cfRule type="containsText" dxfId="2565" priority="6345" stopIfTrue="1" operator="containsText" text="Nivel I: Riesgo Inaceptable">
      <formula>NOT(ISERROR(SEARCH("Nivel I: Riesgo Inaceptable",Y245)))</formula>
    </cfRule>
    <cfRule type="containsText" dxfId="2564" priority="6346" stopIfTrue="1" operator="containsText" text="Nivel IV: Riesgo Tolerable (Aceptable)">
      <formula>NOT(ISERROR(SEARCH("Nivel IV: Riesgo Tolerable (Aceptable)",Y245)))</formula>
    </cfRule>
    <cfRule type="containsText" dxfId="2563" priority="6368" stopIfTrue="1" operator="containsText" text="Nivel II: Riesgo Importante">
      <formula>NOT(ISERROR(SEARCH("Nivel II: Riesgo Importante",Y245)))</formula>
    </cfRule>
    <cfRule type="containsText" dxfId="2562" priority="6369" stopIfTrue="1" operator="containsText" text="Nivel I: Riesgo Inaceptable">
      <formula>NOT(ISERROR(SEARCH("Nivel I: Riesgo Inaceptable",Y245)))</formula>
    </cfRule>
    <cfRule type="containsText" dxfId="2561" priority="6370" stopIfTrue="1" operator="containsText" text="Nivel IV: Riesgo Tolerable (Aceptable)">
      <formula>NOT(ISERROR(SEARCH("Nivel IV: Riesgo Tolerable (Aceptable)",Y245)))</formula>
    </cfRule>
    <cfRule type="containsText" dxfId="2560" priority="6344" stopIfTrue="1" operator="containsText" text="Nivel II: Riesgo Importante">
      <formula>NOT(ISERROR(SEARCH("Nivel II: Riesgo Importante",Y245)))</formula>
    </cfRule>
  </conditionalFormatting>
  <conditionalFormatting sqref="Y246">
    <cfRule type="containsText" dxfId="2559" priority="6338" stopIfTrue="1" operator="containsText" text="Nivel IV: Riesgo Tolerable (Aceptable)">
      <formula>NOT(ISERROR(SEARCH("Nivel IV: Riesgo Tolerable (Aceptable)",Y246)))</formula>
    </cfRule>
    <cfRule type="containsText" dxfId="2558" priority="6308" stopIfTrue="1" operator="containsText" text="Nivel II: Riesgo Importante">
      <formula>NOT(ISERROR(SEARCH("Nivel II: Riesgo Importante",Y246)))</formula>
    </cfRule>
    <cfRule type="containsText" dxfId="2557" priority="6309" stopIfTrue="1" operator="containsText" text="Nivel I: Riesgo Inaceptable">
      <formula>NOT(ISERROR(SEARCH("Nivel I: Riesgo Inaceptable",Y246)))</formula>
    </cfRule>
    <cfRule type="containsText" dxfId="2556" priority="6310" stopIfTrue="1" operator="containsText" text="Nivel IV: Riesgo Tolerable (Aceptable)">
      <formula>NOT(ISERROR(SEARCH("Nivel IV: Riesgo Tolerable (Aceptable)",Y246)))</formula>
    </cfRule>
    <cfRule type="containsText" dxfId="2555" priority="6336" stopIfTrue="1" operator="containsText" text="Nivel II: Riesgo Importante">
      <formula>NOT(ISERROR(SEARCH("Nivel II: Riesgo Importante",Y246)))</formula>
    </cfRule>
    <cfRule type="containsText" dxfId="2554" priority="6337" stopIfTrue="1" operator="containsText" text="Nivel I: Riesgo Inaceptable">
      <formula>NOT(ISERROR(SEARCH("Nivel I: Riesgo Inaceptable",Y246)))</formula>
    </cfRule>
  </conditionalFormatting>
  <conditionalFormatting sqref="Y247">
    <cfRule type="containsText" dxfId="2553" priority="6724" stopIfTrue="1" operator="containsText" text="Nivel IV: Riesgo Tolerable (Aceptable)">
      <formula>NOT(ISERROR(SEARCH("Nivel IV: Riesgo Tolerable (Aceptable)",Y247)))</formula>
    </cfRule>
    <cfRule type="containsText" dxfId="2552" priority="6727" stopIfTrue="1" operator="containsText" text="Nivel I: Riesgo Inaceptable">
      <formula>NOT(ISERROR(SEARCH("Nivel I: Riesgo Inaceptable",Y247)))</formula>
    </cfRule>
    <cfRule type="containsText" dxfId="2551" priority="6726" stopIfTrue="1" operator="containsText" text="Nivel II: Riesgo Importante">
      <formula>NOT(ISERROR(SEARCH("Nivel II: Riesgo Importante",Y247)))</formula>
    </cfRule>
    <cfRule type="containsText" dxfId="2550" priority="6728" stopIfTrue="1" operator="containsText" text="Nivel IV: Riesgo Tolerable (Aceptable)">
      <formula>NOT(ISERROR(SEARCH("Nivel IV: Riesgo Tolerable (Aceptable)",Y247)))</formula>
    </cfRule>
    <cfRule type="containsText" dxfId="2549" priority="6722" stopIfTrue="1" operator="containsText" text="Nivel II: Riesgo Importante">
      <formula>NOT(ISERROR(SEARCH("Nivel II: Riesgo Importante",Y247)))</formula>
    </cfRule>
    <cfRule type="containsText" dxfId="2548" priority="6723" stopIfTrue="1" operator="containsText" text="Nivel I: Riesgo Inaceptable">
      <formula>NOT(ISERROR(SEARCH("Nivel I: Riesgo Inaceptable",Y247)))</formula>
    </cfRule>
  </conditionalFormatting>
  <conditionalFormatting sqref="Y247:Y248">
    <cfRule type="containsText" dxfId="2547" priority="6725" stopIfTrue="1" operator="containsText" text="Nivel III: Riesgo Moderado (Aceptable)">
      <formula>NOT(ISERROR(SEARCH("Nivel III: Riesgo Moderado (Aceptable)",Y247)))</formula>
    </cfRule>
  </conditionalFormatting>
  <conditionalFormatting sqref="Y248">
    <cfRule type="containsText" dxfId="2546" priority="6830" stopIfTrue="1" operator="containsText" text="Nivel I: Riesgo Inaceptable">
      <formula>NOT(ISERROR(SEARCH("Nivel I: Riesgo Inaceptable",Y248)))</formula>
    </cfRule>
    <cfRule type="containsText" dxfId="2545" priority="6831" stopIfTrue="1" operator="containsText" text="Nivel IV: Riesgo Tolerable (Aceptable)">
      <formula>NOT(ISERROR(SEARCH("Nivel IV: Riesgo Tolerable (Aceptable)",Y248)))</formula>
    </cfRule>
    <cfRule type="containsText" dxfId="2544" priority="6833" stopIfTrue="1" operator="containsText" text="Nivel II: Riesgo Importante">
      <formula>NOT(ISERROR(SEARCH("Nivel II: Riesgo Importante",Y248)))</formula>
    </cfRule>
    <cfRule type="containsText" dxfId="2543" priority="6834" stopIfTrue="1" operator="containsText" text="Nivel I: Riesgo Inaceptable">
      <formula>NOT(ISERROR(SEARCH("Nivel I: Riesgo Inaceptable",Y248)))</formula>
    </cfRule>
    <cfRule type="containsText" dxfId="2542" priority="6835" stopIfTrue="1" operator="containsText" text="Nivel IV: Riesgo Tolerable (Aceptable)">
      <formula>NOT(ISERROR(SEARCH("Nivel IV: Riesgo Tolerable (Aceptable)",Y248)))</formula>
    </cfRule>
    <cfRule type="containsText" dxfId="2541" priority="6829" stopIfTrue="1" operator="containsText" text="Nivel II: Riesgo Importante">
      <formula>NOT(ISERROR(SEARCH("Nivel II: Riesgo Importante",Y248)))</formula>
    </cfRule>
  </conditionalFormatting>
  <conditionalFormatting sqref="Y249">
    <cfRule type="containsText" dxfId="2540" priority="6679" stopIfTrue="1" operator="containsText" text="Nivel IV: Riesgo Tolerable (Aceptable)">
      <formula>NOT(ISERROR(SEARCH("Nivel IV: Riesgo Tolerable (Aceptable)",Y249)))</formula>
    </cfRule>
    <cfRule type="containsText" dxfId="2539" priority="6678" stopIfTrue="1" operator="containsText" text="Nivel I: Riesgo Inaceptable">
      <formula>NOT(ISERROR(SEARCH("Nivel I: Riesgo Inaceptable",Y249)))</formula>
    </cfRule>
    <cfRule type="containsText" dxfId="2538" priority="6677" stopIfTrue="1" operator="containsText" text="Nivel II: Riesgo Importante">
      <formula>NOT(ISERROR(SEARCH("Nivel II: Riesgo Importante",Y249)))</formula>
    </cfRule>
    <cfRule type="containsText" dxfId="2537" priority="6681" stopIfTrue="1" operator="containsText" text="Nivel II: Riesgo Importante">
      <formula>NOT(ISERROR(SEARCH("Nivel II: Riesgo Importante",Y249)))</formula>
    </cfRule>
    <cfRule type="containsText" dxfId="2536" priority="6682" stopIfTrue="1" operator="containsText" text="Nivel I: Riesgo Inaceptable">
      <formula>NOT(ISERROR(SEARCH("Nivel I: Riesgo Inaceptable",Y249)))</formula>
    </cfRule>
    <cfRule type="containsText" dxfId="2535" priority="6683" stopIfTrue="1" operator="containsText" text="Nivel IV: Riesgo Tolerable (Aceptable)">
      <formula>NOT(ISERROR(SEARCH("Nivel IV: Riesgo Tolerable (Aceptable)",Y249)))</formula>
    </cfRule>
  </conditionalFormatting>
  <conditionalFormatting sqref="Y249:Y252">
    <cfRule type="containsText" dxfId="2534" priority="6454" stopIfTrue="1" operator="containsText" text="Nivel III: Riesgo Moderado (Aceptable)">
      <formula>NOT(ISERROR(SEARCH("Nivel III: Riesgo Moderado (Aceptable)",Y249)))</formula>
    </cfRule>
  </conditionalFormatting>
  <conditionalFormatting sqref="Y250">
    <cfRule type="containsText" dxfId="2533" priority="6487" stopIfTrue="1" operator="containsText" text="Nivel IV: Riesgo Tolerable (Aceptable)">
      <formula>NOT(ISERROR(SEARCH("Nivel IV: Riesgo Tolerable (Aceptable)",Y250)))</formula>
    </cfRule>
    <cfRule type="containsText" dxfId="2532" priority="6485" stopIfTrue="1" operator="containsText" text="Nivel II: Riesgo Importante">
      <formula>NOT(ISERROR(SEARCH("Nivel II: Riesgo Importante",Y250)))</formula>
    </cfRule>
    <cfRule type="containsText" dxfId="2531" priority="6486" stopIfTrue="1" operator="containsText" text="Nivel I: Riesgo Inaceptable">
      <formula>NOT(ISERROR(SEARCH("Nivel I: Riesgo Inaceptable",Y250)))</formula>
    </cfRule>
  </conditionalFormatting>
  <conditionalFormatting sqref="Y251">
    <cfRule type="containsText" dxfId="2530" priority="6522" stopIfTrue="1" operator="containsText" text="Nivel II: Riesgo Importante">
      <formula>NOT(ISERROR(SEARCH("Nivel II: Riesgo Importante",Y251)))</formula>
    </cfRule>
    <cfRule type="containsText" dxfId="2529" priority="6523" stopIfTrue="1" operator="containsText" text="Nivel I: Riesgo Inaceptable">
      <formula>NOT(ISERROR(SEARCH("Nivel I: Riesgo Inaceptable",Y251)))</formula>
    </cfRule>
    <cfRule type="containsText" dxfId="2528" priority="6524" stopIfTrue="1" operator="containsText" text="Nivel IV: Riesgo Tolerable (Aceptable)">
      <formula>NOT(ISERROR(SEARCH("Nivel IV: Riesgo Tolerable (Aceptable)",Y251)))</formula>
    </cfRule>
  </conditionalFormatting>
  <conditionalFormatting sqref="Y252">
    <cfRule type="containsText" dxfId="2527" priority="6456" stopIfTrue="1" operator="containsText" text="Nivel I: Riesgo Inaceptable">
      <formula>NOT(ISERROR(SEARCH("Nivel I: Riesgo Inaceptable",Y252)))</formula>
    </cfRule>
    <cfRule type="containsText" dxfId="2526" priority="6455" stopIfTrue="1" operator="containsText" text="Nivel II: Riesgo Importante">
      <formula>NOT(ISERROR(SEARCH("Nivel II: Riesgo Importante",Y252)))</formula>
    </cfRule>
    <cfRule type="containsText" dxfId="2525" priority="6457" stopIfTrue="1" operator="containsText" text="Nivel IV: Riesgo Tolerable (Aceptable)">
      <formula>NOT(ISERROR(SEARCH("Nivel IV: Riesgo Tolerable (Aceptable)",Y252)))</formula>
    </cfRule>
  </conditionalFormatting>
  <conditionalFormatting sqref="Y253">
    <cfRule type="containsText" dxfId="2524" priority="6602" stopIfTrue="1" operator="containsText" text="Nivel II: Riesgo Importante">
      <formula>NOT(ISERROR(SEARCH("Nivel II: Riesgo Importante",Y253)))</formula>
    </cfRule>
    <cfRule type="containsText" dxfId="2523" priority="6603" stopIfTrue="1" operator="containsText" text="Nivel I: Riesgo Inaceptable">
      <formula>NOT(ISERROR(SEARCH("Nivel I: Riesgo Inaceptable",Y253)))</formula>
    </cfRule>
    <cfRule type="containsText" dxfId="2522" priority="6622" stopIfTrue="1" operator="containsText" text="Nivel II: Riesgo Importante">
      <formula>NOT(ISERROR(SEARCH("Nivel II: Riesgo Importante",Y253)))</formula>
    </cfRule>
    <cfRule type="containsText" dxfId="2521" priority="6623" stopIfTrue="1" operator="containsText" text="Nivel I: Riesgo Inaceptable">
      <formula>NOT(ISERROR(SEARCH("Nivel I: Riesgo Inaceptable",Y253)))</formula>
    </cfRule>
    <cfRule type="containsText" dxfId="2520" priority="6604" stopIfTrue="1" operator="containsText" text="Nivel IV: Riesgo Tolerable (Aceptable)">
      <formula>NOT(ISERROR(SEARCH("Nivel IV: Riesgo Tolerable (Aceptable)",Y253)))</formula>
    </cfRule>
    <cfRule type="containsText" dxfId="2519" priority="6624" stopIfTrue="1" operator="containsText" text="Nivel IV: Riesgo Tolerable (Aceptable)">
      <formula>NOT(ISERROR(SEARCH("Nivel IV: Riesgo Tolerable (Aceptable)",Y253)))</formula>
    </cfRule>
  </conditionalFormatting>
  <conditionalFormatting sqref="Y253:Y254">
    <cfRule type="containsText" dxfId="2518" priority="6564" stopIfTrue="1" operator="containsText" text="Nivel III: Riesgo Moderado (Aceptable)">
      <formula>NOT(ISERROR(SEARCH("Nivel III: Riesgo Moderado (Aceptable)",Y253)))</formula>
    </cfRule>
  </conditionalFormatting>
  <conditionalFormatting sqref="Y254">
    <cfRule type="containsText" dxfId="2517" priority="6565" stopIfTrue="1" operator="containsText" text="Nivel II: Riesgo Importante">
      <formula>NOT(ISERROR(SEARCH("Nivel II: Riesgo Importante",Y254)))</formula>
    </cfRule>
    <cfRule type="containsText" dxfId="2516" priority="6562" stopIfTrue="1" operator="containsText" text="Nivel I: Riesgo Inaceptable">
      <formula>NOT(ISERROR(SEARCH("Nivel I: Riesgo Inaceptable",Y254)))</formula>
    </cfRule>
    <cfRule type="containsText" dxfId="2515" priority="6566" stopIfTrue="1" operator="containsText" text="Nivel I: Riesgo Inaceptable">
      <formula>NOT(ISERROR(SEARCH("Nivel I: Riesgo Inaceptable",Y254)))</formula>
    </cfRule>
    <cfRule type="containsText" dxfId="2514" priority="6561" stopIfTrue="1" operator="containsText" text="Nivel II: Riesgo Importante">
      <formula>NOT(ISERROR(SEARCH("Nivel II: Riesgo Importante",Y254)))</formula>
    </cfRule>
    <cfRule type="containsText" dxfId="2513" priority="6567" stopIfTrue="1" operator="containsText" text="Nivel IV: Riesgo Tolerable (Aceptable)">
      <formula>NOT(ISERROR(SEARCH("Nivel IV: Riesgo Tolerable (Aceptable)",Y254)))</formula>
    </cfRule>
    <cfRule type="containsText" dxfId="2512" priority="6563" stopIfTrue="1" operator="containsText" text="Nivel IV: Riesgo Tolerable (Aceptable)">
      <formula>NOT(ISERROR(SEARCH("Nivel IV: Riesgo Tolerable (Aceptable)",Y254)))</formula>
    </cfRule>
  </conditionalFormatting>
  <conditionalFormatting sqref="Y255">
    <cfRule type="containsText" dxfId="2511" priority="6382" stopIfTrue="1" operator="containsText" text="Nivel IV: Riesgo Tolerable (Aceptable)">
      <formula>NOT(ISERROR(SEARCH("Nivel IV: Riesgo Tolerable (Aceptable)",Y255)))</formula>
    </cfRule>
    <cfRule type="containsText" dxfId="2510" priority="6381" stopIfTrue="1" operator="containsText" text="Nivel I: Riesgo Inaceptable">
      <formula>NOT(ISERROR(SEARCH("Nivel I: Riesgo Inaceptable",Y255)))</formula>
    </cfRule>
    <cfRule type="containsText" dxfId="2509" priority="6378" stopIfTrue="1" operator="containsText" text="Nivel IV: Riesgo Tolerable (Aceptable)">
      <formula>NOT(ISERROR(SEARCH("Nivel IV: Riesgo Tolerable (Aceptable)",Y255)))</formula>
    </cfRule>
    <cfRule type="containsText" dxfId="2508" priority="6375" stopIfTrue="1" operator="containsText" text="Nivel III: Riesgo Moderado (Aceptable)">
      <formula>NOT(ISERROR(SEARCH("Nivel III: Riesgo Moderado (Aceptable)",Y255)))</formula>
    </cfRule>
    <cfRule type="containsText" dxfId="2507" priority="6376" stopIfTrue="1" operator="containsText" text="Nivel II: Riesgo Importante">
      <formula>NOT(ISERROR(SEARCH("Nivel II: Riesgo Importante",Y255)))</formula>
    </cfRule>
    <cfRule type="containsText" dxfId="2506" priority="6377" stopIfTrue="1" operator="containsText" text="Nivel I: Riesgo Inaceptable">
      <formula>NOT(ISERROR(SEARCH("Nivel I: Riesgo Inaceptable",Y255)))</formula>
    </cfRule>
    <cfRule type="containsText" dxfId="2505" priority="6380" stopIfTrue="1" operator="containsText" text="Nivel II: Riesgo Importante">
      <formula>NOT(ISERROR(SEARCH("Nivel II: Riesgo Importante",Y255)))</formula>
    </cfRule>
  </conditionalFormatting>
  <conditionalFormatting sqref="Y256">
    <cfRule type="containsText" dxfId="2504" priority="6648" stopIfTrue="1" operator="containsText" text="Nivel I: Riesgo Inaceptable">
      <formula>NOT(ISERROR(SEARCH("Nivel I: Riesgo Inaceptable",Y256)))</formula>
    </cfRule>
    <cfRule type="containsText" dxfId="2503" priority="6643" stopIfTrue="1" operator="containsText" text="Nivel II: Riesgo Importante">
      <formula>NOT(ISERROR(SEARCH("Nivel II: Riesgo Importante",Y256)))</formula>
    </cfRule>
    <cfRule type="containsText" dxfId="2502" priority="6644" stopIfTrue="1" operator="containsText" text="Nivel I: Riesgo Inaceptable">
      <formula>NOT(ISERROR(SEARCH("Nivel I: Riesgo Inaceptable",Y256)))</formula>
    </cfRule>
    <cfRule type="containsText" dxfId="2501" priority="6647" stopIfTrue="1" operator="containsText" text="Nivel II: Riesgo Importante">
      <formula>NOT(ISERROR(SEARCH("Nivel II: Riesgo Importante",Y256)))</formula>
    </cfRule>
    <cfRule type="containsText" dxfId="2500" priority="6649" stopIfTrue="1" operator="containsText" text="Nivel IV: Riesgo Tolerable (Aceptable)">
      <formula>NOT(ISERROR(SEARCH("Nivel IV: Riesgo Tolerable (Aceptable)",Y256)))</formula>
    </cfRule>
    <cfRule type="containsText" dxfId="2499" priority="6645" stopIfTrue="1" operator="containsText" text="Nivel IV: Riesgo Tolerable (Aceptable)">
      <formula>NOT(ISERROR(SEARCH("Nivel IV: Riesgo Tolerable (Aceptable)",Y256)))</formula>
    </cfRule>
  </conditionalFormatting>
  <conditionalFormatting sqref="Y256:Y257">
    <cfRule type="containsText" dxfId="2498" priority="6424" stopIfTrue="1" operator="containsText" text="Nivel III: Riesgo Moderado (Aceptable)">
      <formula>NOT(ISERROR(SEARCH("Nivel III: Riesgo Moderado (Aceptable)",Y256)))</formula>
    </cfRule>
  </conditionalFormatting>
  <conditionalFormatting sqref="Y257">
    <cfRule type="containsText" dxfId="2497" priority="6421" stopIfTrue="1" operator="containsText" text="Nivel II: Riesgo Importante">
      <formula>NOT(ISERROR(SEARCH("Nivel II: Riesgo Importante",Y257)))</formula>
    </cfRule>
    <cfRule type="containsText" dxfId="2496" priority="6423" stopIfTrue="1" operator="containsText" text="Nivel IV: Riesgo Tolerable (Aceptable)">
      <formula>NOT(ISERROR(SEARCH("Nivel IV: Riesgo Tolerable (Aceptable)",Y257)))</formula>
    </cfRule>
    <cfRule type="containsText" dxfId="2495" priority="6422" stopIfTrue="1" operator="containsText" text="Nivel I: Riesgo Inaceptable">
      <formula>NOT(ISERROR(SEARCH("Nivel I: Riesgo Inaceptable",Y257)))</formula>
    </cfRule>
    <cfRule type="containsText" dxfId="2494" priority="6425" stopIfTrue="1" operator="containsText" text="Nivel II: Riesgo Importante">
      <formula>NOT(ISERROR(SEARCH("Nivel II: Riesgo Importante",Y257)))</formula>
    </cfRule>
    <cfRule type="containsText" dxfId="2493" priority="6427" stopIfTrue="1" operator="containsText" text="Nivel IV: Riesgo Tolerable (Aceptable)">
      <formula>NOT(ISERROR(SEARCH("Nivel IV: Riesgo Tolerable (Aceptable)",Y257)))</formula>
    </cfRule>
    <cfRule type="containsText" dxfId="2492" priority="6426" stopIfTrue="1" operator="containsText" text="Nivel I: Riesgo Inaceptable">
      <formula>NOT(ISERROR(SEARCH("Nivel I: Riesgo Inaceptable",Y257)))</formula>
    </cfRule>
  </conditionalFormatting>
  <conditionalFormatting sqref="Y258">
    <cfRule type="containsText" dxfId="2491" priority="6199" stopIfTrue="1" operator="containsText" text="Nivel II: Riesgo Importante">
      <formula>NOT(ISERROR(SEARCH("Nivel II: Riesgo Importante",Y258)))</formula>
    </cfRule>
    <cfRule type="containsText" dxfId="2490" priority="6193" stopIfTrue="1" operator="containsText" text="Nivel IV: Riesgo Tolerable (Aceptable)">
      <formula>NOT(ISERROR(SEARCH("Nivel IV: Riesgo Tolerable (Aceptable)",Y258)))</formula>
    </cfRule>
    <cfRule type="containsText" dxfId="2489" priority="6192" stopIfTrue="1" operator="containsText" text="Nivel I: Riesgo Inaceptable">
      <formula>NOT(ISERROR(SEARCH("Nivel I: Riesgo Inaceptable",Y258)))</formula>
    </cfRule>
    <cfRule type="containsText" dxfId="2488" priority="6191" stopIfTrue="1" operator="containsText" text="Nivel II: Riesgo Importante">
      <formula>NOT(ISERROR(SEARCH("Nivel II: Riesgo Importante",Y258)))</formula>
    </cfRule>
    <cfRule type="containsText" dxfId="2487" priority="6201" stopIfTrue="1" operator="containsText" text="Nivel IV: Riesgo Tolerable (Aceptable)">
      <formula>NOT(ISERROR(SEARCH("Nivel IV: Riesgo Tolerable (Aceptable)",Y258)))</formula>
    </cfRule>
    <cfRule type="containsText" dxfId="2486" priority="6200" stopIfTrue="1" operator="containsText" text="Nivel I: Riesgo Inaceptable">
      <formula>NOT(ISERROR(SEARCH("Nivel I: Riesgo Inaceptable",Y258)))</formula>
    </cfRule>
  </conditionalFormatting>
  <conditionalFormatting sqref="Y258:Y259">
    <cfRule type="containsText" dxfId="2485" priority="5875" stopIfTrue="1" operator="containsText" text="Nivel III: Riesgo Moderado (Aceptable)">
      <formula>NOT(ISERROR(SEARCH("Nivel III: Riesgo Moderado (Aceptable)",Y258)))</formula>
    </cfRule>
  </conditionalFormatting>
  <conditionalFormatting sqref="Y259">
    <cfRule type="containsText" dxfId="2484" priority="5876" stopIfTrue="1" operator="containsText" text="Nivel II: Riesgo Importante">
      <formula>NOT(ISERROR(SEARCH("Nivel II: Riesgo Importante",Y259)))</formula>
    </cfRule>
    <cfRule type="containsText" dxfId="2483" priority="5878" stopIfTrue="1" operator="containsText" text="Nivel IV: Riesgo Tolerable (Aceptable)">
      <formula>NOT(ISERROR(SEARCH("Nivel IV: Riesgo Tolerable (Aceptable)",Y259)))</formula>
    </cfRule>
    <cfRule type="containsText" dxfId="2482" priority="5852" stopIfTrue="1" operator="containsText" text="Nivel II: Riesgo Importante">
      <formula>NOT(ISERROR(SEARCH("Nivel II: Riesgo Importante",Y259)))</formula>
    </cfRule>
    <cfRule type="containsText" dxfId="2481" priority="5853" stopIfTrue="1" operator="containsText" text="Nivel I: Riesgo Inaceptable">
      <formula>NOT(ISERROR(SEARCH("Nivel I: Riesgo Inaceptable",Y259)))</formula>
    </cfRule>
    <cfRule type="containsText" dxfId="2480" priority="5877" stopIfTrue="1" operator="containsText" text="Nivel I: Riesgo Inaceptable">
      <formula>NOT(ISERROR(SEARCH("Nivel I: Riesgo Inaceptable",Y259)))</formula>
    </cfRule>
    <cfRule type="containsText" dxfId="2479" priority="5854" stopIfTrue="1" operator="containsText" text="Nivel IV: Riesgo Tolerable (Aceptable)">
      <formula>NOT(ISERROR(SEARCH("Nivel IV: Riesgo Tolerable (Aceptable)",Y259)))</formula>
    </cfRule>
  </conditionalFormatting>
  <conditionalFormatting sqref="Y260">
    <cfRule type="containsText" dxfId="2478" priority="5845" stopIfTrue="1" operator="containsText" text="Nivel I: Riesgo Inaceptable">
      <formula>NOT(ISERROR(SEARCH("Nivel I: Riesgo Inaceptable",Y260)))</formula>
    </cfRule>
    <cfRule type="containsText" dxfId="2477" priority="5846" stopIfTrue="1" operator="containsText" text="Nivel IV: Riesgo Tolerable (Aceptable)">
      <formula>NOT(ISERROR(SEARCH("Nivel IV: Riesgo Tolerable (Aceptable)",Y260)))</formula>
    </cfRule>
    <cfRule type="containsText" dxfId="2476" priority="5818" stopIfTrue="1" operator="containsText" text="Nivel IV: Riesgo Tolerable (Aceptable)">
      <formula>NOT(ISERROR(SEARCH("Nivel IV: Riesgo Tolerable (Aceptable)",Y260)))</formula>
    </cfRule>
    <cfRule type="containsText" dxfId="2475" priority="5817" stopIfTrue="1" operator="containsText" text="Nivel I: Riesgo Inaceptable">
      <formula>NOT(ISERROR(SEARCH("Nivel I: Riesgo Inaceptable",Y260)))</formula>
    </cfRule>
    <cfRule type="containsText" dxfId="2474" priority="5816" stopIfTrue="1" operator="containsText" text="Nivel II: Riesgo Importante">
      <formula>NOT(ISERROR(SEARCH("Nivel II: Riesgo Importante",Y260)))</formula>
    </cfRule>
    <cfRule type="containsText" dxfId="2473" priority="5844" stopIfTrue="1" operator="containsText" text="Nivel II: Riesgo Importante">
      <formula>NOT(ISERROR(SEARCH("Nivel II: Riesgo Importante",Y260)))</formula>
    </cfRule>
  </conditionalFormatting>
  <conditionalFormatting sqref="Y261">
    <cfRule type="containsText" dxfId="2472" priority="6152" stopIfTrue="1" operator="containsText" text="Nivel IV: Riesgo Tolerable (Aceptable)">
      <formula>NOT(ISERROR(SEARCH("Nivel IV: Riesgo Tolerable (Aceptable)",Y261)))</formula>
    </cfRule>
    <cfRule type="containsText" dxfId="2471" priority="6150" stopIfTrue="1" operator="containsText" text="Nivel II: Riesgo Importante">
      <formula>NOT(ISERROR(SEARCH("Nivel II: Riesgo Importante",Y261)))</formula>
    </cfRule>
    <cfRule type="containsText" dxfId="2470" priority="6151" stopIfTrue="1" operator="containsText" text="Nivel I: Riesgo Inaceptable">
      <formula>NOT(ISERROR(SEARCH("Nivel I: Riesgo Inaceptable",Y261)))</formula>
    </cfRule>
    <cfRule type="containsText" dxfId="2469" priority="6148" stopIfTrue="1" operator="containsText" text="Nivel IV: Riesgo Tolerable (Aceptable)">
      <formula>NOT(ISERROR(SEARCH("Nivel IV: Riesgo Tolerable (Aceptable)",Y261)))</formula>
    </cfRule>
    <cfRule type="containsText" dxfId="2468" priority="6147" stopIfTrue="1" operator="containsText" text="Nivel I: Riesgo Inaceptable">
      <formula>NOT(ISERROR(SEARCH("Nivel I: Riesgo Inaceptable",Y261)))</formula>
    </cfRule>
    <cfRule type="containsText" dxfId="2467" priority="6146" stopIfTrue="1" operator="containsText" text="Nivel II: Riesgo Importante">
      <formula>NOT(ISERROR(SEARCH("Nivel II: Riesgo Importante",Y261)))</formula>
    </cfRule>
  </conditionalFormatting>
  <conditionalFormatting sqref="Y261:Y262">
    <cfRule type="containsText" dxfId="2466" priority="6149" stopIfTrue="1" operator="containsText" text="Nivel III: Riesgo Moderado (Aceptable)">
      <formula>NOT(ISERROR(SEARCH("Nivel III: Riesgo Moderado (Aceptable)",Y261)))</formula>
    </cfRule>
  </conditionalFormatting>
  <conditionalFormatting sqref="Y262">
    <cfRule type="containsText" dxfId="2465" priority="6238" stopIfTrue="1" operator="containsText" text="Nivel II: Riesgo Importante">
      <formula>NOT(ISERROR(SEARCH("Nivel II: Riesgo Importante",Y262)))</formula>
    </cfRule>
    <cfRule type="containsText" dxfId="2464" priority="6242" stopIfTrue="1" operator="containsText" text="Nivel II: Riesgo Importante">
      <formula>NOT(ISERROR(SEARCH("Nivel II: Riesgo Importante",Y262)))</formula>
    </cfRule>
    <cfRule type="containsText" dxfId="2463" priority="6239" stopIfTrue="1" operator="containsText" text="Nivel I: Riesgo Inaceptable">
      <formula>NOT(ISERROR(SEARCH("Nivel I: Riesgo Inaceptable",Y262)))</formula>
    </cfRule>
    <cfRule type="containsText" dxfId="2462" priority="6240" stopIfTrue="1" operator="containsText" text="Nivel IV: Riesgo Tolerable (Aceptable)">
      <formula>NOT(ISERROR(SEARCH("Nivel IV: Riesgo Tolerable (Aceptable)",Y262)))</formula>
    </cfRule>
    <cfRule type="containsText" dxfId="2461" priority="6243" stopIfTrue="1" operator="containsText" text="Nivel I: Riesgo Inaceptable">
      <formula>NOT(ISERROR(SEARCH("Nivel I: Riesgo Inaceptable",Y262)))</formula>
    </cfRule>
    <cfRule type="containsText" dxfId="2460" priority="6244" stopIfTrue="1" operator="containsText" text="Nivel IV: Riesgo Tolerable (Aceptable)">
      <formula>NOT(ISERROR(SEARCH("Nivel IV: Riesgo Tolerable (Aceptable)",Y262)))</formula>
    </cfRule>
  </conditionalFormatting>
  <conditionalFormatting sqref="Y263">
    <cfRule type="containsText" dxfId="2459" priority="6101" stopIfTrue="1" operator="containsText" text="Nivel II: Riesgo Importante">
      <formula>NOT(ISERROR(SEARCH("Nivel II: Riesgo Importante",Y263)))</formula>
    </cfRule>
    <cfRule type="containsText" dxfId="2458" priority="6102" stopIfTrue="1" operator="containsText" text="Nivel I: Riesgo Inaceptable">
      <formula>NOT(ISERROR(SEARCH("Nivel I: Riesgo Inaceptable",Y263)))</formula>
    </cfRule>
    <cfRule type="containsText" dxfId="2457" priority="6103" stopIfTrue="1" operator="containsText" text="Nivel IV: Riesgo Tolerable (Aceptable)">
      <formula>NOT(ISERROR(SEARCH("Nivel IV: Riesgo Tolerable (Aceptable)",Y263)))</formula>
    </cfRule>
    <cfRule type="containsText" dxfId="2456" priority="6105" stopIfTrue="1" operator="containsText" text="Nivel II: Riesgo Importante">
      <formula>NOT(ISERROR(SEARCH("Nivel II: Riesgo Importante",Y263)))</formula>
    </cfRule>
    <cfRule type="containsText" dxfId="2455" priority="6106" stopIfTrue="1" operator="containsText" text="Nivel I: Riesgo Inaceptable">
      <formula>NOT(ISERROR(SEARCH("Nivel I: Riesgo Inaceptable",Y263)))</formula>
    </cfRule>
    <cfRule type="containsText" dxfId="2454" priority="6107" stopIfTrue="1" operator="containsText" text="Nivel IV: Riesgo Tolerable (Aceptable)">
      <formula>NOT(ISERROR(SEARCH("Nivel IV: Riesgo Tolerable (Aceptable)",Y263)))</formula>
    </cfRule>
  </conditionalFormatting>
  <conditionalFormatting sqref="Y263:Y265">
    <cfRule type="containsText" dxfId="2453" priority="5917" stopIfTrue="1" operator="containsText" text="Nivel III: Riesgo Moderado (Aceptable)">
      <formula>NOT(ISERROR(SEARCH("Nivel III: Riesgo Moderado (Aceptable)",Y263)))</formula>
    </cfRule>
  </conditionalFormatting>
  <conditionalFormatting sqref="Y264">
    <cfRule type="containsText" dxfId="2452" priority="5948" stopIfTrue="1" operator="containsText" text="Nivel II: Riesgo Importante">
      <formula>NOT(ISERROR(SEARCH("Nivel II: Riesgo Importante",Y264)))</formula>
    </cfRule>
    <cfRule type="containsText" dxfId="2451" priority="5949" stopIfTrue="1" operator="containsText" text="Nivel I: Riesgo Inaceptable">
      <formula>NOT(ISERROR(SEARCH("Nivel I: Riesgo Inaceptable",Y264)))</formula>
    </cfRule>
    <cfRule type="containsText" dxfId="2450" priority="5950" stopIfTrue="1" operator="containsText" text="Nivel IV: Riesgo Tolerable (Aceptable)">
      <formula>NOT(ISERROR(SEARCH("Nivel IV: Riesgo Tolerable (Aceptable)",Y264)))</formula>
    </cfRule>
  </conditionalFormatting>
  <conditionalFormatting sqref="Y265">
    <cfRule type="containsText" dxfId="2449" priority="5918" stopIfTrue="1" operator="containsText" text="Nivel II: Riesgo Importante">
      <formula>NOT(ISERROR(SEARCH("Nivel II: Riesgo Importante",Y265)))</formula>
    </cfRule>
    <cfRule type="containsText" dxfId="2448" priority="5920" stopIfTrue="1" operator="containsText" text="Nivel IV: Riesgo Tolerable (Aceptable)">
      <formula>NOT(ISERROR(SEARCH("Nivel IV: Riesgo Tolerable (Aceptable)",Y265)))</formula>
    </cfRule>
    <cfRule type="containsText" dxfId="2447" priority="5919" stopIfTrue="1" operator="containsText" text="Nivel I: Riesgo Inaceptable">
      <formula>NOT(ISERROR(SEARCH("Nivel I: Riesgo Inaceptable",Y265)))</formula>
    </cfRule>
  </conditionalFormatting>
  <conditionalFormatting sqref="Y266">
    <cfRule type="containsText" dxfId="2446" priority="6048" stopIfTrue="1" operator="containsText" text="Nivel IV: Riesgo Tolerable (Aceptable)">
      <formula>NOT(ISERROR(SEARCH("Nivel IV: Riesgo Tolerable (Aceptable)",Y266)))</formula>
    </cfRule>
    <cfRule type="containsText" dxfId="2445" priority="6026" stopIfTrue="1" operator="containsText" text="Nivel II: Riesgo Importante">
      <formula>NOT(ISERROR(SEARCH("Nivel II: Riesgo Importante",Y266)))</formula>
    </cfRule>
    <cfRule type="containsText" dxfId="2444" priority="6047" stopIfTrue="1" operator="containsText" text="Nivel I: Riesgo Inaceptable">
      <formula>NOT(ISERROR(SEARCH("Nivel I: Riesgo Inaceptable",Y266)))</formula>
    </cfRule>
    <cfRule type="containsText" dxfId="2443" priority="6046" stopIfTrue="1" operator="containsText" text="Nivel II: Riesgo Importante">
      <formula>NOT(ISERROR(SEARCH("Nivel II: Riesgo Importante",Y266)))</formula>
    </cfRule>
    <cfRule type="containsText" dxfId="2442" priority="6028" stopIfTrue="1" operator="containsText" text="Nivel IV: Riesgo Tolerable (Aceptable)">
      <formula>NOT(ISERROR(SEARCH("Nivel IV: Riesgo Tolerable (Aceptable)",Y266)))</formula>
    </cfRule>
    <cfRule type="containsText" dxfId="2441" priority="6027" stopIfTrue="1" operator="containsText" text="Nivel I: Riesgo Inaceptable">
      <formula>NOT(ISERROR(SEARCH("Nivel I: Riesgo Inaceptable",Y266)))</formula>
    </cfRule>
  </conditionalFormatting>
  <conditionalFormatting sqref="Y266:Y268">
    <cfRule type="containsText" dxfId="2440" priority="5988" stopIfTrue="1" operator="containsText" text="Nivel III: Riesgo Moderado (Aceptable)">
      <formula>NOT(ISERROR(SEARCH("Nivel III: Riesgo Moderado (Aceptable)",Y266)))</formula>
    </cfRule>
  </conditionalFormatting>
  <conditionalFormatting sqref="Y267">
    <cfRule type="containsText" dxfId="2439" priority="5991" stopIfTrue="1" operator="containsText" text="Nivel IV: Riesgo Tolerable (Aceptable)">
      <formula>NOT(ISERROR(SEARCH("Nivel IV: Riesgo Tolerable (Aceptable)",Y267)))</formula>
    </cfRule>
    <cfRule type="containsText" dxfId="2438" priority="5990" stopIfTrue="1" operator="containsText" text="Nivel I: Riesgo Inaceptable">
      <formula>NOT(ISERROR(SEARCH("Nivel I: Riesgo Inaceptable",Y267)))</formula>
    </cfRule>
    <cfRule type="containsText" dxfId="2437" priority="5985" stopIfTrue="1" operator="containsText" text="Nivel II: Riesgo Importante">
      <formula>NOT(ISERROR(SEARCH("Nivel II: Riesgo Importante",Y267)))</formula>
    </cfRule>
    <cfRule type="containsText" dxfId="2436" priority="5986" stopIfTrue="1" operator="containsText" text="Nivel I: Riesgo Inaceptable">
      <formula>NOT(ISERROR(SEARCH("Nivel I: Riesgo Inaceptable",Y267)))</formula>
    </cfRule>
    <cfRule type="containsText" dxfId="2435" priority="5987" stopIfTrue="1" operator="containsText" text="Nivel IV: Riesgo Tolerable (Aceptable)">
      <formula>NOT(ISERROR(SEARCH("Nivel IV: Riesgo Tolerable (Aceptable)",Y267)))</formula>
    </cfRule>
    <cfRule type="containsText" dxfId="2434" priority="5989" stopIfTrue="1" operator="containsText" text="Nivel II: Riesgo Importante">
      <formula>NOT(ISERROR(SEARCH("Nivel II: Riesgo Importante",Y267)))</formula>
    </cfRule>
  </conditionalFormatting>
  <conditionalFormatting sqref="Y268">
    <cfRule type="containsText" dxfId="2433" priority="6073" stopIfTrue="1" operator="containsText" text="Nivel IV: Riesgo Tolerable (Aceptable)">
      <formula>NOT(ISERROR(SEARCH("Nivel IV: Riesgo Tolerable (Aceptable)",Y268)))</formula>
    </cfRule>
    <cfRule type="containsText" dxfId="2432" priority="6072" stopIfTrue="1" operator="containsText" text="Nivel I: Riesgo Inaceptable">
      <formula>NOT(ISERROR(SEARCH("Nivel I: Riesgo Inaceptable",Y268)))</formula>
    </cfRule>
    <cfRule type="containsText" dxfId="2431" priority="6071" stopIfTrue="1" operator="containsText" text="Nivel II: Riesgo Importante">
      <formula>NOT(ISERROR(SEARCH("Nivel II: Riesgo Importante",Y268)))</formula>
    </cfRule>
    <cfRule type="containsText" dxfId="2430" priority="6069" stopIfTrue="1" operator="containsText" text="Nivel IV: Riesgo Tolerable (Aceptable)">
      <formula>NOT(ISERROR(SEARCH("Nivel IV: Riesgo Tolerable (Aceptable)",Y268)))</formula>
    </cfRule>
    <cfRule type="containsText" dxfId="2429" priority="6067" stopIfTrue="1" operator="containsText" text="Nivel II: Riesgo Importante">
      <formula>NOT(ISERROR(SEARCH("Nivel II: Riesgo Importante",Y268)))</formula>
    </cfRule>
    <cfRule type="containsText" dxfId="2428" priority="6068" stopIfTrue="1" operator="containsText" text="Nivel I: Riesgo Inaceptable">
      <formula>NOT(ISERROR(SEARCH("Nivel I: Riesgo Inaceptable",Y268)))</formula>
    </cfRule>
  </conditionalFormatting>
  <conditionalFormatting sqref="Y269">
    <cfRule type="containsText" dxfId="2427" priority="5888" stopIfTrue="1" operator="containsText" text="Nivel II: Riesgo Importante">
      <formula>NOT(ISERROR(SEARCH("Nivel II: Riesgo Importante",Y269)))</formula>
    </cfRule>
    <cfRule type="containsText" dxfId="2426" priority="5886" stopIfTrue="1" operator="containsText" text="Nivel IV: Riesgo Tolerable (Aceptable)">
      <formula>NOT(ISERROR(SEARCH("Nivel IV: Riesgo Tolerable (Aceptable)",Y269)))</formula>
    </cfRule>
    <cfRule type="containsText" dxfId="2425" priority="5885" stopIfTrue="1" operator="containsText" text="Nivel I: Riesgo Inaceptable">
      <formula>NOT(ISERROR(SEARCH("Nivel I: Riesgo Inaceptable",Y269)))</formula>
    </cfRule>
    <cfRule type="containsText" dxfId="2424" priority="5884" stopIfTrue="1" operator="containsText" text="Nivel II: Riesgo Importante">
      <formula>NOT(ISERROR(SEARCH("Nivel II: Riesgo Importante",Y269)))</formula>
    </cfRule>
    <cfRule type="containsText" dxfId="2423" priority="5890" stopIfTrue="1" operator="containsText" text="Nivel IV: Riesgo Tolerable (Aceptable)">
      <formula>NOT(ISERROR(SEARCH("Nivel IV: Riesgo Tolerable (Aceptable)",Y269)))</formula>
    </cfRule>
    <cfRule type="containsText" dxfId="2422" priority="5889" stopIfTrue="1" operator="containsText" text="Nivel I: Riesgo Inaceptable">
      <formula>NOT(ISERROR(SEARCH("Nivel I: Riesgo Inaceptable",Y269)))</formula>
    </cfRule>
  </conditionalFormatting>
  <conditionalFormatting sqref="Y269:Y270">
    <cfRule type="containsText" dxfId="2421" priority="5719" stopIfTrue="1" operator="containsText" text="Nivel III: Riesgo Moderado (Aceptable)">
      <formula>NOT(ISERROR(SEARCH("Nivel III: Riesgo Moderado (Aceptable)",Y269)))</formula>
    </cfRule>
  </conditionalFormatting>
  <conditionalFormatting sqref="Y270">
    <cfRule type="containsText" dxfId="2420" priority="5720" stopIfTrue="1" operator="containsText" text="Nivel II: Riesgo Importante">
      <formula>NOT(ISERROR(SEARCH("Nivel II: Riesgo Importante",Y270)))</formula>
    </cfRule>
    <cfRule type="containsText" dxfId="2419" priority="5714" stopIfTrue="1" operator="containsText" text="Nivel IV: Riesgo Tolerable (Aceptable)">
      <formula>NOT(ISERROR(SEARCH("Nivel IV: Riesgo Tolerable (Aceptable)",Y270)))</formula>
    </cfRule>
    <cfRule type="containsText" dxfId="2418" priority="5722" stopIfTrue="1" operator="containsText" text="Nivel IV: Riesgo Tolerable (Aceptable)">
      <formula>NOT(ISERROR(SEARCH("Nivel IV: Riesgo Tolerable (Aceptable)",Y270)))</formula>
    </cfRule>
    <cfRule type="containsText" dxfId="2417" priority="5721" stopIfTrue="1" operator="containsText" text="Nivel I: Riesgo Inaceptable">
      <formula>NOT(ISERROR(SEARCH("Nivel I: Riesgo Inaceptable",Y270)))</formula>
    </cfRule>
    <cfRule type="containsText" dxfId="2416" priority="5713" stopIfTrue="1" operator="containsText" text="Nivel I: Riesgo Inaceptable">
      <formula>NOT(ISERROR(SEARCH("Nivel I: Riesgo Inaceptable",Y270)))</formula>
    </cfRule>
    <cfRule type="containsText" dxfId="2415" priority="5712" stopIfTrue="1" operator="containsText" text="Nivel II: Riesgo Importante">
      <formula>NOT(ISERROR(SEARCH("Nivel II: Riesgo Importante",Y270)))</formula>
    </cfRule>
  </conditionalFormatting>
  <conditionalFormatting sqref="Y271">
    <cfRule type="containsText" dxfId="2414" priority="5315" stopIfTrue="1" operator="containsText" text="Nivel IV: Riesgo Tolerable (Aceptable)">
      <formula>NOT(ISERROR(SEARCH("Nivel IV: Riesgo Tolerable (Aceptable)",Y271)))</formula>
    </cfRule>
    <cfRule type="containsText" dxfId="2413" priority="5313" stopIfTrue="1" operator="containsText" text="Nivel II: Riesgo Importante">
      <formula>NOT(ISERROR(SEARCH("Nivel II: Riesgo Importante",Y271)))</formula>
    </cfRule>
    <cfRule type="containsText" dxfId="2412" priority="5314" stopIfTrue="1" operator="containsText" text="Nivel I: Riesgo Inaceptable">
      <formula>NOT(ISERROR(SEARCH("Nivel I: Riesgo Inaceptable",Y271)))</formula>
    </cfRule>
    <cfRule type="containsText" dxfId="2411" priority="5290" stopIfTrue="1" operator="containsText" text="Nivel I: Riesgo Inaceptable">
      <formula>NOT(ISERROR(SEARCH("Nivel I: Riesgo Inaceptable",Y271)))</formula>
    </cfRule>
    <cfRule type="containsText" dxfId="2410" priority="5289" stopIfTrue="1" operator="containsText" text="Nivel II: Riesgo Importante">
      <formula>NOT(ISERROR(SEARCH("Nivel II: Riesgo Importante",Y271)))</formula>
    </cfRule>
    <cfRule type="containsText" dxfId="2409" priority="5291" stopIfTrue="1" operator="containsText" text="Nivel IV: Riesgo Tolerable (Aceptable)">
      <formula>NOT(ISERROR(SEARCH("Nivel IV: Riesgo Tolerable (Aceptable)",Y271)))</formula>
    </cfRule>
  </conditionalFormatting>
  <conditionalFormatting sqref="Y272">
    <cfRule type="containsText" dxfId="2408" priority="5282" stopIfTrue="1" operator="containsText" text="Nivel I: Riesgo Inaceptable">
      <formula>NOT(ISERROR(SEARCH("Nivel I: Riesgo Inaceptable",Y272)))</formula>
    </cfRule>
    <cfRule type="containsText" dxfId="2407" priority="5255" stopIfTrue="1" operator="containsText" text="Nivel IV: Riesgo Tolerable (Aceptable)">
      <formula>NOT(ISERROR(SEARCH("Nivel IV: Riesgo Tolerable (Aceptable)",Y272)))</formula>
    </cfRule>
    <cfRule type="containsText" dxfId="2406" priority="5254" stopIfTrue="1" operator="containsText" text="Nivel I: Riesgo Inaceptable">
      <formula>NOT(ISERROR(SEARCH("Nivel I: Riesgo Inaceptable",Y272)))</formula>
    </cfRule>
    <cfRule type="containsText" dxfId="2405" priority="5253" stopIfTrue="1" operator="containsText" text="Nivel II: Riesgo Importante">
      <formula>NOT(ISERROR(SEARCH("Nivel II: Riesgo Importante",Y272)))</formula>
    </cfRule>
    <cfRule type="containsText" dxfId="2404" priority="5281" stopIfTrue="1" operator="containsText" text="Nivel II: Riesgo Importante">
      <formula>NOT(ISERROR(SEARCH("Nivel II: Riesgo Importante",Y272)))</formula>
    </cfRule>
    <cfRule type="containsText" dxfId="2403" priority="5283" stopIfTrue="1" operator="containsText" text="Nivel IV: Riesgo Tolerable (Aceptable)">
      <formula>NOT(ISERROR(SEARCH("Nivel IV: Riesgo Tolerable (Aceptable)",Y272)))</formula>
    </cfRule>
  </conditionalFormatting>
  <conditionalFormatting sqref="Y273">
    <cfRule type="containsText" dxfId="2402" priority="5667" stopIfTrue="1" operator="containsText" text="Nivel II: Riesgo Importante">
      <formula>NOT(ISERROR(SEARCH("Nivel II: Riesgo Importante",Y273)))</formula>
    </cfRule>
    <cfRule type="containsText" dxfId="2401" priority="5668" stopIfTrue="1" operator="containsText" text="Nivel I: Riesgo Inaceptable">
      <formula>NOT(ISERROR(SEARCH("Nivel I: Riesgo Inaceptable",Y273)))</formula>
    </cfRule>
    <cfRule type="containsText" dxfId="2400" priority="5669" stopIfTrue="1" operator="containsText" text="Nivel IV: Riesgo Tolerable (Aceptable)">
      <formula>NOT(ISERROR(SEARCH("Nivel IV: Riesgo Tolerable (Aceptable)",Y273)))</formula>
    </cfRule>
    <cfRule type="containsText" dxfId="2399" priority="5671" stopIfTrue="1" operator="containsText" text="Nivel II: Riesgo Importante">
      <formula>NOT(ISERROR(SEARCH("Nivel II: Riesgo Importante",Y273)))</formula>
    </cfRule>
    <cfRule type="containsText" dxfId="2398" priority="5673" stopIfTrue="1" operator="containsText" text="Nivel IV: Riesgo Tolerable (Aceptable)">
      <formula>NOT(ISERROR(SEARCH("Nivel IV: Riesgo Tolerable (Aceptable)",Y273)))</formula>
    </cfRule>
    <cfRule type="containsText" dxfId="2397" priority="5672" stopIfTrue="1" operator="containsText" text="Nivel I: Riesgo Inaceptable">
      <formula>NOT(ISERROR(SEARCH("Nivel I: Riesgo Inaceptable",Y273)))</formula>
    </cfRule>
  </conditionalFormatting>
  <conditionalFormatting sqref="Y273:Y274">
    <cfRule type="containsText" dxfId="2396" priority="5670" stopIfTrue="1" operator="containsText" text="Nivel III: Riesgo Moderado (Aceptable)">
      <formula>NOT(ISERROR(SEARCH("Nivel III: Riesgo Moderado (Aceptable)",Y273)))</formula>
    </cfRule>
  </conditionalFormatting>
  <conditionalFormatting sqref="Y274">
    <cfRule type="containsText" dxfId="2395" priority="5759" stopIfTrue="1" operator="containsText" text="Nivel II: Riesgo Importante">
      <formula>NOT(ISERROR(SEARCH("Nivel II: Riesgo Importante",Y274)))</formula>
    </cfRule>
    <cfRule type="containsText" dxfId="2394" priority="5761" stopIfTrue="1" operator="containsText" text="Nivel IV: Riesgo Tolerable (Aceptable)">
      <formula>NOT(ISERROR(SEARCH("Nivel IV: Riesgo Tolerable (Aceptable)",Y274)))</formula>
    </cfRule>
    <cfRule type="containsText" dxfId="2393" priority="5763" stopIfTrue="1" operator="containsText" text="Nivel II: Riesgo Importante">
      <formula>NOT(ISERROR(SEARCH("Nivel II: Riesgo Importante",Y274)))</formula>
    </cfRule>
    <cfRule type="containsText" dxfId="2392" priority="5764" stopIfTrue="1" operator="containsText" text="Nivel I: Riesgo Inaceptable">
      <formula>NOT(ISERROR(SEARCH("Nivel I: Riesgo Inaceptable",Y274)))</formula>
    </cfRule>
    <cfRule type="containsText" dxfId="2391" priority="5765" stopIfTrue="1" operator="containsText" text="Nivel IV: Riesgo Tolerable (Aceptable)">
      <formula>NOT(ISERROR(SEARCH("Nivel IV: Riesgo Tolerable (Aceptable)",Y274)))</formula>
    </cfRule>
    <cfRule type="containsText" dxfId="2390" priority="5760" stopIfTrue="1" operator="containsText" text="Nivel I: Riesgo Inaceptable">
      <formula>NOT(ISERROR(SEARCH("Nivel I: Riesgo Inaceptable",Y274)))</formula>
    </cfRule>
  </conditionalFormatting>
  <conditionalFormatting sqref="Y275">
    <cfRule type="containsText" dxfId="2389" priority="5622" stopIfTrue="1" operator="containsText" text="Nivel II: Riesgo Importante">
      <formula>NOT(ISERROR(SEARCH("Nivel II: Riesgo Importante",Y275)))</formula>
    </cfRule>
    <cfRule type="containsText" dxfId="2388" priority="5628" stopIfTrue="1" operator="containsText" text="Nivel IV: Riesgo Tolerable (Aceptable)">
      <formula>NOT(ISERROR(SEARCH("Nivel IV: Riesgo Tolerable (Aceptable)",Y275)))</formula>
    </cfRule>
    <cfRule type="containsText" dxfId="2387" priority="5623" stopIfTrue="1" operator="containsText" text="Nivel I: Riesgo Inaceptable">
      <formula>NOT(ISERROR(SEARCH("Nivel I: Riesgo Inaceptable",Y275)))</formula>
    </cfRule>
    <cfRule type="containsText" dxfId="2386" priority="5627" stopIfTrue="1" operator="containsText" text="Nivel I: Riesgo Inaceptable">
      <formula>NOT(ISERROR(SEARCH("Nivel I: Riesgo Inaceptable",Y275)))</formula>
    </cfRule>
    <cfRule type="containsText" dxfId="2385" priority="5624" stopIfTrue="1" operator="containsText" text="Nivel IV: Riesgo Tolerable (Aceptable)">
      <formula>NOT(ISERROR(SEARCH("Nivel IV: Riesgo Tolerable (Aceptable)",Y275)))</formula>
    </cfRule>
    <cfRule type="containsText" dxfId="2384" priority="5626" stopIfTrue="1" operator="containsText" text="Nivel II: Riesgo Importante">
      <formula>NOT(ISERROR(SEARCH("Nivel II: Riesgo Importante",Y275)))</formula>
    </cfRule>
  </conditionalFormatting>
  <conditionalFormatting sqref="Y275:Y278">
    <cfRule type="containsText" dxfId="2383" priority="5399" stopIfTrue="1" operator="containsText" text="Nivel III: Riesgo Moderado (Aceptable)">
      <formula>NOT(ISERROR(SEARCH("Nivel III: Riesgo Moderado (Aceptable)",Y275)))</formula>
    </cfRule>
  </conditionalFormatting>
  <conditionalFormatting sqref="Y276">
    <cfRule type="containsText" dxfId="2382" priority="5431" stopIfTrue="1" operator="containsText" text="Nivel I: Riesgo Inaceptable">
      <formula>NOT(ISERROR(SEARCH("Nivel I: Riesgo Inaceptable",Y276)))</formula>
    </cfRule>
    <cfRule type="containsText" dxfId="2381" priority="5430" stopIfTrue="1" operator="containsText" text="Nivel II: Riesgo Importante">
      <formula>NOT(ISERROR(SEARCH("Nivel II: Riesgo Importante",Y276)))</formula>
    </cfRule>
    <cfRule type="containsText" dxfId="2380" priority="5432" stopIfTrue="1" operator="containsText" text="Nivel IV: Riesgo Tolerable (Aceptable)">
      <formula>NOT(ISERROR(SEARCH("Nivel IV: Riesgo Tolerable (Aceptable)",Y276)))</formula>
    </cfRule>
  </conditionalFormatting>
  <conditionalFormatting sqref="Y277">
    <cfRule type="containsText" dxfId="2379" priority="5469" stopIfTrue="1" operator="containsText" text="Nivel IV: Riesgo Tolerable (Aceptable)">
      <formula>NOT(ISERROR(SEARCH("Nivel IV: Riesgo Tolerable (Aceptable)",Y277)))</formula>
    </cfRule>
    <cfRule type="containsText" dxfId="2378" priority="5467" stopIfTrue="1" operator="containsText" text="Nivel II: Riesgo Importante">
      <formula>NOT(ISERROR(SEARCH("Nivel II: Riesgo Importante",Y277)))</formula>
    </cfRule>
    <cfRule type="containsText" dxfId="2377" priority="5468" stopIfTrue="1" operator="containsText" text="Nivel I: Riesgo Inaceptable">
      <formula>NOT(ISERROR(SEARCH("Nivel I: Riesgo Inaceptable",Y277)))</formula>
    </cfRule>
  </conditionalFormatting>
  <conditionalFormatting sqref="Y278">
    <cfRule type="containsText" dxfId="2376" priority="5401" stopIfTrue="1" operator="containsText" text="Nivel I: Riesgo Inaceptable">
      <formula>NOT(ISERROR(SEARCH("Nivel I: Riesgo Inaceptable",Y278)))</formula>
    </cfRule>
    <cfRule type="containsText" dxfId="2375" priority="5400" stopIfTrue="1" operator="containsText" text="Nivel II: Riesgo Importante">
      <formula>NOT(ISERROR(SEARCH("Nivel II: Riesgo Importante",Y278)))</formula>
    </cfRule>
    <cfRule type="containsText" dxfId="2374" priority="5402" stopIfTrue="1" operator="containsText" text="Nivel IV: Riesgo Tolerable (Aceptable)">
      <formula>NOT(ISERROR(SEARCH("Nivel IV: Riesgo Tolerable (Aceptable)",Y278)))</formula>
    </cfRule>
  </conditionalFormatting>
  <conditionalFormatting sqref="Y279">
    <cfRule type="containsText" dxfId="2373" priority="5567" stopIfTrue="1" operator="containsText" text="Nivel II: Riesgo Importante">
      <formula>NOT(ISERROR(SEARCH("Nivel II: Riesgo Importante",Y279)))</formula>
    </cfRule>
    <cfRule type="containsText" dxfId="2372" priority="5549" stopIfTrue="1" operator="containsText" text="Nivel IV: Riesgo Tolerable (Aceptable)">
      <formula>NOT(ISERROR(SEARCH("Nivel IV: Riesgo Tolerable (Aceptable)",Y279)))</formula>
    </cfRule>
    <cfRule type="containsText" dxfId="2371" priority="5548" stopIfTrue="1" operator="containsText" text="Nivel I: Riesgo Inaceptable">
      <formula>NOT(ISERROR(SEARCH("Nivel I: Riesgo Inaceptable",Y279)))</formula>
    </cfRule>
    <cfRule type="containsText" dxfId="2370" priority="5547" stopIfTrue="1" operator="containsText" text="Nivel II: Riesgo Importante">
      <formula>NOT(ISERROR(SEARCH("Nivel II: Riesgo Importante",Y279)))</formula>
    </cfRule>
    <cfRule type="containsText" dxfId="2369" priority="5569" stopIfTrue="1" operator="containsText" text="Nivel IV: Riesgo Tolerable (Aceptable)">
      <formula>NOT(ISERROR(SEARCH("Nivel IV: Riesgo Tolerable (Aceptable)",Y279)))</formula>
    </cfRule>
    <cfRule type="containsText" dxfId="2368" priority="5568" stopIfTrue="1" operator="containsText" text="Nivel I: Riesgo Inaceptable">
      <formula>NOT(ISERROR(SEARCH("Nivel I: Riesgo Inaceptable",Y279)))</formula>
    </cfRule>
  </conditionalFormatting>
  <conditionalFormatting sqref="Y279:Y280">
    <cfRule type="containsText" dxfId="2367" priority="5509" stopIfTrue="1" operator="containsText" text="Nivel III: Riesgo Moderado (Aceptable)">
      <formula>NOT(ISERROR(SEARCH("Nivel III: Riesgo Moderado (Aceptable)",Y279)))</formula>
    </cfRule>
  </conditionalFormatting>
  <conditionalFormatting sqref="Y280">
    <cfRule type="containsText" dxfId="2366" priority="5506" stopIfTrue="1" operator="containsText" text="Nivel II: Riesgo Importante">
      <formula>NOT(ISERROR(SEARCH("Nivel II: Riesgo Importante",Y280)))</formula>
    </cfRule>
    <cfRule type="containsText" dxfId="2365" priority="5508" stopIfTrue="1" operator="containsText" text="Nivel IV: Riesgo Tolerable (Aceptable)">
      <formula>NOT(ISERROR(SEARCH("Nivel IV: Riesgo Tolerable (Aceptable)",Y280)))</formula>
    </cfRule>
    <cfRule type="containsText" dxfId="2364" priority="5507" stopIfTrue="1" operator="containsText" text="Nivel I: Riesgo Inaceptable">
      <formula>NOT(ISERROR(SEARCH("Nivel I: Riesgo Inaceptable",Y280)))</formula>
    </cfRule>
    <cfRule type="containsText" dxfId="2363" priority="5510" stopIfTrue="1" operator="containsText" text="Nivel II: Riesgo Importante">
      <formula>NOT(ISERROR(SEARCH("Nivel II: Riesgo Importante",Y280)))</formula>
    </cfRule>
    <cfRule type="containsText" dxfId="2362" priority="5511" stopIfTrue="1" operator="containsText" text="Nivel I: Riesgo Inaceptable">
      <formula>NOT(ISERROR(SEARCH("Nivel I: Riesgo Inaceptable",Y280)))</formula>
    </cfRule>
    <cfRule type="containsText" dxfId="2361" priority="5512" stopIfTrue="1" operator="containsText" text="Nivel IV: Riesgo Tolerable (Aceptable)">
      <formula>NOT(ISERROR(SEARCH("Nivel IV: Riesgo Tolerable (Aceptable)",Y280)))</formula>
    </cfRule>
  </conditionalFormatting>
  <conditionalFormatting sqref="Y281">
    <cfRule type="containsText" dxfId="2360" priority="5327" stopIfTrue="1" operator="containsText" text="Nivel IV: Riesgo Tolerable (Aceptable)">
      <formula>NOT(ISERROR(SEARCH("Nivel IV: Riesgo Tolerable (Aceptable)",Y281)))</formula>
    </cfRule>
    <cfRule type="containsText" dxfId="2359" priority="5322" stopIfTrue="1" operator="containsText" text="Nivel I: Riesgo Inaceptable">
      <formula>NOT(ISERROR(SEARCH("Nivel I: Riesgo Inaceptable",Y281)))</formula>
    </cfRule>
    <cfRule type="containsText" dxfId="2358" priority="5323" stopIfTrue="1" operator="containsText" text="Nivel IV: Riesgo Tolerable (Aceptable)">
      <formula>NOT(ISERROR(SEARCH("Nivel IV: Riesgo Tolerable (Aceptable)",Y281)))</formula>
    </cfRule>
    <cfRule type="containsText" dxfId="2357" priority="5320" stopIfTrue="1" operator="containsText" text="Nivel III: Riesgo Moderado (Aceptable)">
      <formula>NOT(ISERROR(SEARCH("Nivel III: Riesgo Moderado (Aceptable)",Y281)))</formula>
    </cfRule>
    <cfRule type="containsText" dxfId="2356" priority="5321" stopIfTrue="1" operator="containsText" text="Nivel II: Riesgo Importante">
      <formula>NOT(ISERROR(SEARCH("Nivel II: Riesgo Importante",Y281)))</formula>
    </cfRule>
    <cfRule type="containsText" dxfId="2355" priority="5325" stopIfTrue="1" operator="containsText" text="Nivel II: Riesgo Importante">
      <formula>NOT(ISERROR(SEARCH("Nivel II: Riesgo Importante",Y281)))</formula>
    </cfRule>
    <cfRule type="containsText" dxfId="2354" priority="5326" stopIfTrue="1" operator="containsText" text="Nivel I: Riesgo Inaceptable">
      <formula>NOT(ISERROR(SEARCH("Nivel I: Riesgo Inaceptable",Y281)))</formula>
    </cfRule>
  </conditionalFormatting>
  <conditionalFormatting sqref="Y282">
    <cfRule type="containsText" dxfId="2353" priority="5592" stopIfTrue="1" operator="containsText" text="Nivel II: Riesgo Importante">
      <formula>NOT(ISERROR(SEARCH("Nivel II: Riesgo Importante",Y282)))</formula>
    </cfRule>
    <cfRule type="containsText" dxfId="2352" priority="5588" stopIfTrue="1" operator="containsText" text="Nivel II: Riesgo Importante">
      <formula>NOT(ISERROR(SEARCH("Nivel II: Riesgo Importante",Y282)))</formula>
    </cfRule>
    <cfRule type="containsText" dxfId="2351" priority="5594" stopIfTrue="1" operator="containsText" text="Nivel IV: Riesgo Tolerable (Aceptable)">
      <formula>NOT(ISERROR(SEARCH("Nivel IV: Riesgo Tolerable (Aceptable)",Y282)))</formula>
    </cfRule>
    <cfRule type="containsText" dxfId="2350" priority="5589" stopIfTrue="1" operator="containsText" text="Nivel I: Riesgo Inaceptable">
      <formula>NOT(ISERROR(SEARCH("Nivel I: Riesgo Inaceptable",Y282)))</formula>
    </cfRule>
    <cfRule type="containsText" dxfId="2349" priority="5590" stopIfTrue="1" operator="containsText" text="Nivel IV: Riesgo Tolerable (Aceptable)">
      <formula>NOT(ISERROR(SEARCH("Nivel IV: Riesgo Tolerable (Aceptable)",Y282)))</formula>
    </cfRule>
    <cfRule type="containsText" dxfId="2348" priority="5593" stopIfTrue="1" operator="containsText" text="Nivel I: Riesgo Inaceptable">
      <formula>NOT(ISERROR(SEARCH("Nivel I: Riesgo Inaceptable",Y282)))</formula>
    </cfRule>
  </conditionalFormatting>
  <conditionalFormatting sqref="Y282:Y283">
    <cfRule type="containsText" dxfId="2347" priority="5369" stopIfTrue="1" operator="containsText" text="Nivel III: Riesgo Moderado (Aceptable)">
      <formula>NOT(ISERROR(SEARCH("Nivel III: Riesgo Moderado (Aceptable)",Y282)))</formula>
    </cfRule>
  </conditionalFormatting>
  <conditionalFormatting sqref="Y283">
    <cfRule type="containsText" dxfId="2346" priority="5371" stopIfTrue="1" operator="containsText" text="Nivel I: Riesgo Inaceptable">
      <formula>NOT(ISERROR(SEARCH("Nivel I: Riesgo Inaceptable",Y283)))</formula>
    </cfRule>
    <cfRule type="containsText" dxfId="2345" priority="5370" stopIfTrue="1" operator="containsText" text="Nivel II: Riesgo Importante">
      <formula>NOT(ISERROR(SEARCH("Nivel II: Riesgo Importante",Y283)))</formula>
    </cfRule>
    <cfRule type="containsText" dxfId="2344" priority="5368" stopIfTrue="1" operator="containsText" text="Nivel IV: Riesgo Tolerable (Aceptable)">
      <formula>NOT(ISERROR(SEARCH("Nivel IV: Riesgo Tolerable (Aceptable)",Y283)))</formula>
    </cfRule>
    <cfRule type="containsText" dxfId="2343" priority="5367" stopIfTrue="1" operator="containsText" text="Nivel I: Riesgo Inaceptable">
      <formula>NOT(ISERROR(SEARCH("Nivel I: Riesgo Inaceptable",Y283)))</formula>
    </cfRule>
    <cfRule type="containsText" dxfId="2342" priority="5372" stopIfTrue="1" operator="containsText" text="Nivel IV: Riesgo Tolerable (Aceptable)">
      <formula>NOT(ISERROR(SEARCH("Nivel IV: Riesgo Tolerable (Aceptable)",Y283)))</formula>
    </cfRule>
    <cfRule type="containsText" dxfId="2341" priority="5366" stopIfTrue="1" operator="containsText" text="Nivel II: Riesgo Importante">
      <formula>NOT(ISERROR(SEARCH("Nivel II: Riesgo Importante",Y283)))</formula>
    </cfRule>
  </conditionalFormatting>
  <conditionalFormatting sqref="Y284">
    <cfRule type="containsText" dxfId="2340" priority="5157" stopIfTrue="1" operator="containsText" text="Nivel II: Riesgo Importante">
      <formula>NOT(ISERROR(SEARCH("Nivel II: Riesgo Importante",Y284)))</formula>
    </cfRule>
    <cfRule type="containsText" dxfId="2339" priority="5151" stopIfTrue="1" operator="containsText" text="Nivel IV: Riesgo Tolerable (Aceptable)">
      <formula>NOT(ISERROR(SEARCH("Nivel IV: Riesgo Tolerable (Aceptable)",Y284)))</formula>
    </cfRule>
    <cfRule type="containsText" dxfId="2338" priority="5150" stopIfTrue="1" operator="containsText" text="Nivel I: Riesgo Inaceptable">
      <formula>NOT(ISERROR(SEARCH("Nivel I: Riesgo Inaceptable",Y284)))</formula>
    </cfRule>
    <cfRule type="containsText" dxfId="2337" priority="5149" stopIfTrue="1" operator="containsText" text="Nivel II: Riesgo Importante">
      <formula>NOT(ISERROR(SEARCH("Nivel II: Riesgo Importante",Y284)))</formula>
    </cfRule>
    <cfRule type="containsText" dxfId="2336" priority="5159" stopIfTrue="1" operator="containsText" text="Nivel IV: Riesgo Tolerable (Aceptable)">
      <formula>NOT(ISERROR(SEARCH("Nivel IV: Riesgo Tolerable (Aceptable)",Y284)))</formula>
    </cfRule>
    <cfRule type="containsText" dxfId="2335" priority="5158" stopIfTrue="1" operator="containsText" text="Nivel I: Riesgo Inaceptable">
      <formula>NOT(ISERROR(SEARCH("Nivel I: Riesgo Inaceptable",Y284)))</formula>
    </cfRule>
  </conditionalFormatting>
  <conditionalFormatting sqref="Y284:Y285">
    <cfRule type="containsText" dxfId="2334" priority="4749" stopIfTrue="1" operator="containsText" text="Nivel III: Riesgo Moderado (Aceptable)">
      <formula>NOT(ISERROR(SEARCH("Nivel III: Riesgo Moderado (Aceptable)",Y284)))</formula>
    </cfRule>
  </conditionalFormatting>
  <conditionalFormatting sqref="Y285">
    <cfRule type="containsText" dxfId="2333" priority="4728" stopIfTrue="1" operator="containsText" text="Nivel IV: Riesgo Tolerable (Aceptable)">
      <formula>NOT(ISERROR(SEARCH("Nivel IV: Riesgo Tolerable (Aceptable)",Y285)))</formula>
    </cfRule>
    <cfRule type="containsText" dxfId="2332" priority="4750" stopIfTrue="1" operator="containsText" text="Nivel II: Riesgo Importante">
      <formula>NOT(ISERROR(SEARCH("Nivel II: Riesgo Importante",Y285)))</formula>
    </cfRule>
    <cfRule type="containsText" dxfId="2331" priority="4726" stopIfTrue="1" operator="containsText" text="Nivel II: Riesgo Importante">
      <formula>NOT(ISERROR(SEARCH("Nivel II: Riesgo Importante",Y285)))</formula>
    </cfRule>
    <cfRule type="containsText" dxfId="2330" priority="4727" stopIfTrue="1" operator="containsText" text="Nivel I: Riesgo Inaceptable">
      <formula>NOT(ISERROR(SEARCH("Nivel I: Riesgo Inaceptable",Y285)))</formula>
    </cfRule>
    <cfRule type="containsText" dxfId="2329" priority="4752" stopIfTrue="1" operator="containsText" text="Nivel IV: Riesgo Tolerable (Aceptable)">
      <formula>NOT(ISERROR(SEARCH("Nivel IV: Riesgo Tolerable (Aceptable)",Y285)))</formula>
    </cfRule>
    <cfRule type="containsText" dxfId="2328" priority="4751" stopIfTrue="1" operator="containsText" text="Nivel I: Riesgo Inaceptable">
      <formula>NOT(ISERROR(SEARCH("Nivel I: Riesgo Inaceptable",Y285)))</formula>
    </cfRule>
  </conditionalFormatting>
  <conditionalFormatting sqref="Y286">
    <cfRule type="containsText" dxfId="2327" priority="4720" stopIfTrue="1" operator="containsText" text="Nivel IV: Riesgo Tolerable (Aceptable)">
      <formula>NOT(ISERROR(SEARCH("Nivel IV: Riesgo Tolerable (Aceptable)",Y286)))</formula>
    </cfRule>
    <cfRule type="containsText" dxfId="2326" priority="4718" stopIfTrue="1" operator="containsText" text="Nivel II: Riesgo Importante">
      <formula>NOT(ISERROR(SEARCH("Nivel II: Riesgo Importante",Y286)))</formula>
    </cfRule>
    <cfRule type="containsText" dxfId="2325" priority="4690" stopIfTrue="1" operator="containsText" text="Nivel II: Riesgo Importante">
      <formula>NOT(ISERROR(SEARCH("Nivel II: Riesgo Importante",Y286)))</formula>
    </cfRule>
    <cfRule type="containsText" dxfId="2324" priority="4719" stopIfTrue="1" operator="containsText" text="Nivel I: Riesgo Inaceptable">
      <formula>NOT(ISERROR(SEARCH("Nivel I: Riesgo Inaceptable",Y286)))</formula>
    </cfRule>
    <cfRule type="containsText" dxfId="2323" priority="4691" stopIfTrue="1" operator="containsText" text="Nivel I: Riesgo Inaceptable">
      <formula>NOT(ISERROR(SEARCH("Nivel I: Riesgo Inaceptable",Y286)))</formula>
    </cfRule>
    <cfRule type="containsText" dxfId="2322" priority="4692" stopIfTrue="1" operator="containsText" text="Nivel IV: Riesgo Tolerable (Aceptable)">
      <formula>NOT(ISERROR(SEARCH("Nivel IV: Riesgo Tolerable (Aceptable)",Y286)))</formula>
    </cfRule>
  </conditionalFormatting>
  <conditionalFormatting sqref="Y287">
    <cfRule type="containsText" dxfId="2321" priority="5104" stopIfTrue="1" operator="containsText" text="Nivel II: Riesgo Importante">
      <formula>NOT(ISERROR(SEARCH("Nivel II: Riesgo Importante",Y287)))</formula>
    </cfRule>
    <cfRule type="containsText" dxfId="2320" priority="5105" stopIfTrue="1" operator="containsText" text="Nivel I: Riesgo Inaceptable">
      <formula>NOT(ISERROR(SEARCH("Nivel I: Riesgo Inaceptable",Y287)))</formula>
    </cfRule>
    <cfRule type="containsText" dxfId="2319" priority="5106" stopIfTrue="1" operator="containsText" text="Nivel IV: Riesgo Tolerable (Aceptable)">
      <formula>NOT(ISERROR(SEARCH("Nivel IV: Riesgo Tolerable (Aceptable)",Y287)))</formula>
    </cfRule>
    <cfRule type="containsText" dxfId="2318" priority="5110" stopIfTrue="1" operator="containsText" text="Nivel IV: Riesgo Tolerable (Aceptable)">
      <formula>NOT(ISERROR(SEARCH("Nivel IV: Riesgo Tolerable (Aceptable)",Y287)))</formula>
    </cfRule>
    <cfRule type="containsText" dxfId="2317" priority="5109" stopIfTrue="1" operator="containsText" text="Nivel I: Riesgo Inaceptable">
      <formula>NOT(ISERROR(SEARCH("Nivel I: Riesgo Inaceptable",Y287)))</formula>
    </cfRule>
    <cfRule type="containsText" dxfId="2316" priority="5108" stopIfTrue="1" operator="containsText" text="Nivel II: Riesgo Importante">
      <formula>NOT(ISERROR(SEARCH("Nivel II: Riesgo Importante",Y287)))</formula>
    </cfRule>
  </conditionalFormatting>
  <conditionalFormatting sqref="Y287:Y288">
    <cfRule type="containsText" dxfId="2315" priority="5107" stopIfTrue="1" operator="containsText" text="Nivel III: Riesgo Moderado (Aceptable)">
      <formula>NOT(ISERROR(SEARCH("Nivel III: Riesgo Moderado (Aceptable)",Y287)))</formula>
    </cfRule>
  </conditionalFormatting>
  <conditionalFormatting sqref="Y288">
    <cfRule type="containsText" dxfId="2314" priority="5196" stopIfTrue="1" operator="containsText" text="Nivel II: Riesgo Importante">
      <formula>NOT(ISERROR(SEARCH("Nivel II: Riesgo Importante",Y288)))</formula>
    </cfRule>
    <cfRule type="containsText" dxfId="2313" priority="5197" stopIfTrue="1" operator="containsText" text="Nivel I: Riesgo Inaceptable">
      <formula>NOT(ISERROR(SEARCH("Nivel I: Riesgo Inaceptable",Y288)))</formula>
    </cfRule>
    <cfRule type="containsText" dxfId="2312" priority="5202" stopIfTrue="1" operator="containsText" text="Nivel IV: Riesgo Tolerable (Aceptable)">
      <formula>NOT(ISERROR(SEARCH("Nivel IV: Riesgo Tolerable (Aceptable)",Y288)))</formula>
    </cfRule>
    <cfRule type="containsText" dxfId="2311" priority="5201" stopIfTrue="1" operator="containsText" text="Nivel I: Riesgo Inaceptable">
      <formula>NOT(ISERROR(SEARCH("Nivel I: Riesgo Inaceptable",Y288)))</formula>
    </cfRule>
    <cfRule type="containsText" dxfId="2310" priority="5200" stopIfTrue="1" operator="containsText" text="Nivel II: Riesgo Importante">
      <formula>NOT(ISERROR(SEARCH("Nivel II: Riesgo Importante",Y288)))</formula>
    </cfRule>
    <cfRule type="containsText" dxfId="2309" priority="5198" stopIfTrue="1" operator="containsText" text="Nivel IV: Riesgo Tolerable (Aceptable)">
      <formula>NOT(ISERROR(SEARCH("Nivel IV: Riesgo Tolerable (Aceptable)",Y288)))</formula>
    </cfRule>
  </conditionalFormatting>
  <conditionalFormatting sqref="Y289">
    <cfRule type="containsText" dxfId="2308" priority="5065" stopIfTrue="1" operator="containsText" text="Nivel IV: Riesgo Tolerable (Aceptable)">
      <formula>NOT(ISERROR(SEARCH("Nivel IV: Riesgo Tolerable (Aceptable)",Y289)))</formula>
    </cfRule>
    <cfRule type="containsText" dxfId="2307" priority="5063" stopIfTrue="1" operator="containsText" text="Nivel II: Riesgo Importante">
      <formula>NOT(ISERROR(SEARCH("Nivel II: Riesgo Importante",Y289)))</formula>
    </cfRule>
    <cfRule type="containsText" dxfId="2306" priority="5061" stopIfTrue="1" operator="containsText" text="Nivel IV: Riesgo Tolerable (Aceptable)">
      <formula>NOT(ISERROR(SEARCH("Nivel IV: Riesgo Tolerable (Aceptable)",Y289)))</formula>
    </cfRule>
    <cfRule type="containsText" dxfId="2305" priority="5060" stopIfTrue="1" operator="containsText" text="Nivel I: Riesgo Inaceptable">
      <formula>NOT(ISERROR(SEARCH("Nivel I: Riesgo Inaceptable",Y289)))</formula>
    </cfRule>
    <cfRule type="containsText" dxfId="2304" priority="5059" stopIfTrue="1" operator="containsText" text="Nivel II: Riesgo Importante">
      <formula>NOT(ISERROR(SEARCH("Nivel II: Riesgo Importante",Y289)))</formula>
    </cfRule>
    <cfRule type="containsText" dxfId="2303" priority="5064" stopIfTrue="1" operator="containsText" text="Nivel I: Riesgo Inaceptable">
      <formula>NOT(ISERROR(SEARCH("Nivel I: Riesgo Inaceptable",Y289)))</formula>
    </cfRule>
  </conditionalFormatting>
  <conditionalFormatting sqref="Y289:Y292">
    <cfRule type="containsText" dxfId="2302" priority="4836" stopIfTrue="1" operator="containsText" text="Nivel III: Riesgo Moderado (Aceptable)">
      <formula>NOT(ISERROR(SEARCH("Nivel III: Riesgo Moderado (Aceptable)",Y289)))</formula>
    </cfRule>
  </conditionalFormatting>
  <conditionalFormatting sqref="Y290">
    <cfRule type="containsText" dxfId="2301" priority="4867" stopIfTrue="1" operator="containsText" text="Nivel II: Riesgo Importante">
      <formula>NOT(ISERROR(SEARCH("Nivel II: Riesgo Importante",Y290)))</formula>
    </cfRule>
    <cfRule type="containsText" dxfId="2300" priority="4869" stopIfTrue="1" operator="containsText" text="Nivel IV: Riesgo Tolerable (Aceptable)">
      <formula>NOT(ISERROR(SEARCH("Nivel IV: Riesgo Tolerable (Aceptable)",Y290)))</formula>
    </cfRule>
    <cfRule type="containsText" dxfId="2299" priority="4868" stopIfTrue="1" operator="containsText" text="Nivel I: Riesgo Inaceptable">
      <formula>NOT(ISERROR(SEARCH("Nivel I: Riesgo Inaceptable",Y290)))</formula>
    </cfRule>
  </conditionalFormatting>
  <conditionalFormatting sqref="Y291">
    <cfRule type="containsText" dxfId="2298" priority="4906" stopIfTrue="1" operator="containsText" text="Nivel IV: Riesgo Tolerable (Aceptable)">
      <formula>NOT(ISERROR(SEARCH("Nivel IV: Riesgo Tolerable (Aceptable)",Y291)))</formula>
    </cfRule>
    <cfRule type="containsText" dxfId="2297" priority="4905" stopIfTrue="1" operator="containsText" text="Nivel I: Riesgo Inaceptable">
      <formula>NOT(ISERROR(SEARCH("Nivel I: Riesgo Inaceptable",Y291)))</formula>
    </cfRule>
    <cfRule type="containsText" dxfId="2296" priority="4904" stopIfTrue="1" operator="containsText" text="Nivel II: Riesgo Importante">
      <formula>NOT(ISERROR(SEARCH("Nivel II: Riesgo Importante",Y291)))</formula>
    </cfRule>
  </conditionalFormatting>
  <conditionalFormatting sqref="Y292">
    <cfRule type="containsText" dxfId="2295" priority="4839" stopIfTrue="1" operator="containsText" text="Nivel IV: Riesgo Tolerable (Aceptable)">
      <formula>NOT(ISERROR(SEARCH("Nivel IV: Riesgo Tolerable (Aceptable)",Y292)))</formula>
    </cfRule>
    <cfRule type="containsText" dxfId="2294" priority="4838" stopIfTrue="1" operator="containsText" text="Nivel I: Riesgo Inaceptable">
      <formula>NOT(ISERROR(SEARCH("Nivel I: Riesgo Inaceptable",Y292)))</formula>
    </cfRule>
    <cfRule type="containsText" dxfId="2293" priority="4837" stopIfTrue="1" operator="containsText" text="Nivel II: Riesgo Importante">
      <formula>NOT(ISERROR(SEARCH("Nivel II: Riesgo Importante",Y292)))</formula>
    </cfRule>
  </conditionalFormatting>
  <conditionalFormatting sqref="Y293">
    <cfRule type="containsText" dxfId="2292" priority="4984" stopIfTrue="1" operator="containsText" text="Nivel II: Riesgo Importante">
      <formula>NOT(ISERROR(SEARCH("Nivel II: Riesgo Importante",Y293)))</formula>
    </cfRule>
    <cfRule type="containsText" dxfId="2291" priority="5006" stopIfTrue="1" operator="containsText" text="Nivel IV: Riesgo Tolerable (Aceptable)">
      <formula>NOT(ISERROR(SEARCH("Nivel IV: Riesgo Tolerable (Aceptable)",Y293)))</formula>
    </cfRule>
    <cfRule type="containsText" dxfId="2290" priority="5005" stopIfTrue="1" operator="containsText" text="Nivel I: Riesgo Inaceptable">
      <formula>NOT(ISERROR(SEARCH("Nivel I: Riesgo Inaceptable",Y293)))</formula>
    </cfRule>
    <cfRule type="containsText" dxfId="2289" priority="5004" stopIfTrue="1" operator="containsText" text="Nivel II: Riesgo Importante">
      <formula>NOT(ISERROR(SEARCH("Nivel II: Riesgo Importante",Y293)))</formula>
    </cfRule>
    <cfRule type="containsText" dxfId="2288" priority="4986" stopIfTrue="1" operator="containsText" text="Nivel IV: Riesgo Tolerable (Aceptable)">
      <formula>NOT(ISERROR(SEARCH("Nivel IV: Riesgo Tolerable (Aceptable)",Y293)))</formula>
    </cfRule>
    <cfRule type="containsText" dxfId="2287" priority="4985" stopIfTrue="1" operator="containsText" text="Nivel I: Riesgo Inaceptable">
      <formula>NOT(ISERROR(SEARCH("Nivel I: Riesgo Inaceptable",Y293)))</formula>
    </cfRule>
  </conditionalFormatting>
  <conditionalFormatting sqref="Y293:Y294">
    <cfRule type="containsText" dxfId="2286" priority="4946" stopIfTrue="1" operator="containsText" text="Nivel III: Riesgo Moderado (Aceptable)">
      <formula>NOT(ISERROR(SEARCH("Nivel III: Riesgo Moderado (Aceptable)",Y293)))</formula>
    </cfRule>
  </conditionalFormatting>
  <conditionalFormatting sqref="Y294">
    <cfRule type="containsText" dxfId="2285" priority="4949" stopIfTrue="1" operator="containsText" text="Nivel IV: Riesgo Tolerable (Aceptable)">
      <formula>NOT(ISERROR(SEARCH("Nivel IV: Riesgo Tolerable (Aceptable)",Y294)))</formula>
    </cfRule>
    <cfRule type="containsText" dxfId="2284" priority="4948" stopIfTrue="1" operator="containsText" text="Nivel I: Riesgo Inaceptable">
      <formula>NOT(ISERROR(SEARCH("Nivel I: Riesgo Inaceptable",Y294)))</formula>
    </cfRule>
    <cfRule type="containsText" dxfId="2283" priority="4947" stopIfTrue="1" operator="containsText" text="Nivel II: Riesgo Importante">
      <formula>NOT(ISERROR(SEARCH("Nivel II: Riesgo Importante",Y294)))</formula>
    </cfRule>
    <cfRule type="containsText" dxfId="2282" priority="4945" stopIfTrue="1" operator="containsText" text="Nivel IV: Riesgo Tolerable (Aceptable)">
      <formula>NOT(ISERROR(SEARCH("Nivel IV: Riesgo Tolerable (Aceptable)",Y294)))</formula>
    </cfRule>
    <cfRule type="containsText" dxfId="2281" priority="4944" stopIfTrue="1" operator="containsText" text="Nivel I: Riesgo Inaceptable">
      <formula>NOT(ISERROR(SEARCH("Nivel I: Riesgo Inaceptable",Y294)))</formula>
    </cfRule>
    <cfRule type="containsText" dxfId="2280" priority="4943" stopIfTrue="1" operator="containsText" text="Nivel II: Riesgo Importante">
      <formula>NOT(ISERROR(SEARCH("Nivel II: Riesgo Importante",Y294)))</formula>
    </cfRule>
  </conditionalFormatting>
  <conditionalFormatting sqref="Y295">
    <cfRule type="containsText" dxfId="2279" priority="4758" stopIfTrue="1" operator="containsText" text="Nivel II: Riesgo Importante">
      <formula>NOT(ISERROR(SEARCH("Nivel II: Riesgo Importante",Y295)))</formula>
    </cfRule>
    <cfRule type="containsText" dxfId="2278" priority="4760" stopIfTrue="1" operator="containsText" text="Nivel IV: Riesgo Tolerable (Aceptable)">
      <formula>NOT(ISERROR(SEARCH("Nivel IV: Riesgo Tolerable (Aceptable)",Y295)))</formula>
    </cfRule>
    <cfRule type="containsText" dxfId="2277" priority="4759" stopIfTrue="1" operator="containsText" text="Nivel I: Riesgo Inaceptable">
      <formula>NOT(ISERROR(SEARCH("Nivel I: Riesgo Inaceptable",Y295)))</formula>
    </cfRule>
    <cfRule type="containsText" dxfId="2276" priority="4757" stopIfTrue="1" operator="containsText" text="Nivel III: Riesgo Moderado (Aceptable)">
      <formula>NOT(ISERROR(SEARCH("Nivel III: Riesgo Moderado (Aceptable)",Y295)))</formula>
    </cfRule>
    <cfRule type="containsText" dxfId="2275" priority="4762" stopIfTrue="1" operator="containsText" text="Nivel II: Riesgo Importante">
      <formula>NOT(ISERROR(SEARCH("Nivel II: Riesgo Importante",Y295)))</formula>
    </cfRule>
    <cfRule type="containsText" dxfId="2274" priority="4763" stopIfTrue="1" operator="containsText" text="Nivel I: Riesgo Inaceptable">
      <formula>NOT(ISERROR(SEARCH("Nivel I: Riesgo Inaceptable",Y295)))</formula>
    </cfRule>
    <cfRule type="containsText" dxfId="2273" priority="4764" stopIfTrue="1" operator="containsText" text="Nivel IV: Riesgo Tolerable (Aceptable)">
      <formula>NOT(ISERROR(SEARCH("Nivel IV: Riesgo Tolerable (Aceptable)",Y295)))</formula>
    </cfRule>
  </conditionalFormatting>
  <conditionalFormatting sqref="Y296">
    <cfRule type="containsText" dxfId="2272" priority="5025" stopIfTrue="1" operator="containsText" text="Nivel II: Riesgo Importante">
      <formula>NOT(ISERROR(SEARCH("Nivel II: Riesgo Importante",Y296)))</formula>
    </cfRule>
    <cfRule type="containsText" dxfId="2271" priority="5027" stopIfTrue="1" operator="containsText" text="Nivel IV: Riesgo Tolerable (Aceptable)">
      <formula>NOT(ISERROR(SEARCH("Nivel IV: Riesgo Tolerable (Aceptable)",Y296)))</formula>
    </cfRule>
    <cfRule type="containsText" dxfId="2270" priority="5029" stopIfTrue="1" operator="containsText" text="Nivel II: Riesgo Importante">
      <formula>NOT(ISERROR(SEARCH("Nivel II: Riesgo Importante",Y296)))</formula>
    </cfRule>
    <cfRule type="containsText" dxfId="2269" priority="5030" stopIfTrue="1" operator="containsText" text="Nivel I: Riesgo Inaceptable">
      <formula>NOT(ISERROR(SEARCH("Nivel I: Riesgo Inaceptable",Y296)))</formula>
    </cfRule>
    <cfRule type="containsText" dxfId="2268" priority="5026" stopIfTrue="1" operator="containsText" text="Nivel I: Riesgo Inaceptable">
      <formula>NOT(ISERROR(SEARCH("Nivel I: Riesgo Inaceptable",Y296)))</formula>
    </cfRule>
    <cfRule type="containsText" dxfId="2267" priority="5031" stopIfTrue="1" operator="containsText" text="Nivel IV: Riesgo Tolerable (Aceptable)">
      <formula>NOT(ISERROR(SEARCH("Nivel IV: Riesgo Tolerable (Aceptable)",Y296)))</formula>
    </cfRule>
  </conditionalFormatting>
  <conditionalFormatting sqref="Y296:Y297">
    <cfRule type="containsText" dxfId="2266" priority="4806" stopIfTrue="1" operator="containsText" text="Nivel III: Riesgo Moderado (Aceptable)">
      <formula>NOT(ISERROR(SEARCH("Nivel III: Riesgo Moderado (Aceptable)",Y296)))</formula>
    </cfRule>
  </conditionalFormatting>
  <conditionalFormatting sqref="Y297">
    <cfRule type="containsText" dxfId="2265" priority="4809" stopIfTrue="1" operator="containsText" text="Nivel IV: Riesgo Tolerable (Aceptable)">
      <formula>NOT(ISERROR(SEARCH("Nivel IV: Riesgo Tolerable (Aceptable)",Y297)))</formula>
    </cfRule>
    <cfRule type="containsText" dxfId="2264" priority="4808" stopIfTrue="1" operator="containsText" text="Nivel I: Riesgo Inaceptable">
      <formula>NOT(ISERROR(SEARCH("Nivel I: Riesgo Inaceptable",Y297)))</formula>
    </cfRule>
    <cfRule type="containsText" dxfId="2263" priority="4807" stopIfTrue="1" operator="containsText" text="Nivel II: Riesgo Importante">
      <formula>NOT(ISERROR(SEARCH("Nivel II: Riesgo Importante",Y297)))</formula>
    </cfRule>
    <cfRule type="containsText" dxfId="2262" priority="4803" stopIfTrue="1" operator="containsText" text="Nivel II: Riesgo Importante">
      <formula>NOT(ISERROR(SEARCH("Nivel II: Riesgo Importante",Y297)))</formula>
    </cfRule>
    <cfRule type="containsText" dxfId="2261" priority="4804" stopIfTrue="1" operator="containsText" text="Nivel I: Riesgo Inaceptable">
      <formula>NOT(ISERROR(SEARCH("Nivel I: Riesgo Inaceptable",Y297)))</formula>
    </cfRule>
    <cfRule type="containsText" dxfId="2260" priority="4805" stopIfTrue="1" operator="containsText" text="Nivel IV: Riesgo Tolerable (Aceptable)">
      <formula>NOT(ISERROR(SEARCH("Nivel IV: Riesgo Tolerable (Aceptable)",Y297)))</formula>
    </cfRule>
  </conditionalFormatting>
  <conditionalFormatting sqref="Y298">
    <cfRule type="containsText" dxfId="2259" priority="4588" stopIfTrue="1" operator="containsText" text="Nivel IV: Riesgo Tolerable (Aceptable)">
      <formula>NOT(ISERROR(SEARCH("Nivel IV: Riesgo Tolerable (Aceptable)",Y298)))</formula>
    </cfRule>
    <cfRule type="containsText" dxfId="2258" priority="4596" stopIfTrue="1" operator="containsText" text="Nivel IV: Riesgo Tolerable (Aceptable)">
      <formula>NOT(ISERROR(SEARCH("Nivel IV: Riesgo Tolerable (Aceptable)",Y298)))</formula>
    </cfRule>
    <cfRule type="containsText" dxfId="2257" priority="4595" stopIfTrue="1" operator="containsText" text="Nivel I: Riesgo Inaceptable">
      <formula>NOT(ISERROR(SEARCH("Nivel I: Riesgo Inaceptable",Y298)))</formula>
    </cfRule>
    <cfRule type="containsText" dxfId="2256" priority="4586" stopIfTrue="1" operator="containsText" text="Nivel II: Riesgo Importante">
      <formula>NOT(ISERROR(SEARCH("Nivel II: Riesgo Importante",Y298)))</formula>
    </cfRule>
    <cfRule type="containsText" dxfId="2255" priority="4587" stopIfTrue="1" operator="containsText" text="Nivel I: Riesgo Inaceptable">
      <formula>NOT(ISERROR(SEARCH("Nivel I: Riesgo Inaceptable",Y298)))</formula>
    </cfRule>
    <cfRule type="containsText" dxfId="2254" priority="4594" stopIfTrue="1" operator="containsText" text="Nivel II: Riesgo Importante">
      <formula>NOT(ISERROR(SEARCH("Nivel II: Riesgo Importante",Y298)))</formula>
    </cfRule>
  </conditionalFormatting>
  <conditionalFormatting sqref="Y298:Y299">
    <cfRule type="containsText" dxfId="2253" priority="4186" stopIfTrue="1" operator="containsText" text="Nivel III: Riesgo Moderado (Aceptable)">
      <formula>NOT(ISERROR(SEARCH("Nivel III: Riesgo Moderado (Aceptable)",Y298)))</formula>
    </cfRule>
  </conditionalFormatting>
  <conditionalFormatting sqref="Y299">
    <cfRule type="containsText" dxfId="2252" priority="4164" stopIfTrue="1" operator="containsText" text="Nivel I: Riesgo Inaceptable">
      <formula>NOT(ISERROR(SEARCH("Nivel I: Riesgo Inaceptable",Y299)))</formula>
    </cfRule>
    <cfRule type="containsText" dxfId="2251" priority="4188" stopIfTrue="1" operator="containsText" text="Nivel I: Riesgo Inaceptable">
      <formula>NOT(ISERROR(SEARCH("Nivel I: Riesgo Inaceptable",Y299)))</formula>
    </cfRule>
    <cfRule type="containsText" dxfId="2250" priority="4187" stopIfTrue="1" operator="containsText" text="Nivel II: Riesgo Importante">
      <formula>NOT(ISERROR(SEARCH("Nivel II: Riesgo Importante",Y299)))</formula>
    </cfRule>
    <cfRule type="containsText" dxfId="2249" priority="4163" stopIfTrue="1" operator="containsText" text="Nivel II: Riesgo Importante">
      <formula>NOT(ISERROR(SEARCH("Nivel II: Riesgo Importante",Y299)))</formula>
    </cfRule>
    <cfRule type="containsText" dxfId="2248" priority="4189" stopIfTrue="1" operator="containsText" text="Nivel IV: Riesgo Tolerable (Aceptable)">
      <formula>NOT(ISERROR(SEARCH("Nivel IV: Riesgo Tolerable (Aceptable)",Y299)))</formula>
    </cfRule>
    <cfRule type="containsText" dxfId="2247" priority="4165" stopIfTrue="1" operator="containsText" text="Nivel IV: Riesgo Tolerable (Aceptable)">
      <formula>NOT(ISERROR(SEARCH("Nivel IV: Riesgo Tolerable (Aceptable)",Y299)))</formula>
    </cfRule>
  </conditionalFormatting>
  <conditionalFormatting sqref="Y300">
    <cfRule type="containsText" dxfId="2246" priority="4157" stopIfTrue="1" operator="containsText" text="Nivel IV: Riesgo Tolerable (Aceptable)">
      <formula>NOT(ISERROR(SEARCH("Nivel IV: Riesgo Tolerable (Aceptable)",Y300)))</formula>
    </cfRule>
    <cfRule type="containsText" dxfId="2245" priority="4129" stopIfTrue="1" operator="containsText" text="Nivel IV: Riesgo Tolerable (Aceptable)">
      <formula>NOT(ISERROR(SEARCH("Nivel IV: Riesgo Tolerable (Aceptable)",Y300)))</formula>
    </cfRule>
    <cfRule type="containsText" dxfId="2244" priority="4127" stopIfTrue="1" operator="containsText" text="Nivel II: Riesgo Importante">
      <formula>NOT(ISERROR(SEARCH("Nivel II: Riesgo Importante",Y300)))</formula>
    </cfRule>
    <cfRule type="containsText" dxfId="2243" priority="4128" stopIfTrue="1" operator="containsText" text="Nivel I: Riesgo Inaceptable">
      <formula>NOT(ISERROR(SEARCH("Nivel I: Riesgo Inaceptable",Y300)))</formula>
    </cfRule>
    <cfRule type="containsText" dxfId="2242" priority="4155" stopIfTrue="1" operator="containsText" text="Nivel II: Riesgo Importante">
      <formula>NOT(ISERROR(SEARCH("Nivel II: Riesgo Importante",Y300)))</formula>
    </cfRule>
    <cfRule type="containsText" dxfId="2241" priority="4156" stopIfTrue="1" operator="containsText" text="Nivel I: Riesgo Inaceptable">
      <formula>NOT(ISERROR(SEARCH("Nivel I: Riesgo Inaceptable",Y300)))</formula>
    </cfRule>
  </conditionalFormatting>
  <conditionalFormatting sqref="Y301">
    <cfRule type="containsText" dxfId="2240" priority="4546" stopIfTrue="1" operator="containsText" text="Nivel I: Riesgo Inaceptable">
      <formula>NOT(ISERROR(SEARCH("Nivel I: Riesgo Inaceptable",Y301)))</formula>
    </cfRule>
    <cfRule type="containsText" dxfId="2239" priority="4545" stopIfTrue="1" operator="containsText" text="Nivel II: Riesgo Importante">
      <formula>NOT(ISERROR(SEARCH("Nivel II: Riesgo Importante",Y301)))</formula>
    </cfRule>
    <cfRule type="containsText" dxfId="2238" priority="4543" stopIfTrue="1" operator="containsText" text="Nivel IV: Riesgo Tolerable (Aceptable)">
      <formula>NOT(ISERROR(SEARCH("Nivel IV: Riesgo Tolerable (Aceptable)",Y301)))</formula>
    </cfRule>
    <cfRule type="containsText" dxfId="2237" priority="4542" stopIfTrue="1" operator="containsText" text="Nivel I: Riesgo Inaceptable">
      <formula>NOT(ISERROR(SEARCH("Nivel I: Riesgo Inaceptable",Y301)))</formula>
    </cfRule>
    <cfRule type="containsText" dxfId="2236" priority="4541" stopIfTrue="1" operator="containsText" text="Nivel II: Riesgo Importante">
      <formula>NOT(ISERROR(SEARCH("Nivel II: Riesgo Importante",Y301)))</formula>
    </cfRule>
    <cfRule type="containsText" dxfId="2235" priority="4547" stopIfTrue="1" operator="containsText" text="Nivel IV: Riesgo Tolerable (Aceptable)">
      <formula>NOT(ISERROR(SEARCH("Nivel IV: Riesgo Tolerable (Aceptable)",Y301)))</formula>
    </cfRule>
  </conditionalFormatting>
  <conditionalFormatting sqref="Y301:Y302">
    <cfRule type="containsText" dxfId="2234" priority="4544" stopIfTrue="1" operator="containsText" text="Nivel III: Riesgo Moderado (Aceptable)">
      <formula>NOT(ISERROR(SEARCH("Nivel III: Riesgo Moderado (Aceptable)",Y301)))</formula>
    </cfRule>
  </conditionalFormatting>
  <conditionalFormatting sqref="Y302">
    <cfRule type="containsText" dxfId="2233" priority="4637" stopIfTrue="1" operator="containsText" text="Nivel II: Riesgo Importante">
      <formula>NOT(ISERROR(SEARCH("Nivel II: Riesgo Importante",Y302)))</formula>
    </cfRule>
    <cfRule type="containsText" dxfId="2232" priority="4633" stopIfTrue="1" operator="containsText" text="Nivel II: Riesgo Importante">
      <formula>NOT(ISERROR(SEARCH("Nivel II: Riesgo Importante",Y302)))</formula>
    </cfRule>
    <cfRule type="containsText" dxfId="2231" priority="4634" stopIfTrue="1" operator="containsText" text="Nivel I: Riesgo Inaceptable">
      <formula>NOT(ISERROR(SEARCH("Nivel I: Riesgo Inaceptable",Y302)))</formula>
    </cfRule>
    <cfRule type="containsText" dxfId="2230" priority="4635" stopIfTrue="1" operator="containsText" text="Nivel IV: Riesgo Tolerable (Aceptable)">
      <formula>NOT(ISERROR(SEARCH("Nivel IV: Riesgo Tolerable (Aceptable)",Y302)))</formula>
    </cfRule>
    <cfRule type="containsText" dxfId="2229" priority="4639" stopIfTrue="1" operator="containsText" text="Nivel IV: Riesgo Tolerable (Aceptable)">
      <formula>NOT(ISERROR(SEARCH("Nivel IV: Riesgo Tolerable (Aceptable)",Y302)))</formula>
    </cfRule>
    <cfRule type="containsText" dxfId="2228" priority="4638" stopIfTrue="1" operator="containsText" text="Nivel I: Riesgo Inaceptable">
      <formula>NOT(ISERROR(SEARCH("Nivel I: Riesgo Inaceptable",Y302)))</formula>
    </cfRule>
  </conditionalFormatting>
  <conditionalFormatting sqref="Y303">
    <cfRule type="containsText" dxfId="2227" priority="4501" stopIfTrue="1" operator="containsText" text="Nivel I: Riesgo Inaceptable">
      <formula>NOT(ISERROR(SEARCH("Nivel I: Riesgo Inaceptable",Y303)))</formula>
    </cfRule>
    <cfRule type="containsText" dxfId="2226" priority="4497" stopIfTrue="1" operator="containsText" text="Nivel I: Riesgo Inaceptable">
      <formula>NOT(ISERROR(SEARCH("Nivel I: Riesgo Inaceptable",Y303)))</formula>
    </cfRule>
    <cfRule type="containsText" dxfId="2225" priority="4496" stopIfTrue="1" operator="containsText" text="Nivel II: Riesgo Importante">
      <formula>NOT(ISERROR(SEARCH("Nivel II: Riesgo Importante",Y303)))</formula>
    </cfRule>
    <cfRule type="containsText" dxfId="2224" priority="4500" stopIfTrue="1" operator="containsText" text="Nivel II: Riesgo Importante">
      <formula>NOT(ISERROR(SEARCH("Nivel II: Riesgo Importante",Y303)))</formula>
    </cfRule>
    <cfRule type="containsText" dxfId="2223" priority="4502" stopIfTrue="1" operator="containsText" text="Nivel IV: Riesgo Tolerable (Aceptable)">
      <formula>NOT(ISERROR(SEARCH("Nivel IV: Riesgo Tolerable (Aceptable)",Y303)))</formula>
    </cfRule>
    <cfRule type="containsText" dxfId="2222" priority="4498" stopIfTrue="1" operator="containsText" text="Nivel IV: Riesgo Tolerable (Aceptable)">
      <formula>NOT(ISERROR(SEARCH("Nivel IV: Riesgo Tolerable (Aceptable)",Y303)))</formula>
    </cfRule>
  </conditionalFormatting>
  <conditionalFormatting sqref="Y303:Y306">
    <cfRule type="containsText" dxfId="2221" priority="4273" stopIfTrue="1" operator="containsText" text="Nivel III: Riesgo Moderado (Aceptable)">
      <formula>NOT(ISERROR(SEARCH("Nivel III: Riesgo Moderado (Aceptable)",Y303)))</formula>
    </cfRule>
  </conditionalFormatting>
  <conditionalFormatting sqref="Y304">
    <cfRule type="containsText" dxfId="2220" priority="4306" stopIfTrue="1" operator="containsText" text="Nivel IV: Riesgo Tolerable (Aceptable)">
      <formula>NOT(ISERROR(SEARCH("Nivel IV: Riesgo Tolerable (Aceptable)",Y304)))</formula>
    </cfRule>
    <cfRule type="containsText" dxfId="2219" priority="4305" stopIfTrue="1" operator="containsText" text="Nivel I: Riesgo Inaceptable">
      <formula>NOT(ISERROR(SEARCH("Nivel I: Riesgo Inaceptable",Y304)))</formula>
    </cfRule>
    <cfRule type="containsText" dxfId="2218" priority="4304" stopIfTrue="1" operator="containsText" text="Nivel II: Riesgo Importante">
      <formula>NOT(ISERROR(SEARCH("Nivel II: Riesgo Importante",Y304)))</formula>
    </cfRule>
  </conditionalFormatting>
  <conditionalFormatting sqref="Y305">
    <cfRule type="containsText" dxfId="2217" priority="4343" stopIfTrue="1" operator="containsText" text="Nivel IV: Riesgo Tolerable (Aceptable)">
      <formula>NOT(ISERROR(SEARCH("Nivel IV: Riesgo Tolerable (Aceptable)",Y305)))</formula>
    </cfRule>
    <cfRule type="containsText" dxfId="2216" priority="4341" stopIfTrue="1" operator="containsText" text="Nivel II: Riesgo Importante">
      <formula>NOT(ISERROR(SEARCH("Nivel II: Riesgo Importante",Y305)))</formula>
    </cfRule>
    <cfRule type="containsText" dxfId="2215" priority="4342" stopIfTrue="1" operator="containsText" text="Nivel I: Riesgo Inaceptable">
      <formula>NOT(ISERROR(SEARCH("Nivel I: Riesgo Inaceptable",Y305)))</formula>
    </cfRule>
  </conditionalFormatting>
  <conditionalFormatting sqref="Y306">
    <cfRule type="containsText" dxfId="2214" priority="4276" stopIfTrue="1" operator="containsText" text="Nivel IV: Riesgo Tolerable (Aceptable)">
      <formula>NOT(ISERROR(SEARCH("Nivel IV: Riesgo Tolerable (Aceptable)",Y306)))</formula>
    </cfRule>
    <cfRule type="containsText" dxfId="2213" priority="4275" stopIfTrue="1" operator="containsText" text="Nivel I: Riesgo Inaceptable">
      <formula>NOT(ISERROR(SEARCH("Nivel I: Riesgo Inaceptable",Y306)))</formula>
    </cfRule>
    <cfRule type="containsText" dxfId="2212" priority="4274" stopIfTrue="1" operator="containsText" text="Nivel II: Riesgo Importante">
      <formula>NOT(ISERROR(SEARCH("Nivel II: Riesgo Importante",Y306)))</formula>
    </cfRule>
  </conditionalFormatting>
  <conditionalFormatting sqref="Y307">
    <cfRule type="containsText" dxfId="2211" priority="4443" stopIfTrue="1" operator="containsText" text="Nivel IV: Riesgo Tolerable (Aceptable)">
      <formula>NOT(ISERROR(SEARCH("Nivel IV: Riesgo Tolerable (Aceptable)",Y307)))</formula>
    </cfRule>
    <cfRule type="containsText" dxfId="2210" priority="4442" stopIfTrue="1" operator="containsText" text="Nivel I: Riesgo Inaceptable">
      <formula>NOT(ISERROR(SEARCH("Nivel I: Riesgo Inaceptable",Y307)))</formula>
    </cfRule>
    <cfRule type="containsText" dxfId="2209" priority="4423" stopIfTrue="1" operator="containsText" text="Nivel IV: Riesgo Tolerable (Aceptable)">
      <formula>NOT(ISERROR(SEARCH("Nivel IV: Riesgo Tolerable (Aceptable)",Y307)))</formula>
    </cfRule>
    <cfRule type="containsText" dxfId="2208" priority="4441" stopIfTrue="1" operator="containsText" text="Nivel II: Riesgo Importante">
      <formula>NOT(ISERROR(SEARCH("Nivel II: Riesgo Importante",Y307)))</formula>
    </cfRule>
    <cfRule type="containsText" dxfId="2207" priority="4422" stopIfTrue="1" operator="containsText" text="Nivel I: Riesgo Inaceptable">
      <formula>NOT(ISERROR(SEARCH("Nivel I: Riesgo Inaceptable",Y307)))</formula>
    </cfRule>
    <cfRule type="containsText" dxfId="2206" priority="4421" stopIfTrue="1" operator="containsText" text="Nivel II: Riesgo Importante">
      <formula>NOT(ISERROR(SEARCH("Nivel II: Riesgo Importante",Y307)))</formula>
    </cfRule>
  </conditionalFormatting>
  <conditionalFormatting sqref="Y307:Y308">
    <cfRule type="containsText" dxfId="2205" priority="4383" stopIfTrue="1" operator="containsText" text="Nivel III: Riesgo Moderado (Aceptable)">
      <formula>NOT(ISERROR(SEARCH("Nivel III: Riesgo Moderado (Aceptable)",Y307)))</formula>
    </cfRule>
  </conditionalFormatting>
  <conditionalFormatting sqref="Y308">
    <cfRule type="containsText" dxfId="2204" priority="4382" stopIfTrue="1" operator="containsText" text="Nivel IV: Riesgo Tolerable (Aceptable)">
      <formula>NOT(ISERROR(SEARCH("Nivel IV: Riesgo Tolerable (Aceptable)",Y308)))</formula>
    </cfRule>
    <cfRule type="containsText" dxfId="2203" priority="4380" stopIfTrue="1" operator="containsText" text="Nivel II: Riesgo Importante">
      <formula>NOT(ISERROR(SEARCH("Nivel II: Riesgo Importante",Y308)))</formula>
    </cfRule>
    <cfRule type="containsText" dxfId="2202" priority="4381" stopIfTrue="1" operator="containsText" text="Nivel I: Riesgo Inaceptable">
      <formula>NOT(ISERROR(SEARCH("Nivel I: Riesgo Inaceptable",Y308)))</formula>
    </cfRule>
    <cfRule type="containsText" dxfId="2201" priority="4384" stopIfTrue="1" operator="containsText" text="Nivel II: Riesgo Importante">
      <formula>NOT(ISERROR(SEARCH("Nivel II: Riesgo Importante",Y308)))</formula>
    </cfRule>
    <cfRule type="containsText" dxfId="2200" priority="4385" stopIfTrue="1" operator="containsText" text="Nivel I: Riesgo Inaceptable">
      <formula>NOT(ISERROR(SEARCH("Nivel I: Riesgo Inaceptable",Y308)))</formula>
    </cfRule>
    <cfRule type="containsText" dxfId="2199" priority="4386" stopIfTrue="1" operator="containsText" text="Nivel IV: Riesgo Tolerable (Aceptable)">
      <formula>NOT(ISERROR(SEARCH("Nivel IV: Riesgo Tolerable (Aceptable)",Y308)))</formula>
    </cfRule>
  </conditionalFormatting>
  <conditionalFormatting sqref="Y309">
    <cfRule type="containsText" dxfId="2198" priority="4196" stopIfTrue="1" operator="containsText" text="Nivel I: Riesgo Inaceptable">
      <formula>NOT(ISERROR(SEARCH("Nivel I: Riesgo Inaceptable",Y309)))</formula>
    </cfRule>
    <cfRule type="containsText" dxfId="2197" priority="4195" stopIfTrue="1" operator="containsText" text="Nivel II: Riesgo Importante">
      <formula>NOT(ISERROR(SEARCH("Nivel II: Riesgo Importante",Y309)))</formula>
    </cfRule>
    <cfRule type="containsText" dxfId="2196" priority="4194" stopIfTrue="1" operator="containsText" text="Nivel III: Riesgo Moderado (Aceptable)">
      <formula>NOT(ISERROR(SEARCH("Nivel III: Riesgo Moderado (Aceptable)",Y309)))</formula>
    </cfRule>
    <cfRule type="containsText" dxfId="2195" priority="4197" stopIfTrue="1" operator="containsText" text="Nivel IV: Riesgo Tolerable (Aceptable)">
      <formula>NOT(ISERROR(SEARCH("Nivel IV: Riesgo Tolerable (Aceptable)",Y309)))</formula>
    </cfRule>
    <cfRule type="containsText" dxfId="2194" priority="4201" stopIfTrue="1" operator="containsText" text="Nivel IV: Riesgo Tolerable (Aceptable)">
      <formula>NOT(ISERROR(SEARCH("Nivel IV: Riesgo Tolerable (Aceptable)",Y309)))</formula>
    </cfRule>
    <cfRule type="containsText" dxfId="2193" priority="4200" stopIfTrue="1" operator="containsText" text="Nivel I: Riesgo Inaceptable">
      <formula>NOT(ISERROR(SEARCH("Nivel I: Riesgo Inaceptable",Y309)))</formula>
    </cfRule>
    <cfRule type="containsText" dxfId="2192" priority="4199" stopIfTrue="1" operator="containsText" text="Nivel II: Riesgo Importante">
      <formula>NOT(ISERROR(SEARCH("Nivel II: Riesgo Importante",Y309)))</formula>
    </cfRule>
  </conditionalFormatting>
  <conditionalFormatting sqref="Y310">
    <cfRule type="containsText" dxfId="2191" priority="4464" stopIfTrue="1" operator="containsText" text="Nivel IV: Riesgo Tolerable (Aceptable)">
      <formula>NOT(ISERROR(SEARCH("Nivel IV: Riesgo Tolerable (Aceptable)",Y310)))</formula>
    </cfRule>
    <cfRule type="containsText" dxfId="2190" priority="4462" stopIfTrue="1" operator="containsText" text="Nivel II: Riesgo Importante">
      <formula>NOT(ISERROR(SEARCH("Nivel II: Riesgo Importante",Y310)))</formula>
    </cfRule>
    <cfRule type="containsText" dxfId="2189" priority="4463" stopIfTrue="1" operator="containsText" text="Nivel I: Riesgo Inaceptable">
      <formula>NOT(ISERROR(SEARCH("Nivel I: Riesgo Inaceptable",Y310)))</formula>
    </cfRule>
    <cfRule type="containsText" dxfId="2188" priority="4468" stopIfTrue="1" operator="containsText" text="Nivel IV: Riesgo Tolerable (Aceptable)">
      <formula>NOT(ISERROR(SEARCH("Nivel IV: Riesgo Tolerable (Aceptable)",Y310)))</formula>
    </cfRule>
    <cfRule type="containsText" dxfId="2187" priority="4467" stopIfTrue="1" operator="containsText" text="Nivel I: Riesgo Inaceptable">
      <formula>NOT(ISERROR(SEARCH("Nivel I: Riesgo Inaceptable",Y310)))</formula>
    </cfRule>
    <cfRule type="containsText" dxfId="2186" priority="4466" stopIfTrue="1" operator="containsText" text="Nivel II: Riesgo Importante">
      <formula>NOT(ISERROR(SEARCH("Nivel II: Riesgo Importante",Y310)))</formula>
    </cfRule>
  </conditionalFormatting>
  <conditionalFormatting sqref="Y310:Y311">
    <cfRule type="containsText" dxfId="2185" priority="4243" stopIfTrue="1" operator="containsText" text="Nivel III: Riesgo Moderado (Aceptable)">
      <formula>NOT(ISERROR(SEARCH("Nivel III: Riesgo Moderado (Aceptable)",Y310)))</formula>
    </cfRule>
  </conditionalFormatting>
  <conditionalFormatting sqref="Y311">
    <cfRule type="containsText" dxfId="2184" priority="4240" stopIfTrue="1" operator="containsText" text="Nivel II: Riesgo Importante">
      <formula>NOT(ISERROR(SEARCH("Nivel II: Riesgo Importante",Y311)))</formula>
    </cfRule>
    <cfRule type="containsText" dxfId="2183" priority="4246" stopIfTrue="1" operator="containsText" text="Nivel IV: Riesgo Tolerable (Aceptable)">
      <formula>NOT(ISERROR(SEARCH("Nivel IV: Riesgo Tolerable (Aceptable)",Y311)))</formula>
    </cfRule>
    <cfRule type="containsText" dxfId="2182" priority="4245" stopIfTrue="1" operator="containsText" text="Nivel I: Riesgo Inaceptable">
      <formula>NOT(ISERROR(SEARCH("Nivel I: Riesgo Inaceptable",Y311)))</formula>
    </cfRule>
    <cfRule type="containsText" dxfId="2181" priority="4244" stopIfTrue="1" operator="containsText" text="Nivel II: Riesgo Importante">
      <formula>NOT(ISERROR(SEARCH("Nivel II: Riesgo Importante",Y311)))</formula>
    </cfRule>
    <cfRule type="containsText" dxfId="2180" priority="4242" stopIfTrue="1" operator="containsText" text="Nivel IV: Riesgo Tolerable (Aceptable)">
      <formula>NOT(ISERROR(SEARCH("Nivel IV: Riesgo Tolerable (Aceptable)",Y311)))</formula>
    </cfRule>
    <cfRule type="containsText" dxfId="2179" priority="4241" stopIfTrue="1" operator="containsText" text="Nivel I: Riesgo Inaceptable">
      <formula>NOT(ISERROR(SEARCH("Nivel I: Riesgo Inaceptable",Y311)))</formula>
    </cfRule>
  </conditionalFormatting>
  <conditionalFormatting sqref="Y312">
    <cfRule type="containsText" dxfId="2178" priority="4018" stopIfTrue="1" operator="containsText" text="Nivel II: Riesgo Importante">
      <formula>NOT(ISERROR(SEARCH("Nivel II: Riesgo Importante",Y312)))</formula>
    </cfRule>
    <cfRule type="containsText" dxfId="2177" priority="4019" stopIfTrue="1" operator="containsText" text="Nivel I: Riesgo Inaceptable">
      <formula>NOT(ISERROR(SEARCH("Nivel I: Riesgo Inaceptable",Y312)))</formula>
    </cfRule>
    <cfRule type="containsText" dxfId="2176" priority="4020" stopIfTrue="1" operator="containsText" text="Nivel IV: Riesgo Tolerable (Aceptable)">
      <formula>NOT(ISERROR(SEARCH("Nivel IV: Riesgo Tolerable (Aceptable)",Y312)))</formula>
    </cfRule>
    <cfRule type="containsText" dxfId="2175" priority="4028" stopIfTrue="1" operator="containsText" text="Nivel IV: Riesgo Tolerable (Aceptable)">
      <formula>NOT(ISERROR(SEARCH("Nivel IV: Riesgo Tolerable (Aceptable)",Y312)))</formula>
    </cfRule>
    <cfRule type="containsText" dxfId="2174" priority="4027" stopIfTrue="1" operator="containsText" text="Nivel I: Riesgo Inaceptable">
      <formula>NOT(ISERROR(SEARCH("Nivel I: Riesgo Inaceptable",Y312)))</formula>
    </cfRule>
    <cfRule type="containsText" dxfId="2173" priority="4026" stopIfTrue="1" operator="containsText" text="Nivel II: Riesgo Importante">
      <formula>NOT(ISERROR(SEARCH("Nivel II: Riesgo Importante",Y312)))</formula>
    </cfRule>
    <cfRule type="containsText" dxfId="2172" priority="4025" stopIfTrue="1" operator="containsText" text="Nivel III: Riesgo Moderado (Aceptable)">
      <formula>NOT(ISERROR(SEARCH("Nivel III: Riesgo Moderado (Aceptable)",Y312)))</formula>
    </cfRule>
  </conditionalFormatting>
  <conditionalFormatting sqref="Y313">
    <cfRule type="containsText" dxfId="2171" priority="3736" stopIfTrue="1" operator="containsText" text="Nivel I: Riesgo Inaceptable">
      <formula>NOT(ISERROR(SEARCH("Nivel I: Riesgo Inaceptable",Y313)))</formula>
    </cfRule>
    <cfRule type="containsText" dxfId="2170" priority="3712" stopIfTrue="1" operator="containsText" text="Nivel I: Riesgo Inaceptable">
      <formula>NOT(ISERROR(SEARCH("Nivel I: Riesgo Inaceptable",Y313)))</formula>
    </cfRule>
    <cfRule type="containsText" dxfId="2169" priority="3711" stopIfTrue="1" operator="containsText" text="Nivel II: Riesgo Importante">
      <formula>NOT(ISERROR(SEARCH("Nivel II: Riesgo Importante",Y313)))</formula>
    </cfRule>
    <cfRule type="containsText" dxfId="2168" priority="3713" stopIfTrue="1" operator="containsText" text="Nivel IV: Riesgo Tolerable (Aceptable)">
      <formula>NOT(ISERROR(SEARCH("Nivel IV: Riesgo Tolerable (Aceptable)",Y313)))</formula>
    </cfRule>
    <cfRule type="containsText" dxfId="2167" priority="3735" stopIfTrue="1" operator="containsText" text="Nivel II: Riesgo Importante">
      <formula>NOT(ISERROR(SEARCH("Nivel II: Riesgo Importante",Y313)))</formula>
    </cfRule>
    <cfRule type="containsText" dxfId="2166" priority="3737" stopIfTrue="1" operator="containsText" text="Nivel IV: Riesgo Tolerable (Aceptable)">
      <formula>NOT(ISERROR(SEARCH("Nivel IV: Riesgo Tolerable (Aceptable)",Y313)))</formula>
    </cfRule>
  </conditionalFormatting>
  <conditionalFormatting sqref="Y313:Y315">
    <cfRule type="containsText" dxfId="2165" priority="3702" stopIfTrue="1" operator="containsText" text="Nivel III: Riesgo Moderado (Aceptable)">
      <formula>NOT(ISERROR(SEARCH("Nivel III: Riesgo Moderado (Aceptable)",Y313)))</formula>
    </cfRule>
  </conditionalFormatting>
  <conditionalFormatting sqref="Y314">
    <cfRule type="containsText" dxfId="2164" priority="3676" stopIfTrue="1" operator="containsText" text="Nivel I: Riesgo Inaceptable">
      <formula>NOT(ISERROR(SEARCH("Nivel I: Riesgo Inaceptable",Y314)))</formula>
    </cfRule>
    <cfRule type="containsText" dxfId="2163" priority="3675" stopIfTrue="1" operator="containsText" text="Nivel II: Riesgo Importante">
      <formula>NOT(ISERROR(SEARCH("Nivel II: Riesgo Importante",Y314)))</formula>
    </cfRule>
    <cfRule type="containsText" dxfId="2162" priority="3703" stopIfTrue="1" operator="containsText" text="Nivel II: Riesgo Importante">
      <formula>NOT(ISERROR(SEARCH("Nivel II: Riesgo Importante",Y314)))</formula>
    </cfRule>
    <cfRule type="containsText" dxfId="2161" priority="3704" stopIfTrue="1" operator="containsText" text="Nivel I: Riesgo Inaceptable">
      <formula>NOT(ISERROR(SEARCH("Nivel I: Riesgo Inaceptable",Y314)))</formula>
    </cfRule>
    <cfRule type="containsText" dxfId="2160" priority="3705" stopIfTrue="1" operator="containsText" text="Nivel IV: Riesgo Tolerable (Aceptable)">
      <formula>NOT(ISERROR(SEARCH("Nivel IV: Riesgo Tolerable (Aceptable)",Y314)))</formula>
    </cfRule>
    <cfRule type="containsText" dxfId="2159" priority="3677" stopIfTrue="1" operator="containsText" text="Nivel IV: Riesgo Tolerable (Aceptable)">
      <formula>NOT(ISERROR(SEARCH("Nivel IV: Riesgo Tolerable (Aceptable)",Y314)))</formula>
    </cfRule>
  </conditionalFormatting>
  <conditionalFormatting sqref="Y315">
    <cfRule type="containsText" dxfId="2158" priority="3977" stopIfTrue="1" operator="containsText" text="Nivel II: Riesgo Importante">
      <formula>NOT(ISERROR(SEARCH("Nivel II: Riesgo Importante",Y315)))</formula>
    </cfRule>
    <cfRule type="containsText" dxfId="2157" priority="3979" stopIfTrue="1" operator="containsText" text="Nivel IV: Riesgo Tolerable (Aceptable)">
      <formula>NOT(ISERROR(SEARCH("Nivel IV: Riesgo Tolerable (Aceptable)",Y315)))</formula>
    </cfRule>
    <cfRule type="containsText" dxfId="2156" priority="3983" stopIfTrue="1" operator="containsText" text="Nivel IV: Riesgo Tolerable (Aceptable)">
      <formula>NOT(ISERROR(SEARCH("Nivel IV: Riesgo Tolerable (Aceptable)",Y315)))</formula>
    </cfRule>
    <cfRule type="containsText" dxfId="2155" priority="3978" stopIfTrue="1" operator="containsText" text="Nivel I: Riesgo Inaceptable">
      <formula>NOT(ISERROR(SEARCH("Nivel I: Riesgo Inaceptable",Y315)))</formula>
    </cfRule>
    <cfRule type="containsText" dxfId="2154" priority="3982" stopIfTrue="1" operator="containsText" text="Nivel I: Riesgo Inaceptable">
      <formula>NOT(ISERROR(SEARCH("Nivel I: Riesgo Inaceptable",Y315)))</formula>
    </cfRule>
    <cfRule type="containsText" dxfId="2153" priority="3981" stopIfTrue="1" operator="containsText" text="Nivel II: Riesgo Importante">
      <formula>NOT(ISERROR(SEARCH("Nivel II: Riesgo Importante",Y315)))</formula>
    </cfRule>
  </conditionalFormatting>
  <conditionalFormatting sqref="Y315:Y316">
    <cfRule type="containsText" dxfId="2152" priority="3980" stopIfTrue="1" operator="containsText" text="Nivel III: Riesgo Moderado (Aceptable)">
      <formula>NOT(ISERROR(SEARCH("Nivel III: Riesgo Moderado (Aceptable)",Y315)))</formula>
    </cfRule>
  </conditionalFormatting>
  <conditionalFormatting sqref="Y316">
    <cfRule type="containsText" dxfId="2151" priority="4065" stopIfTrue="1" operator="containsText" text="Nivel II: Riesgo Importante">
      <formula>NOT(ISERROR(SEARCH("Nivel II: Riesgo Importante",Y316)))</formula>
    </cfRule>
    <cfRule type="containsText" dxfId="2150" priority="4064" stopIfTrue="1" operator="containsText" text="Nivel III: Riesgo Moderado (Aceptable)">
      <formula>NOT(ISERROR(SEARCH("Nivel III: Riesgo Moderado (Aceptable)",Y316)))</formula>
    </cfRule>
    <cfRule type="containsText" dxfId="2149" priority="4063" stopIfTrue="1" operator="containsText" text="Nivel IV: Riesgo Tolerable (Aceptable)">
      <formula>NOT(ISERROR(SEARCH("Nivel IV: Riesgo Tolerable (Aceptable)",Y316)))</formula>
    </cfRule>
    <cfRule type="containsText" dxfId="2148" priority="4062" stopIfTrue="1" operator="containsText" text="Nivel I: Riesgo Inaceptable">
      <formula>NOT(ISERROR(SEARCH("Nivel I: Riesgo Inaceptable",Y316)))</formula>
    </cfRule>
    <cfRule type="containsText" dxfId="2147" priority="4061" stopIfTrue="1" operator="containsText" text="Nivel II: Riesgo Importante">
      <formula>NOT(ISERROR(SEARCH("Nivel II: Riesgo Importante",Y316)))</formula>
    </cfRule>
    <cfRule type="containsText" dxfId="2146" priority="4066" stopIfTrue="1" operator="containsText" text="Nivel I: Riesgo Inaceptable">
      <formula>NOT(ISERROR(SEARCH("Nivel I: Riesgo Inaceptable",Y316)))</formula>
    </cfRule>
    <cfRule type="containsText" dxfId="2145" priority="4067" stopIfTrue="1" operator="containsText" text="Nivel IV: Riesgo Tolerable (Aceptable)">
      <formula>NOT(ISERROR(SEARCH("Nivel IV: Riesgo Tolerable (Aceptable)",Y316)))</formula>
    </cfRule>
  </conditionalFormatting>
  <conditionalFormatting sqref="Y317">
    <cfRule type="containsText" dxfId="2144" priority="3939" stopIfTrue="1" operator="containsText" text="Nivel III: Riesgo Moderado (Aceptable)">
      <formula>NOT(ISERROR(SEARCH("Nivel III: Riesgo Moderado (Aceptable)",Y317)))</formula>
    </cfRule>
    <cfRule type="containsText" dxfId="2143" priority="3938" stopIfTrue="1" operator="containsText" text="Nivel IV: Riesgo Tolerable (Aceptable)">
      <formula>NOT(ISERROR(SEARCH("Nivel IV: Riesgo Tolerable (Aceptable)",Y317)))</formula>
    </cfRule>
    <cfRule type="containsText" dxfId="2142" priority="3937" stopIfTrue="1" operator="containsText" text="Nivel I: Riesgo Inaceptable">
      <formula>NOT(ISERROR(SEARCH("Nivel I: Riesgo Inaceptable",Y317)))</formula>
    </cfRule>
    <cfRule type="containsText" dxfId="2141" priority="3941" stopIfTrue="1" operator="containsText" text="Nivel I: Riesgo Inaceptable">
      <formula>NOT(ISERROR(SEARCH("Nivel I: Riesgo Inaceptable",Y317)))</formula>
    </cfRule>
    <cfRule type="containsText" dxfId="2140" priority="3936" stopIfTrue="1" operator="containsText" text="Nivel II: Riesgo Importante">
      <formula>NOT(ISERROR(SEARCH("Nivel II: Riesgo Importante",Y317)))</formula>
    </cfRule>
    <cfRule type="containsText" dxfId="2139" priority="3942" stopIfTrue="1" operator="containsText" text="Nivel IV: Riesgo Tolerable (Aceptable)">
      <formula>NOT(ISERROR(SEARCH("Nivel IV: Riesgo Tolerable (Aceptable)",Y317)))</formula>
    </cfRule>
    <cfRule type="containsText" dxfId="2138" priority="3940" stopIfTrue="1" operator="containsText" text="Nivel II: Riesgo Importante">
      <formula>NOT(ISERROR(SEARCH("Nivel II: Riesgo Importante",Y317)))</formula>
    </cfRule>
  </conditionalFormatting>
  <conditionalFormatting sqref="Y317:Y318">
    <cfRule type="containsText" dxfId="2137" priority="3812" stopIfTrue="1" operator="containsText" text="Nivel III: Riesgo Moderado (Aceptable)">
      <formula>NOT(ISERROR(SEARCH("Nivel III: Riesgo Moderado (Aceptable)",Y317)))</formula>
    </cfRule>
  </conditionalFormatting>
  <conditionalFormatting sqref="Y318">
    <cfRule type="containsText" dxfId="2136" priority="3814" stopIfTrue="1" operator="containsText" text="Nivel I: Riesgo Inaceptable">
      <formula>NOT(ISERROR(SEARCH("Nivel I: Riesgo Inaceptable",Y318)))</formula>
    </cfRule>
    <cfRule type="containsText" dxfId="2135" priority="3815" stopIfTrue="1" operator="containsText" text="Nivel IV: Riesgo Tolerable (Aceptable)">
      <formula>NOT(ISERROR(SEARCH("Nivel IV: Riesgo Tolerable (Aceptable)",Y318)))</formula>
    </cfRule>
    <cfRule type="containsText" dxfId="2134" priority="3792" stopIfTrue="1" operator="containsText" text="Nivel I: Riesgo Inaceptable">
      <formula>NOT(ISERROR(SEARCH("Nivel I: Riesgo Inaceptable",Y318)))</formula>
    </cfRule>
    <cfRule type="containsText" dxfId="2133" priority="3813" stopIfTrue="1" operator="containsText" text="Nivel II: Riesgo Importante">
      <formula>NOT(ISERROR(SEARCH("Nivel II: Riesgo Importante",Y318)))</formula>
    </cfRule>
    <cfRule type="containsText" dxfId="2132" priority="3791" stopIfTrue="1" operator="containsText" text="Nivel II: Riesgo Importante">
      <formula>NOT(ISERROR(SEARCH("Nivel II: Riesgo Importante",Y318)))</formula>
    </cfRule>
    <cfRule type="containsText" dxfId="2131" priority="3793" stopIfTrue="1" operator="containsText" text="Nivel IV: Riesgo Tolerable (Aceptable)">
      <formula>NOT(ISERROR(SEARCH("Nivel IV: Riesgo Tolerable (Aceptable)",Y318)))</formula>
    </cfRule>
  </conditionalFormatting>
  <conditionalFormatting sqref="Y318:Y319">
    <cfRule type="containsText" dxfId="2130" priority="3773" stopIfTrue="1" operator="containsText" text="Nivel III: Riesgo Moderado (Aceptable)">
      <formula>NOT(ISERROR(SEARCH("Nivel III: Riesgo Moderado (Aceptable)",Y318)))</formula>
    </cfRule>
  </conditionalFormatting>
  <conditionalFormatting sqref="Y319">
    <cfRule type="containsText" dxfId="2129" priority="3765" stopIfTrue="1" operator="containsText" text="Nivel II: Riesgo Importante">
      <formula>NOT(ISERROR(SEARCH("Nivel II: Riesgo Importante",Y319)))</formula>
    </cfRule>
    <cfRule type="containsText" dxfId="2128" priority="3764" stopIfTrue="1" operator="containsText" text="Nivel III: Riesgo Moderado (Aceptable)">
      <formula>NOT(ISERROR(SEARCH("Nivel III: Riesgo Moderado (Aceptable)",Y319)))</formula>
    </cfRule>
    <cfRule type="containsText" dxfId="2127" priority="3774" stopIfTrue="1" operator="containsText" text="Nivel II: Riesgo Importante">
      <formula>NOT(ISERROR(SEARCH("Nivel II: Riesgo Importante",Y319)))</formula>
    </cfRule>
    <cfRule type="containsText" dxfId="2126" priority="3766" stopIfTrue="1" operator="containsText" text="Nivel I: Riesgo Inaceptable">
      <formula>NOT(ISERROR(SEARCH("Nivel I: Riesgo Inaceptable",Y319)))</formula>
    </cfRule>
    <cfRule type="containsText" dxfId="2125" priority="3775" stopIfTrue="1" operator="containsText" text="Nivel I: Riesgo Inaceptable">
      <formula>NOT(ISERROR(SEARCH("Nivel I: Riesgo Inaceptable",Y319)))</formula>
    </cfRule>
    <cfRule type="containsText" dxfId="2124" priority="3767" stopIfTrue="1" operator="containsText" text="Nivel IV: Riesgo Tolerable (Aceptable)">
      <formula>NOT(ISERROR(SEARCH("Nivel IV: Riesgo Tolerable (Aceptable)",Y319)))</formula>
    </cfRule>
    <cfRule type="containsText" dxfId="2123" priority="3776" stopIfTrue="1" operator="containsText" text="Nivel IV: Riesgo Tolerable (Aceptable)">
      <formula>NOT(ISERROR(SEARCH("Nivel IV: Riesgo Tolerable (Aceptable)",Y319)))</formula>
    </cfRule>
  </conditionalFormatting>
  <conditionalFormatting sqref="Y320">
    <cfRule type="containsText" dxfId="2122" priority="3888" stopIfTrue="1" operator="containsText" text="Nivel III: Riesgo Moderado (Aceptable)">
      <formula>NOT(ISERROR(SEARCH("Nivel III: Riesgo Moderado (Aceptable)",Y320)))</formula>
    </cfRule>
    <cfRule type="containsText" dxfId="2121" priority="3891" stopIfTrue="1" operator="containsText" text="Nivel IV: Riesgo Tolerable (Aceptable)">
      <formula>NOT(ISERROR(SEARCH("Nivel IV: Riesgo Tolerable (Aceptable)",Y320)))</formula>
    </cfRule>
    <cfRule type="containsText" dxfId="2120" priority="3869" stopIfTrue="1" operator="containsText" text="Nivel II: Riesgo Importante">
      <formula>NOT(ISERROR(SEARCH("Nivel II: Riesgo Importante",Y320)))</formula>
    </cfRule>
    <cfRule type="containsText" dxfId="2119" priority="3870" stopIfTrue="1" operator="containsText" text="Nivel I: Riesgo Inaceptable">
      <formula>NOT(ISERROR(SEARCH("Nivel I: Riesgo Inaceptable",Y320)))</formula>
    </cfRule>
    <cfRule type="containsText" dxfId="2118" priority="3871" stopIfTrue="1" operator="containsText" text="Nivel IV: Riesgo Tolerable (Aceptable)">
      <formula>NOT(ISERROR(SEARCH("Nivel IV: Riesgo Tolerable (Aceptable)",Y320)))</formula>
    </cfRule>
    <cfRule type="containsText" dxfId="2117" priority="3890" stopIfTrue="1" operator="containsText" text="Nivel I: Riesgo Inaceptable">
      <formula>NOT(ISERROR(SEARCH("Nivel I: Riesgo Inaceptable",Y320)))</formula>
    </cfRule>
    <cfRule type="containsText" dxfId="2116" priority="3889" stopIfTrue="1" operator="containsText" text="Nivel II: Riesgo Importante">
      <formula>NOT(ISERROR(SEARCH("Nivel II: Riesgo Importante",Y320)))</formula>
    </cfRule>
  </conditionalFormatting>
  <conditionalFormatting sqref="Y320:Y322">
    <cfRule type="containsText" dxfId="2115" priority="3831" stopIfTrue="1" operator="containsText" text="Nivel III: Riesgo Moderado (Aceptable)">
      <formula>NOT(ISERROR(SEARCH("Nivel III: Riesgo Moderado (Aceptable)",Y320)))</formula>
    </cfRule>
  </conditionalFormatting>
  <conditionalFormatting sqref="Y321">
    <cfRule type="containsText" dxfId="2114" priority="3833" stopIfTrue="1" operator="containsText" text="Nivel I: Riesgo Inaceptable">
      <formula>NOT(ISERROR(SEARCH("Nivel I: Riesgo Inaceptable",Y321)))</formula>
    </cfRule>
    <cfRule type="containsText" dxfId="2113" priority="3834" stopIfTrue="1" operator="containsText" text="Nivel IV: Riesgo Tolerable (Aceptable)">
      <formula>NOT(ISERROR(SEARCH("Nivel IV: Riesgo Tolerable (Aceptable)",Y321)))</formula>
    </cfRule>
    <cfRule type="containsText" dxfId="2112" priority="3827" stopIfTrue="1" operator="containsText" text="Nivel III: Riesgo Moderado (Aceptable)">
      <formula>NOT(ISERROR(SEARCH("Nivel III: Riesgo Moderado (Aceptable)",Y321)))</formula>
    </cfRule>
    <cfRule type="containsText" dxfId="2111" priority="3830" stopIfTrue="1" operator="containsText" text="Nivel IV: Riesgo Tolerable (Aceptable)">
      <formula>NOT(ISERROR(SEARCH("Nivel IV: Riesgo Tolerable (Aceptable)",Y321)))</formula>
    </cfRule>
    <cfRule type="containsText" dxfId="2110" priority="3828" stopIfTrue="1" operator="containsText" text="Nivel II: Riesgo Importante">
      <formula>NOT(ISERROR(SEARCH("Nivel II: Riesgo Importante",Y321)))</formula>
    </cfRule>
    <cfRule type="containsText" dxfId="2109" priority="3829" stopIfTrue="1" operator="containsText" text="Nivel I: Riesgo Inaceptable">
      <formula>NOT(ISERROR(SEARCH("Nivel I: Riesgo Inaceptable",Y321)))</formula>
    </cfRule>
    <cfRule type="containsText" dxfId="2108" priority="3832" stopIfTrue="1" operator="containsText" text="Nivel II: Riesgo Importante">
      <formula>NOT(ISERROR(SEARCH("Nivel II: Riesgo Importante",Y321)))</formula>
    </cfRule>
  </conditionalFormatting>
  <conditionalFormatting sqref="Y322">
    <cfRule type="containsText" dxfId="2107" priority="3908" stopIfTrue="1" operator="containsText" text="Nivel IV: Riesgo Tolerable (Aceptable)">
      <formula>NOT(ISERROR(SEARCH("Nivel IV: Riesgo Tolerable (Aceptable)",Y322)))</formula>
    </cfRule>
    <cfRule type="containsText" dxfId="2106" priority="3907" stopIfTrue="1" operator="containsText" text="Nivel I: Riesgo Inaceptable">
      <formula>NOT(ISERROR(SEARCH("Nivel I: Riesgo Inaceptable",Y322)))</formula>
    </cfRule>
    <cfRule type="containsText" dxfId="2105" priority="3906" stopIfTrue="1" operator="containsText" text="Nivel II: Riesgo Importante">
      <formula>NOT(ISERROR(SEARCH("Nivel II: Riesgo Importante",Y322)))</formula>
    </cfRule>
    <cfRule type="containsText" dxfId="2104" priority="3909" stopIfTrue="1" operator="containsText" text="Nivel III: Riesgo Moderado (Aceptable)">
      <formula>NOT(ISERROR(SEARCH("Nivel III: Riesgo Moderado (Aceptable)",Y322)))</formula>
    </cfRule>
    <cfRule type="containsText" dxfId="2103" priority="3912" stopIfTrue="1" operator="containsText" text="Nivel IV: Riesgo Tolerable (Aceptable)">
      <formula>NOT(ISERROR(SEARCH("Nivel IV: Riesgo Tolerable (Aceptable)",Y322)))</formula>
    </cfRule>
    <cfRule type="containsText" dxfId="2102" priority="3911" stopIfTrue="1" operator="containsText" text="Nivel I: Riesgo Inaceptable">
      <formula>NOT(ISERROR(SEARCH("Nivel I: Riesgo Inaceptable",Y322)))</formula>
    </cfRule>
    <cfRule type="containsText" dxfId="2101" priority="3910" stopIfTrue="1" operator="containsText" text="Nivel II: Riesgo Importante">
      <formula>NOT(ISERROR(SEARCH("Nivel II: Riesgo Importante",Y322)))</formula>
    </cfRule>
  </conditionalFormatting>
  <conditionalFormatting sqref="Y323">
    <cfRule type="containsText" dxfId="2100" priority="3741" stopIfTrue="1" operator="containsText" text="Nivel IV: Riesgo Tolerable (Aceptable)">
      <formula>NOT(ISERROR(SEARCH("Nivel IV: Riesgo Tolerable (Aceptable)",Y323)))</formula>
    </cfRule>
    <cfRule type="containsText" dxfId="2099" priority="3742" stopIfTrue="1" operator="containsText" text="Nivel III: Riesgo Moderado (Aceptable)">
      <formula>NOT(ISERROR(SEARCH("Nivel III: Riesgo Moderado (Aceptable)",Y323)))</formula>
    </cfRule>
    <cfRule type="containsText" dxfId="2098" priority="3743" stopIfTrue="1" operator="containsText" text="Nivel II: Riesgo Importante">
      <formula>NOT(ISERROR(SEARCH("Nivel II: Riesgo Importante",Y323)))</formula>
    </cfRule>
    <cfRule type="containsText" dxfId="2097" priority="3740" stopIfTrue="1" operator="containsText" text="Nivel I: Riesgo Inaceptable">
      <formula>NOT(ISERROR(SEARCH("Nivel I: Riesgo Inaceptable",Y323)))</formula>
    </cfRule>
    <cfRule type="containsText" dxfId="2096" priority="3745" stopIfTrue="1" operator="containsText" text="Nivel IV: Riesgo Tolerable (Aceptable)">
      <formula>NOT(ISERROR(SEARCH("Nivel IV: Riesgo Tolerable (Aceptable)",Y323)))</formula>
    </cfRule>
    <cfRule type="containsText" dxfId="2095" priority="3739" stopIfTrue="1" operator="containsText" text="Nivel II: Riesgo Importante">
      <formula>NOT(ISERROR(SEARCH("Nivel II: Riesgo Importante",Y323)))</formula>
    </cfRule>
    <cfRule type="containsText" dxfId="2094" priority="3744" stopIfTrue="1" operator="containsText" text="Nivel I: Riesgo Inaceptable">
      <formula>NOT(ISERROR(SEARCH("Nivel I: Riesgo Inaceptable",Y323)))</formula>
    </cfRule>
  </conditionalFormatting>
  <conditionalFormatting sqref="Y323:Y324">
    <cfRule type="containsText" dxfId="2093" priority="3582" stopIfTrue="1" operator="containsText" text="Nivel III: Riesgo Moderado (Aceptable)">
      <formula>NOT(ISERROR(SEARCH("Nivel III: Riesgo Moderado (Aceptable)",Y323)))</formula>
    </cfRule>
  </conditionalFormatting>
  <conditionalFormatting sqref="Y324">
    <cfRule type="containsText" dxfId="2092" priority="3584" stopIfTrue="1" operator="containsText" text="Nivel I: Riesgo Inaceptable">
      <formula>NOT(ISERROR(SEARCH("Nivel I: Riesgo Inaceptable",Y324)))</formula>
    </cfRule>
    <cfRule type="containsText" dxfId="2091" priority="3575" stopIfTrue="1" operator="containsText" text="Nivel II: Riesgo Importante">
      <formula>NOT(ISERROR(SEARCH("Nivel II: Riesgo Importante",Y324)))</formula>
    </cfRule>
    <cfRule type="containsText" dxfId="2090" priority="3576" stopIfTrue="1" operator="containsText" text="Nivel I: Riesgo Inaceptable">
      <formula>NOT(ISERROR(SEARCH("Nivel I: Riesgo Inaceptable",Y324)))</formula>
    </cfRule>
    <cfRule type="containsText" dxfId="2089" priority="3577" stopIfTrue="1" operator="containsText" text="Nivel IV: Riesgo Tolerable (Aceptable)">
      <formula>NOT(ISERROR(SEARCH("Nivel IV: Riesgo Tolerable (Aceptable)",Y324)))</formula>
    </cfRule>
    <cfRule type="containsText" dxfId="2088" priority="3585" stopIfTrue="1" operator="containsText" text="Nivel IV: Riesgo Tolerable (Aceptable)">
      <formula>NOT(ISERROR(SEARCH("Nivel IV: Riesgo Tolerable (Aceptable)",Y324)))</formula>
    </cfRule>
    <cfRule type="containsText" dxfId="2087" priority="3583" stopIfTrue="1" operator="containsText" text="Nivel II: Riesgo Importante">
      <formula>NOT(ISERROR(SEARCH("Nivel II: Riesgo Importante",Y324)))</formula>
    </cfRule>
  </conditionalFormatting>
  <conditionalFormatting sqref="Y325">
    <cfRule type="containsText" dxfId="2086" priority="3149" stopIfTrue="1" operator="containsText" text="Nivel I: Riesgo Inaceptable">
      <formula>NOT(ISERROR(SEARCH("Nivel I: Riesgo Inaceptable",Y325)))</formula>
    </cfRule>
    <cfRule type="containsText" dxfId="2085" priority="3178" stopIfTrue="1" operator="containsText" text="Nivel IV: Riesgo Tolerable (Aceptable)">
      <formula>NOT(ISERROR(SEARCH("Nivel IV: Riesgo Tolerable (Aceptable)",Y325)))</formula>
    </cfRule>
    <cfRule type="containsText" dxfId="2084" priority="3148" stopIfTrue="1" operator="containsText" text="Nivel II: Riesgo Importante">
      <formula>NOT(ISERROR(SEARCH("Nivel II: Riesgo Importante",Y325)))</formula>
    </cfRule>
    <cfRule type="containsText" dxfId="2083" priority="3150" stopIfTrue="1" operator="containsText" text="Nivel IV: Riesgo Tolerable (Aceptable)">
      <formula>NOT(ISERROR(SEARCH("Nivel IV: Riesgo Tolerable (Aceptable)",Y325)))</formula>
    </cfRule>
    <cfRule type="containsText" dxfId="2082" priority="3177" stopIfTrue="1" operator="containsText" text="Nivel I: Riesgo Inaceptable">
      <formula>NOT(ISERROR(SEARCH("Nivel I: Riesgo Inaceptable",Y325)))</formula>
    </cfRule>
    <cfRule type="containsText" dxfId="2081" priority="3176" stopIfTrue="1" operator="containsText" text="Nivel II: Riesgo Importante">
      <formula>NOT(ISERROR(SEARCH("Nivel II: Riesgo Importante",Y325)))</formula>
    </cfRule>
  </conditionalFormatting>
  <conditionalFormatting sqref="Y326">
    <cfRule type="containsText" dxfId="2080" priority="3141" stopIfTrue="1" operator="containsText" text="Nivel I: Riesgo Inaceptable">
      <formula>NOT(ISERROR(SEARCH("Nivel I: Riesgo Inaceptable",Y326)))</formula>
    </cfRule>
    <cfRule type="containsText" dxfId="2079" priority="3142" stopIfTrue="1" operator="containsText" text="Nivel IV: Riesgo Tolerable (Aceptable)">
      <formula>NOT(ISERROR(SEARCH("Nivel IV: Riesgo Tolerable (Aceptable)",Y326)))</formula>
    </cfRule>
    <cfRule type="containsText" dxfId="2078" priority="3140" stopIfTrue="1" operator="containsText" text="Nivel II: Riesgo Importante">
      <formula>NOT(ISERROR(SEARCH("Nivel II: Riesgo Importante",Y326)))</formula>
    </cfRule>
    <cfRule type="containsText" dxfId="2077" priority="3112" stopIfTrue="1" operator="containsText" text="Nivel II: Riesgo Importante">
      <formula>NOT(ISERROR(SEARCH("Nivel II: Riesgo Importante",Y326)))</formula>
    </cfRule>
    <cfRule type="containsText" dxfId="2076" priority="3113" stopIfTrue="1" operator="containsText" text="Nivel I: Riesgo Inaceptable">
      <formula>NOT(ISERROR(SEARCH("Nivel I: Riesgo Inaceptable",Y326)))</formula>
    </cfRule>
    <cfRule type="containsText" dxfId="2075" priority="3114" stopIfTrue="1" operator="containsText" text="Nivel IV: Riesgo Tolerable (Aceptable)">
      <formula>NOT(ISERROR(SEARCH("Nivel IV: Riesgo Tolerable (Aceptable)",Y326)))</formula>
    </cfRule>
  </conditionalFormatting>
  <conditionalFormatting sqref="Y327">
    <cfRule type="containsText" dxfId="2074" priority="3535" stopIfTrue="1" operator="containsText" text="Nivel I: Riesgo Inaceptable">
      <formula>NOT(ISERROR(SEARCH("Nivel I: Riesgo Inaceptable",Y327)))</formula>
    </cfRule>
    <cfRule type="containsText" dxfId="2073" priority="3536" stopIfTrue="1" operator="containsText" text="Nivel IV: Riesgo Tolerable (Aceptable)">
      <formula>NOT(ISERROR(SEARCH("Nivel IV: Riesgo Tolerable (Aceptable)",Y327)))</formula>
    </cfRule>
    <cfRule type="containsText" dxfId="2072" priority="3530" stopIfTrue="1" operator="containsText" text="Nivel II: Riesgo Importante">
      <formula>NOT(ISERROR(SEARCH("Nivel II: Riesgo Importante",Y327)))</formula>
    </cfRule>
    <cfRule type="containsText" dxfId="2071" priority="3531" stopIfTrue="1" operator="containsText" text="Nivel I: Riesgo Inaceptable">
      <formula>NOT(ISERROR(SEARCH("Nivel I: Riesgo Inaceptable",Y327)))</formula>
    </cfRule>
    <cfRule type="containsText" dxfId="2070" priority="3532" stopIfTrue="1" operator="containsText" text="Nivel IV: Riesgo Tolerable (Aceptable)">
      <formula>NOT(ISERROR(SEARCH("Nivel IV: Riesgo Tolerable (Aceptable)",Y327)))</formula>
    </cfRule>
    <cfRule type="containsText" dxfId="2069" priority="3534" stopIfTrue="1" operator="containsText" text="Nivel II: Riesgo Importante">
      <formula>NOT(ISERROR(SEARCH("Nivel II: Riesgo Importante",Y327)))</formula>
    </cfRule>
  </conditionalFormatting>
  <conditionalFormatting sqref="Y327:Y328">
    <cfRule type="containsText" dxfId="2068" priority="3533" stopIfTrue="1" operator="containsText" text="Nivel III: Riesgo Moderado (Aceptable)">
      <formula>NOT(ISERROR(SEARCH("Nivel III: Riesgo Moderado (Aceptable)",Y327)))</formula>
    </cfRule>
  </conditionalFormatting>
  <conditionalFormatting sqref="Y328">
    <cfRule type="containsText" dxfId="2067" priority="3622" stopIfTrue="1" operator="containsText" text="Nivel II: Riesgo Importante">
      <formula>NOT(ISERROR(SEARCH("Nivel II: Riesgo Importante",Y328)))</formula>
    </cfRule>
    <cfRule type="containsText" dxfId="2066" priority="3628" stopIfTrue="1" operator="containsText" text="Nivel IV: Riesgo Tolerable (Aceptable)">
      <formula>NOT(ISERROR(SEARCH("Nivel IV: Riesgo Tolerable (Aceptable)",Y328)))</formula>
    </cfRule>
    <cfRule type="containsText" dxfId="2065" priority="3627" stopIfTrue="1" operator="containsText" text="Nivel I: Riesgo Inaceptable">
      <formula>NOT(ISERROR(SEARCH("Nivel I: Riesgo Inaceptable",Y328)))</formula>
    </cfRule>
    <cfRule type="containsText" dxfId="2064" priority="3626" stopIfTrue="1" operator="containsText" text="Nivel II: Riesgo Importante">
      <formula>NOT(ISERROR(SEARCH("Nivel II: Riesgo Importante",Y328)))</formula>
    </cfRule>
    <cfRule type="containsText" dxfId="2063" priority="3624" stopIfTrue="1" operator="containsText" text="Nivel IV: Riesgo Tolerable (Aceptable)">
      <formula>NOT(ISERROR(SEARCH("Nivel IV: Riesgo Tolerable (Aceptable)",Y328)))</formula>
    </cfRule>
    <cfRule type="containsText" dxfId="2062" priority="3623" stopIfTrue="1" operator="containsText" text="Nivel I: Riesgo Inaceptable">
      <formula>NOT(ISERROR(SEARCH("Nivel I: Riesgo Inaceptable",Y328)))</formula>
    </cfRule>
  </conditionalFormatting>
  <conditionalFormatting sqref="Y329">
    <cfRule type="containsText" dxfId="2061" priority="3485" stopIfTrue="1" operator="containsText" text="Nivel II: Riesgo Importante">
      <formula>NOT(ISERROR(SEARCH("Nivel II: Riesgo Importante",Y329)))</formula>
    </cfRule>
    <cfRule type="containsText" dxfId="2060" priority="3489" stopIfTrue="1" operator="containsText" text="Nivel II: Riesgo Importante">
      <formula>NOT(ISERROR(SEARCH("Nivel II: Riesgo Importante",Y329)))</formula>
    </cfRule>
    <cfRule type="containsText" dxfId="2059" priority="3490" stopIfTrue="1" operator="containsText" text="Nivel I: Riesgo Inaceptable">
      <formula>NOT(ISERROR(SEARCH("Nivel I: Riesgo Inaceptable",Y329)))</formula>
    </cfRule>
    <cfRule type="containsText" dxfId="2058" priority="3491" stopIfTrue="1" operator="containsText" text="Nivel IV: Riesgo Tolerable (Aceptable)">
      <formula>NOT(ISERROR(SEARCH("Nivel IV: Riesgo Tolerable (Aceptable)",Y329)))</formula>
    </cfRule>
    <cfRule type="containsText" dxfId="2057" priority="3486" stopIfTrue="1" operator="containsText" text="Nivel I: Riesgo Inaceptable">
      <formula>NOT(ISERROR(SEARCH("Nivel I: Riesgo Inaceptable",Y329)))</formula>
    </cfRule>
    <cfRule type="containsText" dxfId="2056" priority="3487" stopIfTrue="1" operator="containsText" text="Nivel IV: Riesgo Tolerable (Aceptable)">
      <formula>NOT(ISERROR(SEARCH("Nivel IV: Riesgo Tolerable (Aceptable)",Y329)))</formula>
    </cfRule>
  </conditionalFormatting>
  <conditionalFormatting sqref="Y329:Y332">
    <cfRule type="containsText" dxfId="2055" priority="3262" stopIfTrue="1" operator="containsText" text="Nivel III: Riesgo Moderado (Aceptable)">
      <formula>NOT(ISERROR(SEARCH("Nivel III: Riesgo Moderado (Aceptable)",Y329)))</formula>
    </cfRule>
  </conditionalFormatting>
  <conditionalFormatting sqref="Y330">
    <cfRule type="containsText" dxfId="2054" priority="3295" stopIfTrue="1" operator="containsText" text="Nivel IV: Riesgo Tolerable (Aceptable)">
      <formula>NOT(ISERROR(SEARCH("Nivel IV: Riesgo Tolerable (Aceptable)",Y330)))</formula>
    </cfRule>
    <cfRule type="containsText" dxfId="2053" priority="3293" stopIfTrue="1" operator="containsText" text="Nivel II: Riesgo Importante">
      <formula>NOT(ISERROR(SEARCH("Nivel II: Riesgo Importante",Y330)))</formula>
    </cfRule>
    <cfRule type="containsText" dxfId="2052" priority="3294" stopIfTrue="1" operator="containsText" text="Nivel I: Riesgo Inaceptable">
      <formula>NOT(ISERROR(SEARCH("Nivel I: Riesgo Inaceptable",Y330)))</formula>
    </cfRule>
  </conditionalFormatting>
  <conditionalFormatting sqref="Y331">
    <cfRule type="containsText" dxfId="2051" priority="3331" stopIfTrue="1" operator="containsText" text="Nivel I: Riesgo Inaceptable">
      <formula>NOT(ISERROR(SEARCH("Nivel I: Riesgo Inaceptable",Y331)))</formula>
    </cfRule>
    <cfRule type="containsText" dxfId="2050" priority="3332" stopIfTrue="1" operator="containsText" text="Nivel IV: Riesgo Tolerable (Aceptable)">
      <formula>NOT(ISERROR(SEARCH("Nivel IV: Riesgo Tolerable (Aceptable)",Y331)))</formula>
    </cfRule>
    <cfRule type="containsText" dxfId="2049" priority="3330" stopIfTrue="1" operator="containsText" text="Nivel II: Riesgo Importante">
      <formula>NOT(ISERROR(SEARCH("Nivel II: Riesgo Importante",Y331)))</formula>
    </cfRule>
  </conditionalFormatting>
  <conditionalFormatting sqref="Y332">
    <cfRule type="containsText" dxfId="2048" priority="3264" stopIfTrue="1" operator="containsText" text="Nivel I: Riesgo Inaceptable">
      <formula>NOT(ISERROR(SEARCH("Nivel I: Riesgo Inaceptable",Y332)))</formula>
    </cfRule>
    <cfRule type="containsText" dxfId="2047" priority="3263" stopIfTrue="1" operator="containsText" text="Nivel II: Riesgo Importante">
      <formula>NOT(ISERROR(SEARCH("Nivel II: Riesgo Importante",Y332)))</formula>
    </cfRule>
    <cfRule type="containsText" dxfId="2046" priority="3265" stopIfTrue="1" operator="containsText" text="Nivel IV: Riesgo Tolerable (Aceptable)">
      <formula>NOT(ISERROR(SEARCH("Nivel IV: Riesgo Tolerable (Aceptable)",Y332)))</formula>
    </cfRule>
  </conditionalFormatting>
  <conditionalFormatting sqref="Y333">
    <cfRule type="containsText" dxfId="2045" priority="3411" stopIfTrue="1" operator="containsText" text="Nivel I: Riesgo Inaceptable">
      <formula>NOT(ISERROR(SEARCH("Nivel I: Riesgo Inaceptable",Y333)))</formula>
    </cfRule>
    <cfRule type="containsText" dxfId="2044" priority="3432" stopIfTrue="1" operator="containsText" text="Nivel IV: Riesgo Tolerable (Aceptable)">
      <formula>NOT(ISERROR(SEARCH("Nivel IV: Riesgo Tolerable (Aceptable)",Y333)))</formula>
    </cfRule>
    <cfRule type="containsText" dxfId="2043" priority="3431" stopIfTrue="1" operator="containsText" text="Nivel I: Riesgo Inaceptable">
      <formula>NOT(ISERROR(SEARCH("Nivel I: Riesgo Inaceptable",Y333)))</formula>
    </cfRule>
    <cfRule type="containsText" dxfId="2042" priority="3430" stopIfTrue="1" operator="containsText" text="Nivel II: Riesgo Importante">
      <formula>NOT(ISERROR(SEARCH("Nivel II: Riesgo Importante",Y333)))</formula>
    </cfRule>
    <cfRule type="containsText" dxfId="2041" priority="3412" stopIfTrue="1" operator="containsText" text="Nivel IV: Riesgo Tolerable (Aceptable)">
      <formula>NOT(ISERROR(SEARCH("Nivel IV: Riesgo Tolerable (Aceptable)",Y333)))</formula>
    </cfRule>
    <cfRule type="containsText" dxfId="2040" priority="3410" stopIfTrue="1" operator="containsText" text="Nivel II: Riesgo Importante">
      <formula>NOT(ISERROR(SEARCH("Nivel II: Riesgo Importante",Y333)))</formula>
    </cfRule>
  </conditionalFormatting>
  <conditionalFormatting sqref="Y333:Y334">
    <cfRule type="containsText" dxfId="2039" priority="3372" stopIfTrue="1" operator="containsText" text="Nivel III: Riesgo Moderado (Aceptable)">
      <formula>NOT(ISERROR(SEARCH("Nivel III: Riesgo Moderado (Aceptable)",Y333)))</formula>
    </cfRule>
  </conditionalFormatting>
  <conditionalFormatting sqref="Y334">
    <cfRule type="containsText" dxfId="2038" priority="3370" stopIfTrue="1" operator="containsText" text="Nivel I: Riesgo Inaceptable">
      <formula>NOT(ISERROR(SEARCH("Nivel I: Riesgo Inaceptable",Y334)))</formula>
    </cfRule>
    <cfRule type="containsText" dxfId="2037" priority="3375" stopIfTrue="1" operator="containsText" text="Nivel IV: Riesgo Tolerable (Aceptable)">
      <formula>NOT(ISERROR(SEARCH("Nivel IV: Riesgo Tolerable (Aceptable)",Y334)))</formula>
    </cfRule>
    <cfRule type="containsText" dxfId="2036" priority="3371" stopIfTrue="1" operator="containsText" text="Nivel IV: Riesgo Tolerable (Aceptable)">
      <formula>NOT(ISERROR(SEARCH("Nivel IV: Riesgo Tolerable (Aceptable)",Y334)))</formula>
    </cfRule>
    <cfRule type="containsText" dxfId="2035" priority="3369" stopIfTrue="1" operator="containsText" text="Nivel II: Riesgo Importante">
      <formula>NOT(ISERROR(SEARCH("Nivel II: Riesgo Importante",Y334)))</formula>
    </cfRule>
    <cfRule type="containsText" dxfId="2034" priority="3374" stopIfTrue="1" operator="containsText" text="Nivel I: Riesgo Inaceptable">
      <formula>NOT(ISERROR(SEARCH("Nivel I: Riesgo Inaceptable",Y334)))</formula>
    </cfRule>
    <cfRule type="containsText" dxfId="2033" priority="3373" stopIfTrue="1" operator="containsText" text="Nivel II: Riesgo Importante">
      <formula>NOT(ISERROR(SEARCH("Nivel II: Riesgo Importante",Y334)))</formula>
    </cfRule>
  </conditionalFormatting>
  <conditionalFormatting sqref="Y335">
    <cfRule type="containsText" dxfId="2032" priority="3183" stopIfTrue="1" operator="containsText" text="Nivel III: Riesgo Moderado (Aceptable)">
      <formula>NOT(ISERROR(SEARCH("Nivel III: Riesgo Moderado (Aceptable)",Y335)))</formula>
    </cfRule>
    <cfRule type="containsText" dxfId="2031" priority="3184" stopIfTrue="1" operator="containsText" text="Nivel II: Riesgo Importante">
      <formula>NOT(ISERROR(SEARCH("Nivel II: Riesgo Importante",Y335)))</formula>
    </cfRule>
    <cfRule type="containsText" dxfId="2030" priority="3185" stopIfTrue="1" operator="containsText" text="Nivel I: Riesgo Inaceptable">
      <formula>NOT(ISERROR(SEARCH("Nivel I: Riesgo Inaceptable",Y335)))</formula>
    </cfRule>
    <cfRule type="containsText" dxfId="2029" priority="3186" stopIfTrue="1" operator="containsText" text="Nivel IV: Riesgo Tolerable (Aceptable)">
      <formula>NOT(ISERROR(SEARCH("Nivel IV: Riesgo Tolerable (Aceptable)",Y335)))</formula>
    </cfRule>
    <cfRule type="containsText" dxfId="2028" priority="3190" stopIfTrue="1" operator="containsText" text="Nivel IV: Riesgo Tolerable (Aceptable)">
      <formula>NOT(ISERROR(SEARCH("Nivel IV: Riesgo Tolerable (Aceptable)",Y335)))</formula>
    </cfRule>
    <cfRule type="containsText" dxfId="2027" priority="3188" stopIfTrue="1" operator="containsText" text="Nivel II: Riesgo Importante">
      <formula>NOT(ISERROR(SEARCH("Nivel II: Riesgo Importante",Y335)))</formula>
    </cfRule>
    <cfRule type="containsText" dxfId="2026" priority="3189" stopIfTrue="1" operator="containsText" text="Nivel I: Riesgo Inaceptable">
      <formula>NOT(ISERROR(SEARCH("Nivel I: Riesgo Inaceptable",Y335)))</formula>
    </cfRule>
  </conditionalFormatting>
  <conditionalFormatting sqref="Y336">
    <cfRule type="containsText" dxfId="2025" priority="3456" stopIfTrue="1" operator="containsText" text="Nivel I: Riesgo Inaceptable">
      <formula>NOT(ISERROR(SEARCH("Nivel I: Riesgo Inaceptable",Y336)))</formula>
    </cfRule>
    <cfRule type="containsText" dxfId="2024" priority="3455" stopIfTrue="1" operator="containsText" text="Nivel II: Riesgo Importante">
      <formula>NOT(ISERROR(SEARCH("Nivel II: Riesgo Importante",Y336)))</formula>
    </cfRule>
    <cfRule type="containsText" dxfId="2023" priority="3451" stopIfTrue="1" operator="containsText" text="Nivel II: Riesgo Importante">
      <formula>NOT(ISERROR(SEARCH("Nivel II: Riesgo Importante",Y336)))</formula>
    </cfRule>
    <cfRule type="containsText" dxfId="2022" priority="3453" stopIfTrue="1" operator="containsText" text="Nivel IV: Riesgo Tolerable (Aceptable)">
      <formula>NOT(ISERROR(SEARCH("Nivel IV: Riesgo Tolerable (Aceptable)",Y336)))</formula>
    </cfRule>
    <cfRule type="containsText" dxfId="2021" priority="3457" stopIfTrue="1" operator="containsText" text="Nivel IV: Riesgo Tolerable (Aceptable)">
      <formula>NOT(ISERROR(SEARCH("Nivel IV: Riesgo Tolerable (Aceptable)",Y336)))</formula>
    </cfRule>
    <cfRule type="containsText" dxfId="2020" priority="3452" stopIfTrue="1" operator="containsText" text="Nivel I: Riesgo Inaceptable">
      <formula>NOT(ISERROR(SEARCH("Nivel I: Riesgo Inaceptable",Y336)))</formula>
    </cfRule>
  </conditionalFormatting>
  <conditionalFormatting sqref="Y336:Y337">
    <cfRule type="containsText" dxfId="2019" priority="3232" stopIfTrue="1" operator="containsText" text="Nivel III: Riesgo Moderado (Aceptable)">
      <formula>NOT(ISERROR(SEARCH("Nivel III: Riesgo Moderado (Aceptable)",Y336)))</formula>
    </cfRule>
  </conditionalFormatting>
  <conditionalFormatting sqref="Y337">
    <cfRule type="containsText" dxfId="2018" priority="3234" stopIfTrue="1" operator="containsText" text="Nivel I: Riesgo Inaceptable">
      <formula>NOT(ISERROR(SEARCH("Nivel I: Riesgo Inaceptable",Y337)))</formula>
    </cfRule>
    <cfRule type="containsText" dxfId="2017" priority="3229" stopIfTrue="1" operator="containsText" text="Nivel II: Riesgo Importante">
      <formula>NOT(ISERROR(SEARCH("Nivel II: Riesgo Importante",Y337)))</formula>
    </cfRule>
    <cfRule type="containsText" dxfId="2016" priority="3230" stopIfTrue="1" operator="containsText" text="Nivel I: Riesgo Inaceptable">
      <formula>NOT(ISERROR(SEARCH("Nivel I: Riesgo Inaceptable",Y337)))</formula>
    </cfRule>
    <cfRule type="containsText" dxfId="2015" priority="3233" stopIfTrue="1" operator="containsText" text="Nivel II: Riesgo Importante">
      <formula>NOT(ISERROR(SEARCH("Nivel II: Riesgo Importante",Y337)))</formula>
    </cfRule>
    <cfRule type="containsText" dxfId="2014" priority="3231" stopIfTrue="1" operator="containsText" text="Nivel IV: Riesgo Tolerable (Aceptable)">
      <formula>NOT(ISERROR(SEARCH("Nivel IV: Riesgo Tolerable (Aceptable)",Y337)))</formula>
    </cfRule>
    <cfRule type="containsText" dxfId="2013" priority="3235" stopIfTrue="1" operator="containsText" text="Nivel IV: Riesgo Tolerable (Aceptable)">
      <formula>NOT(ISERROR(SEARCH("Nivel IV: Riesgo Tolerable (Aceptable)",Y337)))</formula>
    </cfRule>
  </conditionalFormatting>
  <conditionalFormatting sqref="Y338">
    <cfRule type="containsText" dxfId="2012" priority="3022" stopIfTrue="1" operator="containsText" text="Nivel IV: Riesgo Tolerable (Aceptable)">
      <formula>NOT(ISERROR(SEARCH("Nivel IV: Riesgo Tolerable (Aceptable)",Y338)))</formula>
    </cfRule>
    <cfRule type="containsText" dxfId="2011" priority="3021" stopIfTrue="1" operator="containsText" text="Nivel I: Riesgo Inaceptable">
      <formula>NOT(ISERROR(SEARCH("Nivel I: Riesgo Inaceptable",Y338)))</formula>
    </cfRule>
    <cfRule type="containsText" dxfId="2010" priority="3020" stopIfTrue="1" operator="containsText" text="Nivel II: Riesgo Importante">
      <formula>NOT(ISERROR(SEARCH("Nivel II: Riesgo Importante",Y338)))</formula>
    </cfRule>
    <cfRule type="containsText" dxfId="2009" priority="3012" stopIfTrue="1" operator="containsText" text="Nivel II: Riesgo Importante">
      <formula>NOT(ISERROR(SEARCH("Nivel II: Riesgo Importante",Y338)))</formula>
    </cfRule>
    <cfRule type="containsText" dxfId="2008" priority="3013" stopIfTrue="1" operator="containsText" text="Nivel I: Riesgo Inaceptable">
      <formula>NOT(ISERROR(SEARCH("Nivel I: Riesgo Inaceptable",Y338)))</formula>
    </cfRule>
    <cfRule type="containsText" dxfId="2007" priority="3014" stopIfTrue="1" operator="containsText" text="Nivel IV: Riesgo Tolerable (Aceptable)">
      <formula>NOT(ISERROR(SEARCH("Nivel IV: Riesgo Tolerable (Aceptable)",Y338)))</formula>
    </cfRule>
  </conditionalFormatting>
  <conditionalFormatting sqref="Y338:Y339">
    <cfRule type="containsText" dxfId="2006" priority="2612" stopIfTrue="1" operator="containsText" text="Nivel III: Riesgo Moderado (Aceptable)">
      <formula>NOT(ISERROR(SEARCH("Nivel III: Riesgo Moderado (Aceptable)",Y338)))</formula>
    </cfRule>
  </conditionalFormatting>
  <conditionalFormatting sqref="Y339">
    <cfRule type="containsText" dxfId="2005" priority="2615" stopIfTrue="1" operator="containsText" text="Nivel IV: Riesgo Tolerable (Aceptable)">
      <formula>NOT(ISERROR(SEARCH("Nivel IV: Riesgo Tolerable (Aceptable)",Y339)))</formula>
    </cfRule>
    <cfRule type="containsText" dxfId="2004" priority="2585" stopIfTrue="1" operator="containsText" text="Nivel II: Riesgo Importante">
      <formula>NOT(ISERROR(SEARCH("Nivel II: Riesgo Importante",Y339)))</formula>
    </cfRule>
    <cfRule type="containsText" dxfId="2003" priority="2586" stopIfTrue="1" operator="containsText" text="Nivel I: Riesgo Inaceptable">
      <formula>NOT(ISERROR(SEARCH("Nivel I: Riesgo Inaceptable",Y339)))</formula>
    </cfRule>
    <cfRule type="containsText" dxfId="2002" priority="2613" stopIfTrue="1" operator="containsText" text="Nivel II: Riesgo Importante">
      <formula>NOT(ISERROR(SEARCH("Nivel II: Riesgo Importante",Y339)))</formula>
    </cfRule>
    <cfRule type="containsText" dxfId="2001" priority="2587" stopIfTrue="1" operator="containsText" text="Nivel IV: Riesgo Tolerable (Aceptable)">
      <formula>NOT(ISERROR(SEARCH("Nivel IV: Riesgo Tolerable (Aceptable)",Y339)))</formula>
    </cfRule>
    <cfRule type="containsText" dxfId="2000" priority="2614" stopIfTrue="1" operator="containsText" text="Nivel I: Riesgo Inaceptable">
      <formula>NOT(ISERROR(SEARCH("Nivel I: Riesgo Inaceptable",Y339)))</formula>
    </cfRule>
  </conditionalFormatting>
  <conditionalFormatting sqref="Y340">
    <cfRule type="containsText" dxfId="1999" priority="2550" stopIfTrue="1" operator="containsText" text="Nivel I: Riesgo Inaceptable">
      <formula>NOT(ISERROR(SEARCH("Nivel I: Riesgo Inaceptable",Y340)))</formula>
    </cfRule>
    <cfRule type="containsText" dxfId="1998" priority="2579" stopIfTrue="1" operator="containsText" text="Nivel IV: Riesgo Tolerable (Aceptable)">
      <formula>NOT(ISERROR(SEARCH("Nivel IV: Riesgo Tolerable (Aceptable)",Y340)))</formula>
    </cfRule>
    <cfRule type="containsText" dxfId="1997" priority="2577" stopIfTrue="1" operator="containsText" text="Nivel II: Riesgo Importante">
      <formula>NOT(ISERROR(SEARCH("Nivel II: Riesgo Importante",Y340)))</formula>
    </cfRule>
    <cfRule type="containsText" dxfId="1996" priority="2551" stopIfTrue="1" operator="containsText" text="Nivel IV: Riesgo Tolerable (Aceptable)">
      <formula>NOT(ISERROR(SEARCH("Nivel IV: Riesgo Tolerable (Aceptable)",Y340)))</formula>
    </cfRule>
    <cfRule type="containsText" dxfId="1995" priority="2549" stopIfTrue="1" operator="containsText" text="Nivel II: Riesgo Importante">
      <formula>NOT(ISERROR(SEARCH("Nivel II: Riesgo Importante",Y340)))</formula>
    </cfRule>
    <cfRule type="containsText" dxfId="1994" priority="2578" stopIfTrue="1" operator="containsText" text="Nivel I: Riesgo Inaceptable">
      <formula>NOT(ISERROR(SEARCH("Nivel I: Riesgo Inaceptable",Y340)))</formula>
    </cfRule>
  </conditionalFormatting>
  <conditionalFormatting sqref="Y341">
    <cfRule type="containsText" dxfId="1993" priority="2968" stopIfTrue="1" operator="containsText" text="Nivel I: Riesgo Inaceptable">
      <formula>NOT(ISERROR(SEARCH("Nivel I: Riesgo Inaceptable",Y341)))</formula>
    </cfRule>
    <cfRule type="containsText" dxfId="1992" priority="2967" stopIfTrue="1" operator="containsText" text="Nivel II: Riesgo Importante">
      <formula>NOT(ISERROR(SEARCH("Nivel II: Riesgo Importante",Y341)))</formula>
    </cfRule>
    <cfRule type="containsText" dxfId="1991" priority="2971" stopIfTrue="1" operator="containsText" text="Nivel II: Riesgo Importante">
      <formula>NOT(ISERROR(SEARCH("Nivel II: Riesgo Importante",Y341)))</formula>
    </cfRule>
    <cfRule type="containsText" dxfId="1990" priority="2973" stopIfTrue="1" operator="containsText" text="Nivel IV: Riesgo Tolerable (Aceptable)">
      <formula>NOT(ISERROR(SEARCH("Nivel IV: Riesgo Tolerable (Aceptable)",Y341)))</formula>
    </cfRule>
    <cfRule type="containsText" dxfId="1989" priority="2969" stopIfTrue="1" operator="containsText" text="Nivel IV: Riesgo Tolerable (Aceptable)">
      <formula>NOT(ISERROR(SEARCH("Nivel IV: Riesgo Tolerable (Aceptable)",Y341)))</formula>
    </cfRule>
    <cfRule type="containsText" dxfId="1988" priority="2972" stopIfTrue="1" operator="containsText" text="Nivel I: Riesgo Inaceptable">
      <formula>NOT(ISERROR(SEARCH("Nivel I: Riesgo Inaceptable",Y341)))</formula>
    </cfRule>
  </conditionalFormatting>
  <conditionalFormatting sqref="Y341:Y342">
    <cfRule type="containsText" dxfId="1987" priority="2970" stopIfTrue="1" operator="containsText" text="Nivel III: Riesgo Moderado (Aceptable)">
      <formula>NOT(ISERROR(SEARCH("Nivel III: Riesgo Moderado (Aceptable)",Y341)))</formula>
    </cfRule>
  </conditionalFormatting>
  <conditionalFormatting sqref="Y342">
    <cfRule type="containsText" dxfId="1986" priority="3063" stopIfTrue="1" operator="containsText" text="Nivel II: Riesgo Importante">
      <formula>NOT(ISERROR(SEARCH("Nivel II: Riesgo Importante",Y342)))</formula>
    </cfRule>
    <cfRule type="containsText" dxfId="1985" priority="3059" stopIfTrue="1" operator="containsText" text="Nivel II: Riesgo Importante">
      <formula>NOT(ISERROR(SEARCH("Nivel II: Riesgo Importante",Y342)))</formula>
    </cfRule>
    <cfRule type="containsText" dxfId="1984" priority="3064" stopIfTrue="1" operator="containsText" text="Nivel I: Riesgo Inaceptable">
      <formula>NOT(ISERROR(SEARCH("Nivel I: Riesgo Inaceptable",Y342)))</formula>
    </cfRule>
    <cfRule type="containsText" dxfId="1983" priority="3060" stopIfTrue="1" operator="containsText" text="Nivel I: Riesgo Inaceptable">
      <formula>NOT(ISERROR(SEARCH("Nivel I: Riesgo Inaceptable",Y342)))</formula>
    </cfRule>
    <cfRule type="containsText" dxfId="1982" priority="3061" stopIfTrue="1" operator="containsText" text="Nivel IV: Riesgo Tolerable (Aceptable)">
      <formula>NOT(ISERROR(SEARCH("Nivel IV: Riesgo Tolerable (Aceptable)",Y342)))</formula>
    </cfRule>
    <cfRule type="containsText" dxfId="1981" priority="3065" stopIfTrue="1" operator="containsText" text="Nivel IV: Riesgo Tolerable (Aceptable)">
      <formula>NOT(ISERROR(SEARCH("Nivel IV: Riesgo Tolerable (Aceptable)",Y342)))</formula>
    </cfRule>
  </conditionalFormatting>
  <conditionalFormatting sqref="Y343">
    <cfRule type="containsText" dxfId="1980" priority="2924" stopIfTrue="1" operator="containsText" text="Nivel IV: Riesgo Tolerable (Aceptable)">
      <formula>NOT(ISERROR(SEARCH("Nivel IV: Riesgo Tolerable (Aceptable)",Y343)))</formula>
    </cfRule>
    <cfRule type="containsText" dxfId="1979" priority="2923" stopIfTrue="1" operator="containsText" text="Nivel I: Riesgo Inaceptable">
      <formula>NOT(ISERROR(SEARCH("Nivel I: Riesgo Inaceptable",Y343)))</formula>
    </cfRule>
    <cfRule type="containsText" dxfId="1978" priority="2922" stopIfTrue="1" operator="containsText" text="Nivel II: Riesgo Importante">
      <formula>NOT(ISERROR(SEARCH("Nivel II: Riesgo Importante",Y343)))</formula>
    </cfRule>
    <cfRule type="containsText" dxfId="1977" priority="2928" stopIfTrue="1" operator="containsText" text="Nivel IV: Riesgo Tolerable (Aceptable)">
      <formula>NOT(ISERROR(SEARCH("Nivel IV: Riesgo Tolerable (Aceptable)",Y343)))</formula>
    </cfRule>
    <cfRule type="containsText" dxfId="1976" priority="2926" stopIfTrue="1" operator="containsText" text="Nivel II: Riesgo Importante">
      <formula>NOT(ISERROR(SEARCH("Nivel II: Riesgo Importante",Y343)))</formula>
    </cfRule>
    <cfRule type="containsText" dxfId="1975" priority="2927" stopIfTrue="1" operator="containsText" text="Nivel I: Riesgo Inaceptable">
      <formula>NOT(ISERROR(SEARCH("Nivel I: Riesgo Inaceptable",Y343)))</formula>
    </cfRule>
  </conditionalFormatting>
  <conditionalFormatting sqref="Y343:Y346">
    <cfRule type="containsText" dxfId="1974" priority="2699" stopIfTrue="1" operator="containsText" text="Nivel III: Riesgo Moderado (Aceptable)">
      <formula>NOT(ISERROR(SEARCH("Nivel III: Riesgo Moderado (Aceptable)",Y343)))</formula>
    </cfRule>
  </conditionalFormatting>
  <conditionalFormatting sqref="Y344">
    <cfRule type="containsText" dxfId="1973" priority="2731" stopIfTrue="1" operator="containsText" text="Nivel I: Riesgo Inaceptable">
      <formula>NOT(ISERROR(SEARCH("Nivel I: Riesgo Inaceptable",Y344)))</formula>
    </cfRule>
    <cfRule type="containsText" dxfId="1972" priority="2732" stopIfTrue="1" operator="containsText" text="Nivel IV: Riesgo Tolerable (Aceptable)">
      <formula>NOT(ISERROR(SEARCH("Nivel IV: Riesgo Tolerable (Aceptable)",Y344)))</formula>
    </cfRule>
    <cfRule type="containsText" dxfId="1971" priority="2730" stopIfTrue="1" operator="containsText" text="Nivel II: Riesgo Importante">
      <formula>NOT(ISERROR(SEARCH("Nivel II: Riesgo Importante",Y344)))</formula>
    </cfRule>
  </conditionalFormatting>
  <conditionalFormatting sqref="Y345">
    <cfRule type="containsText" dxfId="1970" priority="2769" stopIfTrue="1" operator="containsText" text="Nivel IV: Riesgo Tolerable (Aceptable)">
      <formula>NOT(ISERROR(SEARCH("Nivel IV: Riesgo Tolerable (Aceptable)",Y345)))</formula>
    </cfRule>
    <cfRule type="containsText" dxfId="1969" priority="2768" stopIfTrue="1" operator="containsText" text="Nivel I: Riesgo Inaceptable">
      <formula>NOT(ISERROR(SEARCH("Nivel I: Riesgo Inaceptable",Y345)))</formula>
    </cfRule>
    <cfRule type="containsText" dxfId="1968" priority="2767" stopIfTrue="1" operator="containsText" text="Nivel II: Riesgo Importante">
      <formula>NOT(ISERROR(SEARCH("Nivel II: Riesgo Importante",Y345)))</formula>
    </cfRule>
  </conditionalFormatting>
  <conditionalFormatting sqref="Y346">
    <cfRule type="containsText" dxfId="1967" priority="2700" stopIfTrue="1" operator="containsText" text="Nivel II: Riesgo Importante">
      <formula>NOT(ISERROR(SEARCH("Nivel II: Riesgo Importante",Y346)))</formula>
    </cfRule>
    <cfRule type="containsText" dxfId="1966" priority="2702" stopIfTrue="1" operator="containsText" text="Nivel IV: Riesgo Tolerable (Aceptable)">
      <formula>NOT(ISERROR(SEARCH("Nivel IV: Riesgo Tolerable (Aceptable)",Y346)))</formula>
    </cfRule>
    <cfRule type="containsText" dxfId="1965" priority="2701" stopIfTrue="1" operator="containsText" text="Nivel I: Riesgo Inaceptable">
      <formula>NOT(ISERROR(SEARCH("Nivel I: Riesgo Inaceptable",Y346)))</formula>
    </cfRule>
  </conditionalFormatting>
  <conditionalFormatting sqref="Y347">
    <cfRule type="containsText" dxfId="1964" priority="2867" stopIfTrue="1" operator="containsText" text="Nivel II: Riesgo Importante">
      <formula>NOT(ISERROR(SEARCH("Nivel II: Riesgo Importante",Y347)))</formula>
    </cfRule>
    <cfRule type="containsText" dxfId="1963" priority="2868" stopIfTrue="1" operator="containsText" text="Nivel I: Riesgo Inaceptable">
      <formula>NOT(ISERROR(SEARCH("Nivel I: Riesgo Inaceptable",Y347)))</formula>
    </cfRule>
    <cfRule type="containsText" dxfId="1962" priority="2869" stopIfTrue="1" operator="containsText" text="Nivel IV: Riesgo Tolerable (Aceptable)">
      <formula>NOT(ISERROR(SEARCH("Nivel IV: Riesgo Tolerable (Aceptable)",Y347)))</formula>
    </cfRule>
    <cfRule type="containsText" dxfId="1961" priority="2849" stopIfTrue="1" operator="containsText" text="Nivel IV: Riesgo Tolerable (Aceptable)">
      <formula>NOT(ISERROR(SEARCH("Nivel IV: Riesgo Tolerable (Aceptable)",Y347)))</formula>
    </cfRule>
    <cfRule type="containsText" dxfId="1960" priority="2848" stopIfTrue="1" operator="containsText" text="Nivel I: Riesgo Inaceptable">
      <formula>NOT(ISERROR(SEARCH("Nivel I: Riesgo Inaceptable",Y347)))</formula>
    </cfRule>
    <cfRule type="containsText" dxfId="1959" priority="2847" stopIfTrue="1" operator="containsText" text="Nivel II: Riesgo Importante">
      <formula>NOT(ISERROR(SEARCH("Nivel II: Riesgo Importante",Y347)))</formula>
    </cfRule>
  </conditionalFormatting>
  <conditionalFormatting sqref="Y347:Y348">
    <cfRule type="containsText" dxfId="1958" priority="2809" stopIfTrue="1" operator="containsText" text="Nivel III: Riesgo Moderado (Aceptable)">
      <formula>NOT(ISERROR(SEARCH("Nivel III: Riesgo Moderado (Aceptable)",Y347)))</formula>
    </cfRule>
  </conditionalFormatting>
  <conditionalFormatting sqref="Y348">
    <cfRule type="containsText" dxfId="1957" priority="2808" stopIfTrue="1" operator="containsText" text="Nivel IV: Riesgo Tolerable (Aceptable)">
      <formula>NOT(ISERROR(SEARCH("Nivel IV: Riesgo Tolerable (Aceptable)",Y348)))</formula>
    </cfRule>
    <cfRule type="containsText" dxfId="1956" priority="2810" stopIfTrue="1" operator="containsText" text="Nivel II: Riesgo Importante">
      <formula>NOT(ISERROR(SEARCH("Nivel II: Riesgo Importante",Y348)))</formula>
    </cfRule>
    <cfRule type="containsText" dxfId="1955" priority="2811" stopIfTrue="1" operator="containsText" text="Nivel I: Riesgo Inaceptable">
      <formula>NOT(ISERROR(SEARCH("Nivel I: Riesgo Inaceptable",Y348)))</formula>
    </cfRule>
    <cfRule type="containsText" dxfId="1954" priority="2812" stopIfTrue="1" operator="containsText" text="Nivel IV: Riesgo Tolerable (Aceptable)">
      <formula>NOT(ISERROR(SEARCH("Nivel IV: Riesgo Tolerable (Aceptable)",Y348)))</formula>
    </cfRule>
    <cfRule type="containsText" dxfId="1953" priority="2806" stopIfTrue="1" operator="containsText" text="Nivel II: Riesgo Importante">
      <formula>NOT(ISERROR(SEARCH("Nivel II: Riesgo Importante",Y348)))</formula>
    </cfRule>
    <cfRule type="containsText" dxfId="1952" priority="2807" stopIfTrue="1" operator="containsText" text="Nivel I: Riesgo Inaceptable">
      <formula>NOT(ISERROR(SEARCH("Nivel I: Riesgo Inaceptable",Y348)))</formula>
    </cfRule>
  </conditionalFormatting>
  <conditionalFormatting sqref="Y349">
    <cfRule type="containsText" dxfId="1951" priority="2622" stopIfTrue="1" operator="containsText" text="Nivel I: Riesgo Inaceptable">
      <formula>NOT(ISERROR(SEARCH("Nivel I: Riesgo Inaceptable",Y349)))</formula>
    </cfRule>
    <cfRule type="containsText" dxfId="1950" priority="2621" stopIfTrue="1" operator="containsText" text="Nivel II: Riesgo Importante">
      <formula>NOT(ISERROR(SEARCH("Nivel II: Riesgo Importante",Y349)))</formula>
    </cfRule>
    <cfRule type="containsText" dxfId="1949" priority="2627" stopIfTrue="1" operator="containsText" text="Nivel IV: Riesgo Tolerable (Aceptable)">
      <formula>NOT(ISERROR(SEARCH("Nivel IV: Riesgo Tolerable (Aceptable)",Y349)))</formula>
    </cfRule>
    <cfRule type="containsText" dxfId="1948" priority="2623" stopIfTrue="1" operator="containsText" text="Nivel IV: Riesgo Tolerable (Aceptable)">
      <formula>NOT(ISERROR(SEARCH("Nivel IV: Riesgo Tolerable (Aceptable)",Y349)))</formula>
    </cfRule>
    <cfRule type="containsText" dxfId="1947" priority="2625" stopIfTrue="1" operator="containsText" text="Nivel II: Riesgo Importante">
      <formula>NOT(ISERROR(SEARCH("Nivel II: Riesgo Importante",Y349)))</formula>
    </cfRule>
    <cfRule type="containsText" dxfId="1946" priority="2626" stopIfTrue="1" operator="containsText" text="Nivel I: Riesgo Inaceptable">
      <formula>NOT(ISERROR(SEARCH("Nivel I: Riesgo Inaceptable",Y349)))</formula>
    </cfRule>
    <cfRule type="containsText" dxfId="1945" priority="2620" stopIfTrue="1" operator="containsText" text="Nivel III: Riesgo Moderado (Aceptable)">
      <formula>NOT(ISERROR(SEARCH("Nivel III: Riesgo Moderado (Aceptable)",Y349)))</formula>
    </cfRule>
  </conditionalFormatting>
  <conditionalFormatting sqref="Y350">
    <cfRule type="containsText" dxfId="1944" priority="2888" stopIfTrue="1" operator="containsText" text="Nivel II: Riesgo Importante">
      <formula>NOT(ISERROR(SEARCH("Nivel II: Riesgo Importante",Y350)))</formula>
    </cfRule>
    <cfRule type="containsText" dxfId="1943" priority="2894" stopIfTrue="1" operator="containsText" text="Nivel IV: Riesgo Tolerable (Aceptable)">
      <formula>NOT(ISERROR(SEARCH("Nivel IV: Riesgo Tolerable (Aceptable)",Y350)))</formula>
    </cfRule>
    <cfRule type="containsText" dxfId="1942" priority="2889" stopIfTrue="1" operator="containsText" text="Nivel I: Riesgo Inaceptable">
      <formula>NOT(ISERROR(SEARCH("Nivel I: Riesgo Inaceptable",Y350)))</formula>
    </cfRule>
    <cfRule type="containsText" dxfId="1941" priority="2893" stopIfTrue="1" operator="containsText" text="Nivel I: Riesgo Inaceptable">
      <formula>NOT(ISERROR(SEARCH("Nivel I: Riesgo Inaceptable",Y350)))</formula>
    </cfRule>
    <cfRule type="containsText" dxfId="1940" priority="2892" stopIfTrue="1" operator="containsText" text="Nivel II: Riesgo Importante">
      <formula>NOT(ISERROR(SEARCH("Nivel II: Riesgo Importante",Y350)))</formula>
    </cfRule>
    <cfRule type="containsText" dxfId="1939" priority="2890" stopIfTrue="1" operator="containsText" text="Nivel IV: Riesgo Tolerable (Aceptable)">
      <formula>NOT(ISERROR(SEARCH("Nivel IV: Riesgo Tolerable (Aceptable)",Y350)))</formula>
    </cfRule>
  </conditionalFormatting>
  <conditionalFormatting sqref="Y350:Y351">
    <cfRule type="containsText" dxfId="1938" priority="2669" stopIfTrue="1" operator="containsText" text="Nivel III: Riesgo Moderado (Aceptable)">
      <formula>NOT(ISERROR(SEARCH("Nivel III: Riesgo Moderado (Aceptable)",Y350)))</formula>
    </cfRule>
  </conditionalFormatting>
  <conditionalFormatting sqref="Y351">
    <cfRule type="containsText" dxfId="1937" priority="2672" stopIfTrue="1" operator="containsText" text="Nivel IV: Riesgo Tolerable (Aceptable)">
      <formula>NOT(ISERROR(SEARCH("Nivel IV: Riesgo Tolerable (Aceptable)",Y351)))</formula>
    </cfRule>
    <cfRule type="containsText" dxfId="1936" priority="2671" stopIfTrue="1" operator="containsText" text="Nivel I: Riesgo Inaceptable">
      <formula>NOT(ISERROR(SEARCH("Nivel I: Riesgo Inaceptable",Y351)))</formula>
    </cfRule>
    <cfRule type="containsText" dxfId="1935" priority="2670" stopIfTrue="1" operator="containsText" text="Nivel II: Riesgo Importante">
      <formula>NOT(ISERROR(SEARCH("Nivel II: Riesgo Importante",Y351)))</formula>
    </cfRule>
    <cfRule type="containsText" dxfId="1934" priority="2668" stopIfTrue="1" operator="containsText" text="Nivel IV: Riesgo Tolerable (Aceptable)">
      <formula>NOT(ISERROR(SEARCH("Nivel IV: Riesgo Tolerable (Aceptable)",Y351)))</formula>
    </cfRule>
    <cfRule type="containsText" dxfId="1933" priority="2667" stopIfTrue="1" operator="containsText" text="Nivel I: Riesgo Inaceptable">
      <formula>NOT(ISERROR(SEARCH("Nivel I: Riesgo Inaceptable",Y351)))</formula>
    </cfRule>
    <cfRule type="containsText" dxfId="1932" priority="2666" stopIfTrue="1" operator="containsText" text="Nivel II: Riesgo Importante">
      <formula>NOT(ISERROR(SEARCH("Nivel II: Riesgo Importante",Y351)))</formula>
    </cfRule>
  </conditionalFormatting>
  <conditionalFormatting sqref="Y352">
    <cfRule type="containsText" dxfId="1931" priority="2440" stopIfTrue="1" operator="containsText" text="Nivel II: Riesgo Importante">
      <formula>NOT(ISERROR(SEARCH("Nivel II: Riesgo Importante",Y352)))</formula>
    </cfRule>
    <cfRule type="containsText" dxfId="1930" priority="2441" stopIfTrue="1" operator="containsText" text="Nivel I: Riesgo Inaceptable">
      <formula>NOT(ISERROR(SEARCH("Nivel I: Riesgo Inaceptable",Y352)))</formula>
    </cfRule>
    <cfRule type="containsText" dxfId="1929" priority="2442" stopIfTrue="1" operator="containsText" text="Nivel IV: Riesgo Tolerable (Aceptable)">
      <formula>NOT(ISERROR(SEARCH("Nivel IV: Riesgo Tolerable (Aceptable)",Y352)))</formula>
    </cfRule>
    <cfRule type="containsText" dxfId="1928" priority="2434" stopIfTrue="1" operator="containsText" text="Nivel IV: Riesgo Tolerable (Aceptable)">
      <formula>NOT(ISERROR(SEARCH("Nivel IV: Riesgo Tolerable (Aceptable)",Y352)))</formula>
    </cfRule>
    <cfRule type="containsText" dxfId="1927" priority="2433" stopIfTrue="1" operator="containsText" text="Nivel I: Riesgo Inaceptable">
      <formula>NOT(ISERROR(SEARCH("Nivel I: Riesgo Inaceptable",Y352)))</formula>
    </cfRule>
    <cfRule type="containsText" dxfId="1926" priority="2432" stopIfTrue="1" operator="containsText" text="Nivel II: Riesgo Importante">
      <formula>NOT(ISERROR(SEARCH("Nivel II: Riesgo Importante",Y352)))</formula>
    </cfRule>
  </conditionalFormatting>
  <conditionalFormatting sqref="Y352:Y353">
    <cfRule type="containsText" dxfId="1925" priority="2093" stopIfTrue="1" operator="containsText" text="Nivel III: Riesgo Moderado (Aceptable)">
      <formula>NOT(ISERROR(SEARCH("Nivel III: Riesgo Moderado (Aceptable)",Y352)))</formula>
    </cfRule>
  </conditionalFormatting>
  <conditionalFormatting sqref="Y353">
    <cfRule type="containsText" dxfId="1924" priority="2088" stopIfTrue="1" operator="containsText" text="Nivel IV: Riesgo Tolerable (Aceptable)">
      <formula>NOT(ISERROR(SEARCH("Nivel IV: Riesgo Tolerable (Aceptable)",Y353)))</formula>
    </cfRule>
    <cfRule type="containsText" dxfId="1923" priority="2094" stopIfTrue="1" operator="containsText" text="Nivel II: Riesgo Importante">
      <formula>NOT(ISERROR(SEARCH("Nivel II: Riesgo Importante",Y353)))</formula>
    </cfRule>
    <cfRule type="containsText" dxfId="1922" priority="2096" stopIfTrue="1" operator="containsText" text="Nivel IV: Riesgo Tolerable (Aceptable)">
      <formula>NOT(ISERROR(SEARCH("Nivel IV: Riesgo Tolerable (Aceptable)",Y353)))</formula>
    </cfRule>
    <cfRule type="containsText" dxfId="1921" priority="2087" stopIfTrue="1" operator="containsText" text="Nivel I: Riesgo Inaceptable">
      <formula>NOT(ISERROR(SEARCH("Nivel I: Riesgo Inaceptable",Y353)))</formula>
    </cfRule>
    <cfRule type="containsText" dxfId="1920" priority="2095" stopIfTrue="1" operator="containsText" text="Nivel I: Riesgo Inaceptable">
      <formula>NOT(ISERROR(SEARCH("Nivel I: Riesgo Inaceptable",Y353)))</formula>
    </cfRule>
    <cfRule type="containsText" dxfId="1919" priority="2086" stopIfTrue="1" operator="containsText" text="Nivel II: Riesgo Importante">
      <formula>NOT(ISERROR(SEARCH("Nivel II: Riesgo Importante",Y353)))</formula>
    </cfRule>
  </conditionalFormatting>
  <conditionalFormatting sqref="Y354">
    <cfRule type="containsText" dxfId="1918" priority="2126" stopIfTrue="1" operator="containsText" text="Nivel II: Riesgo Importante">
      <formula>NOT(ISERROR(SEARCH("Nivel II: Riesgo Importante",Y354)))</formula>
    </cfRule>
    <cfRule type="containsText" dxfId="1917" priority="2156" stopIfTrue="1" operator="containsText" text="Nivel IV: Riesgo Tolerable (Aceptable)">
      <formula>NOT(ISERROR(SEARCH("Nivel IV: Riesgo Tolerable (Aceptable)",Y354)))</formula>
    </cfRule>
    <cfRule type="containsText" dxfId="1916" priority="2155" stopIfTrue="1" operator="containsText" text="Nivel I: Riesgo Inaceptable">
      <formula>NOT(ISERROR(SEARCH("Nivel I: Riesgo Inaceptable",Y354)))</formula>
    </cfRule>
    <cfRule type="containsText" dxfId="1915" priority="2154" stopIfTrue="1" operator="containsText" text="Nivel II: Riesgo Importante">
      <formula>NOT(ISERROR(SEARCH("Nivel II: Riesgo Importante",Y354)))</formula>
    </cfRule>
    <cfRule type="containsText" dxfId="1914" priority="2127" stopIfTrue="1" operator="containsText" text="Nivel I: Riesgo Inaceptable">
      <formula>NOT(ISERROR(SEARCH("Nivel I: Riesgo Inaceptable",Y354)))</formula>
    </cfRule>
    <cfRule type="containsText" dxfId="1913" priority="2128" stopIfTrue="1" operator="containsText" text="Nivel IV: Riesgo Tolerable (Aceptable)">
      <formula>NOT(ISERROR(SEARCH("Nivel IV: Riesgo Tolerable (Aceptable)",Y354)))</formula>
    </cfRule>
  </conditionalFormatting>
  <conditionalFormatting sqref="Y355">
    <cfRule type="containsText" dxfId="1912" priority="2017" stopIfTrue="1" operator="containsText" text="Nivel I: Riesgo Inaceptable">
      <formula>NOT(ISERROR(SEARCH("Nivel I: Riesgo Inaceptable",Y355)))</formula>
    </cfRule>
    <cfRule type="containsText" dxfId="1911" priority="2018" stopIfTrue="1" operator="containsText" text="Nivel IV: Riesgo Tolerable (Aceptable)">
      <formula>NOT(ISERROR(SEARCH("Nivel IV: Riesgo Tolerable (Aceptable)",Y355)))</formula>
    </cfRule>
    <cfRule type="containsText" dxfId="1910" priority="2046" stopIfTrue="1" operator="containsText" text="Nivel IV: Riesgo Tolerable (Aceptable)">
      <formula>NOT(ISERROR(SEARCH("Nivel IV: Riesgo Tolerable (Aceptable)",Y355)))</formula>
    </cfRule>
    <cfRule type="containsText" dxfId="1909" priority="2016" stopIfTrue="1" operator="containsText" text="Nivel II: Riesgo Importante">
      <formula>NOT(ISERROR(SEARCH("Nivel II: Riesgo Importante",Y355)))</formula>
    </cfRule>
    <cfRule type="containsText" dxfId="1908" priority="2044" stopIfTrue="1" operator="containsText" text="Nivel II: Riesgo Importante">
      <formula>NOT(ISERROR(SEARCH("Nivel II: Riesgo Importante",Y355)))</formula>
    </cfRule>
    <cfRule type="containsText" dxfId="1907" priority="2045" stopIfTrue="1" operator="containsText" text="Nivel I: Riesgo Inaceptable">
      <formula>NOT(ISERROR(SEARCH("Nivel I: Riesgo Inaceptable",Y355)))</formula>
    </cfRule>
  </conditionalFormatting>
  <conditionalFormatting sqref="Y356">
    <cfRule type="containsText" dxfId="1906" priority="2387" stopIfTrue="1" operator="containsText" text="Nivel II: Riesgo Importante">
      <formula>NOT(ISERROR(SEARCH("Nivel II: Riesgo Importante",Y356)))</formula>
    </cfRule>
    <cfRule type="containsText" dxfId="1905" priority="2393" stopIfTrue="1" operator="containsText" text="Nivel IV: Riesgo Tolerable (Aceptable)">
      <formula>NOT(ISERROR(SEARCH("Nivel IV: Riesgo Tolerable (Aceptable)",Y356)))</formula>
    </cfRule>
    <cfRule type="containsText" dxfId="1904" priority="2388" stopIfTrue="1" operator="containsText" text="Nivel I: Riesgo Inaceptable">
      <formula>NOT(ISERROR(SEARCH("Nivel I: Riesgo Inaceptable",Y356)))</formula>
    </cfRule>
    <cfRule type="containsText" dxfId="1903" priority="2389" stopIfTrue="1" operator="containsText" text="Nivel IV: Riesgo Tolerable (Aceptable)">
      <formula>NOT(ISERROR(SEARCH("Nivel IV: Riesgo Tolerable (Aceptable)",Y356)))</formula>
    </cfRule>
    <cfRule type="containsText" dxfId="1902" priority="2392" stopIfTrue="1" operator="containsText" text="Nivel I: Riesgo Inaceptable">
      <formula>NOT(ISERROR(SEARCH("Nivel I: Riesgo Inaceptable",Y356)))</formula>
    </cfRule>
    <cfRule type="containsText" dxfId="1901" priority="2391" stopIfTrue="1" operator="containsText" text="Nivel II: Riesgo Importante">
      <formula>NOT(ISERROR(SEARCH("Nivel II: Riesgo Importante",Y356)))</formula>
    </cfRule>
  </conditionalFormatting>
  <conditionalFormatting sqref="Y356:Y357">
    <cfRule type="containsText" dxfId="1900" priority="2390" stopIfTrue="1" operator="containsText" text="Nivel III: Riesgo Moderado (Aceptable)">
      <formula>NOT(ISERROR(SEARCH("Nivel III: Riesgo Moderado (Aceptable)",Y356)))</formula>
    </cfRule>
  </conditionalFormatting>
  <conditionalFormatting sqref="Y357">
    <cfRule type="containsText" dxfId="1899" priority="2481" stopIfTrue="1" operator="containsText" text="Nivel IV: Riesgo Tolerable (Aceptable)">
      <formula>NOT(ISERROR(SEARCH("Nivel IV: Riesgo Tolerable (Aceptable)",Y357)))</formula>
    </cfRule>
    <cfRule type="containsText" dxfId="1898" priority="2483" stopIfTrue="1" operator="containsText" text="Nivel II: Riesgo Importante">
      <formula>NOT(ISERROR(SEARCH("Nivel II: Riesgo Importante",Y357)))</formula>
    </cfRule>
    <cfRule type="containsText" dxfId="1897" priority="2480" stopIfTrue="1" operator="containsText" text="Nivel I: Riesgo Inaceptable">
      <formula>NOT(ISERROR(SEARCH("Nivel I: Riesgo Inaceptable",Y357)))</formula>
    </cfRule>
    <cfRule type="containsText" dxfId="1896" priority="2479" stopIfTrue="1" operator="containsText" text="Nivel II: Riesgo Importante">
      <formula>NOT(ISERROR(SEARCH("Nivel II: Riesgo Importante",Y357)))</formula>
    </cfRule>
    <cfRule type="containsText" dxfId="1895" priority="2484" stopIfTrue="1" operator="containsText" text="Nivel I: Riesgo Inaceptable">
      <formula>NOT(ISERROR(SEARCH("Nivel I: Riesgo Inaceptable",Y357)))</formula>
    </cfRule>
    <cfRule type="containsText" dxfId="1894" priority="2485" stopIfTrue="1" operator="containsText" text="Nivel IV: Riesgo Tolerable (Aceptable)">
      <formula>NOT(ISERROR(SEARCH("Nivel IV: Riesgo Tolerable (Aceptable)",Y357)))</formula>
    </cfRule>
  </conditionalFormatting>
  <conditionalFormatting sqref="Y358">
    <cfRule type="containsText" dxfId="1893" priority="2347" stopIfTrue="1" operator="containsText" text="Nivel I: Riesgo Inaceptable">
      <formula>NOT(ISERROR(SEARCH("Nivel I: Riesgo Inaceptable",Y358)))</formula>
    </cfRule>
    <cfRule type="containsText" dxfId="1892" priority="2348" stopIfTrue="1" operator="containsText" text="Nivel IV: Riesgo Tolerable (Aceptable)">
      <formula>NOT(ISERROR(SEARCH("Nivel IV: Riesgo Tolerable (Aceptable)",Y358)))</formula>
    </cfRule>
    <cfRule type="containsText" dxfId="1891" priority="2342" stopIfTrue="1" operator="containsText" text="Nivel II: Riesgo Importante">
      <formula>NOT(ISERROR(SEARCH("Nivel II: Riesgo Importante",Y358)))</formula>
    </cfRule>
    <cfRule type="containsText" dxfId="1890" priority="2343" stopIfTrue="1" operator="containsText" text="Nivel I: Riesgo Inaceptable">
      <formula>NOT(ISERROR(SEARCH("Nivel I: Riesgo Inaceptable",Y358)))</formula>
    </cfRule>
    <cfRule type="containsText" dxfId="1889" priority="2344" stopIfTrue="1" operator="containsText" text="Nivel IV: Riesgo Tolerable (Aceptable)">
      <formula>NOT(ISERROR(SEARCH("Nivel IV: Riesgo Tolerable (Aceptable)",Y358)))</formula>
    </cfRule>
    <cfRule type="containsText" dxfId="1888" priority="2346" stopIfTrue="1" operator="containsText" text="Nivel II: Riesgo Importante">
      <formula>NOT(ISERROR(SEARCH("Nivel II: Riesgo Importante",Y358)))</formula>
    </cfRule>
  </conditionalFormatting>
  <conditionalFormatting sqref="Y358:Y361">
    <cfRule type="containsText" dxfId="1887" priority="2071" stopIfTrue="1" operator="containsText" text="Nivel III: Riesgo Moderado (Aceptable)">
      <formula>NOT(ISERROR(SEARCH("Nivel III: Riesgo Moderado (Aceptable)",Y358)))</formula>
    </cfRule>
  </conditionalFormatting>
  <conditionalFormatting sqref="Y359">
    <cfRule type="containsText" dxfId="1886" priority="2198" stopIfTrue="1" operator="containsText" text="Nivel IV: Riesgo Tolerable (Aceptable)">
      <formula>NOT(ISERROR(SEARCH("Nivel IV: Riesgo Tolerable (Aceptable)",Y359)))</formula>
    </cfRule>
    <cfRule type="containsText" dxfId="1885" priority="2196" stopIfTrue="1" operator="containsText" text="Nivel II: Riesgo Importante">
      <formula>NOT(ISERROR(SEARCH("Nivel II: Riesgo Importante",Y359)))</formula>
    </cfRule>
    <cfRule type="containsText" dxfId="1884" priority="2197" stopIfTrue="1" operator="containsText" text="Nivel I: Riesgo Inaceptable">
      <formula>NOT(ISERROR(SEARCH("Nivel I: Riesgo Inaceptable",Y359)))</formula>
    </cfRule>
  </conditionalFormatting>
  <conditionalFormatting sqref="Y360">
    <cfRule type="containsText" dxfId="1883" priority="2267" stopIfTrue="1" operator="containsText" text="Nivel II: Riesgo Importante">
      <formula>NOT(ISERROR(SEARCH("Nivel II: Riesgo Importante",Y360)))</formula>
    </cfRule>
    <cfRule type="containsText" dxfId="1882" priority="2268" stopIfTrue="1" operator="containsText" text="Nivel I: Riesgo Inaceptable">
      <formula>NOT(ISERROR(SEARCH("Nivel I: Riesgo Inaceptable",Y360)))</formula>
    </cfRule>
    <cfRule type="containsText" dxfId="1881" priority="2289" stopIfTrue="1" operator="containsText" text="Nivel IV: Riesgo Tolerable (Aceptable)">
      <formula>NOT(ISERROR(SEARCH("Nivel IV: Riesgo Tolerable (Aceptable)",Y360)))</formula>
    </cfRule>
    <cfRule type="containsText" dxfId="1880" priority="2287" stopIfTrue="1" operator="containsText" text="Nivel II: Riesgo Importante">
      <formula>NOT(ISERROR(SEARCH("Nivel II: Riesgo Importante",Y360)))</formula>
    </cfRule>
    <cfRule type="containsText" dxfId="1879" priority="2288" stopIfTrue="1" operator="containsText" text="Nivel I: Riesgo Inaceptable">
      <formula>NOT(ISERROR(SEARCH("Nivel I: Riesgo Inaceptable",Y360)))</formula>
    </cfRule>
    <cfRule type="containsText" dxfId="1878" priority="2269" stopIfTrue="1" operator="containsText" text="Nivel IV: Riesgo Tolerable (Aceptable)">
      <formula>NOT(ISERROR(SEARCH("Nivel IV: Riesgo Tolerable (Aceptable)",Y360)))</formula>
    </cfRule>
  </conditionalFormatting>
  <conditionalFormatting sqref="Y361">
    <cfRule type="containsText" dxfId="1877" priority="2052" stopIfTrue="1" operator="containsText" text="Nivel II: Riesgo Importante">
      <formula>NOT(ISERROR(SEARCH("Nivel II: Riesgo Importante",Y361)))</formula>
    </cfRule>
    <cfRule type="containsText" dxfId="1876" priority="2053" stopIfTrue="1" operator="containsText" text="Nivel I: Riesgo Inaceptable">
      <formula>NOT(ISERROR(SEARCH("Nivel I: Riesgo Inaceptable",Y361)))</formula>
    </cfRule>
    <cfRule type="containsText" dxfId="1875" priority="2074" stopIfTrue="1" operator="containsText" text="Nivel IV: Riesgo Tolerable (Aceptable)">
      <formula>NOT(ISERROR(SEARCH("Nivel IV: Riesgo Tolerable (Aceptable)",Y361)))</formula>
    </cfRule>
    <cfRule type="containsText" dxfId="1874" priority="2054" stopIfTrue="1" operator="containsText" text="Nivel IV: Riesgo Tolerable (Aceptable)">
      <formula>NOT(ISERROR(SEARCH("Nivel IV: Riesgo Tolerable (Aceptable)",Y361)))</formula>
    </cfRule>
    <cfRule type="containsText" dxfId="1873" priority="2072" stopIfTrue="1" operator="containsText" text="Nivel II: Riesgo Importante">
      <formula>NOT(ISERROR(SEARCH("Nivel II: Riesgo Importante",Y361)))</formula>
    </cfRule>
    <cfRule type="containsText" dxfId="1872" priority="2073" stopIfTrue="1" operator="containsText" text="Nivel I: Riesgo Inaceptable">
      <formula>NOT(ISERROR(SEARCH("Nivel I: Riesgo Inaceptable",Y361)))</formula>
    </cfRule>
  </conditionalFormatting>
  <conditionalFormatting sqref="Y362">
    <cfRule type="containsText" dxfId="1871" priority="2226" stopIfTrue="1" operator="containsText" text="Nivel II: Riesgo Importante">
      <formula>NOT(ISERROR(SEARCH("Nivel II: Riesgo Importante",Y362)))</formula>
    </cfRule>
    <cfRule type="containsText" dxfId="1870" priority="2230" stopIfTrue="1" operator="containsText" text="Nivel II: Riesgo Importante">
      <formula>NOT(ISERROR(SEARCH("Nivel II: Riesgo Importante",Y362)))</formula>
    </cfRule>
    <cfRule type="containsText" dxfId="1869" priority="2231" stopIfTrue="1" operator="containsText" text="Nivel I: Riesgo Inaceptable">
      <formula>NOT(ISERROR(SEARCH("Nivel I: Riesgo Inaceptable",Y362)))</formula>
    </cfRule>
    <cfRule type="containsText" dxfId="1868" priority="2232" stopIfTrue="1" operator="containsText" text="Nivel IV: Riesgo Tolerable (Aceptable)">
      <formula>NOT(ISERROR(SEARCH("Nivel IV: Riesgo Tolerable (Aceptable)",Y362)))</formula>
    </cfRule>
    <cfRule type="containsText" dxfId="1867" priority="2227" stopIfTrue="1" operator="containsText" text="Nivel I: Riesgo Inaceptable">
      <formula>NOT(ISERROR(SEARCH("Nivel I: Riesgo Inaceptable",Y362)))</formula>
    </cfRule>
    <cfRule type="containsText" dxfId="1866" priority="2228" stopIfTrue="1" operator="containsText" text="Nivel IV: Riesgo Tolerable (Aceptable)">
      <formula>NOT(ISERROR(SEARCH("Nivel IV: Riesgo Tolerable (Aceptable)",Y362)))</formula>
    </cfRule>
  </conditionalFormatting>
  <conditionalFormatting sqref="Y362:Y363">
    <cfRule type="containsText" dxfId="1865" priority="2229" stopIfTrue="1" operator="containsText" text="Nivel III: Riesgo Moderado (Aceptable)">
      <formula>NOT(ISERROR(SEARCH("Nivel III: Riesgo Moderado (Aceptable)",Y362)))</formula>
    </cfRule>
  </conditionalFormatting>
  <conditionalFormatting sqref="Y363">
    <cfRule type="containsText" dxfId="1864" priority="2312" stopIfTrue="1" operator="containsText" text="Nivel II: Riesgo Importante">
      <formula>NOT(ISERROR(SEARCH("Nivel II: Riesgo Importante",Y363)))</formula>
    </cfRule>
    <cfRule type="containsText" dxfId="1863" priority="2313" stopIfTrue="1" operator="containsText" text="Nivel I: Riesgo Inaceptable">
      <formula>NOT(ISERROR(SEARCH("Nivel I: Riesgo Inaceptable",Y363)))</formula>
    </cfRule>
    <cfRule type="containsText" dxfId="1862" priority="2314" stopIfTrue="1" operator="containsText" text="Nivel IV: Riesgo Tolerable (Aceptable)">
      <formula>NOT(ISERROR(SEARCH("Nivel IV: Riesgo Tolerable (Aceptable)",Y363)))</formula>
    </cfRule>
    <cfRule type="containsText" dxfId="1861" priority="2308" stopIfTrue="1" operator="containsText" text="Nivel II: Riesgo Importante">
      <formula>NOT(ISERROR(SEARCH("Nivel II: Riesgo Importante",Y363)))</formula>
    </cfRule>
    <cfRule type="containsText" dxfId="1860" priority="2310" stopIfTrue="1" operator="containsText" text="Nivel IV: Riesgo Tolerable (Aceptable)">
      <formula>NOT(ISERROR(SEARCH("Nivel IV: Riesgo Tolerable (Aceptable)",Y363)))</formula>
    </cfRule>
    <cfRule type="containsText" dxfId="1859" priority="2309" stopIfTrue="1" operator="containsText" text="Nivel I: Riesgo Inaceptable">
      <formula>NOT(ISERROR(SEARCH("Nivel I: Riesgo Inaceptable",Y363)))</formula>
    </cfRule>
  </conditionalFormatting>
  <conditionalFormatting sqref="Y364:Y365">
    <cfRule type="containsText" dxfId="1858" priority="2168" stopIfTrue="1" operator="containsText" text="Nivel IV: Riesgo Tolerable (Aceptable)">
      <formula>NOT(ISERROR(SEARCH("Nivel IV: Riesgo Tolerable (Aceptable)",Y364)))</formula>
    </cfRule>
    <cfRule type="containsText" dxfId="1857" priority="2164" stopIfTrue="1" operator="containsText" text="Nivel IV: Riesgo Tolerable (Aceptable)">
      <formula>NOT(ISERROR(SEARCH("Nivel IV: Riesgo Tolerable (Aceptable)",Y364)))</formula>
    </cfRule>
    <cfRule type="containsText" dxfId="1856" priority="2163" stopIfTrue="1" operator="containsText" text="Nivel I: Riesgo Inaceptable">
      <formula>NOT(ISERROR(SEARCH("Nivel I: Riesgo Inaceptable",Y364)))</formula>
    </cfRule>
    <cfRule type="containsText" dxfId="1855" priority="2167" stopIfTrue="1" operator="containsText" text="Nivel I: Riesgo Inaceptable">
      <formula>NOT(ISERROR(SEARCH("Nivel I: Riesgo Inaceptable",Y364)))</formula>
    </cfRule>
    <cfRule type="containsText" dxfId="1854" priority="2166" stopIfTrue="1" operator="containsText" text="Nivel II: Riesgo Importante">
      <formula>NOT(ISERROR(SEARCH("Nivel II: Riesgo Importante",Y364)))</formula>
    </cfRule>
    <cfRule type="containsText" dxfId="1853" priority="2162" stopIfTrue="1" operator="containsText" text="Nivel II: Riesgo Importante">
      <formula>NOT(ISERROR(SEARCH("Nivel II: Riesgo Importante",Y364)))</formula>
    </cfRule>
  </conditionalFormatting>
  <conditionalFormatting sqref="Y364:Y366">
    <cfRule type="containsText" dxfId="1852" priority="1910" stopIfTrue="1" operator="containsText" text="Nivel III: Riesgo Moderado (Aceptable)">
      <formula>NOT(ISERROR(SEARCH("Nivel III: Riesgo Moderado (Aceptable)",Y364)))</formula>
    </cfRule>
  </conditionalFormatting>
  <conditionalFormatting sqref="Y366">
    <cfRule type="containsText" dxfId="1851" priority="1911" stopIfTrue="1" operator="containsText" text="Nivel II: Riesgo Importante">
      <formula>NOT(ISERROR(SEARCH("Nivel II: Riesgo Importante",Y366)))</formula>
    </cfRule>
    <cfRule type="containsText" dxfId="1850" priority="1905" stopIfTrue="1" operator="containsText" text="Nivel IV: Riesgo Tolerable (Aceptable)">
      <formula>NOT(ISERROR(SEARCH("Nivel IV: Riesgo Tolerable (Aceptable)",Y366)))</formula>
    </cfRule>
    <cfRule type="containsText" dxfId="1849" priority="1904" stopIfTrue="1" operator="containsText" text="Nivel I: Riesgo Inaceptable">
      <formula>NOT(ISERROR(SEARCH("Nivel I: Riesgo Inaceptable",Y366)))</formula>
    </cfRule>
    <cfRule type="containsText" dxfId="1848" priority="1912" stopIfTrue="1" operator="containsText" text="Nivel I: Riesgo Inaceptable">
      <formula>NOT(ISERROR(SEARCH("Nivel I: Riesgo Inaceptable",Y366)))</formula>
    </cfRule>
    <cfRule type="containsText" dxfId="1847" priority="1913" stopIfTrue="1" operator="containsText" text="Nivel IV: Riesgo Tolerable (Aceptable)">
      <formula>NOT(ISERROR(SEARCH("Nivel IV: Riesgo Tolerable (Aceptable)",Y366)))</formula>
    </cfRule>
    <cfRule type="containsText" dxfId="1846" priority="1903" stopIfTrue="1" operator="containsText" text="Nivel II: Riesgo Importante">
      <formula>NOT(ISERROR(SEARCH("Nivel II: Riesgo Importante",Y366)))</formula>
    </cfRule>
  </conditionalFormatting>
  <conditionalFormatting sqref="Y367">
    <cfRule type="containsText" dxfId="1845" priority="1566" stopIfTrue="1" operator="containsText" text="Nivel IV: Riesgo Tolerable (Aceptable)">
      <formula>NOT(ISERROR(SEARCH("Nivel IV: Riesgo Tolerable (Aceptable)",Y367)))</formula>
    </cfRule>
    <cfRule type="containsText" dxfId="1844" priority="1565" stopIfTrue="1" operator="containsText" text="Nivel I: Riesgo Inaceptable">
      <formula>NOT(ISERROR(SEARCH("Nivel I: Riesgo Inaceptable",Y367)))</formula>
    </cfRule>
    <cfRule type="containsText" dxfId="1843" priority="1564" stopIfTrue="1" operator="containsText" text="Nivel II: Riesgo Importante">
      <formula>NOT(ISERROR(SEARCH("Nivel II: Riesgo Importante",Y367)))</formula>
    </cfRule>
    <cfRule type="containsText" dxfId="1842" priority="1589" stopIfTrue="1" operator="containsText" text="Nivel I: Riesgo Inaceptable">
      <formula>NOT(ISERROR(SEARCH("Nivel I: Riesgo Inaceptable",Y367)))</formula>
    </cfRule>
    <cfRule type="containsText" dxfId="1841" priority="1590" stopIfTrue="1" operator="containsText" text="Nivel IV: Riesgo Tolerable (Aceptable)">
      <formula>NOT(ISERROR(SEARCH("Nivel IV: Riesgo Tolerable (Aceptable)",Y367)))</formula>
    </cfRule>
    <cfRule type="containsText" dxfId="1840" priority="1588" stopIfTrue="1" operator="containsText" text="Nivel II: Riesgo Importante">
      <formula>NOT(ISERROR(SEARCH("Nivel II: Riesgo Importante",Y367)))</formula>
    </cfRule>
  </conditionalFormatting>
  <conditionalFormatting sqref="Y368">
    <cfRule type="containsText" dxfId="1839" priority="1557" stopIfTrue="1" operator="containsText" text="Nivel I: Riesgo Inaceptable">
      <formula>NOT(ISERROR(SEARCH("Nivel I: Riesgo Inaceptable",Y368)))</formula>
    </cfRule>
    <cfRule type="containsText" dxfId="1838" priority="1558" stopIfTrue="1" operator="containsText" text="Nivel IV: Riesgo Tolerable (Aceptable)">
      <formula>NOT(ISERROR(SEARCH("Nivel IV: Riesgo Tolerable (Aceptable)",Y368)))</formula>
    </cfRule>
    <cfRule type="containsText" dxfId="1837" priority="1556" stopIfTrue="1" operator="containsText" text="Nivel II: Riesgo Importante">
      <formula>NOT(ISERROR(SEARCH("Nivel II: Riesgo Importante",Y368)))</formula>
    </cfRule>
    <cfRule type="containsText" dxfId="1836" priority="1530" stopIfTrue="1" operator="containsText" text="Nivel IV: Riesgo Tolerable (Aceptable)">
      <formula>NOT(ISERROR(SEARCH("Nivel IV: Riesgo Tolerable (Aceptable)",Y368)))</formula>
    </cfRule>
    <cfRule type="containsText" dxfId="1835" priority="1529" stopIfTrue="1" operator="containsText" text="Nivel I: Riesgo Inaceptable">
      <formula>NOT(ISERROR(SEARCH("Nivel I: Riesgo Inaceptable",Y368)))</formula>
    </cfRule>
    <cfRule type="containsText" dxfId="1834" priority="1528" stopIfTrue="1" operator="containsText" text="Nivel II: Riesgo Importante">
      <formula>NOT(ISERROR(SEARCH("Nivel II: Riesgo Importante",Y368)))</formula>
    </cfRule>
  </conditionalFormatting>
  <conditionalFormatting sqref="Y369">
    <cfRule type="containsText" dxfId="1833" priority="1858" stopIfTrue="1" operator="containsText" text="Nivel II: Riesgo Importante">
      <formula>NOT(ISERROR(SEARCH("Nivel II: Riesgo Importante",Y369)))</formula>
    </cfRule>
    <cfRule type="containsText" dxfId="1832" priority="1863" stopIfTrue="1" operator="containsText" text="Nivel I: Riesgo Inaceptable">
      <formula>NOT(ISERROR(SEARCH("Nivel I: Riesgo Inaceptable",Y369)))</formula>
    </cfRule>
    <cfRule type="containsText" dxfId="1831" priority="1860" stopIfTrue="1" operator="containsText" text="Nivel IV: Riesgo Tolerable (Aceptable)">
      <formula>NOT(ISERROR(SEARCH("Nivel IV: Riesgo Tolerable (Aceptable)",Y369)))</formula>
    </cfRule>
    <cfRule type="containsText" dxfId="1830" priority="1864" stopIfTrue="1" operator="containsText" text="Nivel IV: Riesgo Tolerable (Aceptable)">
      <formula>NOT(ISERROR(SEARCH("Nivel IV: Riesgo Tolerable (Aceptable)",Y369)))</formula>
    </cfRule>
    <cfRule type="containsText" dxfId="1829" priority="1859" stopIfTrue="1" operator="containsText" text="Nivel I: Riesgo Inaceptable">
      <formula>NOT(ISERROR(SEARCH("Nivel I: Riesgo Inaceptable",Y369)))</formula>
    </cfRule>
    <cfRule type="containsText" dxfId="1828" priority="1862" stopIfTrue="1" operator="containsText" text="Nivel II: Riesgo Importante">
      <formula>NOT(ISERROR(SEARCH("Nivel II: Riesgo Importante",Y369)))</formula>
    </cfRule>
  </conditionalFormatting>
  <conditionalFormatting sqref="Y369:Y370">
    <cfRule type="containsText" dxfId="1827" priority="1861" stopIfTrue="1" operator="containsText" text="Nivel III: Riesgo Moderado (Aceptable)">
      <formula>NOT(ISERROR(SEARCH("Nivel III: Riesgo Moderado (Aceptable)",Y369)))</formula>
    </cfRule>
  </conditionalFormatting>
  <conditionalFormatting sqref="Y370">
    <cfRule type="containsText" dxfId="1826" priority="1952" stopIfTrue="1" operator="containsText" text="Nivel IV: Riesgo Tolerable (Aceptable)">
      <formula>NOT(ISERROR(SEARCH("Nivel IV: Riesgo Tolerable (Aceptable)",Y370)))</formula>
    </cfRule>
    <cfRule type="containsText" dxfId="1825" priority="1950" stopIfTrue="1" operator="containsText" text="Nivel II: Riesgo Importante">
      <formula>NOT(ISERROR(SEARCH("Nivel II: Riesgo Importante",Y370)))</formula>
    </cfRule>
    <cfRule type="containsText" dxfId="1824" priority="1951" stopIfTrue="1" operator="containsText" text="Nivel I: Riesgo Inaceptable">
      <formula>NOT(ISERROR(SEARCH("Nivel I: Riesgo Inaceptable",Y370)))</formula>
    </cfRule>
    <cfRule type="containsText" dxfId="1823" priority="1956" stopIfTrue="1" operator="containsText" text="Nivel IV: Riesgo Tolerable (Aceptable)">
      <formula>NOT(ISERROR(SEARCH("Nivel IV: Riesgo Tolerable (Aceptable)",Y370)))</formula>
    </cfRule>
    <cfRule type="containsText" dxfId="1822" priority="1954" stopIfTrue="1" operator="containsText" text="Nivel II: Riesgo Importante">
      <formula>NOT(ISERROR(SEARCH("Nivel II: Riesgo Importante",Y370)))</formula>
    </cfRule>
    <cfRule type="containsText" dxfId="1821" priority="1955" stopIfTrue="1" operator="containsText" text="Nivel I: Riesgo Inaceptable">
      <formula>NOT(ISERROR(SEARCH("Nivel I: Riesgo Inaceptable",Y370)))</formula>
    </cfRule>
  </conditionalFormatting>
  <conditionalFormatting sqref="Y371">
    <cfRule type="containsText" dxfId="1820" priority="1819" stopIfTrue="1" operator="containsText" text="Nivel IV: Riesgo Tolerable (Aceptable)">
      <formula>NOT(ISERROR(SEARCH("Nivel IV: Riesgo Tolerable (Aceptable)",Y371)))</formula>
    </cfRule>
    <cfRule type="containsText" dxfId="1819" priority="1813" stopIfTrue="1" operator="containsText" text="Nivel II: Riesgo Importante">
      <formula>NOT(ISERROR(SEARCH("Nivel II: Riesgo Importante",Y371)))</formula>
    </cfRule>
    <cfRule type="containsText" dxfId="1818" priority="1814" stopIfTrue="1" operator="containsText" text="Nivel I: Riesgo Inaceptable">
      <formula>NOT(ISERROR(SEARCH("Nivel I: Riesgo Inaceptable",Y371)))</formula>
    </cfRule>
    <cfRule type="containsText" dxfId="1817" priority="1815" stopIfTrue="1" operator="containsText" text="Nivel IV: Riesgo Tolerable (Aceptable)">
      <formula>NOT(ISERROR(SEARCH("Nivel IV: Riesgo Tolerable (Aceptable)",Y371)))</formula>
    </cfRule>
    <cfRule type="containsText" dxfId="1816" priority="1817" stopIfTrue="1" operator="containsText" text="Nivel II: Riesgo Importante">
      <formula>NOT(ISERROR(SEARCH("Nivel II: Riesgo Importante",Y371)))</formula>
    </cfRule>
    <cfRule type="containsText" dxfId="1815" priority="1818" stopIfTrue="1" operator="containsText" text="Nivel I: Riesgo Inaceptable">
      <formula>NOT(ISERROR(SEARCH("Nivel I: Riesgo Inaceptable",Y371)))</formula>
    </cfRule>
  </conditionalFormatting>
  <conditionalFormatting sqref="Y371:Y373">
    <cfRule type="containsText" dxfId="1814" priority="1629" stopIfTrue="1" operator="containsText" text="Nivel III: Riesgo Moderado (Aceptable)">
      <formula>NOT(ISERROR(SEARCH("Nivel III: Riesgo Moderado (Aceptable)",Y371)))</formula>
    </cfRule>
  </conditionalFormatting>
  <conditionalFormatting sqref="Y372">
    <cfRule type="containsText" dxfId="1813" priority="1660" stopIfTrue="1" operator="containsText" text="Nivel II: Riesgo Importante">
      <formula>NOT(ISERROR(SEARCH("Nivel II: Riesgo Importante",Y372)))</formula>
    </cfRule>
    <cfRule type="containsText" dxfId="1812" priority="1662" stopIfTrue="1" operator="containsText" text="Nivel IV: Riesgo Tolerable (Aceptable)">
      <formula>NOT(ISERROR(SEARCH("Nivel IV: Riesgo Tolerable (Aceptable)",Y372)))</formula>
    </cfRule>
    <cfRule type="containsText" dxfId="1811" priority="1661" stopIfTrue="1" operator="containsText" text="Nivel I: Riesgo Inaceptable">
      <formula>NOT(ISERROR(SEARCH("Nivel I: Riesgo Inaceptable",Y372)))</formula>
    </cfRule>
  </conditionalFormatting>
  <conditionalFormatting sqref="Y373">
    <cfRule type="containsText" dxfId="1810" priority="1630" stopIfTrue="1" operator="containsText" text="Nivel II: Riesgo Importante">
      <formula>NOT(ISERROR(SEARCH("Nivel II: Riesgo Importante",Y373)))</formula>
    </cfRule>
    <cfRule type="containsText" dxfId="1809" priority="1632" stopIfTrue="1" operator="containsText" text="Nivel IV: Riesgo Tolerable (Aceptable)">
      <formula>NOT(ISERROR(SEARCH("Nivel IV: Riesgo Tolerable (Aceptable)",Y373)))</formula>
    </cfRule>
    <cfRule type="containsText" dxfId="1808" priority="1631" stopIfTrue="1" operator="containsText" text="Nivel I: Riesgo Inaceptable">
      <formula>NOT(ISERROR(SEARCH("Nivel I: Riesgo Inaceptable",Y373)))</formula>
    </cfRule>
  </conditionalFormatting>
  <conditionalFormatting sqref="Y374">
    <cfRule type="containsText" dxfId="1807" priority="1738" stopIfTrue="1" operator="containsText" text="Nivel II: Riesgo Importante">
      <formula>NOT(ISERROR(SEARCH("Nivel II: Riesgo Importante",Y374)))</formula>
    </cfRule>
    <cfRule type="containsText" dxfId="1806" priority="1739" stopIfTrue="1" operator="containsText" text="Nivel I: Riesgo Inaceptable">
      <formula>NOT(ISERROR(SEARCH("Nivel I: Riesgo Inaceptable",Y374)))</formula>
    </cfRule>
    <cfRule type="containsText" dxfId="1805" priority="1740" stopIfTrue="1" operator="containsText" text="Nivel IV: Riesgo Tolerable (Aceptable)">
      <formula>NOT(ISERROR(SEARCH("Nivel IV: Riesgo Tolerable (Aceptable)",Y374)))</formula>
    </cfRule>
    <cfRule type="containsText" dxfId="1804" priority="1758" stopIfTrue="1" operator="containsText" text="Nivel II: Riesgo Importante">
      <formula>NOT(ISERROR(SEARCH("Nivel II: Riesgo Importante",Y374)))</formula>
    </cfRule>
    <cfRule type="containsText" dxfId="1803" priority="1760" stopIfTrue="1" operator="containsText" text="Nivel IV: Riesgo Tolerable (Aceptable)">
      <formula>NOT(ISERROR(SEARCH("Nivel IV: Riesgo Tolerable (Aceptable)",Y374)))</formula>
    </cfRule>
    <cfRule type="containsText" dxfId="1802" priority="1759" stopIfTrue="1" operator="containsText" text="Nivel I: Riesgo Inaceptable">
      <formula>NOT(ISERROR(SEARCH("Nivel I: Riesgo Inaceptable",Y374)))</formula>
    </cfRule>
  </conditionalFormatting>
  <conditionalFormatting sqref="Y374:Y376">
    <cfRule type="containsText" dxfId="1801" priority="1700" stopIfTrue="1" operator="containsText" text="Nivel III: Riesgo Moderado (Aceptable)">
      <formula>NOT(ISERROR(SEARCH("Nivel III: Riesgo Moderado (Aceptable)",Y374)))</formula>
    </cfRule>
  </conditionalFormatting>
  <conditionalFormatting sqref="Y375">
    <cfRule type="containsText" dxfId="1800" priority="1701" stopIfTrue="1" operator="containsText" text="Nivel II: Riesgo Importante">
      <formula>NOT(ISERROR(SEARCH("Nivel II: Riesgo Importante",Y375)))</formula>
    </cfRule>
    <cfRule type="containsText" dxfId="1799" priority="1697" stopIfTrue="1" operator="containsText" text="Nivel II: Riesgo Importante">
      <formula>NOT(ISERROR(SEARCH("Nivel II: Riesgo Importante",Y375)))</formula>
    </cfRule>
    <cfRule type="containsText" dxfId="1798" priority="1702" stopIfTrue="1" operator="containsText" text="Nivel I: Riesgo Inaceptable">
      <formula>NOT(ISERROR(SEARCH("Nivel I: Riesgo Inaceptable",Y375)))</formula>
    </cfRule>
    <cfRule type="containsText" dxfId="1797" priority="1698" stopIfTrue="1" operator="containsText" text="Nivel I: Riesgo Inaceptable">
      <formula>NOT(ISERROR(SEARCH("Nivel I: Riesgo Inaceptable",Y375)))</formula>
    </cfRule>
    <cfRule type="containsText" dxfId="1796" priority="1703" stopIfTrue="1" operator="containsText" text="Nivel IV: Riesgo Tolerable (Aceptable)">
      <formula>NOT(ISERROR(SEARCH("Nivel IV: Riesgo Tolerable (Aceptable)",Y375)))</formula>
    </cfRule>
    <cfRule type="containsText" dxfId="1795" priority="1699" stopIfTrue="1" operator="containsText" text="Nivel IV: Riesgo Tolerable (Aceptable)">
      <formula>NOT(ISERROR(SEARCH("Nivel IV: Riesgo Tolerable (Aceptable)",Y375)))</formula>
    </cfRule>
  </conditionalFormatting>
  <conditionalFormatting sqref="Y376">
    <cfRule type="containsText" dxfId="1794" priority="1779" stopIfTrue="1" operator="containsText" text="Nivel II: Riesgo Importante">
      <formula>NOT(ISERROR(SEARCH("Nivel II: Riesgo Importante",Y376)))</formula>
    </cfRule>
    <cfRule type="containsText" dxfId="1793" priority="1781" stopIfTrue="1" operator="containsText" text="Nivel IV: Riesgo Tolerable (Aceptable)">
      <formula>NOT(ISERROR(SEARCH("Nivel IV: Riesgo Tolerable (Aceptable)",Y376)))</formula>
    </cfRule>
    <cfRule type="containsText" dxfId="1792" priority="1784" stopIfTrue="1" operator="containsText" text="Nivel I: Riesgo Inaceptable">
      <formula>NOT(ISERROR(SEARCH("Nivel I: Riesgo Inaceptable",Y376)))</formula>
    </cfRule>
    <cfRule type="containsText" dxfId="1791" priority="1783" stopIfTrue="1" operator="containsText" text="Nivel II: Riesgo Importante">
      <formula>NOT(ISERROR(SEARCH("Nivel II: Riesgo Importante",Y376)))</formula>
    </cfRule>
    <cfRule type="containsText" dxfId="1790" priority="1780" stopIfTrue="1" operator="containsText" text="Nivel I: Riesgo Inaceptable">
      <formula>NOT(ISERROR(SEARCH("Nivel I: Riesgo Inaceptable",Y376)))</formula>
    </cfRule>
    <cfRule type="containsText" dxfId="1789" priority="1785" stopIfTrue="1" operator="containsText" text="Nivel IV: Riesgo Tolerable (Aceptable)">
      <formula>NOT(ISERROR(SEARCH("Nivel IV: Riesgo Tolerable (Aceptable)",Y376)))</formula>
    </cfRule>
  </conditionalFormatting>
  <conditionalFormatting sqref="Y377">
    <cfRule type="containsText" dxfId="1788" priority="1598" stopIfTrue="1" operator="containsText" text="Nivel IV: Riesgo Tolerable (Aceptable)">
      <formula>NOT(ISERROR(SEARCH("Nivel IV: Riesgo Tolerable (Aceptable)",Y377)))</formula>
    </cfRule>
    <cfRule type="containsText" dxfId="1787" priority="1602" stopIfTrue="1" operator="containsText" text="Nivel IV: Riesgo Tolerable (Aceptable)">
      <formula>NOT(ISERROR(SEARCH("Nivel IV: Riesgo Tolerable (Aceptable)",Y377)))</formula>
    </cfRule>
    <cfRule type="containsText" dxfId="1786" priority="1600" stopIfTrue="1" operator="containsText" text="Nivel II: Riesgo Importante">
      <formula>NOT(ISERROR(SEARCH("Nivel II: Riesgo Importante",Y377)))</formula>
    </cfRule>
    <cfRule type="containsText" dxfId="1785" priority="1601" stopIfTrue="1" operator="containsText" text="Nivel I: Riesgo Inaceptable">
      <formula>NOT(ISERROR(SEARCH("Nivel I: Riesgo Inaceptable",Y377)))</formula>
    </cfRule>
    <cfRule type="containsText" dxfId="1784" priority="1597" stopIfTrue="1" operator="containsText" text="Nivel I: Riesgo Inaceptable">
      <formula>NOT(ISERROR(SEARCH("Nivel I: Riesgo Inaceptable",Y377)))</formula>
    </cfRule>
    <cfRule type="containsText" dxfId="1783" priority="1596" stopIfTrue="1" operator="containsText" text="Nivel II: Riesgo Importante">
      <formula>NOT(ISERROR(SEARCH("Nivel II: Riesgo Importante",Y377)))</formula>
    </cfRule>
  </conditionalFormatting>
  <conditionalFormatting sqref="Y377:Y378">
    <cfRule type="containsText" dxfId="1782" priority="1194" stopIfTrue="1" operator="containsText" text="Nivel III: Riesgo Moderado (Aceptable)">
      <formula>NOT(ISERROR(SEARCH("Nivel III: Riesgo Moderado (Aceptable)",Y377)))</formula>
    </cfRule>
  </conditionalFormatting>
  <conditionalFormatting sqref="Y378">
    <cfRule type="containsText" dxfId="1781" priority="1169" stopIfTrue="1" operator="containsText" text="Nivel IV: Riesgo Tolerable (Aceptable)">
      <formula>NOT(ISERROR(SEARCH("Nivel IV: Riesgo Tolerable (Aceptable)",Y378)))</formula>
    </cfRule>
    <cfRule type="containsText" dxfId="1780" priority="1195" stopIfTrue="1" operator="containsText" text="Nivel II: Riesgo Importante">
      <formula>NOT(ISERROR(SEARCH("Nivel II: Riesgo Importante",Y378)))</formula>
    </cfRule>
    <cfRule type="containsText" dxfId="1779" priority="1196" stopIfTrue="1" operator="containsText" text="Nivel I: Riesgo Inaceptable">
      <formula>NOT(ISERROR(SEARCH("Nivel I: Riesgo Inaceptable",Y378)))</formula>
    </cfRule>
    <cfRule type="containsText" dxfId="1778" priority="1167" stopIfTrue="1" operator="containsText" text="Nivel II: Riesgo Importante">
      <formula>NOT(ISERROR(SEARCH("Nivel II: Riesgo Importante",Y378)))</formula>
    </cfRule>
    <cfRule type="containsText" dxfId="1777" priority="1168" stopIfTrue="1" operator="containsText" text="Nivel I: Riesgo Inaceptable">
      <formula>NOT(ISERROR(SEARCH("Nivel I: Riesgo Inaceptable",Y378)))</formula>
    </cfRule>
    <cfRule type="containsText" dxfId="1776" priority="1197" stopIfTrue="1" operator="containsText" text="Nivel IV: Riesgo Tolerable (Aceptable)">
      <formula>NOT(ISERROR(SEARCH("Nivel IV: Riesgo Tolerable (Aceptable)",Y378)))</formula>
    </cfRule>
  </conditionalFormatting>
  <conditionalFormatting sqref="Y379">
    <cfRule type="containsText" dxfId="1775" priority="1160" stopIfTrue="1" operator="containsText" text="Nivel I: Riesgo Inaceptable">
      <formula>NOT(ISERROR(SEARCH("Nivel I: Riesgo Inaceptable",Y379)))</formula>
    </cfRule>
    <cfRule type="containsText" dxfId="1774" priority="1133" stopIfTrue="1" operator="containsText" text="Nivel IV: Riesgo Tolerable (Aceptable)">
      <formula>NOT(ISERROR(SEARCH("Nivel IV: Riesgo Tolerable (Aceptable)",Y379)))</formula>
    </cfRule>
    <cfRule type="containsText" dxfId="1773" priority="1130" stopIfTrue="1" operator="containsText" text="Nivel III: Riesgo Moderado (Aceptable)">
      <formula>NOT(ISERROR(SEARCH("Nivel III: Riesgo Moderado (Aceptable)",Y379)))</formula>
    </cfRule>
    <cfRule type="containsText" dxfId="1772" priority="1131" stopIfTrue="1" operator="containsText" text="Nivel II: Riesgo Importante">
      <formula>NOT(ISERROR(SEARCH("Nivel II: Riesgo Importante",Y379)))</formula>
    </cfRule>
    <cfRule type="containsText" dxfId="1771" priority="1161" stopIfTrue="1" operator="containsText" text="Nivel IV: Riesgo Tolerable (Aceptable)">
      <formula>NOT(ISERROR(SEARCH("Nivel IV: Riesgo Tolerable (Aceptable)",Y379)))</formula>
    </cfRule>
    <cfRule type="containsText" dxfId="1770" priority="1159" stopIfTrue="1" operator="containsText" text="Nivel II: Riesgo Importante">
      <formula>NOT(ISERROR(SEARCH("Nivel II: Riesgo Importante",Y379)))</formula>
    </cfRule>
    <cfRule type="containsText" dxfId="1769" priority="1132" stopIfTrue="1" operator="containsText" text="Nivel I: Riesgo Inaceptable">
      <formula>NOT(ISERROR(SEARCH("Nivel I: Riesgo Inaceptable",Y379)))</formula>
    </cfRule>
  </conditionalFormatting>
  <conditionalFormatting sqref="Y380">
    <cfRule type="containsText" dxfId="1768" priority="1423" stopIfTrue="1" operator="containsText" text="Nivel I: Riesgo Inaceptable">
      <formula>NOT(ISERROR(SEARCH("Nivel I: Riesgo Inaceptable",Y380)))</formula>
    </cfRule>
    <cfRule type="containsText" dxfId="1767" priority="1427" stopIfTrue="1" operator="containsText" text="Nivel I: Riesgo Inaceptable">
      <formula>NOT(ISERROR(SEARCH("Nivel I: Riesgo Inaceptable",Y380)))</formula>
    </cfRule>
    <cfRule type="containsText" dxfId="1766" priority="1422" stopIfTrue="1" operator="containsText" text="Nivel II: Riesgo Importante">
      <formula>NOT(ISERROR(SEARCH("Nivel II: Riesgo Importante",Y380)))</formula>
    </cfRule>
    <cfRule type="containsText" dxfId="1765" priority="1426" stopIfTrue="1" operator="containsText" text="Nivel II: Riesgo Importante">
      <formula>NOT(ISERROR(SEARCH("Nivel II: Riesgo Importante",Y380)))</formula>
    </cfRule>
    <cfRule type="containsText" dxfId="1764" priority="1428" stopIfTrue="1" operator="containsText" text="Nivel IV: Riesgo Tolerable (Aceptable)">
      <formula>NOT(ISERROR(SEARCH("Nivel IV: Riesgo Tolerable (Aceptable)",Y380)))</formula>
    </cfRule>
    <cfRule type="containsText" dxfId="1763" priority="1424" stopIfTrue="1" operator="containsText" text="Nivel IV: Riesgo Tolerable (Aceptable)">
      <formula>NOT(ISERROR(SEARCH("Nivel IV: Riesgo Tolerable (Aceptable)",Y380)))</formula>
    </cfRule>
  </conditionalFormatting>
  <conditionalFormatting sqref="Y380:Y381">
    <cfRule type="containsText" dxfId="1762" priority="1425" stopIfTrue="1" operator="containsText" text="Nivel III: Riesgo Moderado (Aceptable)">
      <formula>NOT(ISERROR(SEARCH("Nivel III: Riesgo Moderado (Aceptable)",Y380)))</formula>
    </cfRule>
  </conditionalFormatting>
  <conditionalFormatting sqref="Y381">
    <cfRule type="containsText" dxfId="1761" priority="1473" stopIfTrue="1" operator="containsText" text="Nivel IV: Riesgo Tolerable (Aceptable)">
      <formula>NOT(ISERROR(SEARCH("Nivel IV: Riesgo Tolerable (Aceptable)",Y381)))</formula>
    </cfRule>
    <cfRule type="containsText" dxfId="1760" priority="1472" stopIfTrue="1" operator="containsText" text="Nivel I: Riesgo Inaceptable">
      <formula>NOT(ISERROR(SEARCH("Nivel I: Riesgo Inaceptable",Y381)))</formula>
    </cfRule>
    <cfRule type="containsText" dxfId="1759" priority="1467" stopIfTrue="1" operator="containsText" text="Nivel II: Riesgo Importante">
      <formula>NOT(ISERROR(SEARCH("Nivel II: Riesgo Importante",Y381)))</formula>
    </cfRule>
    <cfRule type="containsText" dxfId="1758" priority="1469" stopIfTrue="1" operator="containsText" text="Nivel IV: Riesgo Tolerable (Aceptable)">
      <formula>NOT(ISERROR(SEARCH("Nivel IV: Riesgo Tolerable (Aceptable)",Y381)))</formula>
    </cfRule>
    <cfRule type="containsText" dxfId="1757" priority="1471" stopIfTrue="1" operator="containsText" text="Nivel II: Riesgo Importante">
      <formula>NOT(ISERROR(SEARCH("Nivel II: Riesgo Importante",Y381)))</formula>
    </cfRule>
    <cfRule type="containsText" dxfId="1756" priority="1468" stopIfTrue="1" operator="containsText" text="Nivel I: Riesgo Inaceptable">
      <formula>NOT(ISERROR(SEARCH("Nivel I: Riesgo Inaceptable",Y381)))</formula>
    </cfRule>
  </conditionalFormatting>
  <conditionalFormatting sqref="Y382">
    <cfRule type="containsText" dxfId="1755" priority="1267" stopIfTrue="1" operator="containsText" text="Nivel II: Riesgo Importante">
      <formula>NOT(ISERROR(SEARCH("Nivel II: Riesgo Importante",Y382)))</formula>
    </cfRule>
    <cfRule type="containsText" dxfId="1754" priority="1268" stopIfTrue="1" operator="containsText" text="Nivel I: Riesgo Inaceptable">
      <formula>NOT(ISERROR(SEARCH("Nivel I: Riesgo Inaceptable",Y382)))</formula>
    </cfRule>
    <cfRule type="containsText" dxfId="1753" priority="1269" stopIfTrue="1" operator="containsText" text="Nivel IV: Riesgo Tolerable (Aceptable)">
      <formula>NOT(ISERROR(SEARCH("Nivel IV: Riesgo Tolerable (Aceptable)",Y382)))</formula>
    </cfRule>
  </conditionalFormatting>
  <conditionalFormatting sqref="Y382:Y383">
    <cfRule type="containsText" dxfId="1752" priority="1236" stopIfTrue="1" operator="containsText" text="Nivel III: Riesgo Moderado (Aceptable)">
      <formula>NOT(ISERROR(SEARCH("Nivel III: Riesgo Moderado (Aceptable)",Y382)))</formula>
    </cfRule>
  </conditionalFormatting>
  <conditionalFormatting sqref="Y383">
    <cfRule type="containsText" dxfId="1751" priority="1237" stopIfTrue="1" operator="containsText" text="Nivel II: Riesgo Importante">
      <formula>NOT(ISERROR(SEARCH("Nivel II: Riesgo Importante",Y383)))</formula>
    </cfRule>
    <cfRule type="containsText" dxfId="1750" priority="1238" stopIfTrue="1" operator="containsText" text="Nivel I: Riesgo Inaceptable">
      <formula>NOT(ISERROR(SEARCH("Nivel I: Riesgo Inaceptable",Y383)))</formula>
    </cfRule>
    <cfRule type="containsText" dxfId="1749" priority="1239" stopIfTrue="1" operator="containsText" text="Nivel IV: Riesgo Tolerable (Aceptable)">
      <formula>NOT(ISERROR(SEARCH("Nivel IV: Riesgo Tolerable (Aceptable)",Y383)))</formula>
    </cfRule>
  </conditionalFormatting>
  <conditionalFormatting sqref="Y384">
    <cfRule type="containsText" dxfId="1748" priority="1349" stopIfTrue="1" operator="containsText" text="Nivel IV: Riesgo Tolerable (Aceptable)">
      <formula>NOT(ISERROR(SEARCH("Nivel IV: Riesgo Tolerable (Aceptable)",Y384)))</formula>
    </cfRule>
    <cfRule type="containsText" dxfId="1747" priority="1347" stopIfTrue="1" operator="containsText" text="Nivel II: Riesgo Importante">
      <formula>NOT(ISERROR(SEARCH("Nivel II: Riesgo Importante",Y384)))</formula>
    </cfRule>
    <cfRule type="containsText" dxfId="1746" priority="1348" stopIfTrue="1" operator="containsText" text="Nivel I: Riesgo Inaceptable">
      <formula>NOT(ISERROR(SEARCH("Nivel I: Riesgo Inaceptable",Y384)))</formula>
    </cfRule>
    <cfRule type="containsText" dxfId="1745" priority="1369" stopIfTrue="1" operator="containsText" text="Nivel IV: Riesgo Tolerable (Aceptable)">
      <formula>NOT(ISERROR(SEARCH("Nivel IV: Riesgo Tolerable (Aceptable)",Y384)))</formula>
    </cfRule>
    <cfRule type="containsText" dxfId="1744" priority="1368" stopIfTrue="1" operator="containsText" text="Nivel I: Riesgo Inaceptable">
      <formula>NOT(ISERROR(SEARCH("Nivel I: Riesgo Inaceptable",Y384)))</formula>
    </cfRule>
    <cfRule type="containsText" dxfId="1743" priority="1367" stopIfTrue="1" operator="containsText" text="Nivel II: Riesgo Importante">
      <formula>NOT(ISERROR(SEARCH("Nivel II: Riesgo Importante",Y384)))</formula>
    </cfRule>
  </conditionalFormatting>
  <conditionalFormatting sqref="Y384:Y386">
    <cfRule type="containsText" dxfId="1742" priority="1309" stopIfTrue="1" operator="containsText" text="Nivel III: Riesgo Moderado (Aceptable)">
      <formula>NOT(ISERROR(SEARCH("Nivel III: Riesgo Moderado (Aceptable)",Y384)))</formula>
    </cfRule>
  </conditionalFormatting>
  <conditionalFormatting sqref="Y385">
    <cfRule type="containsText" dxfId="1741" priority="1308" stopIfTrue="1" operator="containsText" text="Nivel IV: Riesgo Tolerable (Aceptable)">
      <formula>NOT(ISERROR(SEARCH("Nivel IV: Riesgo Tolerable (Aceptable)",Y385)))</formula>
    </cfRule>
    <cfRule type="containsText" dxfId="1740" priority="1306" stopIfTrue="1" operator="containsText" text="Nivel II: Riesgo Importante">
      <formula>NOT(ISERROR(SEARCH("Nivel II: Riesgo Importante",Y385)))</formula>
    </cfRule>
    <cfRule type="containsText" dxfId="1739" priority="1312" stopIfTrue="1" operator="containsText" text="Nivel IV: Riesgo Tolerable (Aceptable)">
      <formula>NOT(ISERROR(SEARCH("Nivel IV: Riesgo Tolerable (Aceptable)",Y385)))</formula>
    </cfRule>
    <cfRule type="containsText" dxfId="1738" priority="1307" stopIfTrue="1" operator="containsText" text="Nivel I: Riesgo Inaceptable">
      <formula>NOT(ISERROR(SEARCH("Nivel I: Riesgo Inaceptable",Y385)))</formula>
    </cfRule>
    <cfRule type="containsText" dxfId="1737" priority="1311" stopIfTrue="1" operator="containsText" text="Nivel I: Riesgo Inaceptable">
      <formula>NOT(ISERROR(SEARCH("Nivel I: Riesgo Inaceptable",Y385)))</formula>
    </cfRule>
    <cfRule type="containsText" dxfId="1736" priority="1310" stopIfTrue="1" operator="containsText" text="Nivel II: Riesgo Importante">
      <formula>NOT(ISERROR(SEARCH("Nivel II: Riesgo Importante",Y385)))</formula>
    </cfRule>
  </conditionalFormatting>
  <conditionalFormatting sqref="Y386">
    <cfRule type="containsText" dxfId="1735" priority="1393" stopIfTrue="1" operator="containsText" text="Nivel I: Riesgo Inaceptable">
      <formula>NOT(ISERROR(SEARCH("Nivel I: Riesgo Inaceptable",Y386)))</formula>
    </cfRule>
    <cfRule type="containsText" dxfId="1734" priority="1394" stopIfTrue="1" operator="containsText" text="Nivel IV: Riesgo Tolerable (Aceptable)">
      <formula>NOT(ISERROR(SEARCH("Nivel IV: Riesgo Tolerable (Aceptable)",Y386)))</formula>
    </cfRule>
    <cfRule type="containsText" dxfId="1733" priority="1392" stopIfTrue="1" operator="containsText" text="Nivel II: Riesgo Importante">
      <formula>NOT(ISERROR(SEARCH("Nivel II: Riesgo Importante",Y386)))</formula>
    </cfRule>
    <cfRule type="containsText" dxfId="1732" priority="1390" stopIfTrue="1" operator="containsText" text="Nivel IV: Riesgo Tolerable (Aceptable)">
      <formula>NOT(ISERROR(SEARCH("Nivel IV: Riesgo Tolerable (Aceptable)",Y386)))</formula>
    </cfRule>
    <cfRule type="containsText" dxfId="1731" priority="1388" stopIfTrue="1" operator="containsText" text="Nivel II: Riesgo Importante">
      <formula>NOT(ISERROR(SEARCH("Nivel II: Riesgo Importante",Y386)))</formula>
    </cfRule>
    <cfRule type="containsText" dxfId="1730" priority="1389" stopIfTrue="1" operator="containsText" text="Nivel I: Riesgo Inaceptable">
      <formula>NOT(ISERROR(SEARCH("Nivel I: Riesgo Inaceptable",Y386)))</formula>
    </cfRule>
  </conditionalFormatting>
  <conditionalFormatting sqref="Y387">
    <cfRule type="containsText" dxfId="1729" priority="1207" stopIfTrue="1" operator="containsText" text="Nivel II: Riesgo Importante">
      <formula>NOT(ISERROR(SEARCH("Nivel II: Riesgo Importante",Y387)))</formula>
    </cfRule>
    <cfRule type="containsText" dxfId="1728" priority="1208" stopIfTrue="1" operator="containsText" text="Nivel I: Riesgo Inaceptable">
      <formula>NOT(ISERROR(SEARCH("Nivel I: Riesgo Inaceptable",Y387)))</formula>
    </cfRule>
    <cfRule type="containsText" dxfId="1727" priority="1209" stopIfTrue="1" operator="containsText" text="Nivel IV: Riesgo Tolerable (Aceptable)">
      <formula>NOT(ISERROR(SEARCH("Nivel IV: Riesgo Tolerable (Aceptable)",Y387)))</formula>
    </cfRule>
    <cfRule type="containsText" dxfId="1726" priority="1202" stopIfTrue="1" operator="containsText" text="Nivel III: Riesgo Moderado (Aceptable)">
      <formula>NOT(ISERROR(SEARCH("Nivel III: Riesgo Moderado (Aceptable)",Y387)))</formula>
    </cfRule>
    <cfRule type="containsText" dxfId="1725" priority="1203" stopIfTrue="1" operator="containsText" text="Nivel II: Riesgo Importante">
      <formula>NOT(ISERROR(SEARCH("Nivel II: Riesgo Importante",Y387)))</formula>
    </cfRule>
    <cfRule type="containsText" dxfId="1724" priority="1204" stopIfTrue="1" operator="containsText" text="Nivel I: Riesgo Inaceptable">
      <formula>NOT(ISERROR(SEARCH("Nivel I: Riesgo Inaceptable",Y387)))</formula>
    </cfRule>
    <cfRule type="containsText" dxfId="1723" priority="1205" stopIfTrue="1" operator="containsText" text="Nivel IV: Riesgo Tolerable (Aceptable)">
      <formula>NOT(ISERROR(SEARCH("Nivel IV: Riesgo Tolerable (Aceptable)",Y387)))</formula>
    </cfRule>
  </conditionalFormatting>
  <conditionalFormatting sqref="Y388">
    <cfRule type="containsText" dxfId="1722" priority="1028" stopIfTrue="1" operator="containsText" text="Nivel IV: Riesgo Tolerable (Aceptable)">
      <formula>NOT(ISERROR(SEARCH("Nivel IV: Riesgo Tolerable (Aceptable)",Y388)))</formula>
    </cfRule>
    <cfRule type="containsText" dxfId="1721" priority="1020" stopIfTrue="1" operator="containsText" text="Nivel IV: Riesgo Tolerable (Aceptable)">
      <formula>NOT(ISERROR(SEARCH("Nivel IV: Riesgo Tolerable (Aceptable)",Y388)))</formula>
    </cfRule>
    <cfRule type="containsText" dxfId="1720" priority="1027" stopIfTrue="1" operator="containsText" text="Nivel I: Riesgo Inaceptable">
      <formula>NOT(ISERROR(SEARCH("Nivel I: Riesgo Inaceptable",Y388)))</formula>
    </cfRule>
    <cfRule type="containsText" dxfId="1719" priority="1026" stopIfTrue="1" operator="containsText" text="Nivel II: Riesgo Importante">
      <formula>NOT(ISERROR(SEARCH("Nivel II: Riesgo Importante",Y388)))</formula>
    </cfRule>
    <cfRule type="containsText" dxfId="1718" priority="1025" stopIfTrue="1" operator="containsText" text="Nivel III: Riesgo Moderado (Aceptable)">
      <formula>NOT(ISERROR(SEARCH("Nivel III: Riesgo Moderado (Aceptable)",Y388)))</formula>
    </cfRule>
    <cfRule type="containsText" dxfId="1717" priority="1019" stopIfTrue="1" operator="containsText" text="Nivel I: Riesgo Inaceptable">
      <formula>NOT(ISERROR(SEARCH("Nivel I: Riesgo Inaceptable",Y388)))</formula>
    </cfRule>
    <cfRule type="containsText" dxfId="1716" priority="1018" stopIfTrue="1" operator="containsText" text="Nivel II: Riesgo Importante">
      <formula>NOT(ISERROR(SEARCH("Nivel II: Riesgo Importante",Y388)))</formula>
    </cfRule>
    <cfRule type="containsText" dxfId="1715" priority="1017" stopIfTrue="1" operator="containsText" text="Nivel III: Riesgo Moderado (Aceptable)">
      <formula>NOT(ISERROR(SEARCH("Nivel III: Riesgo Moderado (Aceptable)",Y388)))</formula>
    </cfRule>
  </conditionalFormatting>
  <conditionalFormatting sqref="Y389">
    <cfRule type="containsText" dxfId="1714" priority="678" stopIfTrue="1" operator="containsText" text="Nivel III: Riesgo Moderado (Aceptable)">
      <formula>NOT(ISERROR(SEARCH("Nivel III: Riesgo Moderado (Aceptable)",Y389)))</formula>
    </cfRule>
    <cfRule type="containsText" dxfId="1713" priority="702" stopIfTrue="1" operator="containsText" text="Nivel III: Riesgo Moderado (Aceptable)">
      <formula>NOT(ISERROR(SEARCH("Nivel III: Riesgo Moderado (Aceptable)",Y389)))</formula>
    </cfRule>
    <cfRule type="containsText" dxfId="1712" priority="679" stopIfTrue="1" operator="containsText" text="Nivel II: Riesgo Importante">
      <formula>NOT(ISERROR(SEARCH("Nivel II: Riesgo Importante",Y389)))</formula>
    </cfRule>
    <cfRule type="containsText" dxfId="1711" priority="680" stopIfTrue="1" operator="containsText" text="Nivel I: Riesgo Inaceptable">
      <formula>NOT(ISERROR(SEARCH("Nivel I: Riesgo Inaceptable",Y389)))</formula>
    </cfRule>
    <cfRule type="containsText" dxfId="1710" priority="681" stopIfTrue="1" operator="containsText" text="Nivel IV: Riesgo Tolerable (Aceptable)">
      <formula>NOT(ISERROR(SEARCH("Nivel IV: Riesgo Tolerable (Aceptable)",Y389)))</formula>
    </cfRule>
    <cfRule type="containsText" dxfId="1709" priority="703" stopIfTrue="1" operator="containsText" text="Nivel II: Riesgo Importante">
      <formula>NOT(ISERROR(SEARCH("Nivel II: Riesgo Importante",Y389)))</formula>
    </cfRule>
    <cfRule type="containsText" dxfId="1708" priority="704" stopIfTrue="1" operator="containsText" text="Nivel I: Riesgo Inaceptable">
      <formula>NOT(ISERROR(SEARCH("Nivel I: Riesgo Inaceptable",Y389)))</formula>
    </cfRule>
    <cfRule type="containsText" dxfId="1707" priority="705" stopIfTrue="1" operator="containsText" text="Nivel IV: Riesgo Tolerable (Aceptable)">
      <formula>NOT(ISERROR(SEARCH("Nivel IV: Riesgo Tolerable (Aceptable)",Y389)))</formula>
    </cfRule>
  </conditionalFormatting>
  <conditionalFormatting sqref="Y390">
    <cfRule type="containsText" dxfId="1706" priority="670" stopIfTrue="1" operator="containsText" text="Nivel III: Riesgo Moderado (Aceptable)">
      <formula>NOT(ISERROR(SEARCH("Nivel III: Riesgo Moderado (Aceptable)",Y390)))</formula>
    </cfRule>
    <cfRule type="containsText" dxfId="1705" priority="671" stopIfTrue="1" operator="containsText" text="Nivel II: Riesgo Importante">
      <formula>NOT(ISERROR(SEARCH("Nivel II: Riesgo Importante",Y390)))</formula>
    </cfRule>
    <cfRule type="containsText" dxfId="1704" priority="672" stopIfTrue="1" operator="containsText" text="Nivel I: Riesgo Inaceptable">
      <formula>NOT(ISERROR(SEARCH("Nivel I: Riesgo Inaceptable",Y390)))</formula>
    </cfRule>
    <cfRule type="containsText" dxfId="1703" priority="673" stopIfTrue="1" operator="containsText" text="Nivel IV: Riesgo Tolerable (Aceptable)">
      <formula>NOT(ISERROR(SEARCH("Nivel IV: Riesgo Tolerable (Aceptable)",Y390)))</formula>
    </cfRule>
    <cfRule type="containsText" dxfId="1702" priority="645" stopIfTrue="1" operator="containsText" text="Nivel IV: Riesgo Tolerable (Aceptable)">
      <formula>NOT(ISERROR(SEARCH("Nivel IV: Riesgo Tolerable (Aceptable)",Y390)))</formula>
    </cfRule>
    <cfRule type="containsText" dxfId="1701" priority="644" stopIfTrue="1" operator="containsText" text="Nivel I: Riesgo Inaceptable">
      <formula>NOT(ISERROR(SEARCH("Nivel I: Riesgo Inaceptable",Y390)))</formula>
    </cfRule>
    <cfRule type="containsText" dxfId="1700" priority="643" stopIfTrue="1" operator="containsText" text="Nivel II: Riesgo Importante">
      <formula>NOT(ISERROR(SEARCH("Nivel II: Riesgo Importante",Y390)))</formula>
    </cfRule>
    <cfRule type="containsText" dxfId="1699" priority="642" stopIfTrue="1" operator="containsText" text="Nivel III: Riesgo Moderado (Aceptable)">
      <formula>NOT(ISERROR(SEARCH("Nivel III: Riesgo Moderado (Aceptable)",Y390)))</formula>
    </cfRule>
  </conditionalFormatting>
  <conditionalFormatting sqref="Y391">
    <cfRule type="containsText" dxfId="1698" priority="978" stopIfTrue="1" operator="containsText" text="Nivel I: Riesgo Inaceptable">
      <formula>NOT(ISERROR(SEARCH("Nivel I: Riesgo Inaceptable",Y391)))</formula>
    </cfRule>
    <cfRule type="containsText" dxfId="1697" priority="976" stopIfTrue="1" operator="containsText" text="Nivel III: Riesgo Moderado (Aceptable)">
      <formula>NOT(ISERROR(SEARCH("Nivel III: Riesgo Moderado (Aceptable)",Y391)))</formula>
    </cfRule>
    <cfRule type="containsText" dxfId="1696" priority="977" stopIfTrue="1" operator="containsText" text="Nivel II: Riesgo Importante">
      <formula>NOT(ISERROR(SEARCH("Nivel II: Riesgo Importante",Y391)))</formula>
    </cfRule>
    <cfRule type="containsText" dxfId="1695" priority="979" stopIfTrue="1" operator="containsText" text="Nivel IV: Riesgo Tolerable (Aceptable)">
      <formula>NOT(ISERROR(SEARCH("Nivel IV: Riesgo Tolerable (Aceptable)",Y391)))</formula>
    </cfRule>
    <cfRule type="containsText" dxfId="1694" priority="972" stopIfTrue="1" operator="containsText" text="Nivel III: Riesgo Moderado (Aceptable)">
      <formula>NOT(ISERROR(SEARCH("Nivel III: Riesgo Moderado (Aceptable)",Y391)))</formula>
    </cfRule>
    <cfRule type="containsText" dxfId="1693" priority="973" stopIfTrue="1" operator="containsText" text="Nivel II: Riesgo Importante">
      <formula>NOT(ISERROR(SEARCH("Nivel II: Riesgo Importante",Y391)))</formula>
    </cfRule>
    <cfRule type="containsText" dxfId="1692" priority="974" stopIfTrue="1" operator="containsText" text="Nivel I: Riesgo Inaceptable">
      <formula>NOT(ISERROR(SEARCH("Nivel I: Riesgo Inaceptable",Y391)))</formula>
    </cfRule>
    <cfRule type="containsText" dxfId="1691" priority="975" stopIfTrue="1" operator="containsText" text="Nivel IV: Riesgo Tolerable (Aceptable)">
      <formula>NOT(ISERROR(SEARCH("Nivel IV: Riesgo Tolerable (Aceptable)",Y391)))</formula>
    </cfRule>
  </conditionalFormatting>
  <conditionalFormatting sqref="Y392">
    <cfRule type="containsText" dxfId="1690" priority="1065" stopIfTrue="1" operator="containsText" text="Nivel II: Riesgo Importante">
      <formula>NOT(ISERROR(SEARCH("Nivel II: Riesgo Importante",Y392)))</formula>
    </cfRule>
    <cfRule type="containsText" dxfId="1689" priority="1066" stopIfTrue="1" operator="containsText" text="Nivel I: Riesgo Inaceptable">
      <formula>NOT(ISERROR(SEARCH("Nivel I: Riesgo Inaceptable",Y392)))</formula>
    </cfRule>
    <cfRule type="containsText" dxfId="1688" priority="1067" stopIfTrue="1" operator="containsText" text="Nivel IV: Riesgo Tolerable (Aceptable)">
      <formula>NOT(ISERROR(SEARCH("Nivel IV: Riesgo Tolerable (Aceptable)",Y392)))</formula>
    </cfRule>
    <cfRule type="containsText" dxfId="1687" priority="1068" stopIfTrue="1" operator="containsText" text="Nivel III: Riesgo Moderado (Aceptable)">
      <formula>NOT(ISERROR(SEARCH("Nivel III: Riesgo Moderado (Aceptable)",Y392)))</formula>
    </cfRule>
    <cfRule type="containsText" dxfId="1686" priority="1069" stopIfTrue="1" operator="containsText" text="Nivel II: Riesgo Importante">
      <formula>NOT(ISERROR(SEARCH("Nivel II: Riesgo Importante",Y392)))</formula>
    </cfRule>
    <cfRule type="containsText" dxfId="1685" priority="1070" stopIfTrue="1" operator="containsText" text="Nivel I: Riesgo Inaceptable">
      <formula>NOT(ISERROR(SEARCH("Nivel I: Riesgo Inaceptable",Y392)))</formula>
    </cfRule>
    <cfRule type="containsText" dxfId="1684" priority="1064" stopIfTrue="1" operator="containsText" text="Nivel III: Riesgo Moderado (Aceptable)">
      <formula>NOT(ISERROR(SEARCH("Nivel III: Riesgo Moderado (Aceptable)",Y392)))</formula>
    </cfRule>
    <cfRule type="containsText" dxfId="1683" priority="1071" stopIfTrue="1" operator="containsText" text="Nivel IV: Riesgo Tolerable (Aceptable)">
      <formula>NOT(ISERROR(SEARCH("Nivel IV: Riesgo Tolerable (Aceptable)",Y392)))</formula>
    </cfRule>
  </conditionalFormatting>
  <conditionalFormatting sqref="Y393">
    <cfRule type="containsText" dxfId="1682" priority="932" stopIfTrue="1" operator="containsText" text="Nivel II: Riesgo Importante">
      <formula>NOT(ISERROR(SEARCH("Nivel II: Riesgo Importante",Y393)))</formula>
    </cfRule>
    <cfRule type="containsText" dxfId="1681" priority="931" stopIfTrue="1" operator="containsText" text="Nivel III: Riesgo Moderado (Aceptable)">
      <formula>NOT(ISERROR(SEARCH("Nivel III: Riesgo Moderado (Aceptable)",Y393)))</formula>
    </cfRule>
    <cfRule type="containsText" dxfId="1680" priority="930" stopIfTrue="1" operator="containsText" text="Nivel IV: Riesgo Tolerable (Aceptable)">
      <formula>NOT(ISERROR(SEARCH("Nivel IV: Riesgo Tolerable (Aceptable)",Y393)))</formula>
    </cfRule>
    <cfRule type="containsText" dxfId="1679" priority="929" stopIfTrue="1" operator="containsText" text="Nivel I: Riesgo Inaceptable">
      <formula>NOT(ISERROR(SEARCH("Nivel I: Riesgo Inaceptable",Y393)))</formula>
    </cfRule>
    <cfRule type="containsText" dxfId="1678" priority="928" stopIfTrue="1" operator="containsText" text="Nivel II: Riesgo Importante">
      <formula>NOT(ISERROR(SEARCH("Nivel II: Riesgo Importante",Y393)))</formula>
    </cfRule>
    <cfRule type="containsText" dxfId="1677" priority="927" stopIfTrue="1" operator="containsText" text="Nivel III: Riesgo Moderado (Aceptable)">
      <formula>NOT(ISERROR(SEARCH("Nivel III: Riesgo Moderado (Aceptable)",Y393)))</formula>
    </cfRule>
    <cfRule type="containsText" dxfId="1676" priority="934" stopIfTrue="1" operator="containsText" text="Nivel IV: Riesgo Tolerable (Aceptable)">
      <formula>NOT(ISERROR(SEARCH("Nivel IV: Riesgo Tolerable (Aceptable)",Y393)))</formula>
    </cfRule>
    <cfRule type="containsText" dxfId="1675" priority="933" stopIfTrue="1" operator="containsText" text="Nivel I: Riesgo Inaceptable">
      <formula>NOT(ISERROR(SEARCH("Nivel I: Riesgo Inaceptable",Y393)))</formula>
    </cfRule>
  </conditionalFormatting>
  <conditionalFormatting sqref="Y394">
    <cfRule type="containsText" dxfId="1674" priority="774" stopIfTrue="1" operator="containsText" text="Nivel III: Riesgo Moderado (Aceptable)">
      <formula>NOT(ISERROR(SEARCH("Nivel III: Riesgo Moderado (Aceptable)",Y394)))</formula>
    </cfRule>
    <cfRule type="containsText" dxfId="1673" priority="775" stopIfTrue="1" operator="containsText" text="Nivel II: Riesgo Importante">
      <formula>NOT(ISERROR(SEARCH("Nivel II: Riesgo Importante",Y394)))</formula>
    </cfRule>
    <cfRule type="containsText" dxfId="1672" priority="776" stopIfTrue="1" operator="containsText" text="Nivel I: Riesgo Inaceptable">
      <formula>NOT(ISERROR(SEARCH("Nivel I: Riesgo Inaceptable",Y394)))</formula>
    </cfRule>
    <cfRule type="containsText" dxfId="1671" priority="777" stopIfTrue="1" operator="containsText" text="Nivel IV: Riesgo Tolerable (Aceptable)">
      <formula>NOT(ISERROR(SEARCH("Nivel IV: Riesgo Tolerable (Aceptable)",Y394)))</formula>
    </cfRule>
  </conditionalFormatting>
  <conditionalFormatting sqref="Y395">
    <cfRule type="containsText" dxfId="1670" priority="746" stopIfTrue="1" operator="containsText" text="Nivel I: Riesgo Inaceptable">
      <formula>NOT(ISERROR(SEARCH("Nivel I: Riesgo Inaceptable",Y395)))</formula>
    </cfRule>
    <cfRule type="containsText" dxfId="1669" priority="745" stopIfTrue="1" operator="containsText" text="Nivel II: Riesgo Importante">
      <formula>NOT(ISERROR(SEARCH("Nivel II: Riesgo Importante",Y395)))</formula>
    </cfRule>
    <cfRule type="containsText" dxfId="1668" priority="744" stopIfTrue="1" operator="containsText" text="Nivel III: Riesgo Moderado (Aceptable)">
      <formula>NOT(ISERROR(SEARCH("Nivel III: Riesgo Moderado (Aceptable)",Y395)))</formula>
    </cfRule>
    <cfRule type="containsText" dxfId="1667" priority="747" stopIfTrue="1" operator="containsText" text="Nivel IV: Riesgo Tolerable (Aceptable)">
      <formula>NOT(ISERROR(SEARCH("Nivel IV: Riesgo Tolerable (Aceptable)",Y395)))</formula>
    </cfRule>
  </conditionalFormatting>
  <conditionalFormatting sqref="Y396">
    <cfRule type="containsText" dxfId="1666" priority="872" stopIfTrue="1" operator="containsText" text="Nivel III: Riesgo Moderado (Aceptable)">
      <formula>NOT(ISERROR(SEARCH("Nivel III: Riesgo Moderado (Aceptable)",Y396)))</formula>
    </cfRule>
    <cfRule type="containsText" dxfId="1665" priority="874" stopIfTrue="1" operator="containsText" text="Nivel I: Riesgo Inaceptable">
      <formula>NOT(ISERROR(SEARCH("Nivel I: Riesgo Inaceptable",Y396)))</formula>
    </cfRule>
    <cfRule type="containsText" dxfId="1664" priority="855" stopIfTrue="1" operator="containsText" text="Nivel IV: Riesgo Tolerable (Aceptable)">
      <formula>NOT(ISERROR(SEARCH("Nivel IV: Riesgo Tolerable (Aceptable)",Y396)))</formula>
    </cfRule>
    <cfRule type="containsText" dxfId="1663" priority="873" stopIfTrue="1" operator="containsText" text="Nivel II: Riesgo Importante">
      <formula>NOT(ISERROR(SEARCH("Nivel II: Riesgo Importante",Y396)))</formula>
    </cfRule>
    <cfRule type="containsText" dxfId="1662" priority="854" stopIfTrue="1" operator="containsText" text="Nivel I: Riesgo Inaceptable">
      <formula>NOT(ISERROR(SEARCH("Nivel I: Riesgo Inaceptable",Y396)))</formula>
    </cfRule>
    <cfRule type="containsText" dxfId="1661" priority="875" stopIfTrue="1" operator="containsText" text="Nivel IV: Riesgo Tolerable (Aceptable)">
      <formula>NOT(ISERROR(SEARCH("Nivel IV: Riesgo Tolerable (Aceptable)",Y396)))</formula>
    </cfRule>
    <cfRule type="containsText" dxfId="1660" priority="853" stopIfTrue="1" operator="containsText" text="Nivel II: Riesgo Importante">
      <formula>NOT(ISERROR(SEARCH("Nivel II: Riesgo Importante",Y396)))</formula>
    </cfRule>
    <cfRule type="containsText" dxfId="1659" priority="852" stopIfTrue="1" operator="containsText" text="Nivel III: Riesgo Moderado (Aceptable)">
      <formula>NOT(ISERROR(SEARCH("Nivel III: Riesgo Moderado (Aceptable)",Y396)))</formula>
    </cfRule>
  </conditionalFormatting>
  <conditionalFormatting sqref="Y397">
    <cfRule type="containsText" dxfId="1658" priority="811" stopIfTrue="1" operator="containsText" text="Nivel III: Riesgo Moderado (Aceptable)">
      <formula>NOT(ISERROR(SEARCH("Nivel III: Riesgo Moderado (Aceptable)",Y397)))</formula>
    </cfRule>
    <cfRule type="containsText" dxfId="1657" priority="812" stopIfTrue="1" operator="containsText" text="Nivel II: Riesgo Importante">
      <formula>NOT(ISERROR(SEARCH("Nivel II: Riesgo Importante",Y397)))</formula>
    </cfRule>
    <cfRule type="containsText" dxfId="1656" priority="813" stopIfTrue="1" operator="containsText" text="Nivel I: Riesgo Inaceptable">
      <formula>NOT(ISERROR(SEARCH("Nivel I: Riesgo Inaceptable",Y397)))</formula>
    </cfRule>
    <cfRule type="containsText" dxfId="1655" priority="814" stopIfTrue="1" operator="containsText" text="Nivel IV: Riesgo Tolerable (Aceptable)">
      <formula>NOT(ISERROR(SEARCH("Nivel IV: Riesgo Tolerable (Aceptable)",Y397)))</formula>
    </cfRule>
    <cfRule type="containsText" dxfId="1654" priority="815" stopIfTrue="1" operator="containsText" text="Nivel III: Riesgo Moderado (Aceptable)">
      <formula>NOT(ISERROR(SEARCH("Nivel III: Riesgo Moderado (Aceptable)",Y397)))</formula>
    </cfRule>
    <cfRule type="containsText" dxfId="1653" priority="816" stopIfTrue="1" operator="containsText" text="Nivel II: Riesgo Importante">
      <formula>NOT(ISERROR(SEARCH("Nivel II: Riesgo Importante",Y397)))</formula>
    </cfRule>
    <cfRule type="containsText" dxfId="1652" priority="817" stopIfTrue="1" operator="containsText" text="Nivel I: Riesgo Inaceptable">
      <formula>NOT(ISERROR(SEARCH("Nivel I: Riesgo Inaceptable",Y397)))</formula>
    </cfRule>
    <cfRule type="containsText" dxfId="1651" priority="818" stopIfTrue="1" operator="containsText" text="Nivel IV: Riesgo Tolerable (Aceptable)">
      <formula>NOT(ISERROR(SEARCH("Nivel IV: Riesgo Tolerable (Aceptable)",Y397)))</formula>
    </cfRule>
  </conditionalFormatting>
  <conditionalFormatting sqref="Y398">
    <cfRule type="containsText" dxfId="1650" priority="896" stopIfTrue="1" operator="containsText" text="Nivel IV: Riesgo Tolerable (Aceptable)">
      <formula>NOT(ISERROR(SEARCH("Nivel IV: Riesgo Tolerable (Aceptable)",Y398)))</formula>
    </cfRule>
    <cfRule type="containsText" dxfId="1649" priority="895" stopIfTrue="1" operator="containsText" text="Nivel I: Riesgo Inaceptable">
      <formula>NOT(ISERROR(SEARCH("Nivel I: Riesgo Inaceptable",Y398)))</formula>
    </cfRule>
    <cfRule type="containsText" dxfId="1648" priority="894" stopIfTrue="1" operator="containsText" text="Nivel II: Riesgo Importante">
      <formula>NOT(ISERROR(SEARCH("Nivel II: Riesgo Importante",Y398)))</formula>
    </cfRule>
    <cfRule type="containsText" dxfId="1647" priority="893" stopIfTrue="1" operator="containsText" text="Nivel III: Riesgo Moderado (Aceptable)">
      <formula>NOT(ISERROR(SEARCH("Nivel III: Riesgo Moderado (Aceptable)",Y398)))</formula>
    </cfRule>
    <cfRule type="containsText" dxfId="1646" priority="898" stopIfTrue="1" operator="containsText" text="Nivel II: Riesgo Importante">
      <formula>NOT(ISERROR(SEARCH("Nivel II: Riesgo Importante",Y398)))</formula>
    </cfRule>
    <cfRule type="containsText" dxfId="1645" priority="899" stopIfTrue="1" operator="containsText" text="Nivel I: Riesgo Inaceptable">
      <formula>NOT(ISERROR(SEARCH("Nivel I: Riesgo Inaceptable",Y398)))</formula>
    </cfRule>
    <cfRule type="containsText" dxfId="1644" priority="900" stopIfTrue="1" operator="containsText" text="Nivel IV: Riesgo Tolerable (Aceptable)">
      <formula>NOT(ISERROR(SEARCH("Nivel IV: Riesgo Tolerable (Aceptable)",Y398)))</formula>
    </cfRule>
    <cfRule type="containsText" dxfId="1643" priority="897" stopIfTrue="1" operator="containsText" text="Nivel III: Riesgo Moderado (Aceptable)">
      <formula>NOT(ISERROR(SEARCH("Nivel III: Riesgo Moderado (Aceptable)",Y398)))</formula>
    </cfRule>
  </conditionalFormatting>
  <conditionalFormatting sqref="Y399">
    <cfRule type="containsText" dxfId="1642" priority="717" stopIfTrue="1" operator="containsText" text="Nivel IV: Riesgo Tolerable (Aceptable)">
      <formula>NOT(ISERROR(SEARCH("Nivel IV: Riesgo Tolerable (Aceptable)",Y399)))</formula>
    </cfRule>
    <cfRule type="containsText" dxfId="1641" priority="716" stopIfTrue="1" operator="containsText" text="Nivel I: Riesgo Inaceptable">
      <formula>NOT(ISERROR(SEARCH("Nivel I: Riesgo Inaceptable",Y399)))</formula>
    </cfRule>
    <cfRule type="containsText" dxfId="1640" priority="715" stopIfTrue="1" operator="containsText" text="Nivel II: Riesgo Importante">
      <formula>NOT(ISERROR(SEARCH("Nivel II: Riesgo Importante",Y399)))</formula>
    </cfRule>
    <cfRule type="containsText" dxfId="1639" priority="714" stopIfTrue="1" operator="containsText" text="Nivel III: Riesgo Moderado (Aceptable)">
      <formula>NOT(ISERROR(SEARCH("Nivel III: Riesgo Moderado (Aceptable)",Y399)))</formula>
    </cfRule>
    <cfRule type="containsText" dxfId="1638" priority="712" stopIfTrue="1" operator="containsText" text="Nivel I: Riesgo Inaceptable">
      <formula>NOT(ISERROR(SEARCH("Nivel I: Riesgo Inaceptable",Y399)))</formula>
    </cfRule>
    <cfRule type="containsText" dxfId="1637" priority="711" stopIfTrue="1" operator="containsText" text="Nivel II: Riesgo Importante">
      <formula>NOT(ISERROR(SEARCH("Nivel II: Riesgo Importante",Y399)))</formula>
    </cfRule>
    <cfRule type="containsText" dxfId="1636" priority="713" stopIfTrue="1" operator="containsText" text="Nivel IV: Riesgo Tolerable (Aceptable)">
      <formula>NOT(ISERROR(SEARCH("Nivel IV: Riesgo Tolerable (Aceptable)",Y399)))</formula>
    </cfRule>
    <cfRule type="containsText" dxfId="1635" priority="710" stopIfTrue="1" operator="containsText" text="Nivel III: Riesgo Moderado (Aceptable)">
      <formula>NOT(ISERROR(SEARCH("Nivel III: Riesgo Moderado (Aceptable)",Y399)))</formula>
    </cfRule>
  </conditionalFormatting>
  <conditionalFormatting sqref="Y400">
    <cfRule type="containsText" dxfId="1634" priority="602" stopIfTrue="1" operator="containsText" text="Nivel I: Riesgo Inaceptable">
      <formula>NOT(ISERROR(SEARCH("Nivel I: Riesgo Inaceptable",Y400)))</formula>
    </cfRule>
    <cfRule type="containsText" dxfId="1633" priority="601" stopIfTrue="1" operator="containsText" text="Nivel II: Riesgo Importante">
      <formula>NOT(ISERROR(SEARCH("Nivel II: Riesgo Importante",Y400)))</formula>
    </cfRule>
    <cfRule type="containsText" dxfId="1632" priority="600" stopIfTrue="1" operator="containsText" text="Nivel III: Riesgo Moderado (Aceptable)">
      <formula>NOT(ISERROR(SEARCH("Nivel III: Riesgo Moderado (Aceptable)",Y400)))</formula>
    </cfRule>
    <cfRule type="containsText" dxfId="1631" priority="607" stopIfTrue="1" operator="containsText" text="Nivel IV: Riesgo Tolerable (Aceptable)">
      <formula>NOT(ISERROR(SEARCH("Nivel IV: Riesgo Tolerable (Aceptable)",Y400)))</formula>
    </cfRule>
    <cfRule type="containsText" dxfId="1630" priority="606" stopIfTrue="1" operator="containsText" text="Nivel I: Riesgo Inaceptable">
      <formula>NOT(ISERROR(SEARCH("Nivel I: Riesgo Inaceptable",Y400)))</formula>
    </cfRule>
    <cfRule type="containsText" dxfId="1629" priority="605" stopIfTrue="1" operator="containsText" text="Nivel II: Riesgo Importante">
      <formula>NOT(ISERROR(SEARCH("Nivel II: Riesgo Importante",Y400)))</formula>
    </cfRule>
    <cfRule type="containsText" dxfId="1628" priority="604" stopIfTrue="1" operator="containsText" text="Nivel III: Riesgo Moderado (Aceptable)">
      <formula>NOT(ISERROR(SEARCH("Nivel III: Riesgo Moderado (Aceptable)",Y400)))</formula>
    </cfRule>
    <cfRule type="containsText" dxfId="1627" priority="603" stopIfTrue="1" operator="containsText" text="Nivel IV: Riesgo Tolerable (Aceptable)">
      <formula>NOT(ISERROR(SEARCH("Nivel IV: Riesgo Tolerable (Aceptable)",Y400)))</formula>
    </cfRule>
  </conditionalFormatting>
  <conditionalFormatting sqref="Y401">
    <cfRule type="containsText" dxfId="1626" priority="498" stopIfTrue="1" operator="containsText" text="Nivel IV: Riesgo Tolerable (Aceptable)">
      <formula>NOT(ISERROR(SEARCH("Nivel IV: Riesgo Tolerable (Aceptable)",Y401)))</formula>
    </cfRule>
    <cfRule type="containsText" dxfId="1625" priority="489" stopIfTrue="1" operator="containsText" text="Nivel I: Riesgo Inaceptable">
      <formula>NOT(ISERROR(SEARCH("Nivel I: Riesgo Inaceptable",Y401)))</formula>
    </cfRule>
    <cfRule type="containsText" dxfId="1624" priority="495" stopIfTrue="1" operator="containsText" text="Nivel III: Riesgo Moderado (Aceptable)">
      <formula>NOT(ISERROR(SEARCH("Nivel III: Riesgo Moderado (Aceptable)",Y401)))</formula>
    </cfRule>
    <cfRule type="containsText" dxfId="1623" priority="497" stopIfTrue="1" operator="containsText" text="Nivel I: Riesgo Inaceptable">
      <formula>NOT(ISERROR(SEARCH("Nivel I: Riesgo Inaceptable",Y401)))</formula>
    </cfRule>
    <cfRule type="containsText" dxfId="1622" priority="488" stopIfTrue="1" operator="containsText" text="Nivel II: Riesgo Importante">
      <formula>NOT(ISERROR(SEARCH("Nivel II: Riesgo Importante",Y401)))</formula>
    </cfRule>
    <cfRule type="containsText" dxfId="1621" priority="487" stopIfTrue="1" operator="containsText" text="Nivel III: Riesgo Moderado (Aceptable)">
      <formula>NOT(ISERROR(SEARCH("Nivel III: Riesgo Moderado (Aceptable)",Y401)))</formula>
    </cfRule>
    <cfRule type="containsText" dxfId="1620" priority="496" stopIfTrue="1" operator="containsText" text="Nivel II: Riesgo Importante">
      <formula>NOT(ISERROR(SEARCH("Nivel II: Riesgo Importante",Y401)))</formula>
    </cfRule>
    <cfRule type="containsText" dxfId="1619" priority="490" stopIfTrue="1" operator="containsText" text="Nivel IV: Riesgo Tolerable (Aceptable)">
      <formula>NOT(ISERROR(SEARCH("Nivel IV: Riesgo Tolerable (Aceptable)",Y401)))</formula>
    </cfRule>
  </conditionalFormatting>
  <conditionalFormatting sqref="Y402">
    <cfRule type="containsText" dxfId="1618" priority="174" stopIfTrue="1" operator="containsText" text="Nivel I: Riesgo Inaceptable">
      <formula>NOT(ISERROR(SEARCH("Nivel I: Riesgo Inaceptable",Y402)))</formula>
    </cfRule>
    <cfRule type="containsText" dxfId="1617" priority="173" stopIfTrue="1" operator="containsText" text="Nivel II: Riesgo Importante">
      <formula>NOT(ISERROR(SEARCH("Nivel II: Riesgo Importante",Y402)))</formula>
    </cfRule>
    <cfRule type="containsText" dxfId="1616" priority="151" stopIfTrue="1" operator="containsText" text="Nivel IV: Riesgo Tolerable (Aceptable)">
      <formula>NOT(ISERROR(SEARCH("Nivel IV: Riesgo Tolerable (Aceptable)",Y402)))</formula>
    </cfRule>
    <cfRule type="containsText" dxfId="1615" priority="172" stopIfTrue="1" operator="containsText" text="Nivel III: Riesgo Moderado (Aceptable)">
      <formula>NOT(ISERROR(SEARCH("Nivel III: Riesgo Moderado (Aceptable)",Y402)))</formula>
    </cfRule>
    <cfRule type="containsText" dxfId="1614" priority="175" stopIfTrue="1" operator="containsText" text="Nivel IV: Riesgo Tolerable (Aceptable)">
      <formula>NOT(ISERROR(SEARCH("Nivel IV: Riesgo Tolerable (Aceptable)",Y402)))</formula>
    </cfRule>
    <cfRule type="containsText" dxfId="1613" priority="148" stopIfTrue="1" operator="containsText" text="Nivel III: Riesgo Moderado (Aceptable)">
      <formula>NOT(ISERROR(SEARCH("Nivel III: Riesgo Moderado (Aceptable)",Y402)))</formula>
    </cfRule>
    <cfRule type="containsText" dxfId="1612" priority="149" stopIfTrue="1" operator="containsText" text="Nivel II: Riesgo Importante">
      <formula>NOT(ISERROR(SEARCH("Nivel II: Riesgo Importante",Y402)))</formula>
    </cfRule>
    <cfRule type="containsText" dxfId="1611" priority="150" stopIfTrue="1" operator="containsText" text="Nivel I: Riesgo Inaceptable">
      <formula>NOT(ISERROR(SEARCH("Nivel I: Riesgo Inaceptable",Y402)))</formula>
    </cfRule>
  </conditionalFormatting>
  <conditionalFormatting sqref="Y403">
    <cfRule type="containsText" dxfId="1610" priority="115" stopIfTrue="1" operator="containsText" text="Nivel IV: Riesgo Tolerable (Aceptable)">
      <formula>NOT(ISERROR(SEARCH("Nivel IV: Riesgo Tolerable (Aceptable)",Y403)))</formula>
    </cfRule>
    <cfRule type="containsText" dxfId="1609" priority="113" stopIfTrue="1" operator="containsText" text="Nivel II: Riesgo Importante">
      <formula>NOT(ISERROR(SEARCH("Nivel II: Riesgo Importante",Y403)))</formula>
    </cfRule>
    <cfRule type="containsText" dxfId="1608" priority="112" stopIfTrue="1" operator="containsText" text="Nivel III: Riesgo Moderado (Aceptable)">
      <formula>NOT(ISERROR(SEARCH("Nivel III: Riesgo Moderado (Aceptable)",Y403)))</formula>
    </cfRule>
    <cfRule type="containsText" dxfId="1607" priority="140" stopIfTrue="1" operator="containsText" text="Nivel III: Riesgo Moderado (Aceptable)">
      <formula>NOT(ISERROR(SEARCH("Nivel III: Riesgo Moderado (Aceptable)",Y403)))</formula>
    </cfRule>
    <cfRule type="containsText" dxfId="1606" priority="143" stopIfTrue="1" operator="containsText" text="Nivel IV: Riesgo Tolerable (Aceptable)">
      <formula>NOT(ISERROR(SEARCH("Nivel IV: Riesgo Tolerable (Aceptable)",Y403)))</formula>
    </cfRule>
    <cfRule type="containsText" dxfId="1605" priority="114" stopIfTrue="1" operator="containsText" text="Nivel I: Riesgo Inaceptable">
      <formula>NOT(ISERROR(SEARCH("Nivel I: Riesgo Inaceptable",Y403)))</formula>
    </cfRule>
    <cfRule type="containsText" dxfId="1604" priority="142" stopIfTrue="1" operator="containsText" text="Nivel I: Riesgo Inaceptable">
      <formula>NOT(ISERROR(SEARCH("Nivel I: Riesgo Inaceptable",Y403)))</formula>
    </cfRule>
    <cfRule type="containsText" dxfId="1603" priority="141" stopIfTrue="1" operator="containsText" text="Nivel II: Riesgo Importante">
      <formula>NOT(ISERROR(SEARCH("Nivel II: Riesgo Importante",Y403)))</formula>
    </cfRule>
  </conditionalFormatting>
  <conditionalFormatting sqref="Y404">
    <cfRule type="containsText" dxfId="1602" priority="442" stopIfTrue="1" operator="containsText" text="Nivel III: Riesgo Moderado (Aceptable)">
      <formula>NOT(ISERROR(SEARCH("Nivel III: Riesgo Moderado (Aceptable)",Y404)))</formula>
    </cfRule>
    <cfRule type="containsText" dxfId="1601" priority="443" stopIfTrue="1" operator="containsText" text="Nivel II: Riesgo Importante">
      <formula>NOT(ISERROR(SEARCH("Nivel II: Riesgo Importante",Y404)))</formula>
    </cfRule>
    <cfRule type="containsText" dxfId="1600" priority="444" stopIfTrue="1" operator="containsText" text="Nivel I: Riesgo Inaceptable">
      <formula>NOT(ISERROR(SEARCH("Nivel I: Riesgo Inaceptable",Y404)))</formula>
    </cfRule>
    <cfRule type="containsText" dxfId="1599" priority="447" stopIfTrue="1" operator="containsText" text="Nivel II: Riesgo Importante">
      <formula>NOT(ISERROR(SEARCH("Nivel II: Riesgo Importante",Y404)))</formula>
    </cfRule>
    <cfRule type="containsText" dxfId="1598" priority="446" stopIfTrue="1" operator="containsText" text="Nivel III: Riesgo Moderado (Aceptable)">
      <formula>NOT(ISERROR(SEARCH("Nivel III: Riesgo Moderado (Aceptable)",Y404)))</formula>
    </cfRule>
    <cfRule type="containsText" dxfId="1597" priority="445" stopIfTrue="1" operator="containsText" text="Nivel IV: Riesgo Tolerable (Aceptable)">
      <formula>NOT(ISERROR(SEARCH("Nivel IV: Riesgo Tolerable (Aceptable)",Y404)))</formula>
    </cfRule>
    <cfRule type="containsText" dxfId="1596" priority="449" stopIfTrue="1" operator="containsText" text="Nivel IV: Riesgo Tolerable (Aceptable)">
      <formula>NOT(ISERROR(SEARCH("Nivel IV: Riesgo Tolerable (Aceptable)",Y404)))</formula>
    </cfRule>
    <cfRule type="containsText" dxfId="1595" priority="448" stopIfTrue="1" operator="containsText" text="Nivel I: Riesgo Inaceptable">
      <formula>NOT(ISERROR(SEARCH("Nivel I: Riesgo Inaceptable",Y404)))</formula>
    </cfRule>
  </conditionalFormatting>
  <conditionalFormatting sqref="Y405">
    <cfRule type="containsText" dxfId="1594" priority="538" stopIfTrue="1" operator="containsText" text="Nivel III: Riesgo Moderado (Aceptable)">
      <formula>NOT(ISERROR(SEARCH("Nivel III: Riesgo Moderado (Aceptable)",Y405)))</formula>
    </cfRule>
    <cfRule type="containsText" dxfId="1593" priority="539" stopIfTrue="1" operator="containsText" text="Nivel II: Riesgo Importante">
      <formula>NOT(ISERROR(SEARCH("Nivel II: Riesgo Importante",Y405)))</formula>
    </cfRule>
    <cfRule type="containsText" dxfId="1592" priority="537" stopIfTrue="1" operator="containsText" text="Nivel IV: Riesgo Tolerable (Aceptable)">
      <formula>NOT(ISERROR(SEARCH("Nivel IV: Riesgo Tolerable (Aceptable)",Y405)))</formula>
    </cfRule>
    <cfRule type="containsText" dxfId="1591" priority="536" stopIfTrue="1" operator="containsText" text="Nivel I: Riesgo Inaceptable">
      <formula>NOT(ISERROR(SEARCH("Nivel I: Riesgo Inaceptable",Y405)))</formula>
    </cfRule>
    <cfRule type="containsText" dxfId="1590" priority="535" stopIfTrue="1" operator="containsText" text="Nivel II: Riesgo Importante">
      <formula>NOT(ISERROR(SEARCH("Nivel II: Riesgo Importante",Y405)))</formula>
    </cfRule>
    <cfRule type="containsText" dxfId="1589" priority="534" stopIfTrue="1" operator="containsText" text="Nivel III: Riesgo Moderado (Aceptable)">
      <formula>NOT(ISERROR(SEARCH("Nivel III: Riesgo Moderado (Aceptable)",Y405)))</formula>
    </cfRule>
    <cfRule type="containsText" dxfId="1588" priority="540" stopIfTrue="1" operator="containsText" text="Nivel I: Riesgo Inaceptable">
      <formula>NOT(ISERROR(SEARCH("Nivel I: Riesgo Inaceptable",Y405)))</formula>
    </cfRule>
    <cfRule type="containsText" dxfId="1587" priority="541" stopIfTrue="1" operator="containsText" text="Nivel IV: Riesgo Tolerable (Aceptable)">
      <formula>NOT(ISERROR(SEARCH("Nivel IV: Riesgo Tolerable (Aceptable)",Y405)))</formula>
    </cfRule>
  </conditionalFormatting>
  <conditionalFormatting sqref="Y406">
    <cfRule type="containsText" dxfId="1586" priority="401" stopIfTrue="1" operator="containsText" text="Nivel III: Riesgo Moderado (Aceptable)">
      <formula>NOT(ISERROR(SEARCH("Nivel III: Riesgo Moderado (Aceptable)",Y406)))</formula>
    </cfRule>
    <cfRule type="containsText" dxfId="1585" priority="402" stopIfTrue="1" operator="containsText" text="Nivel II: Riesgo Importante">
      <formula>NOT(ISERROR(SEARCH("Nivel II: Riesgo Importante",Y406)))</formula>
    </cfRule>
    <cfRule type="containsText" dxfId="1584" priority="403" stopIfTrue="1" operator="containsText" text="Nivel I: Riesgo Inaceptable">
      <formula>NOT(ISERROR(SEARCH("Nivel I: Riesgo Inaceptable",Y406)))</formula>
    </cfRule>
    <cfRule type="containsText" dxfId="1583" priority="404" stopIfTrue="1" operator="containsText" text="Nivel IV: Riesgo Tolerable (Aceptable)">
      <formula>NOT(ISERROR(SEARCH("Nivel IV: Riesgo Tolerable (Aceptable)",Y406)))</formula>
    </cfRule>
    <cfRule type="containsText" dxfId="1582" priority="400" stopIfTrue="1" operator="containsText" text="Nivel IV: Riesgo Tolerable (Aceptable)">
      <formula>NOT(ISERROR(SEARCH("Nivel IV: Riesgo Tolerable (Aceptable)",Y406)))</formula>
    </cfRule>
    <cfRule type="containsText" dxfId="1581" priority="399" stopIfTrue="1" operator="containsText" text="Nivel I: Riesgo Inaceptable">
      <formula>NOT(ISERROR(SEARCH("Nivel I: Riesgo Inaceptable",Y406)))</formula>
    </cfRule>
    <cfRule type="containsText" dxfId="1580" priority="398" stopIfTrue="1" operator="containsText" text="Nivel II: Riesgo Importante">
      <formula>NOT(ISERROR(SEARCH("Nivel II: Riesgo Importante",Y406)))</formula>
    </cfRule>
    <cfRule type="containsText" dxfId="1579" priority="397" stopIfTrue="1" operator="containsText" text="Nivel III: Riesgo Moderado (Aceptable)">
      <formula>NOT(ISERROR(SEARCH("Nivel III: Riesgo Moderado (Aceptable)",Y406)))</formula>
    </cfRule>
  </conditionalFormatting>
  <conditionalFormatting sqref="Y407">
    <cfRule type="containsText" dxfId="1578" priority="247" stopIfTrue="1" operator="containsText" text="Nivel IV: Riesgo Tolerable (Aceptable)">
      <formula>NOT(ISERROR(SEARCH("Nivel IV: Riesgo Tolerable (Aceptable)",Y407)))</formula>
    </cfRule>
    <cfRule type="containsText" dxfId="1577" priority="245" stopIfTrue="1" operator="containsText" text="Nivel II: Riesgo Importante">
      <formula>NOT(ISERROR(SEARCH("Nivel II: Riesgo Importante",Y407)))</formula>
    </cfRule>
    <cfRule type="containsText" dxfId="1576" priority="246" stopIfTrue="1" operator="containsText" text="Nivel I: Riesgo Inaceptable">
      <formula>NOT(ISERROR(SEARCH("Nivel I: Riesgo Inaceptable",Y407)))</formula>
    </cfRule>
    <cfRule type="containsText" dxfId="1575" priority="244" stopIfTrue="1" operator="containsText" text="Nivel III: Riesgo Moderado (Aceptable)">
      <formula>NOT(ISERROR(SEARCH("Nivel III: Riesgo Moderado (Aceptable)",Y407)))</formula>
    </cfRule>
  </conditionalFormatting>
  <conditionalFormatting sqref="Y408">
    <cfRule type="containsText" dxfId="1574" priority="217" stopIfTrue="1" operator="containsText" text="Nivel IV: Riesgo Tolerable (Aceptable)">
      <formula>NOT(ISERROR(SEARCH("Nivel IV: Riesgo Tolerable (Aceptable)",Y408)))</formula>
    </cfRule>
    <cfRule type="containsText" dxfId="1573" priority="214" stopIfTrue="1" operator="containsText" text="Nivel III: Riesgo Moderado (Aceptable)">
      <formula>NOT(ISERROR(SEARCH("Nivel III: Riesgo Moderado (Aceptable)",Y408)))</formula>
    </cfRule>
    <cfRule type="containsText" dxfId="1572" priority="215" stopIfTrue="1" operator="containsText" text="Nivel II: Riesgo Importante">
      <formula>NOT(ISERROR(SEARCH("Nivel II: Riesgo Importante",Y408)))</formula>
    </cfRule>
    <cfRule type="containsText" dxfId="1571" priority="216" stopIfTrue="1" operator="containsText" text="Nivel I: Riesgo Inaceptable">
      <formula>NOT(ISERROR(SEARCH("Nivel I: Riesgo Inaceptable",Y408)))</formula>
    </cfRule>
  </conditionalFormatting>
  <conditionalFormatting sqref="Y409">
    <cfRule type="containsText" dxfId="1570" priority="323" stopIfTrue="1" operator="containsText" text="Nivel II: Riesgo Importante">
      <formula>NOT(ISERROR(SEARCH("Nivel II: Riesgo Importante",Y409)))</formula>
    </cfRule>
    <cfRule type="containsText" dxfId="1569" priority="324" stopIfTrue="1" operator="containsText" text="Nivel I: Riesgo Inaceptable">
      <formula>NOT(ISERROR(SEARCH("Nivel I: Riesgo Inaceptable",Y409)))</formula>
    </cfRule>
    <cfRule type="containsText" dxfId="1568" priority="322" stopIfTrue="1" operator="containsText" text="Nivel III: Riesgo Moderado (Aceptable)">
      <formula>NOT(ISERROR(SEARCH("Nivel III: Riesgo Moderado (Aceptable)",Y409)))</formula>
    </cfRule>
    <cfRule type="containsText" dxfId="1567" priority="343" stopIfTrue="1" operator="containsText" text="Nivel II: Riesgo Importante">
      <formula>NOT(ISERROR(SEARCH("Nivel II: Riesgo Importante",Y409)))</formula>
    </cfRule>
    <cfRule type="containsText" dxfId="1566" priority="325" stopIfTrue="1" operator="containsText" text="Nivel IV: Riesgo Tolerable (Aceptable)">
      <formula>NOT(ISERROR(SEARCH("Nivel IV: Riesgo Tolerable (Aceptable)",Y409)))</formula>
    </cfRule>
    <cfRule type="containsText" dxfId="1565" priority="342" stopIfTrue="1" operator="containsText" text="Nivel III: Riesgo Moderado (Aceptable)">
      <formula>NOT(ISERROR(SEARCH("Nivel III: Riesgo Moderado (Aceptable)",Y409)))</formula>
    </cfRule>
    <cfRule type="containsText" dxfId="1564" priority="345" stopIfTrue="1" operator="containsText" text="Nivel IV: Riesgo Tolerable (Aceptable)">
      <formula>NOT(ISERROR(SEARCH("Nivel IV: Riesgo Tolerable (Aceptable)",Y409)))</formula>
    </cfRule>
    <cfRule type="containsText" dxfId="1563" priority="344" stopIfTrue="1" operator="containsText" text="Nivel I: Riesgo Inaceptable">
      <formula>NOT(ISERROR(SEARCH("Nivel I: Riesgo Inaceptable",Y409)))</formula>
    </cfRule>
  </conditionalFormatting>
  <conditionalFormatting sqref="Y410">
    <cfRule type="containsText" dxfId="1562" priority="286" stopIfTrue="1" operator="containsText" text="Nivel II: Riesgo Importante">
      <formula>NOT(ISERROR(SEARCH("Nivel II: Riesgo Importante",Y410)))</formula>
    </cfRule>
    <cfRule type="containsText" dxfId="1561" priority="287" stopIfTrue="1" operator="containsText" text="Nivel I: Riesgo Inaceptable">
      <formula>NOT(ISERROR(SEARCH("Nivel I: Riesgo Inaceptable",Y410)))</formula>
    </cfRule>
    <cfRule type="containsText" dxfId="1560" priority="282" stopIfTrue="1" operator="containsText" text="Nivel II: Riesgo Importante">
      <formula>NOT(ISERROR(SEARCH("Nivel II: Riesgo Importante",Y410)))</formula>
    </cfRule>
    <cfRule type="containsText" dxfId="1559" priority="281" stopIfTrue="1" operator="containsText" text="Nivel III: Riesgo Moderado (Aceptable)">
      <formula>NOT(ISERROR(SEARCH("Nivel III: Riesgo Moderado (Aceptable)",Y410)))</formula>
    </cfRule>
    <cfRule type="containsText" dxfId="1558" priority="285" stopIfTrue="1" operator="containsText" text="Nivel III: Riesgo Moderado (Aceptable)">
      <formula>NOT(ISERROR(SEARCH("Nivel III: Riesgo Moderado (Aceptable)",Y410)))</formula>
    </cfRule>
    <cfRule type="containsText" dxfId="1557" priority="284" stopIfTrue="1" operator="containsText" text="Nivel IV: Riesgo Tolerable (Aceptable)">
      <formula>NOT(ISERROR(SEARCH("Nivel IV: Riesgo Tolerable (Aceptable)",Y410)))</formula>
    </cfRule>
    <cfRule type="containsText" dxfId="1556" priority="288" stopIfTrue="1" operator="containsText" text="Nivel IV: Riesgo Tolerable (Aceptable)">
      <formula>NOT(ISERROR(SEARCH("Nivel IV: Riesgo Tolerable (Aceptable)",Y410)))</formula>
    </cfRule>
    <cfRule type="containsText" dxfId="1555" priority="283" stopIfTrue="1" operator="containsText" text="Nivel I: Riesgo Inaceptable">
      <formula>NOT(ISERROR(SEARCH("Nivel I: Riesgo Inaceptable",Y410)))</formula>
    </cfRule>
  </conditionalFormatting>
  <conditionalFormatting sqref="Y411">
    <cfRule type="containsText" dxfId="1554" priority="363" stopIfTrue="1" operator="containsText" text="Nivel III: Riesgo Moderado (Aceptable)">
      <formula>NOT(ISERROR(SEARCH("Nivel III: Riesgo Moderado (Aceptable)",Y411)))</formula>
    </cfRule>
    <cfRule type="containsText" dxfId="1553" priority="366" stopIfTrue="1" operator="containsText" text="Nivel IV: Riesgo Tolerable (Aceptable)">
      <formula>NOT(ISERROR(SEARCH("Nivel IV: Riesgo Tolerable (Aceptable)",Y411)))</formula>
    </cfRule>
    <cfRule type="containsText" dxfId="1552" priority="370" stopIfTrue="1" operator="containsText" text="Nivel IV: Riesgo Tolerable (Aceptable)">
      <formula>NOT(ISERROR(SEARCH("Nivel IV: Riesgo Tolerable (Aceptable)",Y411)))</formula>
    </cfRule>
    <cfRule type="containsText" dxfId="1551" priority="369" stopIfTrue="1" operator="containsText" text="Nivel I: Riesgo Inaceptable">
      <formula>NOT(ISERROR(SEARCH("Nivel I: Riesgo Inaceptable",Y411)))</formula>
    </cfRule>
    <cfRule type="containsText" dxfId="1550" priority="368" stopIfTrue="1" operator="containsText" text="Nivel II: Riesgo Importante">
      <formula>NOT(ISERROR(SEARCH("Nivel II: Riesgo Importante",Y411)))</formula>
    </cfRule>
    <cfRule type="containsText" dxfId="1549" priority="367" stopIfTrue="1" operator="containsText" text="Nivel III: Riesgo Moderado (Aceptable)">
      <formula>NOT(ISERROR(SEARCH("Nivel III: Riesgo Moderado (Aceptable)",Y411)))</formula>
    </cfRule>
    <cfRule type="containsText" dxfId="1548" priority="365" stopIfTrue="1" operator="containsText" text="Nivel I: Riesgo Inaceptable">
      <formula>NOT(ISERROR(SEARCH("Nivel I: Riesgo Inaceptable",Y411)))</formula>
    </cfRule>
    <cfRule type="containsText" dxfId="1547" priority="364" stopIfTrue="1" operator="containsText" text="Nivel II: Riesgo Importante">
      <formula>NOT(ISERROR(SEARCH("Nivel II: Riesgo Importante",Y411)))</formula>
    </cfRule>
  </conditionalFormatting>
  <conditionalFormatting sqref="Y412">
    <cfRule type="containsText" dxfId="1546" priority="187" stopIfTrue="1" operator="containsText" text="Nivel IV: Riesgo Tolerable (Aceptable)">
      <formula>NOT(ISERROR(SEARCH("Nivel IV: Riesgo Tolerable (Aceptable)",Y412)))</formula>
    </cfRule>
    <cfRule type="containsText" dxfId="1545" priority="181" stopIfTrue="1" operator="containsText" text="Nivel II: Riesgo Importante">
      <formula>NOT(ISERROR(SEARCH("Nivel II: Riesgo Importante",Y412)))</formula>
    </cfRule>
    <cfRule type="containsText" dxfId="1544" priority="186" stopIfTrue="1" operator="containsText" text="Nivel I: Riesgo Inaceptable">
      <formula>NOT(ISERROR(SEARCH("Nivel I: Riesgo Inaceptable",Y412)))</formula>
    </cfRule>
    <cfRule type="containsText" dxfId="1543" priority="185" stopIfTrue="1" operator="containsText" text="Nivel II: Riesgo Importante">
      <formula>NOT(ISERROR(SEARCH("Nivel II: Riesgo Importante",Y412)))</formula>
    </cfRule>
    <cfRule type="containsText" dxfId="1542" priority="184" stopIfTrue="1" operator="containsText" text="Nivel III: Riesgo Moderado (Aceptable)">
      <formula>NOT(ISERROR(SEARCH("Nivel III: Riesgo Moderado (Aceptable)",Y412)))</formula>
    </cfRule>
    <cfRule type="containsText" dxfId="1541" priority="183" stopIfTrue="1" operator="containsText" text="Nivel IV: Riesgo Tolerable (Aceptable)">
      <formula>NOT(ISERROR(SEARCH("Nivel IV: Riesgo Tolerable (Aceptable)",Y412)))</formula>
    </cfRule>
    <cfRule type="containsText" dxfId="1540" priority="182" stopIfTrue="1" operator="containsText" text="Nivel I: Riesgo Inaceptable">
      <formula>NOT(ISERROR(SEARCH("Nivel I: Riesgo Inaceptable",Y412)))</formula>
    </cfRule>
    <cfRule type="containsText" dxfId="1539" priority="180" stopIfTrue="1" operator="containsText" text="Nivel III: Riesgo Moderado (Aceptable)">
      <formula>NOT(ISERROR(SEARCH("Nivel III: Riesgo Moderado (Aceptable)",Y412)))</formula>
    </cfRule>
  </conditionalFormatting>
  <conditionalFormatting sqref="Y413">
    <cfRule type="containsText" dxfId="1538" priority="72" stopIfTrue="1" operator="containsText" text="Nivel I: Riesgo Inaceptable">
      <formula>NOT(ISERROR(SEARCH("Nivel I: Riesgo Inaceptable",Y413)))</formula>
    </cfRule>
    <cfRule type="containsText" dxfId="1537" priority="76" stopIfTrue="1" operator="containsText" text="Nivel I: Riesgo Inaceptable">
      <formula>NOT(ISERROR(SEARCH("Nivel I: Riesgo Inaceptable",Y413)))</formula>
    </cfRule>
    <cfRule type="containsText" dxfId="1536" priority="75" stopIfTrue="1" operator="containsText" text="Nivel II: Riesgo Importante">
      <formula>NOT(ISERROR(SEARCH("Nivel II: Riesgo Importante",Y413)))</formula>
    </cfRule>
    <cfRule type="containsText" dxfId="1535" priority="70" stopIfTrue="1" operator="containsText" text="Nivel III: Riesgo Moderado (Aceptable)">
      <formula>NOT(ISERROR(SEARCH("Nivel III: Riesgo Moderado (Aceptable)",Y413)))</formula>
    </cfRule>
    <cfRule type="containsText" dxfId="1534" priority="74" stopIfTrue="1" operator="containsText" text="Nivel III: Riesgo Moderado (Aceptable)">
      <formula>NOT(ISERROR(SEARCH("Nivel III: Riesgo Moderado (Aceptable)",Y413)))</formula>
    </cfRule>
    <cfRule type="containsText" dxfId="1533" priority="73" stopIfTrue="1" operator="containsText" text="Nivel IV: Riesgo Tolerable (Aceptable)">
      <formula>NOT(ISERROR(SEARCH("Nivel IV: Riesgo Tolerable (Aceptable)",Y413)))</formula>
    </cfRule>
    <cfRule type="containsText" dxfId="1532" priority="77" stopIfTrue="1" operator="containsText" text="Nivel IV: Riesgo Tolerable (Aceptable)">
      <formula>NOT(ISERROR(SEARCH("Nivel IV: Riesgo Tolerable (Aceptable)",Y413)))</formula>
    </cfRule>
    <cfRule type="containsText" dxfId="1531" priority="71" stopIfTrue="1" operator="containsText" text="Nivel II: Riesgo Importante">
      <formula>NOT(ISERROR(SEARCH("Nivel II: Riesgo Importante",Y413)))</formula>
    </cfRule>
  </conditionalFormatting>
  <conditionalFormatting sqref="Y414:Y415">
    <cfRule type="containsText" dxfId="1530" priority="7" stopIfTrue="1" operator="containsText" text="Nivel I: Riesgo Inaceptable">
      <formula>NOT(ISERROR(SEARCH("Nivel I: Riesgo Inaceptable",Y414)))</formula>
    </cfRule>
    <cfRule type="containsText" dxfId="1529" priority="5" stopIfTrue="1" operator="containsText" text="Nivel III: Riesgo Moderado (Aceptable)">
      <formula>NOT(ISERROR(SEARCH("Nivel III: Riesgo Moderado (Aceptable)",Y414)))</formula>
    </cfRule>
    <cfRule type="containsText" dxfId="1528" priority="8" stopIfTrue="1" operator="containsText" text="Nivel IV: Riesgo Tolerable (Aceptable)">
      <formula>NOT(ISERROR(SEARCH("Nivel IV: Riesgo Tolerable (Aceptable)",Y414)))</formula>
    </cfRule>
    <cfRule type="containsText" dxfId="1527" priority="6" stopIfTrue="1" operator="containsText" text="Nivel II: Riesgo Importante">
      <formula>NOT(ISERROR(SEARCH("Nivel II: Riesgo Importante",Y414)))</formula>
    </cfRule>
  </conditionalFormatting>
  <conditionalFormatting sqref="Y7:Z14 Y7:Y30 Z55:Z96 Z137:Z154 Z156:Z171 Y416:Z439">
    <cfRule type="containsText" dxfId="1526" priority="14058" stopIfTrue="1" operator="containsText" text="Nivel IV: Riesgo Tolerable (Aceptable)">
      <formula>NOT(ISERROR(SEARCH("Nivel IV: Riesgo Tolerable (Aceptable)",Y7)))</formula>
    </cfRule>
    <cfRule type="containsText" dxfId="1525" priority="14056" stopIfTrue="1" operator="containsText" text="Nivel II: Riesgo Importante">
      <formula>NOT(ISERROR(SEARCH("Nivel II: Riesgo Importante",Y7)))</formula>
    </cfRule>
    <cfRule type="containsText" dxfId="1524" priority="14057" stopIfTrue="1" operator="containsText" text="Nivel I: Riesgo Inaceptable">
      <formula>NOT(ISERROR(SEARCH("Nivel I: Riesgo Inaceptable",Y7)))</formula>
    </cfRule>
  </conditionalFormatting>
  <conditionalFormatting sqref="Y31:Z31">
    <cfRule type="containsText" dxfId="1523" priority="8798" stopIfTrue="1" operator="containsText" text="Nivel III: Riesgo Moderado (Aceptable)">
      <formula>NOT(ISERROR(SEARCH("Nivel III: Riesgo Moderado (Aceptable)",Y31)))</formula>
    </cfRule>
  </conditionalFormatting>
  <conditionalFormatting sqref="Y98:Z98">
    <cfRule type="containsText" dxfId="1522" priority="8739" stopIfTrue="1" operator="containsText" text="Nivel III: Riesgo Moderado (Aceptable)">
      <formula>NOT(ISERROR(SEARCH("Nivel III: Riesgo Moderado (Aceptable)",Y98)))</formula>
    </cfRule>
  </conditionalFormatting>
  <conditionalFormatting sqref="Y99:Z99">
    <cfRule type="containsText" dxfId="1521" priority="12833" stopIfTrue="1" operator="containsText" text="Nivel III: Riesgo Moderado (Aceptable)">
      <formula>NOT(ISERROR(SEARCH("Nivel III: Riesgo Moderado (Aceptable)",Y99)))</formula>
    </cfRule>
  </conditionalFormatting>
  <conditionalFormatting sqref="Y100:Z100">
    <cfRule type="containsText" dxfId="1520" priority="12784" stopIfTrue="1" operator="containsText" text="Nivel III: Riesgo Moderado (Aceptable)">
      <formula>NOT(ISERROR(SEARCH("Nivel III: Riesgo Moderado (Aceptable)",Y100)))</formula>
    </cfRule>
  </conditionalFormatting>
  <conditionalFormatting sqref="Y101:Z101">
    <cfRule type="containsText" dxfId="1519" priority="12940" stopIfTrue="1" operator="containsText" text="Nivel III: Riesgo Moderado (Aceptable)">
      <formula>NOT(ISERROR(SEARCH("Nivel III: Riesgo Moderado (Aceptable)",Y101)))</formula>
    </cfRule>
  </conditionalFormatting>
  <conditionalFormatting sqref="Y102:Z102">
    <cfRule type="containsText" dxfId="1518" priority="12743" stopIfTrue="1" operator="containsText" text="Nivel III: Riesgo Moderado (Aceptable)">
      <formula>NOT(ISERROR(SEARCH("Nivel III: Riesgo Moderado (Aceptable)",Y102)))</formula>
    </cfRule>
  </conditionalFormatting>
  <conditionalFormatting sqref="Y103:Z104">
    <cfRule type="containsText" dxfId="1517" priority="12324" stopIfTrue="1" operator="containsText" text="Nivel III: Riesgo Moderado (Aceptable)">
      <formula>NOT(ISERROR(SEARCH("Nivel III: Riesgo Moderado (Aceptable)",Y103)))</formula>
    </cfRule>
  </conditionalFormatting>
  <conditionalFormatting sqref="Y104:Z104">
    <cfRule type="containsText" dxfId="1516" priority="12326" stopIfTrue="1" operator="containsText" text="Nivel I: Riesgo Inaceptable">
      <formula>NOT(ISERROR(SEARCH("Nivel I: Riesgo Inaceptable",Y104)))</formula>
    </cfRule>
    <cfRule type="containsText" dxfId="1515" priority="12327" stopIfTrue="1" operator="containsText" text="Nivel IV: Riesgo Tolerable (Aceptable)">
      <formula>NOT(ISERROR(SEARCH("Nivel IV: Riesgo Tolerable (Aceptable)",Y104)))</formula>
    </cfRule>
    <cfRule type="containsText" dxfId="1514" priority="12325" stopIfTrue="1" operator="containsText" text="Nivel II: Riesgo Importante">
      <formula>NOT(ISERROR(SEARCH("Nivel II: Riesgo Importante",Y104)))</formula>
    </cfRule>
  </conditionalFormatting>
  <conditionalFormatting sqref="Y105:Z105">
    <cfRule type="containsText" dxfId="1513" priority="12363" stopIfTrue="1" operator="containsText" text="Nivel I: Riesgo Inaceptable">
      <formula>NOT(ISERROR(SEARCH("Nivel I: Riesgo Inaceptable",Y105)))</formula>
    </cfRule>
    <cfRule type="containsText" dxfId="1512" priority="12362" stopIfTrue="1" operator="containsText" text="Nivel II: Riesgo Importante">
      <formula>NOT(ISERROR(SEARCH("Nivel II: Riesgo Importante",Y105)))</formula>
    </cfRule>
    <cfRule type="containsText" dxfId="1511" priority="12364" stopIfTrue="1" operator="containsText" text="Nivel IV: Riesgo Tolerable (Aceptable)">
      <formula>NOT(ISERROR(SEARCH("Nivel IV: Riesgo Tolerable (Aceptable)",Y105)))</formula>
    </cfRule>
  </conditionalFormatting>
  <conditionalFormatting sqref="Y105:Z106">
    <cfRule type="containsText" dxfId="1510" priority="12361" stopIfTrue="1" operator="containsText" text="Nivel III: Riesgo Moderado (Aceptable)">
      <formula>NOT(ISERROR(SEARCH("Nivel III: Riesgo Moderado (Aceptable)",Y105)))</formula>
    </cfRule>
  </conditionalFormatting>
  <conditionalFormatting sqref="Y107:Z107">
    <cfRule type="containsText" dxfId="1509" priority="12573" stopIfTrue="1" operator="containsText" text="Nivel III: Riesgo Moderado (Aceptable)">
      <formula>NOT(ISERROR(SEARCH("Nivel III: Riesgo Moderado (Aceptable)",Y107)))</formula>
    </cfRule>
    <cfRule type="containsText" dxfId="1508" priority="12576" stopIfTrue="1" operator="containsText" text="Nivel IV: Riesgo Tolerable (Aceptable)">
      <formula>NOT(ISERROR(SEARCH("Nivel IV: Riesgo Tolerable (Aceptable)",Y107)))</formula>
    </cfRule>
    <cfRule type="containsText" dxfId="1507" priority="12574" stopIfTrue="1" operator="containsText" text="Nivel II: Riesgo Importante">
      <formula>NOT(ISERROR(SEARCH("Nivel II: Riesgo Importante",Y107)))</formula>
    </cfRule>
    <cfRule type="containsText" dxfId="1506" priority="12575" stopIfTrue="1" operator="containsText" text="Nivel I: Riesgo Inaceptable">
      <formula>NOT(ISERROR(SEARCH("Nivel I: Riesgo Inaceptable",Y107)))</formula>
    </cfRule>
  </conditionalFormatting>
  <conditionalFormatting sqref="Y108:Z108">
    <cfRule type="containsText" dxfId="1505" priority="12693" stopIfTrue="1" operator="containsText" text="Nivel IV: Riesgo Tolerable (Aceptable)">
      <formula>NOT(ISERROR(SEARCH("Nivel IV: Riesgo Tolerable (Aceptable)",Y108)))</formula>
    </cfRule>
    <cfRule type="containsText" dxfId="1504" priority="12691" stopIfTrue="1" operator="containsText" text="Nivel II: Riesgo Importante">
      <formula>NOT(ISERROR(SEARCH("Nivel II: Riesgo Importante",Y108)))</formula>
    </cfRule>
    <cfRule type="containsText" dxfId="1503" priority="12692" stopIfTrue="1" operator="containsText" text="Nivel I: Riesgo Inaceptable">
      <formula>NOT(ISERROR(SEARCH("Nivel I: Riesgo Inaceptable",Y108)))</formula>
    </cfRule>
    <cfRule type="containsText" dxfId="1502" priority="12690" stopIfTrue="1" operator="containsText" text="Nivel III: Riesgo Moderado (Aceptable)">
      <formula>NOT(ISERROR(SEARCH("Nivel III: Riesgo Moderado (Aceptable)",Y108)))</formula>
    </cfRule>
  </conditionalFormatting>
  <conditionalFormatting sqref="Y109:Z110">
    <cfRule type="containsText" dxfId="1501" priority="12610" stopIfTrue="1" operator="containsText" text="Nivel III: Riesgo Moderado (Aceptable)">
      <formula>NOT(ISERROR(SEARCH("Nivel III: Riesgo Moderado (Aceptable)",Y109)))</formula>
    </cfRule>
  </conditionalFormatting>
  <conditionalFormatting sqref="Y110:Z110">
    <cfRule type="containsText" dxfId="1500" priority="12612" stopIfTrue="1" operator="containsText" text="Nivel I: Riesgo Inaceptable">
      <formula>NOT(ISERROR(SEARCH("Nivel I: Riesgo Inaceptable",Y110)))</formula>
    </cfRule>
    <cfRule type="containsText" dxfId="1499" priority="12613" stopIfTrue="1" operator="containsText" text="Nivel IV: Riesgo Tolerable (Aceptable)">
      <formula>NOT(ISERROR(SEARCH("Nivel IV: Riesgo Tolerable (Aceptable)",Y110)))</formula>
    </cfRule>
    <cfRule type="containsText" dxfId="1498" priority="12611" stopIfTrue="1" operator="containsText" text="Nivel II: Riesgo Importante">
      <formula>NOT(ISERROR(SEARCH("Nivel II: Riesgo Importante",Y110)))</formula>
    </cfRule>
  </conditionalFormatting>
  <conditionalFormatting sqref="Y111:Z111">
    <cfRule type="containsText" dxfId="1497" priority="12403" stopIfTrue="1" operator="containsText" text="Nivel IV: Riesgo Tolerable (Aceptable)">
      <formula>NOT(ISERROR(SEARCH("Nivel IV: Riesgo Tolerable (Aceptable)",Y111)))</formula>
    </cfRule>
    <cfRule type="containsText" dxfId="1496" priority="12401" stopIfTrue="1" operator="containsText" text="Nivel II: Riesgo Importante">
      <formula>NOT(ISERROR(SEARCH("Nivel II: Riesgo Importante",Y111)))</formula>
    </cfRule>
    <cfRule type="containsText" dxfId="1495" priority="12400" stopIfTrue="1" operator="containsText" text="Nivel III: Riesgo Moderado (Aceptable)">
      <formula>NOT(ISERROR(SEARCH("Nivel III: Riesgo Moderado (Aceptable)",Y111)))</formula>
    </cfRule>
    <cfRule type="containsText" dxfId="1494" priority="12402" stopIfTrue="1" operator="containsText" text="Nivel I: Riesgo Inaceptable">
      <formula>NOT(ISERROR(SEARCH("Nivel I: Riesgo Inaceptable",Y111)))</formula>
    </cfRule>
  </conditionalFormatting>
  <conditionalFormatting sqref="Y112:Z112">
    <cfRule type="containsText" dxfId="1493" priority="12442" stopIfTrue="1" operator="containsText" text="Nivel IV: Riesgo Tolerable (Aceptable)">
      <formula>NOT(ISERROR(SEARCH("Nivel IV: Riesgo Tolerable (Aceptable)",Y112)))</formula>
    </cfRule>
    <cfRule type="containsText" dxfId="1492" priority="12440" stopIfTrue="1" operator="containsText" text="Nivel II: Riesgo Importante">
      <formula>NOT(ISERROR(SEARCH("Nivel II: Riesgo Importante",Y112)))</formula>
    </cfRule>
    <cfRule type="containsText" dxfId="1491" priority="12441" stopIfTrue="1" operator="containsText" text="Nivel I: Riesgo Inaceptable">
      <formula>NOT(ISERROR(SEARCH("Nivel I: Riesgo Inaceptable",Y112)))</formula>
    </cfRule>
    <cfRule type="containsText" dxfId="1490" priority="12439" stopIfTrue="1" operator="containsText" text="Nivel III: Riesgo Moderado (Aceptable)">
      <formula>NOT(ISERROR(SEARCH("Nivel III: Riesgo Moderado (Aceptable)",Y112)))</formula>
    </cfRule>
  </conditionalFormatting>
  <conditionalFormatting sqref="Y113:Z113">
    <cfRule type="containsText" dxfId="1489" priority="12458" stopIfTrue="1" operator="containsText" text="Nivel III: Riesgo Moderado (Aceptable)">
      <formula>NOT(ISERROR(SEARCH("Nivel III: Riesgo Moderado (Aceptable)",Y113)))</formula>
    </cfRule>
  </conditionalFormatting>
  <conditionalFormatting sqref="Y114:Z116">
    <cfRule type="containsText" dxfId="1488" priority="12234" stopIfTrue="1" operator="containsText" text="Nivel III: Riesgo Moderado (Aceptable)">
      <formula>NOT(ISERROR(SEARCH("Nivel III: Riesgo Moderado (Aceptable)",Y114)))</formula>
    </cfRule>
  </conditionalFormatting>
  <conditionalFormatting sqref="Y117:Z118">
    <cfRule type="containsText" dxfId="1487" priority="8696" stopIfTrue="1" operator="containsText" text="Nivel III: Riesgo Moderado (Aceptable)">
      <formula>NOT(ISERROR(SEARCH("Nivel III: Riesgo Moderado (Aceptable)",Y117)))</formula>
    </cfRule>
  </conditionalFormatting>
  <conditionalFormatting sqref="Y119:Z119">
    <cfRule type="containsText" dxfId="1486" priority="12032" stopIfTrue="1" operator="containsText" text="Nivel III: Riesgo Moderado (Aceptable)">
      <formula>NOT(ISERROR(SEARCH("Nivel III: Riesgo Moderado (Aceptable)",Y119)))</formula>
    </cfRule>
  </conditionalFormatting>
  <conditionalFormatting sqref="Y120:Z120">
    <cfRule type="containsText" dxfId="1485" priority="11983" stopIfTrue="1" operator="containsText" text="Nivel III: Riesgo Moderado (Aceptable)">
      <formula>NOT(ISERROR(SEARCH("Nivel III: Riesgo Moderado (Aceptable)",Y120)))</formula>
    </cfRule>
  </conditionalFormatting>
  <conditionalFormatting sqref="Y121:Z121">
    <cfRule type="containsText" dxfId="1484" priority="12139" stopIfTrue="1" operator="containsText" text="Nivel III: Riesgo Moderado (Aceptable)">
      <formula>NOT(ISERROR(SEARCH("Nivel III: Riesgo Moderado (Aceptable)",Y121)))</formula>
    </cfRule>
  </conditionalFormatting>
  <conditionalFormatting sqref="Y122:Z122">
    <cfRule type="containsText" dxfId="1483" priority="11942" stopIfTrue="1" operator="containsText" text="Nivel III: Riesgo Moderado (Aceptable)">
      <formula>NOT(ISERROR(SEARCH("Nivel III: Riesgo Moderado (Aceptable)",Y122)))</formula>
    </cfRule>
  </conditionalFormatting>
  <conditionalFormatting sqref="Y123:Z124">
    <cfRule type="containsText" dxfId="1482" priority="11607" stopIfTrue="1" operator="containsText" text="Nivel III: Riesgo Moderado (Aceptable)">
      <formula>NOT(ISERROR(SEARCH("Nivel III: Riesgo Moderado (Aceptable)",Y123)))</formula>
    </cfRule>
  </conditionalFormatting>
  <conditionalFormatting sqref="Y124:Z124">
    <cfRule type="containsText" dxfId="1481" priority="11608" stopIfTrue="1" operator="containsText" text="Nivel II: Riesgo Importante">
      <formula>NOT(ISERROR(SEARCH("Nivel II: Riesgo Importante",Y124)))</formula>
    </cfRule>
    <cfRule type="containsText" dxfId="1480" priority="11609" stopIfTrue="1" operator="containsText" text="Nivel I: Riesgo Inaceptable">
      <formula>NOT(ISERROR(SEARCH("Nivel I: Riesgo Inaceptable",Y124)))</formula>
    </cfRule>
    <cfRule type="containsText" dxfId="1479" priority="11610" stopIfTrue="1" operator="containsText" text="Nivel IV: Riesgo Tolerable (Aceptable)">
      <formula>NOT(ISERROR(SEARCH("Nivel IV: Riesgo Tolerable (Aceptable)",Y124)))</formula>
    </cfRule>
  </conditionalFormatting>
  <conditionalFormatting sqref="Y125:Z125">
    <cfRule type="containsText" dxfId="1478" priority="11646" stopIfTrue="1" operator="containsText" text="Nivel I: Riesgo Inaceptable">
      <formula>NOT(ISERROR(SEARCH("Nivel I: Riesgo Inaceptable",Y125)))</formula>
    </cfRule>
    <cfRule type="containsText" dxfId="1477" priority="11645" stopIfTrue="1" operator="containsText" text="Nivel II: Riesgo Importante">
      <formula>NOT(ISERROR(SEARCH("Nivel II: Riesgo Importante",Y125)))</formula>
    </cfRule>
    <cfRule type="containsText" dxfId="1476" priority="11647" stopIfTrue="1" operator="containsText" text="Nivel IV: Riesgo Tolerable (Aceptable)">
      <formula>NOT(ISERROR(SEARCH("Nivel IV: Riesgo Tolerable (Aceptable)",Y125)))</formula>
    </cfRule>
  </conditionalFormatting>
  <conditionalFormatting sqref="Y125:Z126">
    <cfRule type="containsText" dxfId="1475" priority="11644" stopIfTrue="1" operator="containsText" text="Nivel III: Riesgo Moderado (Aceptable)">
      <formula>NOT(ISERROR(SEARCH("Nivel III: Riesgo Moderado (Aceptable)",Y125)))</formula>
    </cfRule>
  </conditionalFormatting>
  <conditionalFormatting sqref="Y127:Z127">
    <cfRule type="containsText" dxfId="1474" priority="11775" stopIfTrue="1" operator="containsText" text="Nivel IV: Riesgo Tolerable (Aceptable)">
      <formula>NOT(ISERROR(SEARCH("Nivel IV: Riesgo Tolerable (Aceptable)",Y127)))</formula>
    </cfRule>
    <cfRule type="containsText" dxfId="1473" priority="11772" stopIfTrue="1" operator="containsText" text="Nivel III: Riesgo Moderado (Aceptable)">
      <formula>NOT(ISERROR(SEARCH("Nivel III: Riesgo Moderado (Aceptable)",Y127)))</formula>
    </cfRule>
    <cfRule type="containsText" dxfId="1472" priority="11774" stopIfTrue="1" operator="containsText" text="Nivel I: Riesgo Inaceptable">
      <formula>NOT(ISERROR(SEARCH("Nivel I: Riesgo Inaceptable",Y127)))</formula>
    </cfRule>
    <cfRule type="containsText" dxfId="1471" priority="11773" stopIfTrue="1" operator="containsText" text="Nivel II: Riesgo Importante">
      <formula>NOT(ISERROR(SEARCH("Nivel II: Riesgo Importante",Y127)))</formula>
    </cfRule>
  </conditionalFormatting>
  <conditionalFormatting sqref="Y128:Z128">
    <cfRule type="containsText" dxfId="1470" priority="11889" stopIfTrue="1" operator="containsText" text="Nivel III: Riesgo Moderado (Aceptable)">
      <formula>NOT(ISERROR(SEARCH("Nivel III: Riesgo Moderado (Aceptable)",Y128)))</formula>
    </cfRule>
    <cfRule type="containsText" dxfId="1469" priority="11890" stopIfTrue="1" operator="containsText" text="Nivel II: Riesgo Importante">
      <formula>NOT(ISERROR(SEARCH("Nivel II: Riesgo Importante",Y128)))</formula>
    </cfRule>
    <cfRule type="containsText" dxfId="1468" priority="11891" stopIfTrue="1" operator="containsText" text="Nivel I: Riesgo Inaceptable">
      <formula>NOT(ISERROR(SEARCH("Nivel I: Riesgo Inaceptable",Y128)))</formula>
    </cfRule>
    <cfRule type="containsText" dxfId="1467" priority="11892" stopIfTrue="1" operator="containsText" text="Nivel IV: Riesgo Tolerable (Aceptable)">
      <formula>NOT(ISERROR(SEARCH("Nivel IV: Riesgo Tolerable (Aceptable)",Y128)))</formula>
    </cfRule>
  </conditionalFormatting>
  <conditionalFormatting sqref="Y129:Z130">
    <cfRule type="containsText" dxfId="1466" priority="11809" stopIfTrue="1" operator="containsText" text="Nivel III: Riesgo Moderado (Aceptable)">
      <formula>NOT(ISERROR(SEARCH("Nivel III: Riesgo Moderado (Aceptable)",Y129)))</formula>
    </cfRule>
  </conditionalFormatting>
  <conditionalFormatting sqref="Y130:Z130">
    <cfRule type="containsText" dxfId="1465" priority="11810" stopIfTrue="1" operator="containsText" text="Nivel II: Riesgo Importante">
      <formula>NOT(ISERROR(SEARCH("Nivel II: Riesgo Importante",Y130)))</formula>
    </cfRule>
    <cfRule type="containsText" dxfId="1464" priority="11811" stopIfTrue="1" operator="containsText" text="Nivel I: Riesgo Inaceptable">
      <formula>NOT(ISERROR(SEARCH("Nivel I: Riesgo Inaceptable",Y130)))</formula>
    </cfRule>
    <cfRule type="containsText" dxfId="1463" priority="11812" stopIfTrue="1" operator="containsText" text="Nivel IV: Riesgo Tolerable (Aceptable)">
      <formula>NOT(ISERROR(SEARCH("Nivel IV: Riesgo Tolerable (Aceptable)",Y130)))</formula>
    </cfRule>
  </conditionalFormatting>
  <conditionalFormatting sqref="Y131:Z131">
    <cfRule type="containsText" dxfId="1462" priority="11686" stopIfTrue="1" operator="containsText" text="Nivel IV: Riesgo Tolerable (Aceptable)">
      <formula>NOT(ISERROR(SEARCH("Nivel IV: Riesgo Tolerable (Aceptable)",Y131)))</formula>
    </cfRule>
    <cfRule type="containsText" dxfId="1461" priority="11683" stopIfTrue="1" operator="containsText" text="Nivel III: Riesgo Moderado (Aceptable)">
      <formula>NOT(ISERROR(SEARCH("Nivel III: Riesgo Moderado (Aceptable)",Y131)))</formula>
    </cfRule>
    <cfRule type="containsText" dxfId="1460" priority="11685" stopIfTrue="1" operator="containsText" text="Nivel I: Riesgo Inaceptable">
      <formula>NOT(ISERROR(SEARCH("Nivel I: Riesgo Inaceptable",Y131)))</formula>
    </cfRule>
    <cfRule type="containsText" dxfId="1459" priority="11684" stopIfTrue="1" operator="containsText" text="Nivel II: Riesgo Importante">
      <formula>NOT(ISERROR(SEARCH("Nivel II: Riesgo Importante",Y131)))</formula>
    </cfRule>
  </conditionalFormatting>
  <conditionalFormatting sqref="Y132:Z134">
    <cfRule type="containsText" dxfId="1458" priority="11495" stopIfTrue="1" operator="containsText" text="Nivel III: Riesgo Moderado (Aceptable)">
      <formula>NOT(ISERROR(SEARCH("Nivel III: Riesgo Moderado (Aceptable)",Y132)))</formula>
    </cfRule>
  </conditionalFormatting>
  <conditionalFormatting sqref="Y135:Z137 Y154:Y155 Y172:Y173">
    <cfRule type="containsText" dxfId="1457" priority="8645" stopIfTrue="1" operator="containsText" text="Nivel III: Riesgo Moderado (Aceptable)">
      <formula>NOT(ISERROR(SEARCH("Nivel III: Riesgo Moderado (Aceptable)",Y135)))</formula>
    </cfRule>
  </conditionalFormatting>
  <conditionalFormatting sqref="Y138:Z138">
    <cfRule type="containsText" dxfId="1456" priority="11416" stopIfTrue="1" operator="containsText" text="Nivel III: Riesgo Moderado (Aceptable)">
      <formula>NOT(ISERROR(SEARCH("Nivel III: Riesgo Moderado (Aceptable)",Y138)))</formula>
    </cfRule>
  </conditionalFormatting>
  <conditionalFormatting sqref="Y139:Z139">
    <cfRule type="containsText" dxfId="1455" priority="11219" stopIfTrue="1" operator="containsText" text="Nivel III: Riesgo Moderado (Aceptable)">
      <formula>NOT(ISERROR(SEARCH("Nivel III: Riesgo Moderado (Aceptable)",Y139)))</formula>
    </cfRule>
  </conditionalFormatting>
  <conditionalFormatting sqref="Y140:Z141">
    <cfRule type="containsText" dxfId="1454" priority="10804" stopIfTrue="1" operator="containsText" text="Nivel III: Riesgo Moderado (Aceptable)">
      <formula>NOT(ISERROR(SEARCH("Nivel III: Riesgo Moderado (Aceptable)",Y140)))</formula>
    </cfRule>
  </conditionalFormatting>
  <conditionalFormatting sqref="Y141:Z141">
    <cfRule type="containsText" dxfId="1453" priority="10807" stopIfTrue="1" operator="containsText" text="Nivel IV: Riesgo Tolerable (Aceptable)">
      <formula>NOT(ISERROR(SEARCH("Nivel IV: Riesgo Tolerable (Aceptable)",Y141)))</formula>
    </cfRule>
    <cfRule type="containsText" dxfId="1452" priority="10805" stopIfTrue="1" operator="containsText" text="Nivel II: Riesgo Importante">
      <formula>NOT(ISERROR(SEARCH("Nivel II: Riesgo Importante",Y141)))</formula>
    </cfRule>
    <cfRule type="containsText" dxfId="1451" priority="10806" stopIfTrue="1" operator="containsText" text="Nivel I: Riesgo Inaceptable">
      <formula>NOT(ISERROR(SEARCH("Nivel I: Riesgo Inaceptable",Y141)))</formula>
    </cfRule>
  </conditionalFormatting>
  <conditionalFormatting sqref="Y142:Z142">
    <cfRule type="containsText" dxfId="1450" priority="10842" stopIfTrue="1" operator="containsText" text="Nivel II: Riesgo Importante">
      <formula>NOT(ISERROR(SEARCH("Nivel II: Riesgo Importante",Y142)))</formula>
    </cfRule>
    <cfRule type="containsText" dxfId="1449" priority="10844" stopIfTrue="1" operator="containsText" text="Nivel IV: Riesgo Tolerable (Aceptable)">
      <formula>NOT(ISERROR(SEARCH("Nivel IV: Riesgo Tolerable (Aceptable)",Y142)))</formula>
    </cfRule>
    <cfRule type="containsText" dxfId="1448" priority="10843" stopIfTrue="1" operator="containsText" text="Nivel I: Riesgo Inaceptable">
      <formula>NOT(ISERROR(SEARCH("Nivel I: Riesgo Inaceptable",Y142)))</formula>
    </cfRule>
  </conditionalFormatting>
  <conditionalFormatting sqref="Y142:Z143">
    <cfRule type="containsText" dxfId="1447" priority="10841" stopIfTrue="1" operator="containsText" text="Nivel III: Riesgo Moderado (Aceptable)">
      <formula>NOT(ISERROR(SEARCH("Nivel III: Riesgo Moderado (Aceptable)",Y142)))</formula>
    </cfRule>
  </conditionalFormatting>
  <conditionalFormatting sqref="Y144:Z144">
    <cfRule type="containsText" dxfId="1446" priority="11052" stopIfTrue="1" operator="containsText" text="Nivel IV: Riesgo Tolerable (Aceptable)">
      <formula>NOT(ISERROR(SEARCH("Nivel IV: Riesgo Tolerable (Aceptable)",Y144)))</formula>
    </cfRule>
    <cfRule type="containsText" dxfId="1445" priority="11051" stopIfTrue="1" operator="containsText" text="Nivel I: Riesgo Inaceptable">
      <formula>NOT(ISERROR(SEARCH("Nivel I: Riesgo Inaceptable",Y144)))</formula>
    </cfRule>
    <cfRule type="containsText" dxfId="1444" priority="11050" stopIfTrue="1" operator="containsText" text="Nivel II: Riesgo Importante">
      <formula>NOT(ISERROR(SEARCH("Nivel II: Riesgo Importante",Y144)))</formula>
    </cfRule>
    <cfRule type="containsText" dxfId="1443" priority="11049" stopIfTrue="1" operator="containsText" text="Nivel III: Riesgo Moderado (Aceptable)">
      <formula>NOT(ISERROR(SEARCH("Nivel III: Riesgo Moderado (Aceptable)",Y144)))</formula>
    </cfRule>
  </conditionalFormatting>
  <conditionalFormatting sqref="Y145:Z145">
    <cfRule type="containsText" dxfId="1442" priority="11167" stopIfTrue="1" operator="containsText" text="Nivel II: Riesgo Importante">
      <formula>NOT(ISERROR(SEARCH("Nivel II: Riesgo Importante",Y145)))</formula>
    </cfRule>
    <cfRule type="containsText" dxfId="1441" priority="11168" stopIfTrue="1" operator="containsText" text="Nivel I: Riesgo Inaceptable">
      <formula>NOT(ISERROR(SEARCH("Nivel I: Riesgo Inaceptable",Y145)))</formula>
    </cfRule>
    <cfRule type="containsText" dxfId="1440" priority="11169" stopIfTrue="1" operator="containsText" text="Nivel IV: Riesgo Tolerable (Aceptable)">
      <formula>NOT(ISERROR(SEARCH("Nivel IV: Riesgo Tolerable (Aceptable)",Y145)))</formula>
    </cfRule>
    <cfRule type="containsText" dxfId="1439" priority="11166" stopIfTrue="1" operator="containsText" text="Nivel III: Riesgo Moderado (Aceptable)">
      <formula>NOT(ISERROR(SEARCH("Nivel III: Riesgo Moderado (Aceptable)",Y145)))</formula>
    </cfRule>
  </conditionalFormatting>
  <conditionalFormatting sqref="Y146:Z147">
    <cfRule type="containsText" dxfId="1438" priority="11086" stopIfTrue="1" operator="containsText" text="Nivel III: Riesgo Moderado (Aceptable)">
      <formula>NOT(ISERROR(SEARCH("Nivel III: Riesgo Moderado (Aceptable)",Y146)))</formula>
    </cfRule>
  </conditionalFormatting>
  <conditionalFormatting sqref="Y147:Z147">
    <cfRule type="containsText" dxfId="1437" priority="11089" stopIfTrue="1" operator="containsText" text="Nivel IV: Riesgo Tolerable (Aceptable)">
      <formula>NOT(ISERROR(SEARCH("Nivel IV: Riesgo Tolerable (Aceptable)",Y147)))</formula>
    </cfRule>
    <cfRule type="containsText" dxfId="1436" priority="11087" stopIfTrue="1" operator="containsText" text="Nivel II: Riesgo Importante">
      <formula>NOT(ISERROR(SEARCH("Nivel II: Riesgo Importante",Y147)))</formula>
    </cfRule>
    <cfRule type="containsText" dxfId="1435" priority="11088" stopIfTrue="1" operator="containsText" text="Nivel I: Riesgo Inaceptable">
      <formula>NOT(ISERROR(SEARCH("Nivel I: Riesgo Inaceptable",Y147)))</formula>
    </cfRule>
  </conditionalFormatting>
  <conditionalFormatting sqref="Y148:Z148">
    <cfRule type="containsText" dxfId="1434" priority="10880" stopIfTrue="1" operator="containsText" text="Nivel III: Riesgo Moderado (Aceptable)">
      <formula>NOT(ISERROR(SEARCH("Nivel III: Riesgo Moderado (Aceptable)",Y148)))</formula>
    </cfRule>
    <cfRule type="containsText" dxfId="1433" priority="10882" stopIfTrue="1" operator="containsText" text="Nivel I: Riesgo Inaceptable">
      <formula>NOT(ISERROR(SEARCH("Nivel I: Riesgo Inaceptable",Y148)))</formula>
    </cfRule>
    <cfRule type="containsText" dxfId="1432" priority="10883" stopIfTrue="1" operator="containsText" text="Nivel IV: Riesgo Tolerable (Aceptable)">
      <formula>NOT(ISERROR(SEARCH("Nivel IV: Riesgo Tolerable (Aceptable)",Y148)))</formula>
    </cfRule>
    <cfRule type="containsText" dxfId="1431" priority="10881" stopIfTrue="1" operator="containsText" text="Nivel II: Riesgo Importante">
      <formula>NOT(ISERROR(SEARCH("Nivel II: Riesgo Importante",Y148)))</formula>
    </cfRule>
  </conditionalFormatting>
  <conditionalFormatting sqref="Y149:Z149">
    <cfRule type="containsText" dxfId="1430" priority="10920" stopIfTrue="1" operator="containsText" text="Nivel II: Riesgo Importante">
      <formula>NOT(ISERROR(SEARCH("Nivel II: Riesgo Importante",Y149)))</formula>
    </cfRule>
    <cfRule type="containsText" dxfId="1429" priority="10922" stopIfTrue="1" operator="containsText" text="Nivel IV: Riesgo Tolerable (Aceptable)">
      <formula>NOT(ISERROR(SEARCH("Nivel IV: Riesgo Tolerable (Aceptable)",Y149)))</formula>
    </cfRule>
    <cfRule type="containsText" dxfId="1428" priority="10921" stopIfTrue="1" operator="containsText" text="Nivel I: Riesgo Inaceptable">
      <formula>NOT(ISERROR(SEARCH("Nivel I: Riesgo Inaceptable",Y149)))</formula>
    </cfRule>
    <cfRule type="containsText" dxfId="1427" priority="10919" stopIfTrue="1" operator="containsText" text="Nivel III: Riesgo Moderado (Aceptable)">
      <formula>NOT(ISERROR(SEARCH("Nivel III: Riesgo Moderado (Aceptable)",Y149)))</formula>
    </cfRule>
  </conditionalFormatting>
  <conditionalFormatting sqref="Y150:Z150">
    <cfRule type="containsText" dxfId="1426" priority="10938" stopIfTrue="1" operator="containsText" text="Nivel III: Riesgo Moderado (Aceptable)">
      <formula>NOT(ISERROR(SEARCH("Nivel III: Riesgo Moderado (Aceptable)",Y150)))</formula>
    </cfRule>
  </conditionalFormatting>
  <conditionalFormatting sqref="Y151:Z153">
    <cfRule type="containsText" dxfId="1425" priority="10722" stopIfTrue="1" operator="containsText" text="Nivel III: Riesgo Moderado (Aceptable)">
      <formula>NOT(ISERROR(SEARCH("Nivel III: Riesgo Moderado (Aceptable)",Y151)))</formula>
    </cfRule>
  </conditionalFormatting>
  <conditionalFormatting sqref="Y156:Z156">
    <cfRule type="containsText" dxfId="1424" priority="10516" stopIfTrue="1" operator="containsText" text="Nivel III: Riesgo Moderado (Aceptable)">
      <formula>NOT(ISERROR(SEARCH("Nivel III: Riesgo Moderado (Aceptable)",Y156)))</formula>
    </cfRule>
  </conditionalFormatting>
  <conditionalFormatting sqref="Y157:Z157">
    <cfRule type="containsText" dxfId="1423" priority="10467" stopIfTrue="1" operator="containsText" text="Nivel III: Riesgo Moderado (Aceptable)">
      <formula>NOT(ISERROR(SEARCH("Nivel III: Riesgo Moderado (Aceptable)",Y157)))</formula>
    </cfRule>
  </conditionalFormatting>
  <conditionalFormatting sqref="Y158:Z158">
    <cfRule type="containsText" dxfId="1422" priority="10623" stopIfTrue="1" operator="containsText" text="Nivel III: Riesgo Moderado (Aceptable)">
      <formula>NOT(ISERROR(SEARCH("Nivel III: Riesgo Moderado (Aceptable)",Y158)))</formula>
    </cfRule>
  </conditionalFormatting>
  <conditionalFormatting sqref="Y159:Z159">
    <cfRule type="containsText" dxfId="1421" priority="10426" stopIfTrue="1" operator="containsText" text="Nivel III: Riesgo Moderado (Aceptable)">
      <formula>NOT(ISERROR(SEARCH("Nivel III: Riesgo Moderado (Aceptable)",Y159)))</formula>
    </cfRule>
  </conditionalFormatting>
  <conditionalFormatting sqref="Y160:Z161">
    <cfRule type="containsText" dxfId="1420" priority="10011" stopIfTrue="1" operator="containsText" text="Nivel III: Riesgo Moderado (Aceptable)">
      <formula>NOT(ISERROR(SEARCH("Nivel III: Riesgo Moderado (Aceptable)",Y160)))</formula>
    </cfRule>
  </conditionalFormatting>
  <conditionalFormatting sqref="Y161:Z161">
    <cfRule type="containsText" dxfId="1419" priority="10013" stopIfTrue="1" operator="containsText" text="Nivel I: Riesgo Inaceptable">
      <formula>NOT(ISERROR(SEARCH("Nivel I: Riesgo Inaceptable",Y161)))</formula>
    </cfRule>
    <cfRule type="containsText" dxfId="1418" priority="10014" stopIfTrue="1" operator="containsText" text="Nivel IV: Riesgo Tolerable (Aceptable)">
      <formula>NOT(ISERROR(SEARCH("Nivel IV: Riesgo Tolerable (Aceptable)",Y161)))</formula>
    </cfRule>
    <cfRule type="containsText" dxfId="1417" priority="10012" stopIfTrue="1" operator="containsText" text="Nivel II: Riesgo Importante">
      <formula>NOT(ISERROR(SEARCH("Nivel II: Riesgo Importante",Y161)))</formula>
    </cfRule>
  </conditionalFormatting>
  <conditionalFormatting sqref="Y162:Z162">
    <cfRule type="containsText" dxfId="1416" priority="10050" stopIfTrue="1" operator="containsText" text="Nivel I: Riesgo Inaceptable">
      <formula>NOT(ISERROR(SEARCH("Nivel I: Riesgo Inaceptable",Y162)))</formula>
    </cfRule>
    <cfRule type="containsText" dxfId="1415" priority="10051" stopIfTrue="1" operator="containsText" text="Nivel IV: Riesgo Tolerable (Aceptable)">
      <formula>NOT(ISERROR(SEARCH("Nivel IV: Riesgo Tolerable (Aceptable)",Y162)))</formula>
    </cfRule>
    <cfRule type="containsText" dxfId="1414" priority="10049" stopIfTrue="1" operator="containsText" text="Nivel II: Riesgo Importante">
      <formula>NOT(ISERROR(SEARCH("Nivel II: Riesgo Importante",Y162)))</formula>
    </cfRule>
  </conditionalFormatting>
  <conditionalFormatting sqref="Y162:Z163">
    <cfRule type="containsText" dxfId="1413" priority="10048" stopIfTrue="1" operator="containsText" text="Nivel III: Riesgo Moderado (Aceptable)">
      <formula>NOT(ISERROR(SEARCH("Nivel III: Riesgo Moderado (Aceptable)",Y162)))</formula>
    </cfRule>
  </conditionalFormatting>
  <conditionalFormatting sqref="Y164:Z164">
    <cfRule type="containsText" dxfId="1412" priority="10259" stopIfTrue="1" operator="containsText" text="Nivel IV: Riesgo Tolerable (Aceptable)">
      <formula>NOT(ISERROR(SEARCH("Nivel IV: Riesgo Tolerable (Aceptable)",Y164)))</formula>
    </cfRule>
    <cfRule type="containsText" dxfId="1411" priority="10257" stopIfTrue="1" operator="containsText" text="Nivel II: Riesgo Importante">
      <formula>NOT(ISERROR(SEARCH("Nivel II: Riesgo Importante",Y164)))</formula>
    </cfRule>
    <cfRule type="containsText" dxfId="1410" priority="10258" stopIfTrue="1" operator="containsText" text="Nivel I: Riesgo Inaceptable">
      <formula>NOT(ISERROR(SEARCH("Nivel I: Riesgo Inaceptable",Y164)))</formula>
    </cfRule>
    <cfRule type="containsText" dxfId="1409" priority="10256" stopIfTrue="1" operator="containsText" text="Nivel III: Riesgo Moderado (Aceptable)">
      <formula>NOT(ISERROR(SEARCH("Nivel III: Riesgo Moderado (Aceptable)",Y164)))</formula>
    </cfRule>
  </conditionalFormatting>
  <conditionalFormatting sqref="Y165:Z165">
    <cfRule type="containsText" dxfId="1408" priority="10374" stopIfTrue="1" operator="containsText" text="Nivel II: Riesgo Importante">
      <formula>NOT(ISERROR(SEARCH("Nivel II: Riesgo Importante",Y165)))</formula>
    </cfRule>
    <cfRule type="containsText" dxfId="1407" priority="10373" stopIfTrue="1" operator="containsText" text="Nivel III: Riesgo Moderado (Aceptable)">
      <formula>NOT(ISERROR(SEARCH("Nivel III: Riesgo Moderado (Aceptable)",Y165)))</formula>
    </cfRule>
    <cfRule type="containsText" dxfId="1406" priority="10376" stopIfTrue="1" operator="containsText" text="Nivel IV: Riesgo Tolerable (Aceptable)">
      <formula>NOT(ISERROR(SEARCH("Nivel IV: Riesgo Tolerable (Aceptable)",Y165)))</formula>
    </cfRule>
    <cfRule type="containsText" dxfId="1405" priority="10375" stopIfTrue="1" operator="containsText" text="Nivel I: Riesgo Inaceptable">
      <formula>NOT(ISERROR(SEARCH("Nivel I: Riesgo Inaceptable",Y165)))</formula>
    </cfRule>
  </conditionalFormatting>
  <conditionalFormatting sqref="Y166:Z167">
    <cfRule type="containsText" dxfId="1404" priority="10293" stopIfTrue="1" operator="containsText" text="Nivel III: Riesgo Moderado (Aceptable)">
      <formula>NOT(ISERROR(SEARCH("Nivel III: Riesgo Moderado (Aceptable)",Y166)))</formula>
    </cfRule>
  </conditionalFormatting>
  <conditionalFormatting sqref="Y167:Z167">
    <cfRule type="containsText" dxfId="1403" priority="10296" stopIfTrue="1" operator="containsText" text="Nivel IV: Riesgo Tolerable (Aceptable)">
      <formula>NOT(ISERROR(SEARCH("Nivel IV: Riesgo Tolerable (Aceptable)",Y167)))</formula>
    </cfRule>
    <cfRule type="containsText" dxfId="1402" priority="10295" stopIfTrue="1" operator="containsText" text="Nivel I: Riesgo Inaceptable">
      <formula>NOT(ISERROR(SEARCH("Nivel I: Riesgo Inaceptable",Y167)))</formula>
    </cfRule>
    <cfRule type="containsText" dxfId="1401" priority="10294" stopIfTrue="1" operator="containsText" text="Nivel II: Riesgo Importante">
      <formula>NOT(ISERROR(SEARCH("Nivel II: Riesgo Importante",Y167)))</formula>
    </cfRule>
  </conditionalFormatting>
  <conditionalFormatting sqref="Y168:Z168">
    <cfRule type="containsText" dxfId="1400" priority="9884" stopIfTrue="1" operator="containsText" text="Nivel I: Riesgo Inaceptable">
      <formula>NOT(ISERROR(SEARCH("Nivel I: Riesgo Inaceptable",Y168)))</formula>
    </cfRule>
    <cfRule type="containsText" dxfId="1399" priority="9883" stopIfTrue="1" operator="containsText" text="Nivel II: Riesgo Importante">
      <formula>NOT(ISERROR(SEARCH("Nivel II: Riesgo Importante",Y168)))</formula>
    </cfRule>
    <cfRule type="containsText" dxfId="1398" priority="9885" stopIfTrue="1" operator="containsText" text="Nivel IV: Riesgo Tolerable (Aceptable)">
      <formula>NOT(ISERROR(SEARCH("Nivel IV: Riesgo Tolerable (Aceptable)",Y168)))</formula>
    </cfRule>
    <cfRule type="containsText" dxfId="1397" priority="9882" stopIfTrue="1" operator="containsText" text="Nivel III: Riesgo Moderado (Aceptable)">
      <formula>NOT(ISERROR(SEARCH("Nivel III: Riesgo Moderado (Aceptable)",Y168)))</formula>
    </cfRule>
  </conditionalFormatting>
  <conditionalFormatting sqref="Y169:Z169">
    <cfRule type="containsText" dxfId="1396" priority="10145" stopIfTrue="1" operator="containsText" text="Nivel III: Riesgo Moderado (Aceptable)">
      <formula>NOT(ISERROR(SEARCH("Nivel III: Riesgo Moderado (Aceptable)",Y169)))</formula>
    </cfRule>
  </conditionalFormatting>
  <conditionalFormatting sqref="Y170:Z172">
    <cfRule type="containsText" dxfId="1395" priority="9838" stopIfTrue="1" operator="containsText" text="Nivel III: Riesgo Moderado (Aceptable)">
      <formula>NOT(ISERROR(SEARCH("Nivel III: Riesgo Moderado (Aceptable)",Y170)))</formula>
    </cfRule>
  </conditionalFormatting>
  <conditionalFormatting sqref="Y174:Z174">
    <cfRule type="containsText" dxfId="1394" priority="9676" stopIfTrue="1" operator="containsText" text="Nivel III: Riesgo Moderado (Aceptable)">
      <formula>NOT(ISERROR(SEARCH("Nivel III: Riesgo Moderado (Aceptable)",Y174)))</formula>
    </cfRule>
  </conditionalFormatting>
  <conditionalFormatting sqref="Y175:Z175">
    <cfRule type="containsText" dxfId="1393" priority="9627" stopIfTrue="1" operator="containsText" text="Nivel III: Riesgo Moderado (Aceptable)">
      <formula>NOT(ISERROR(SEARCH("Nivel III: Riesgo Moderado (Aceptable)",Y175)))</formula>
    </cfRule>
  </conditionalFormatting>
  <conditionalFormatting sqref="Y176:Z176">
    <cfRule type="containsText" dxfId="1392" priority="9783" stopIfTrue="1" operator="containsText" text="Nivel III: Riesgo Moderado (Aceptable)">
      <formula>NOT(ISERROR(SEARCH("Nivel III: Riesgo Moderado (Aceptable)",Y176)))</formula>
    </cfRule>
  </conditionalFormatting>
  <conditionalFormatting sqref="Y177:Z177">
    <cfRule type="containsText" dxfId="1391" priority="9586" stopIfTrue="1" operator="containsText" text="Nivel III: Riesgo Moderado (Aceptable)">
      <formula>NOT(ISERROR(SEARCH("Nivel III: Riesgo Moderado (Aceptable)",Y177)))</formula>
    </cfRule>
  </conditionalFormatting>
  <conditionalFormatting sqref="Y178:Z179">
    <cfRule type="containsText" dxfId="1390" priority="9253" stopIfTrue="1" operator="containsText" text="Nivel III: Riesgo Moderado (Aceptable)">
      <formula>NOT(ISERROR(SEARCH("Nivel III: Riesgo Moderado (Aceptable)",Y178)))</formula>
    </cfRule>
  </conditionalFormatting>
  <conditionalFormatting sqref="Y179:Z179">
    <cfRule type="containsText" dxfId="1389" priority="9255" stopIfTrue="1" operator="containsText" text="Nivel I: Riesgo Inaceptable">
      <formula>NOT(ISERROR(SEARCH("Nivel I: Riesgo Inaceptable",Y179)))</formula>
    </cfRule>
    <cfRule type="containsText" dxfId="1388" priority="9254" stopIfTrue="1" operator="containsText" text="Nivel II: Riesgo Importante">
      <formula>NOT(ISERROR(SEARCH("Nivel II: Riesgo Importante",Y179)))</formula>
    </cfRule>
    <cfRule type="containsText" dxfId="1387" priority="9256" stopIfTrue="1" operator="containsText" text="Nivel IV: Riesgo Tolerable (Aceptable)">
      <formula>NOT(ISERROR(SEARCH("Nivel IV: Riesgo Tolerable (Aceptable)",Y179)))</formula>
    </cfRule>
  </conditionalFormatting>
  <conditionalFormatting sqref="Y180:Z180">
    <cfRule type="containsText" dxfId="1386" priority="9293" stopIfTrue="1" operator="containsText" text="Nivel IV: Riesgo Tolerable (Aceptable)">
      <formula>NOT(ISERROR(SEARCH("Nivel IV: Riesgo Tolerable (Aceptable)",Y180)))</formula>
    </cfRule>
    <cfRule type="containsText" dxfId="1385" priority="9292" stopIfTrue="1" operator="containsText" text="Nivel I: Riesgo Inaceptable">
      <formula>NOT(ISERROR(SEARCH("Nivel I: Riesgo Inaceptable",Y180)))</formula>
    </cfRule>
    <cfRule type="containsText" dxfId="1384" priority="9291" stopIfTrue="1" operator="containsText" text="Nivel II: Riesgo Importante">
      <formula>NOT(ISERROR(SEARCH("Nivel II: Riesgo Importante",Y180)))</formula>
    </cfRule>
  </conditionalFormatting>
  <conditionalFormatting sqref="Y180:Z181">
    <cfRule type="containsText" dxfId="1383" priority="9290" stopIfTrue="1" operator="containsText" text="Nivel III: Riesgo Moderado (Aceptable)">
      <formula>NOT(ISERROR(SEARCH("Nivel III: Riesgo Moderado (Aceptable)",Y180)))</formula>
    </cfRule>
  </conditionalFormatting>
  <conditionalFormatting sqref="Y182:Z182">
    <cfRule type="containsText" dxfId="1382" priority="9417" stopIfTrue="1" operator="containsText" text="Nivel II: Riesgo Importante">
      <formula>NOT(ISERROR(SEARCH("Nivel II: Riesgo Importante",Y182)))</formula>
    </cfRule>
    <cfRule type="containsText" dxfId="1381" priority="9418" stopIfTrue="1" operator="containsText" text="Nivel I: Riesgo Inaceptable">
      <formula>NOT(ISERROR(SEARCH("Nivel I: Riesgo Inaceptable",Y182)))</formula>
    </cfRule>
    <cfRule type="containsText" dxfId="1380" priority="9419" stopIfTrue="1" operator="containsText" text="Nivel IV: Riesgo Tolerable (Aceptable)">
      <formula>NOT(ISERROR(SEARCH("Nivel IV: Riesgo Tolerable (Aceptable)",Y182)))</formula>
    </cfRule>
    <cfRule type="containsText" dxfId="1379" priority="9416" stopIfTrue="1" operator="containsText" text="Nivel III: Riesgo Moderado (Aceptable)">
      <formula>NOT(ISERROR(SEARCH("Nivel III: Riesgo Moderado (Aceptable)",Y182)))</formula>
    </cfRule>
  </conditionalFormatting>
  <conditionalFormatting sqref="Y183:Z183">
    <cfRule type="containsText" dxfId="1378" priority="9535" stopIfTrue="1" operator="containsText" text="Nivel I: Riesgo Inaceptable">
      <formula>NOT(ISERROR(SEARCH("Nivel I: Riesgo Inaceptable",Y183)))</formula>
    </cfRule>
    <cfRule type="containsText" dxfId="1377" priority="9536" stopIfTrue="1" operator="containsText" text="Nivel IV: Riesgo Tolerable (Aceptable)">
      <formula>NOT(ISERROR(SEARCH("Nivel IV: Riesgo Tolerable (Aceptable)",Y183)))</formula>
    </cfRule>
    <cfRule type="containsText" dxfId="1376" priority="9533" stopIfTrue="1" operator="containsText" text="Nivel III: Riesgo Moderado (Aceptable)">
      <formula>NOT(ISERROR(SEARCH("Nivel III: Riesgo Moderado (Aceptable)",Y183)))</formula>
    </cfRule>
    <cfRule type="containsText" dxfId="1375" priority="9534" stopIfTrue="1" operator="containsText" text="Nivel II: Riesgo Importante">
      <formula>NOT(ISERROR(SEARCH("Nivel II: Riesgo Importante",Y183)))</formula>
    </cfRule>
  </conditionalFormatting>
  <conditionalFormatting sqref="Y184:Z185">
    <cfRule type="containsText" dxfId="1374" priority="9453" stopIfTrue="1" operator="containsText" text="Nivel III: Riesgo Moderado (Aceptable)">
      <formula>NOT(ISERROR(SEARCH("Nivel III: Riesgo Moderado (Aceptable)",Y184)))</formula>
    </cfRule>
  </conditionalFormatting>
  <conditionalFormatting sqref="Y185:Z185">
    <cfRule type="containsText" dxfId="1373" priority="9456" stopIfTrue="1" operator="containsText" text="Nivel IV: Riesgo Tolerable (Aceptable)">
      <formula>NOT(ISERROR(SEARCH("Nivel IV: Riesgo Tolerable (Aceptable)",Y185)))</formula>
    </cfRule>
    <cfRule type="containsText" dxfId="1372" priority="9455" stopIfTrue="1" operator="containsText" text="Nivel I: Riesgo Inaceptable">
      <formula>NOT(ISERROR(SEARCH("Nivel I: Riesgo Inaceptable",Y185)))</formula>
    </cfRule>
    <cfRule type="containsText" dxfId="1371" priority="9454" stopIfTrue="1" operator="containsText" text="Nivel II: Riesgo Importante">
      <formula>NOT(ISERROR(SEARCH("Nivel II: Riesgo Importante",Y185)))</formula>
    </cfRule>
  </conditionalFormatting>
  <conditionalFormatting sqref="Y186:Z186">
    <cfRule type="containsText" dxfId="1370" priority="9168" stopIfTrue="1" operator="containsText" text="Nivel II: Riesgo Importante">
      <formula>NOT(ISERROR(SEARCH("Nivel II: Riesgo Importante",Y186)))</formula>
    </cfRule>
    <cfRule type="containsText" dxfId="1369" priority="9167" stopIfTrue="1" operator="containsText" text="Nivel III: Riesgo Moderado (Aceptable)">
      <formula>NOT(ISERROR(SEARCH("Nivel III: Riesgo Moderado (Aceptable)",Y186)))</formula>
    </cfRule>
    <cfRule type="containsText" dxfId="1368" priority="9170" stopIfTrue="1" operator="containsText" text="Nivel IV: Riesgo Tolerable (Aceptable)">
      <formula>NOT(ISERROR(SEARCH("Nivel IV: Riesgo Tolerable (Aceptable)",Y186)))</formula>
    </cfRule>
    <cfRule type="containsText" dxfId="1367" priority="9169" stopIfTrue="1" operator="containsText" text="Nivel I: Riesgo Inaceptable">
      <formula>NOT(ISERROR(SEARCH("Nivel I: Riesgo Inaceptable",Y186)))</formula>
    </cfRule>
  </conditionalFormatting>
  <conditionalFormatting sqref="Y187:Z187">
    <cfRule type="containsText" dxfId="1366" priority="9305" stopIfTrue="1" operator="containsText" text="Nivel III: Riesgo Moderado (Aceptable)">
      <formula>NOT(ISERROR(SEARCH("Nivel III: Riesgo Moderado (Aceptable)",Y187)))</formula>
    </cfRule>
  </conditionalFormatting>
  <conditionalFormatting sqref="Y188:Z190">
    <cfRule type="containsText" dxfId="1365" priority="9096" stopIfTrue="1" operator="containsText" text="Nivel III: Riesgo Moderado (Aceptable)">
      <formula>NOT(ISERROR(SEARCH("Nivel III: Riesgo Moderado (Aceptable)",Y188)))</formula>
    </cfRule>
  </conditionalFormatting>
  <conditionalFormatting sqref="Y191:Z192">
    <cfRule type="containsText" dxfId="1364" priority="9020" stopIfTrue="1" operator="containsText" text="Nivel III: Riesgo Moderado (Aceptable)">
      <formula>NOT(ISERROR(SEARCH("Nivel III: Riesgo Moderado (Aceptable)",Y191)))</formula>
    </cfRule>
  </conditionalFormatting>
  <conditionalFormatting sqref="Y193:Z194">
    <cfRule type="containsText" dxfId="1363" priority="8967" stopIfTrue="1" operator="containsText" text="Nivel III: Riesgo Moderado (Aceptable)">
      <formula>NOT(ISERROR(SEARCH("Nivel III: Riesgo Moderado (Aceptable)",Y193)))</formula>
    </cfRule>
  </conditionalFormatting>
  <conditionalFormatting sqref="Y194:Z194">
    <cfRule type="containsText" dxfId="1362" priority="8968" stopIfTrue="1" operator="containsText" text="Nivel II: Riesgo Importante">
      <formula>NOT(ISERROR(SEARCH("Nivel II: Riesgo Importante",Y194)))</formula>
    </cfRule>
    <cfRule type="containsText" dxfId="1361" priority="8969" stopIfTrue="1" operator="containsText" text="Nivel I: Riesgo Inaceptable">
      <formula>NOT(ISERROR(SEARCH("Nivel I: Riesgo Inaceptable",Y194)))</formula>
    </cfRule>
    <cfRule type="containsText" dxfId="1360" priority="8970" stopIfTrue="1" operator="containsText" text="Nivel IV: Riesgo Tolerable (Aceptable)">
      <formula>NOT(ISERROR(SEARCH("Nivel IV: Riesgo Tolerable (Aceptable)",Y194)))</formula>
    </cfRule>
  </conditionalFormatting>
  <conditionalFormatting sqref="Y195:Z195">
    <cfRule type="containsText" dxfId="1359" priority="8917" stopIfTrue="1" operator="containsText" text="Nivel I: Riesgo Inaceptable">
      <formula>NOT(ISERROR(SEARCH("Nivel I: Riesgo Inaceptable",Y195)))</formula>
    </cfRule>
    <cfRule type="containsText" dxfId="1358" priority="8918" stopIfTrue="1" operator="containsText" text="Nivel IV: Riesgo Tolerable (Aceptable)">
      <formula>NOT(ISERROR(SEARCH("Nivel IV: Riesgo Tolerable (Aceptable)",Y195)))</formula>
    </cfRule>
    <cfRule type="containsText" dxfId="1357" priority="8916" stopIfTrue="1" operator="containsText" text="Nivel II: Riesgo Importante">
      <formula>NOT(ISERROR(SEARCH("Nivel II: Riesgo Importante",Y195)))</formula>
    </cfRule>
    <cfRule type="containsText" dxfId="1356" priority="8915" stopIfTrue="1" operator="containsText" text="Nivel III: Riesgo Moderado (Aceptable)">
      <formula>NOT(ISERROR(SEARCH("Nivel III: Riesgo Moderado (Aceptable)",Y195)))</formula>
    </cfRule>
  </conditionalFormatting>
  <conditionalFormatting sqref="Y196:Z196">
    <cfRule type="containsText" dxfId="1355" priority="8943" stopIfTrue="1" operator="containsText" text="Nivel I: Riesgo Inaceptable">
      <formula>NOT(ISERROR(SEARCH("Nivel I: Riesgo Inaceptable",Y196)))</formula>
    </cfRule>
    <cfRule type="containsText" dxfId="1354" priority="8944" stopIfTrue="1" operator="containsText" text="Nivel IV: Riesgo Tolerable (Aceptable)">
      <formula>NOT(ISERROR(SEARCH("Nivel IV: Riesgo Tolerable (Aceptable)",Y196)))</formula>
    </cfRule>
    <cfRule type="containsText" dxfId="1353" priority="8941" stopIfTrue="1" operator="containsText" text="Nivel III: Riesgo Moderado (Aceptable)">
      <formula>NOT(ISERROR(SEARCH("Nivel III: Riesgo Moderado (Aceptable)",Y196)))</formula>
    </cfRule>
    <cfRule type="containsText" dxfId="1352" priority="8942" stopIfTrue="1" operator="containsText" text="Nivel II: Riesgo Importante">
      <formula>NOT(ISERROR(SEARCH("Nivel II: Riesgo Importante",Y196)))</formula>
    </cfRule>
  </conditionalFormatting>
  <conditionalFormatting sqref="Y197:Z197">
    <cfRule type="containsText" dxfId="1351" priority="8890" stopIfTrue="1" operator="containsText" text="Nivel II: Riesgo Importante">
      <formula>NOT(ISERROR(SEARCH("Nivel II: Riesgo Importante",Y197)))</formula>
    </cfRule>
    <cfRule type="containsText" dxfId="1350" priority="8889" stopIfTrue="1" operator="containsText" text="Nivel III: Riesgo Moderado (Aceptable)">
      <formula>NOT(ISERROR(SEARCH("Nivel III: Riesgo Moderado (Aceptable)",Y197)))</formula>
    </cfRule>
    <cfRule type="containsText" dxfId="1349" priority="8891" stopIfTrue="1" operator="containsText" text="Nivel I: Riesgo Inaceptable">
      <formula>NOT(ISERROR(SEARCH("Nivel I: Riesgo Inaceptable",Y197)))</formula>
    </cfRule>
    <cfRule type="containsText" dxfId="1348" priority="8892" stopIfTrue="1" operator="containsText" text="Nivel IV: Riesgo Tolerable (Aceptable)">
      <formula>NOT(ISERROR(SEARCH("Nivel IV: Riesgo Tolerable (Aceptable)",Y197)))</formula>
    </cfRule>
  </conditionalFormatting>
  <conditionalFormatting sqref="Y198:Z198">
    <cfRule type="containsText" dxfId="1347" priority="8865" stopIfTrue="1" operator="containsText" text="Nivel I: Riesgo Inaceptable">
      <formula>NOT(ISERROR(SEARCH("Nivel I: Riesgo Inaceptable",Y198)))</formula>
    </cfRule>
    <cfRule type="containsText" dxfId="1346" priority="8864" stopIfTrue="1" operator="containsText" text="Nivel II: Riesgo Importante">
      <formula>NOT(ISERROR(SEARCH("Nivel II: Riesgo Importante",Y198)))</formula>
    </cfRule>
    <cfRule type="containsText" dxfId="1345" priority="8863" stopIfTrue="1" operator="containsText" text="Nivel III: Riesgo Moderado (Aceptable)">
      <formula>NOT(ISERROR(SEARCH("Nivel III: Riesgo Moderado (Aceptable)",Y198)))</formula>
    </cfRule>
    <cfRule type="containsText" dxfId="1344" priority="8866" stopIfTrue="1" operator="containsText" text="Nivel IV: Riesgo Tolerable (Aceptable)">
      <formula>NOT(ISERROR(SEARCH("Nivel IV: Riesgo Tolerable (Aceptable)",Y198)))</formula>
    </cfRule>
  </conditionalFormatting>
  <conditionalFormatting sqref="Y200:Z201">
    <cfRule type="containsText" dxfId="1343" priority="8138" stopIfTrue="1" operator="containsText" text="Nivel III: Riesgo Moderado (Aceptable)">
      <formula>NOT(ISERROR(SEARCH("Nivel III: Riesgo Moderado (Aceptable)",Y200)))</formula>
    </cfRule>
  </conditionalFormatting>
  <conditionalFormatting sqref="Y201:Z203">
    <cfRule type="containsText" dxfId="1342" priority="8102" stopIfTrue="1" operator="containsText" text="Nivel III: Riesgo Moderado (Aceptable)">
      <formula>NOT(ISERROR(SEARCH("Nivel III: Riesgo Moderado (Aceptable)",Y201)))</formula>
    </cfRule>
  </conditionalFormatting>
  <conditionalFormatting sqref="Y202:Z202">
    <cfRule type="containsText" dxfId="1341" priority="8074" stopIfTrue="1" operator="containsText" text="Nivel III: Riesgo Moderado (Aceptable)">
      <formula>NOT(ISERROR(SEARCH("Nivel III: Riesgo Moderado (Aceptable)",Y202)))</formula>
    </cfRule>
  </conditionalFormatting>
  <conditionalFormatting sqref="Y204:Z204">
    <cfRule type="containsText" dxfId="1340" priority="8566" stopIfTrue="1" operator="containsText" text="Nivel III: Riesgo Moderado (Aceptable)">
      <formula>NOT(ISERROR(SEARCH("Nivel III: Riesgo Moderado (Aceptable)",Y204)))</formula>
    </cfRule>
  </conditionalFormatting>
  <conditionalFormatting sqref="Y205:Z205">
    <cfRule type="containsText" dxfId="1339" priority="8414" stopIfTrue="1" operator="containsText" text="Nivel III: Riesgo Moderado (Aceptable)">
      <formula>NOT(ISERROR(SEARCH("Nivel III: Riesgo Moderado (Aceptable)",Y205)))</formula>
    </cfRule>
  </conditionalFormatting>
  <conditionalFormatting sqref="Y206:Z206">
    <cfRule type="containsText" dxfId="1338" priority="8264" stopIfTrue="1" operator="containsText" text="Nivel III: Riesgo Moderado (Aceptable)">
      <formula>NOT(ISERROR(SEARCH("Nivel III: Riesgo Moderado (Aceptable)",Y206)))</formula>
    </cfRule>
    <cfRule type="containsText" dxfId="1337" priority="8266" stopIfTrue="1" operator="containsText" text="Nivel I: Riesgo Inaceptable">
      <formula>NOT(ISERROR(SEARCH("Nivel I: Riesgo Inaceptable",Y206)))</formula>
    </cfRule>
    <cfRule type="containsText" dxfId="1336" priority="8267" stopIfTrue="1" operator="containsText" text="Nivel IV: Riesgo Tolerable (Aceptable)">
      <formula>NOT(ISERROR(SEARCH("Nivel IV: Riesgo Tolerable (Aceptable)",Y206)))</formula>
    </cfRule>
    <cfRule type="containsText" dxfId="1335" priority="8265" stopIfTrue="1" operator="containsText" text="Nivel II: Riesgo Importante">
      <formula>NOT(ISERROR(SEARCH("Nivel II: Riesgo Importante",Y206)))</formula>
    </cfRule>
  </conditionalFormatting>
  <conditionalFormatting sqref="Y207:Z207">
    <cfRule type="containsText" dxfId="1334" priority="8183" stopIfTrue="1" operator="containsText" text="Nivel III: Riesgo Moderado (Aceptable)">
      <formula>NOT(ISERROR(SEARCH("Nivel III: Riesgo Moderado (Aceptable)",Y207)))</formula>
    </cfRule>
    <cfRule type="containsText" dxfId="1333" priority="8186" stopIfTrue="1" operator="containsText" text="Nivel IV: Riesgo Tolerable (Aceptable)">
      <formula>NOT(ISERROR(SEARCH("Nivel IV: Riesgo Tolerable (Aceptable)",Y207)))</formula>
    </cfRule>
    <cfRule type="containsText" dxfId="1332" priority="8185" stopIfTrue="1" operator="containsText" text="Nivel I: Riesgo Inaceptable">
      <formula>NOT(ISERROR(SEARCH("Nivel I: Riesgo Inaceptable",Y207)))</formula>
    </cfRule>
    <cfRule type="containsText" dxfId="1331" priority="8184" stopIfTrue="1" operator="containsText" text="Nivel II: Riesgo Importante">
      <formula>NOT(ISERROR(SEARCH("Nivel II: Riesgo Importante",Y207)))</formula>
    </cfRule>
  </conditionalFormatting>
  <conditionalFormatting sqref="Y208:Z208">
    <cfRule type="containsText" dxfId="1330" priority="8156" stopIfTrue="1" operator="containsText" text="Nivel II: Riesgo Importante">
      <formula>NOT(ISERROR(SEARCH("Nivel II: Riesgo Importante",Y208)))</formula>
    </cfRule>
    <cfRule type="containsText" dxfId="1329" priority="8155" stopIfTrue="1" operator="containsText" text="Nivel III: Riesgo Moderado (Aceptable)">
      <formula>NOT(ISERROR(SEARCH("Nivel III: Riesgo Moderado (Aceptable)",Y208)))</formula>
    </cfRule>
    <cfRule type="containsText" dxfId="1328" priority="8157" stopIfTrue="1" operator="containsText" text="Nivel I: Riesgo Inaceptable">
      <formula>NOT(ISERROR(SEARCH("Nivel I: Riesgo Inaceptable",Y208)))</formula>
    </cfRule>
    <cfRule type="containsText" dxfId="1327" priority="8158" stopIfTrue="1" operator="containsText" text="Nivel IV: Riesgo Tolerable (Aceptable)">
      <formula>NOT(ISERROR(SEARCH("Nivel IV: Riesgo Tolerable (Aceptable)",Y208)))</formula>
    </cfRule>
  </conditionalFormatting>
  <conditionalFormatting sqref="Y209:Z209">
    <cfRule type="containsText" dxfId="1326" priority="8355" stopIfTrue="1" operator="containsText" text="Nivel III: Riesgo Moderado (Aceptable)">
      <formula>NOT(ISERROR(SEARCH("Nivel III: Riesgo Moderado (Aceptable)",Y209)))</formula>
    </cfRule>
  </conditionalFormatting>
  <conditionalFormatting sqref="Y210:Z210">
    <cfRule type="containsText" dxfId="1325" priority="8294" stopIfTrue="1" operator="containsText" text="Nivel III: Riesgo Moderado (Aceptable)">
      <formula>NOT(ISERROR(SEARCH("Nivel III: Riesgo Moderado (Aceptable)",Y210)))</formula>
    </cfRule>
  </conditionalFormatting>
  <conditionalFormatting sqref="Y211:Z211">
    <cfRule type="containsText" dxfId="1324" priority="8380" stopIfTrue="1" operator="containsText" text="Nivel III: Riesgo Moderado (Aceptable)">
      <formula>NOT(ISERROR(SEARCH("Nivel III: Riesgo Moderado (Aceptable)",Y211)))</formula>
    </cfRule>
  </conditionalFormatting>
  <conditionalFormatting sqref="Y212:Z212">
    <cfRule type="containsText" dxfId="1323" priority="8206" stopIfTrue="1" operator="containsText" text="Nivel III: Riesgo Moderado (Aceptable)">
      <formula>NOT(ISERROR(SEARCH("Nivel III: Riesgo Moderado (Aceptable)",Y212)))</formula>
    </cfRule>
  </conditionalFormatting>
  <conditionalFormatting sqref="Y213:Z214">
    <cfRule type="containsText" dxfId="1322" priority="7575" stopIfTrue="1" operator="containsText" text="Nivel III: Riesgo Moderado (Aceptable)">
      <formula>NOT(ISERROR(SEARCH("Nivel III: Riesgo Moderado (Aceptable)",Y213)))</formula>
    </cfRule>
  </conditionalFormatting>
  <conditionalFormatting sqref="Y214:Z216">
    <cfRule type="containsText" dxfId="1321" priority="7539" stopIfTrue="1" operator="containsText" text="Nivel III: Riesgo Moderado (Aceptable)">
      <formula>NOT(ISERROR(SEARCH("Nivel III: Riesgo Moderado (Aceptable)",Y214)))</formula>
    </cfRule>
  </conditionalFormatting>
  <conditionalFormatting sqref="Y215:Z215">
    <cfRule type="containsText" dxfId="1320" priority="7511" stopIfTrue="1" operator="containsText" text="Nivel III: Riesgo Moderado (Aceptable)">
      <formula>NOT(ISERROR(SEARCH("Nivel III: Riesgo Moderado (Aceptable)",Y215)))</formula>
    </cfRule>
  </conditionalFormatting>
  <conditionalFormatting sqref="Y217:Z217">
    <cfRule type="containsText" dxfId="1319" priority="8025" stopIfTrue="1" operator="containsText" text="Nivel III: Riesgo Moderado (Aceptable)">
      <formula>NOT(ISERROR(SEARCH("Nivel III: Riesgo Moderado (Aceptable)",Y217)))</formula>
    </cfRule>
  </conditionalFormatting>
  <conditionalFormatting sqref="Y218:Z218">
    <cfRule type="containsText" dxfId="1318" priority="7888" stopIfTrue="1" operator="containsText" text="Nivel III: Riesgo Moderado (Aceptable)">
      <formula>NOT(ISERROR(SEARCH("Nivel III: Riesgo Moderado (Aceptable)",Y218)))</formula>
    </cfRule>
  </conditionalFormatting>
  <conditionalFormatting sqref="Y219:Z219">
    <cfRule type="containsText" dxfId="1317" priority="7717" stopIfTrue="1" operator="containsText" text="Nivel IV: Riesgo Tolerable (Aceptable)">
      <formula>NOT(ISERROR(SEARCH("Nivel IV: Riesgo Tolerable (Aceptable)",Y219)))</formula>
    </cfRule>
    <cfRule type="containsText" dxfId="1316" priority="7715" stopIfTrue="1" operator="containsText" text="Nivel II: Riesgo Importante">
      <formula>NOT(ISERROR(SEARCH("Nivel II: Riesgo Importante",Y219)))</formula>
    </cfRule>
    <cfRule type="containsText" dxfId="1315" priority="7714" stopIfTrue="1" operator="containsText" text="Nivel III: Riesgo Moderado (Aceptable)">
      <formula>NOT(ISERROR(SEARCH("Nivel III: Riesgo Moderado (Aceptable)",Y219)))</formula>
    </cfRule>
    <cfRule type="containsText" dxfId="1314" priority="7716" stopIfTrue="1" operator="containsText" text="Nivel I: Riesgo Inaceptable">
      <formula>NOT(ISERROR(SEARCH("Nivel I: Riesgo Inaceptable",Y219)))</formula>
    </cfRule>
  </conditionalFormatting>
  <conditionalFormatting sqref="Y220:Z220">
    <cfRule type="containsText" dxfId="1313" priority="7754" stopIfTrue="1" operator="containsText" text="Nivel II: Riesgo Importante">
      <formula>NOT(ISERROR(SEARCH("Nivel II: Riesgo Importante",Y220)))</formula>
    </cfRule>
    <cfRule type="containsText" dxfId="1312" priority="7753" stopIfTrue="1" operator="containsText" text="Nivel III: Riesgo Moderado (Aceptable)">
      <formula>NOT(ISERROR(SEARCH("Nivel III: Riesgo Moderado (Aceptable)",Y220)))</formula>
    </cfRule>
    <cfRule type="containsText" dxfId="1311" priority="7756" stopIfTrue="1" operator="containsText" text="Nivel IV: Riesgo Tolerable (Aceptable)">
      <formula>NOT(ISERROR(SEARCH("Nivel IV: Riesgo Tolerable (Aceptable)",Y220)))</formula>
    </cfRule>
    <cfRule type="containsText" dxfId="1310" priority="7755" stopIfTrue="1" operator="containsText" text="Nivel I: Riesgo Inaceptable">
      <formula>NOT(ISERROR(SEARCH("Nivel I: Riesgo Inaceptable",Y220)))</formula>
    </cfRule>
  </conditionalFormatting>
  <conditionalFormatting sqref="Y221:Z221">
    <cfRule type="containsText" dxfId="1309" priority="7674" stopIfTrue="1" operator="containsText" text="Nivel IV: Riesgo Tolerable (Aceptable)">
      <formula>NOT(ISERROR(SEARCH("Nivel IV: Riesgo Tolerable (Aceptable)",Y221)))</formula>
    </cfRule>
    <cfRule type="containsText" dxfId="1308" priority="7673" stopIfTrue="1" operator="containsText" text="Nivel I: Riesgo Inaceptable">
      <formula>NOT(ISERROR(SEARCH("Nivel I: Riesgo Inaceptable",Y221)))</formula>
    </cfRule>
    <cfRule type="containsText" dxfId="1307" priority="7672" stopIfTrue="1" operator="containsText" text="Nivel II: Riesgo Importante">
      <formula>NOT(ISERROR(SEARCH("Nivel II: Riesgo Importante",Y221)))</formula>
    </cfRule>
    <cfRule type="containsText" dxfId="1306" priority="7671" stopIfTrue="1" operator="containsText" text="Nivel III: Riesgo Moderado (Aceptable)">
      <formula>NOT(ISERROR(SEARCH("Nivel III: Riesgo Moderado (Aceptable)",Y221)))</formula>
    </cfRule>
  </conditionalFormatting>
  <conditionalFormatting sqref="Y222:Z223">
    <cfRule type="containsText" dxfId="1305" priority="7829" stopIfTrue="1" operator="containsText" text="Nivel III: Riesgo Moderado (Aceptable)">
      <formula>NOT(ISERROR(SEARCH("Nivel III: Riesgo Moderado (Aceptable)",Y222)))</formula>
    </cfRule>
  </conditionalFormatting>
  <conditionalFormatting sqref="Y224:Z225">
    <cfRule type="containsText" dxfId="1304" priority="7587" stopIfTrue="1" operator="containsText" text="Nivel III: Riesgo Moderado (Aceptable)">
      <formula>NOT(ISERROR(SEARCH("Nivel III: Riesgo Moderado (Aceptable)",Y224)))</formula>
    </cfRule>
  </conditionalFormatting>
  <conditionalFormatting sqref="Y226:Z226">
    <cfRule type="containsText" dxfId="1303" priority="7854" stopIfTrue="1" operator="containsText" text="Nivel III: Riesgo Moderado (Aceptable)">
      <formula>NOT(ISERROR(SEARCH("Nivel III: Riesgo Moderado (Aceptable)",Y226)))</formula>
    </cfRule>
  </conditionalFormatting>
  <conditionalFormatting sqref="Y227:Z227">
    <cfRule type="containsText" dxfId="1302" priority="7628" stopIfTrue="1" operator="containsText" text="Nivel III: Riesgo Moderado (Aceptable)">
      <formula>NOT(ISERROR(SEARCH("Nivel III: Riesgo Moderado (Aceptable)",Y227)))</formula>
    </cfRule>
  </conditionalFormatting>
  <conditionalFormatting sqref="Y229:Z230">
    <cfRule type="containsText" dxfId="1301" priority="6971" stopIfTrue="1" operator="containsText" text="Nivel III: Riesgo Moderado (Aceptable)">
      <formula>NOT(ISERROR(SEARCH("Nivel III: Riesgo Moderado (Aceptable)",Y229)))</formula>
    </cfRule>
  </conditionalFormatting>
  <conditionalFormatting sqref="Y230:Z232">
    <cfRule type="containsText" dxfId="1300" priority="6939" stopIfTrue="1" operator="containsText" text="Nivel III: Riesgo Moderado (Aceptable)">
      <formula>NOT(ISERROR(SEARCH("Nivel III: Riesgo Moderado (Aceptable)",Y230)))</formula>
    </cfRule>
  </conditionalFormatting>
  <conditionalFormatting sqref="Y231:Z231">
    <cfRule type="containsText" dxfId="1299" priority="6911" stopIfTrue="1" operator="containsText" text="Nivel III: Riesgo Moderado (Aceptable)">
      <formula>NOT(ISERROR(SEARCH("Nivel III: Riesgo Moderado (Aceptable)",Y231)))</formula>
    </cfRule>
  </conditionalFormatting>
  <conditionalFormatting sqref="Y233:Z233">
    <cfRule type="containsText" dxfId="1298" priority="7436" stopIfTrue="1" operator="containsText" text="Nivel III: Riesgo Moderado (Aceptable)">
      <formula>NOT(ISERROR(SEARCH("Nivel III: Riesgo Moderado (Aceptable)",Y233)))</formula>
    </cfRule>
  </conditionalFormatting>
  <conditionalFormatting sqref="Y234:Z234">
    <cfRule type="containsText" dxfId="1297" priority="7284" stopIfTrue="1" operator="containsText" text="Nivel III: Riesgo Moderado (Aceptable)">
      <formula>NOT(ISERROR(SEARCH("Nivel III: Riesgo Moderado (Aceptable)",Y234)))</formula>
    </cfRule>
  </conditionalFormatting>
  <conditionalFormatting sqref="Y235:Z235">
    <cfRule type="containsText" dxfId="1296" priority="7112" stopIfTrue="1" operator="containsText" text="Nivel I: Riesgo Inaceptable">
      <formula>NOT(ISERROR(SEARCH("Nivel I: Riesgo Inaceptable",Y235)))</formula>
    </cfRule>
    <cfRule type="containsText" dxfId="1295" priority="7111" stopIfTrue="1" operator="containsText" text="Nivel II: Riesgo Importante">
      <formula>NOT(ISERROR(SEARCH("Nivel II: Riesgo Importante",Y235)))</formula>
    </cfRule>
    <cfRule type="containsText" dxfId="1294" priority="7110" stopIfTrue="1" operator="containsText" text="Nivel III: Riesgo Moderado (Aceptable)">
      <formula>NOT(ISERROR(SEARCH("Nivel III: Riesgo Moderado (Aceptable)",Y235)))</formula>
    </cfRule>
    <cfRule type="containsText" dxfId="1293" priority="7113" stopIfTrue="1" operator="containsText" text="Nivel IV: Riesgo Tolerable (Aceptable)">
      <formula>NOT(ISERROR(SEARCH("Nivel IV: Riesgo Tolerable (Aceptable)",Y235)))</formula>
    </cfRule>
  </conditionalFormatting>
  <conditionalFormatting sqref="Y236:Z236">
    <cfRule type="containsText" dxfId="1292" priority="7151" stopIfTrue="1" operator="containsText" text="Nivel I: Riesgo Inaceptable">
      <formula>NOT(ISERROR(SEARCH("Nivel I: Riesgo Inaceptable",Y236)))</formula>
    </cfRule>
    <cfRule type="containsText" dxfId="1291" priority="7149" stopIfTrue="1" operator="containsText" text="Nivel III: Riesgo Moderado (Aceptable)">
      <formula>NOT(ISERROR(SEARCH("Nivel III: Riesgo Moderado (Aceptable)",Y236)))</formula>
    </cfRule>
    <cfRule type="containsText" dxfId="1290" priority="7150" stopIfTrue="1" operator="containsText" text="Nivel II: Riesgo Importante">
      <formula>NOT(ISERROR(SEARCH("Nivel II: Riesgo Importante",Y236)))</formula>
    </cfRule>
    <cfRule type="containsText" dxfId="1289" priority="7152" stopIfTrue="1" operator="containsText" text="Nivel IV: Riesgo Tolerable (Aceptable)">
      <formula>NOT(ISERROR(SEARCH("Nivel IV: Riesgo Tolerable (Aceptable)",Y236)))</formula>
    </cfRule>
  </conditionalFormatting>
  <conditionalFormatting sqref="Y237:Z237">
    <cfRule type="containsText" dxfId="1288" priority="7069" stopIfTrue="1" operator="containsText" text="Nivel I: Riesgo Inaceptable">
      <formula>NOT(ISERROR(SEARCH("Nivel I: Riesgo Inaceptable",Y237)))</formula>
    </cfRule>
    <cfRule type="containsText" dxfId="1287" priority="7068" stopIfTrue="1" operator="containsText" text="Nivel II: Riesgo Importante">
      <formula>NOT(ISERROR(SEARCH("Nivel II: Riesgo Importante",Y237)))</formula>
    </cfRule>
    <cfRule type="containsText" dxfId="1286" priority="7067" stopIfTrue="1" operator="containsText" text="Nivel III: Riesgo Moderado (Aceptable)">
      <formula>NOT(ISERROR(SEARCH("Nivel III: Riesgo Moderado (Aceptable)",Y237)))</formula>
    </cfRule>
    <cfRule type="containsText" dxfId="1285" priority="7070" stopIfTrue="1" operator="containsText" text="Nivel IV: Riesgo Tolerable (Aceptable)">
      <formula>NOT(ISERROR(SEARCH("Nivel IV: Riesgo Tolerable (Aceptable)",Y237)))</formula>
    </cfRule>
  </conditionalFormatting>
  <conditionalFormatting sqref="Y238:Z238">
    <cfRule type="containsText" dxfId="1284" priority="7225" stopIfTrue="1" operator="containsText" text="Nivel III: Riesgo Moderado (Aceptable)">
      <formula>NOT(ISERROR(SEARCH("Nivel III: Riesgo Moderado (Aceptable)",Y238)))</formula>
    </cfRule>
  </conditionalFormatting>
  <conditionalFormatting sqref="Y239:Z240">
    <cfRule type="containsText" dxfId="1283" priority="6983" stopIfTrue="1" operator="containsText" text="Nivel III: Riesgo Moderado (Aceptable)">
      <formula>NOT(ISERROR(SEARCH("Nivel III: Riesgo Moderado (Aceptable)",Y239)))</formula>
    </cfRule>
  </conditionalFormatting>
  <conditionalFormatting sqref="Y241:Z241">
    <cfRule type="containsText" dxfId="1282" priority="7250" stopIfTrue="1" operator="containsText" text="Nivel III: Riesgo Moderado (Aceptable)">
      <formula>NOT(ISERROR(SEARCH("Nivel III: Riesgo Moderado (Aceptable)",Y241)))</formula>
    </cfRule>
  </conditionalFormatting>
  <conditionalFormatting sqref="Y242:Z242">
    <cfRule type="containsText" dxfId="1281" priority="7024" stopIfTrue="1" operator="containsText" text="Nivel III: Riesgo Moderado (Aceptable)">
      <formula>NOT(ISERROR(SEARCH("Nivel III: Riesgo Moderado (Aceptable)",Y242)))</formula>
    </cfRule>
  </conditionalFormatting>
  <conditionalFormatting sqref="Y244:Z245">
    <cfRule type="containsText" dxfId="1280" priority="6367" stopIfTrue="1" operator="containsText" text="Nivel III: Riesgo Moderado (Aceptable)">
      <formula>NOT(ISERROR(SEARCH("Nivel III: Riesgo Moderado (Aceptable)",Y244)))</formula>
    </cfRule>
  </conditionalFormatting>
  <conditionalFormatting sqref="Y245:Z247">
    <cfRule type="containsText" dxfId="1279" priority="6335" stopIfTrue="1" operator="containsText" text="Nivel III: Riesgo Moderado (Aceptable)">
      <formula>NOT(ISERROR(SEARCH("Nivel III: Riesgo Moderado (Aceptable)",Y245)))</formula>
    </cfRule>
  </conditionalFormatting>
  <conditionalFormatting sqref="Y246:Z246">
    <cfRule type="containsText" dxfId="1278" priority="6307" stopIfTrue="1" operator="containsText" text="Nivel III: Riesgo Moderado (Aceptable)">
      <formula>NOT(ISERROR(SEARCH("Nivel III: Riesgo Moderado (Aceptable)",Y246)))</formula>
    </cfRule>
  </conditionalFormatting>
  <conditionalFormatting sqref="Y248:Z248">
    <cfRule type="containsText" dxfId="1277" priority="6832" stopIfTrue="1" operator="containsText" text="Nivel III: Riesgo Moderado (Aceptable)">
      <formula>NOT(ISERROR(SEARCH("Nivel III: Riesgo Moderado (Aceptable)",Y248)))</formula>
    </cfRule>
  </conditionalFormatting>
  <conditionalFormatting sqref="Y249:Z249">
    <cfRule type="containsText" dxfId="1276" priority="6680" stopIfTrue="1" operator="containsText" text="Nivel III: Riesgo Moderado (Aceptable)">
      <formula>NOT(ISERROR(SEARCH("Nivel III: Riesgo Moderado (Aceptable)",Y249)))</formula>
    </cfRule>
  </conditionalFormatting>
  <conditionalFormatting sqref="Y250:Z250">
    <cfRule type="containsText" dxfId="1275" priority="6507" stopIfTrue="1" operator="containsText" text="Nivel II: Riesgo Importante">
      <formula>NOT(ISERROR(SEARCH("Nivel II: Riesgo Importante",Y250)))</formula>
    </cfRule>
    <cfRule type="containsText" dxfId="1274" priority="6509" stopIfTrue="1" operator="containsText" text="Nivel IV: Riesgo Tolerable (Aceptable)">
      <formula>NOT(ISERROR(SEARCH("Nivel IV: Riesgo Tolerable (Aceptable)",Y250)))</formula>
    </cfRule>
    <cfRule type="containsText" dxfId="1273" priority="6508" stopIfTrue="1" operator="containsText" text="Nivel I: Riesgo Inaceptable">
      <formula>NOT(ISERROR(SEARCH("Nivel I: Riesgo Inaceptable",Y250)))</formula>
    </cfRule>
    <cfRule type="containsText" dxfId="1272" priority="6506" stopIfTrue="1" operator="containsText" text="Nivel III: Riesgo Moderado (Aceptable)">
      <formula>NOT(ISERROR(SEARCH("Nivel III: Riesgo Moderado (Aceptable)",Y250)))</formula>
    </cfRule>
  </conditionalFormatting>
  <conditionalFormatting sqref="Y251:Z251">
    <cfRule type="containsText" dxfId="1271" priority="6547" stopIfTrue="1" operator="containsText" text="Nivel I: Riesgo Inaceptable">
      <formula>NOT(ISERROR(SEARCH("Nivel I: Riesgo Inaceptable",Y251)))</formula>
    </cfRule>
    <cfRule type="containsText" dxfId="1270" priority="6548" stopIfTrue="1" operator="containsText" text="Nivel IV: Riesgo Tolerable (Aceptable)">
      <formula>NOT(ISERROR(SEARCH("Nivel IV: Riesgo Tolerable (Aceptable)",Y251)))</formula>
    </cfRule>
    <cfRule type="containsText" dxfId="1269" priority="6546" stopIfTrue="1" operator="containsText" text="Nivel II: Riesgo Importante">
      <formula>NOT(ISERROR(SEARCH("Nivel II: Riesgo Importante",Y251)))</formula>
    </cfRule>
    <cfRule type="containsText" dxfId="1268" priority="6545" stopIfTrue="1" operator="containsText" text="Nivel III: Riesgo Moderado (Aceptable)">
      <formula>NOT(ISERROR(SEARCH("Nivel III: Riesgo Moderado (Aceptable)",Y251)))</formula>
    </cfRule>
  </conditionalFormatting>
  <conditionalFormatting sqref="Y252:Z252">
    <cfRule type="containsText" dxfId="1267" priority="6466" stopIfTrue="1" operator="containsText" text="Nivel IV: Riesgo Tolerable (Aceptable)">
      <formula>NOT(ISERROR(SEARCH("Nivel IV: Riesgo Tolerable (Aceptable)",Y252)))</formula>
    </cfRule>
    <cfRule type="containsText" dxfId="1266" priority="6465" stopIfTrue="1" operator="containsText" text="Nivel I: Riesgo Inaceptable">
      <formula>NOT(ISERROR(SEARCH("Nivel I: Riesgo Inaceptable",Y252)))</formula>
    </cfRule>
    <cfRule type="containsText" dxfId="1265" priority="6464" stopIfTrue="1" operator="containsText" text="Nivel II: Riesgo Importante">
      <formula>NOT(ISERROR(SEARCH("Nivel II: Riesgo Importante",Y252)))</formula>
    </cfRule>
    <cfRule type="containsText" dxfId="1264" priority="6463" stopIfTrue="1" operator="containsText" text="Nivel III: Riesgo Moderado (Aceptable)">
      <formula>NOT(ISERROR(SEARCH("Nivel III: Riesgo Moderado (Aceptable)",Y252)))</formula>
    </cfRule>
  </conditionalFormatting>
  <conditionalFormatting sqref="Y253:Z253">
    <cfRule type="containsText" dxfId="1263" priority="6621" stopIfTrue="1" operator="containsText" text="Nivel III: Riesgo Moderado (Aceptable)">
      <formula>NOT(ISERROR(SEARCH("Nivel III: Riesgo Moderado (Aceptable)",Y253)))</formula>
    </cfRule>
  </conditionalFormatting>
  <conditionalFormatting sqref="Y254:Z255">
    <cfRule type="containsText" dxfId="1262" priority="6379" stopIfTrue="1" operator="containsText" text="Nivel III: Riesgo Moderado (Aceptable)">
      <formula>NOT(ISERROR(SEARCH("Nivel III: Riesgo Moderado (Aceptable)",Y254)))</formula>
    </cfRule>
  </conditionalFormatting>
  <conditionalFormatting sqref="Y256:Z256">
    <cfRule type="containsText" dxfId="1261" priority="6646" stopIfTrue="1" operator="containsText" text="Nivel III: Riesgo Moderado (Aceptable)">
      <formula>NOT(ISERROR(SEARCH("Nivel III: Riesgo Moderado (Aceptable)",Y256)))</formula>
    </cfRule>
  </conditionalFormatting>
  <conditionalFormatting sqref="Y257:Z258">
    <cfRule type="containsText" dxfId="1260" priority="6198" stopIfTrue="1" operator="containsText" text="Nivel III: Riesgo Moderado (Aceptable)">
      <formula>NOT(ISERROR(SEARCH("Nivel III: Riesgo Moderado (Aceptable)",Y257)))</formula>
    </cfRule>
  </conditionalFormatting>
  <conditionalFormatting sqref="Y259:Z261">
    <cfRule type="containsText" dxfId="1259" priority="5843" stopIfTrue="1" operator="containsText" text="Nivel III: Riesgo Moderado (Aceptable)">
      <formula>NOT(ISERROR(SEARCH("Nivel III: Riesgo Moderado (Aceptable)",Y259)))</formula>
    </cfRule>
  </conditionalFormatting>
  <conditionalFormatting sqref="Y260:Z260">
    <cfRule type="containsText" dxfId="1258" priority="5815" stopIfTrue="1" operator="containsText" text="Nivel III: Riesgo Moderado (Aceptable)">
      <formula>NOT(ISERROR(SEARCH("Nivel III: Riesgo Moderado (Aceptable)",Y260)))</formula>
    </cfRule>
  </conditionalFormatting>
  <conditionalFormatting sqref="Y262:Z262">
    <cfRule type="containsText" dxfId="1257" priority="6241" stopIfTrue="1" operator="containsText" text="Nivel III: Riesgo Moderado (Aceptable)">
      <formula>NOT(ISERROR(SEARCH("Nivel III: Riesgo Moderado (Aceptable)",Y262)))</formula>
    </cfRule>
  </conditionalFormatting>
  <conditionalFormatting sqref="Y263:Z263">
    <cfRule type="containsText" dxfId="1256" priority="6104" stopIfTrue="1" operator="containsText" text="Nivel III: Riesgo Moderado (Aceptable)">
      <formula>NOT(ISERROR(SEARCH("Nivel III: Riesgo Moderado (Aceptable)",Y263)))</formula>
    </cfRule>
  </conditionalFormatting>
  <conditionalFormatting sqref="Y264:Z264">
    <cfRule type="containsText" dxfId="1255" priority="5972" stopIfTrue="1" operator="containsText" text="Nivel IV: Riesgo Tolerable (Aceptable)">
      <formula>NOT(ISERROR(SEARCH("Nivel IV: Riesgo Tolerable (Aceptable)",Y264)))</formula>
    </cfRule>
    <cfRule type="containsText" dxfId="1254" priority="5971" stopIfTrue="1" operator="containsText" text="Nivel I: Riesgo Inaceptable">
      <formula>NOT(ISERROR(SEARCH("Nivel I: Riesgo Inaceptable",Y264)))</formula>
    </cfRule>
    <cfRule type="containsText" dxfId="1253" priority="5970" stopIfTrue="1" operator="containsText" text="Nivel II: Riesgo Importante">
      <formula>NOT(ISERROR(SEARCH("Nivel II: Riesgo Importante",Y264)))</formula>
    </cfRule>
    <cfRule type="containsText" dxfId="1252" priority="5969" stopIfTrue="1" operator="containsText" text="Nivel III: Riesgo Moderado (Aceptable)">
      <formula>NOT(ISERROR(SEARCH("Nivel III: Riesgo Moderado (Aceptable)",Y264)))</formula>
    </cfRule>
  </conditionalFormatting>
  <conditionalFormatting sqref="Y265:Z265">
    <cfRule type="containsText" dxfId="1251" priority="5929" stopIfTrue="1" operator="containsText" text="Nivel IV: Riesgo Tolerable (Aceptable)">
      <formula>NOT(ISERROR(SEARCH("Nivel IV: Riesgo Tolerable (Aceptable)",Y265)))</formula>
    </cfRule>
    <cfRule type="containsText" dxfId="1250" priority="5926" stopIfTrue="1" operator="containsText" text="Nivel III: Riesgo Moderado (Aceptable)">
      <formula>NOT(ISERROR(SEARCH("Nivel III: Riesgo Moderado (Aceptable)",Y265)))</formula>
    </cfRule>
    <cfRule type="containsText" dxfId="1249" priority="5927" stopIfTrue="1" operator="containsText" text="Nivel II: Riesgo Importante">
      <formula>NOT(ISERROR(SEARCH("Nivel II: Riesgo Importante",Y265)))</formula>
    </cfRule>
    <cfRule type="containsText" dxfId="1248" priority="5928" stopIfTrue="1" operator="containsText" text="Nivel I: Riesgo Inaceptable">
      <formula>NOT(ISERROR(SEARCH("Nivel I: Riesgo Inaceptable",Y265)))</formula>
    </cfRule>
  </conditionalFormatting>
  <conditionalFormatting sqref="Y266:Z266">
    <cfRule type="containsText" dxfId="1247" priority="6045" stopIfTrue="1" operator="containsText" text="Nivel III: Riesgo Moderado (Aceptable)">
      <formula>NOT(ISERROR(SEARCH("Nivel III: Riesgo Moderado (Aceptable)",Y266)))</formula>
    </cfRule>
  </conditionalFormatting>
  <conditionalFormatting sqref="Y267:Z267">
    <cfRule type="containsText" dxfId="1246" priority="5984" stopIfTrue="1" operator="containsText" text="Nivel III: Riesgo Moderado (Aceptable)">
      <formula>NOT(ISERROR(SEARCH("Nivel III: Riesgo Moderado (Aceptable)",Y267)))</formula>
    </cfRule>
  </conditionalFormatting>
  <conditionalFormatting sqref="Y268:Z268">
    <cfRule type="containsText" dxfId="1245" priority="6070" stopIfTrue="1" operator="containsText" text="Nivel III: Riesgo Moderado (Aceptable)">
      <formula>NOT(ISERROR(SEARCH("Nivel III: Riesgo Moderado (Aceptable)",Y268)))</formula>
    </cfRule>
  </conditionalFormatting>
  <conditionalFormatting sqref="Y269:Z269">
    <cfRule type="containsText" dxfId="1244" priority="5887" stopIfTrue="1" operator="containsText" text="Nivel III: Riesgo Moderado (Aceptable)">
      <formula>NOT(ISERROR(SEARCH("Nivel III: Riesgo Moderado (Aceptable)",Y269)))</formula>
    </cfRule>
  </conditionalFormatting>
  <conditionalFormatting sqref="Y270:Z271">
    <cfRule type="containsText" dxfId="1243" priority="5312" stopIfTrue="1" operator="containsText" text="Nivel III: Riesgo Moderado (Aceptable)">
      <formula>NOT(ISERROR(SEARCH("Nivel III: Riesgo Moderado (Aceptable)",Y270)))</formula>
    </cfRule>
  </conditionalFormatting>
  <conditionalFormatting sqref="Y271:Z273">
    <cfRule type="containsText" dxfId="1242" priority="5280" stopIfTrue="1" operator="containsText" text="Nivel III: Riesgo Moderado (Aceptable)">
      <formula>NOT(ISERROR(SEARCH("Nivel III: Riesgo Moderado (Aceptable)",Y271)))</formula>
    </cfRule>
  </conditionalFormatting>
  <conditionalFormatting sqref="Y272:Z272">
    <cfRule type="containsText" dxfId="1241" priority="5252" stopIfTrue="1" operator="containsText" text="Nivel III: Riesgo Moderado (Aceptable)">
      <formula>NOT(ISERROR(SEARCH("Nivel III: Riesgo Moderado (Aceptable)",Y272)))</formula>
    </cfRule>
  </conditionalFormatting>
  <conditionalFormatting sqref="Y274:Z274">
    <cfRule type="containsText" dxfId="1240" priority="5762" stopIfTrue="1" operator="containsText" text="Nivel III: Riesgo Moderado (Aceptable)">
      <formula>NOT(ISERROR(SEARCH("Nivel III: Riesgo Moderado (Aceptable)",Y274)))</formula>
    </cfRule>
  </conditionalFormatting>
  <conditionalFormatting sqref="Y275:Z275">
    <cfRule type="containsText" dxfId="1239" priority="5625" stopIfTrue="1" operator="containsText" text="Nivel III: Riesgo Moderado (Aceptable)">
      <formula>NOT(ISERROR(SEARCH("Nivel III: Riesgo Moderado (Aceptable)",Y275)))</formula>
    </cfRule>
  </conditionalFormatting>
  <conditionalFormatting sqref="Y276:Z276">
    <cfRule type="containsText" dxfId="1238" priority="5451" stopIfTrue="1" operator="containsText" text="Nivel III: Riesgo Moderado (Aceptable)">
      <formula>NOT(ISERROR(SEARCH("Nivel III: Riesgo Moderado (Aceptable)",Y276)))</formula>
    </cfRule>
    <cfRule type="containsText" dxfId="1237" priority="5452" stopIfTrue="1" operator="containsText" text="Nivel II: Riesgo Importante">
      <formula>NOT(ISERROR(SEARCH("Nivel II: Riesgo Importante",Y276)))</formula>
    </cfRule>
    <cfRule type="containsText" dxfId="1236" priority="5453" stopIfTrue="1" operator="containsText" text="Nivel I: Riesgo Inaceptable">
      <formula>NOT(ISERROR(SEARCH("Nivel I: Riesgo Inaceptable",Y276)))</formula>
    </cfRule>
    <cfRule type="containsText" dxfId="1235" priority="5454" stopIfTrue="1" operator="containsText" text="Nivel IV: Riesgo Tolerable (Aceptable)">
      <formula>NOT(ISERROR(SEARCH("Nivel IV: Riesgo Tolerable (Aceptable)",Y276)))</formula>
    </cfRule>
  </conditionalFormatting>
  <conditionalFormatting sqref="Y277:Z277">
    <cfRule type="containsText" dxfId="1234" priority="5493" stopIfTrue="1" operator="containsText" text="Nivel IV: Riesgo Tolerable (Aceptable)">
      <formula>NOT(ISERROR(SEARCH("Nivel IV: Riesgo Tolerable (Aceptable)",Y277)))</formula>
    </cfRule>
    <cfRule type="containsText" dxfId="1233" priority="5490" stopIfTrue="1" operator="containsText" text="Nivel III: Riesgo Moderado (Aceptable)">
      <formula>NOT(ISERROR(SEARCH("Nivel III: Riesgo Moderado (Aceptable)",Y277)))</formula>
    </cfRule>
    <cfRule type="containsText" dxfId="1232" priority="5491" stopIfTrue="1" operator="containsText" text="Nivel II: Riesgo Importante">
      <formula>NOT(ISERROR(SEARCH("Nivel II: Riesgo Importante",Y277)))</formula>
    </cfRule>
    <cfRule type="containsText" dxfId="1231" priority="5492" stopIfTrue="1" operator="containsText" text="Nivel I: Riesgo Inaceptable">
      <formula>NOT(ISERROR(SEARCH("Nivel I: Riesgo Inaceptable",Y277)))</formula>
    </cfRule>
  </conditionalFormatting>
  <conditionalFormatting sqref="Y278:Z278">
    <cfRule type="containsText" dxfId="1230" priority="5411" stopIfTrue="1" operator="containsText" text="Nivel IV: Riesgo Tolerable (Aceptable)">
      <formula>NOT(ISERROR(SEARCH("Nivel IV: Riesgo Tolerable (Aceptable)",Y278)))</formula>
    </cfRule>
    <cfRule type="containsText" dxfId="1229" priority="5408" stopIfTrue="1" operator="containsText" text="Nivel III: Riesgo Moderado (Aceptable)">
      <formula>NOT(ISERROR(SEARCH("Nivel III: Riesgo Moderado (Aceptable)",Y278)))</formula>
    </cfRule>
    <cfRule type="containsText" dxfId="1228" priority="5409" stopIfTrue="1" operator="containsText" text="Nivel II: Riesgo Importante">
      <formula>NOT(ISERROR(SEARCH("Nivel II: Riesgo Importante",Y278)))</formula>
    </cfRule>
    <cfRule type="containsText" dxfId="1227" priority="5410" stopIfTrue="1" operator="containsText" text="Nivel I: Riesgo Inaceptable">
      <formula>NOT(ISERROR(SEARCH("Nivel I: Riesgo Inaceptable",Y278)))</formula>
    </cfRule>
  </conditionalFormatting>
  <conditionalFormatting sqref="Y279:Z279">
    <cfRule type="containsText" dxfId="1226" priority="5566" stopIfTrue="1" operator="containsText" text="Nivel III: Riesgo Moderado (Aceptable)">
      <formula>NOT(ISERROR(SEARCH("Nivel III: Riesgo Moderado (Aceptable)",Y279)))</formula>
    </cfRule>
  </conditionalFormatting>
  <conditionalFormatting sqref="Y280:Z281">
    <cfRule type="containsText" dxfId="1225" priority="5324" stopIfTrue="1" operator="containsText" text="Nivel III: Riesgo Moderado (Aceptable)">
      <formula>NOT(ISERROR(SEARCH("Nivel III: Riesgo Moderado (Aceptable)",Y280)))</formula>
    </cfRule>
  </conditionalFormatting>
  <conditionalFormatting sqref="Y282:Z282">
    <cfRule type="containsText" dxfId="1224" priority="5591" stopIfTrue="1" operator="containsText" text="Nivel III: Riesgo Moderado (Aceptable)">
      <formula>NOT(ISERROR(SEARCH("Nivel III: Riesgo Moderado (Aceptable)",Y282)))</formula>
    </cfRule>
  </conditionalFormatting>
  <conditionalFormatting sqref="Y283:Z284">
    <cfRule type="containsText" dxfId="1223" priority="5156" stopIfTrue="1" operator="containsText" text="Nivel III: Riesgo Moderado (Aceptable)">
      <formula>NOT(ISERROR(SEARCH("Nivel III: Riesgo Moderado (Aceptable)",Y283)))</formula>
    </cfRule>
  </conditionalFormatting>
  <conditionalFormatting sqref="Y285:Z287">
    <cfRule type="containsText" dxfId="1222" priority="4717" stopIfTrue="1" operator="containsText" text="Nivel III: Riesgo Moderado (Aceptable)">
      <formula>NOT(ISERROR(SEARCH("Nivel III: Riesgo Moderado (Aceptable)",Y285)))</formula>
    </cfRule>
  </conditionalFormatting>
  <conditionalFormatting sqref="Y286:Z286">
    <cfRule type="containsText" dxfId="1221" priority="4689" stopIfTrue="1" operator="containsText" text="Nivel III: Riesgo Moderado (Aceptable)">
      <formula>NOT(ISERROR(SEARCH("Nivel III: Riesgo Moderado (Aceptable)",Y286)))</formula>
    </cfRule>
  </conditionalFormatting>
  <conditionalFormatting sqref="Y288:Z288">
    <cfRule type="containsText" dxfId="1220" priority="5199" stopIfTrue="1" operator="containsText" text="Nivel III: Riesgo Moderado (Aceptable)">
      <formula>NOT(ISERROR(SEARCH("Nivel III: Riesgo Moderado (Aceptable)",Y288)))</formula>
    </cfRule>
  </conditionalFormatting>
  <conditionalFormatting sqref="Y289:Z289">
    <cfRule type="containsText" dxfId="1219" priority="5062" stopIfTrue="1" operator="containsText" text="Nivel III: Riesgo Moderado (Aceptable)">
      <formula>NOT(ISERROR(SEARCH("Nivel III: Riesgo Moderado (Aceptable)",Y289)))</formula>
    </cfRule>
  </conditionalFormatting>
  <conditionalFormatting sqref="Y290:Z290">
    <cfRule type="containsText" dxfId="1218" priority="4888" stopIfTrue="1" operator="containsText" text="Nivel III: Riesgo Moderado (Aceptable)">
      <formula>NOT(ISERROR(SEARCH("Nivel III: Riesgo Moderado (Aceptable)",Y290)))</formula>
    </cfRule>
    <cfRule type="containsText" dxfId="1217" priority="4891" stopIfTrue="1" operator="containsText" text="Nivel IV: Riesgo Tolerable (Aceptable)">
      <formula>NOT(ISERROR(SEARCH("Nivel IV: Riesgo Tolerable (Aceptable)",Y290)))</formula>
    </cfRule>
    <cfRule type="containsText" dxfId="1216" priority="4890" stopIfTrue="1" operator="containsText" text="Nivel I: Riesgo Inaceptable">
      <formula>NOT(ISERROR(SEARCH("Nivel I: Riesgo Inaceptable",Y290)))</formula>
    </cfRule>
    <cfRule type="containsText" dxfId="1215" priority="4889" stopIfTrue="1" operator="containsText" text="Nivel II: Riesgo Importante">
      <formula>NOT(ISERROR(SEARCH("Nivel II: Riesgo Importante",Y290)))</formula>
    </cfRule>
  </conditionalFormatting>
  <conditionalFormatting sqref="Y291:Z291">
    <cfRule type="containsText" dxfId="1214" priority="4927" stopIfTrue="1" operator="containsText" text="Nivel III: Riesgo Moderado (Aceptable)">
      <formula>NOT(ISERROR(SEARCH("Nivel III: Riesgo Moderado (Aceptable)",Y291)))</formula>
    </cfRule>
    <cfRule type="containsText" dxfId="1213" priority="4928" stopIfTrue="1" operator="containsText" text="Nivel II: Riesgo Importante">
      <formula>NOT(ISERROR(SEARCH("Nivel II: Riesgo Importante",Y291)))</formula>
    </cfRule>
    <cfRule type="containsText" dxfId="1212" priority="4929" stopIfTrue="1" operator="containsText" text="Nivel I: Riesgo Inaceptable">
      <formula>NOT(ISERROR(SEARCH("Nivel I: Riesgo Inaceptable",Y291)))</formula>
    </cfRule>
    <cfRule type="containsText" dxfId="1211" priority="4930" stopIfTrue="1" operator="containsText" text="Nivel IV: Riesgo Tolerable (Aceptable)">
      <formula>NOT(ISERROR(SEARCH("Nivel IV: Riesgo Tolerable (Aceptable)",Y291)))</formula>
    </cfRule>
  </conditionalFormatting>
  <conditionalFormatting sqref="Y292:Z292">
    <cfRule type="containsText" dxfId="1210" priority="4845" stopIfTrue="1" operator="containsText" text="Nivel III: Riesgo Moderado (Aceptable)">
      <formula>NOT(ISERROR(SEARCH("Nivel III: Riesgo Moderado (Aceptable)",Y292)))</formula>
    </cfRule>
    <cfRule type="containsText" dxfId="1209" priority="4848" stopIfTrue="1" operator="containsText" text="Nivel IV: Riesgo Tolerable (Aceptable)">
      <formula>NOT(ISERROR(SEARCH("Nivel IV: Riesgo Tolerable (Aceptable)",Y292)))</formula>
    </cfRule>
    <cfRule type="containsText" dxfId="1208" priority="4847" stopIfTrue="1" operator="containsText" text="Nivel I: Riesgo Inaceptable">
      <formula>NOT(ISERROR(SEARCH("Nivel I: Riesgo Inaceptable",Y292)))</formula>
    </cfRule>
    <cfRule type="containsText" dxfId="1207" priority="4846" stopIfTrue="1" operator="containsText" text="Nivel II: Riesgo Importante">
      <formula>NOT(ISERROR(SEARCH("Nivel II: Riesgo Importante",Y292)))</formula>
    </cfRule>
  </conditionalFormatting>
  <conditionalFormatting sqref="Y293:Z293">
    <cfRule type="containsText" dxfId="1206" priority="5003" stopIfTrue="1" operator="containsText" text="Nivel III: Riesgo Moderado (Aceptable)">
      <formula>NOT(ISERROR(SEARCH("Nivel III: Riesgo Moderado (Aceptable)",Y293)))</formula>
    </cfRule>
  </conditionalFormatting>
  <conditionalFormatting sqref="Y294:Z295">
    <cfRule type="containsText" dxfId="1205" priority="4761" stopIfTrue="1" operator="containsText" text="Nivel III: Riesgo Moderado (Aceptable)">
      <formula>NOT(ISERROR(SEARCH("Nivel III: Riesgo Moderado (Aceptable)",Y294)))</formula>
    </cfRule>
  </conditionalFormatting>
  <conditionalFormatting sqref="Y296:Z296">
    <cfRule type="containsText" dxfId="1204" priority="5028" stopIfTrue="1" operator="containsText" text="Nivel III: Riesgo Moderado (Aceptable)">
      <formula>NOT(ISERROR(SEARCH("Nivel III: Riesgo Moderado (Aceptable)",Y296)))</formula>
    </cfRule>
  </conditionalFormatting>
  <conditionalFormatting sqref="Y297:Z298">
    <cfRule type="containsText" dxfId="1203" priority="4593" stopIfTrue="1" operator="containsText" text="Nivel III: Riesgo Moderado (Aceptable)">
      <formula>NOT(ISERROR(SEARCH("Nivel III: Riesgo Moderado (Aceptable)",Y297)))</formula>
    </cfRule>
  </conditionalFormatting>
  <conditionalFormatting sqref="Y299:Z301">
    <cfRule type="containsText" dxfId="1202" priority="4154" stopIfTrue="1" operator="containsText" text="Nivel III: Riesgo Moderado (Aceptable)">
      <formula>NOT(ISERROR(SEARCH("Nivel III: Riesgo Moderado (Aceptable)",Y299)))</formula>
    </cfRule>
  </conditionalFormatting>
  <conditionalFormatting sqref="Y300:Z300">
    <cfRule type="containsText" dxfId="1201" priority="4126" stopIfTrue="1" operator="containsText" text="Nivel III: Riesgo Moderado (Aceptable)">
      <formula>NOT(ISERROR(SEARCH("Nivel III: Riesgo Moderado (Aceptable)",Y300)))</formula>
    </cfRule>
  </conditionalFormatting>
  <conditionalFormatting sqref="Y302:Z302">
    <cfRule type="containsText" dxfId="1200" priority="4636" stopIfTrue="1" operator="containsText" text="Nivel III: Riesgo Moderado (Aceptable)">
      <formula>NOT(ISERROR(SEARCH("Nivel III: Riesgo Moderado (Aceptable)",Y302)))</formula>
    </cfRule>
  </conditionalFormatting>
  <conditionalFormatting sqref="Y303:Z303">
    <cfRule type="containsText" dxfId="1199" priority="4499" stopIfTrue="1" operator="containsText" text="Nivel III: Riesgo Moderado (Aceptable)">
      <formula>NOT(ISERROR(SEARCH("Nivel III: Riesgo Moderado (Aceptable)",Y303)))</formula>
    </cfRule>
  </conditionalFormatting>
  <conditionalFormatting sqref="Y304:Z304">
    <cfRule type="containsText" dxfId="1198" priority="4325" stopIfTrue="1" operator="containsText" text="Nivel III: Riesgo Moderado (Aceptable)">
      <formula>NOT(ISERROR(SEARCH("Nivel III: Riesgo Moderado (Aceptable)",Y304)))</formula>
    </cfRule>
    <cfRule type="containsText" dxfId="1197" priority="4326" stopIfTrue="1" operator="containsText" text="Nivel II: Riesgo Importante">
      <formula>NOT(ISERROR(SEARCH("Nivel II: Riesgo Importante",Y304)))</formula>
    </cfRule>
    <cfRule type="containsText" dxfId="1196" priority="4328" stopIfTrue="1" operator="containsText" text="Nivel IV: Riesgo Tolerable (Aceptable)">
      <formula>NOT(ISERROR(SEARCH("Nivel IV: Riesgo Tolerable (Aceptable)",Y304)))</formula>
    </cfRule>
    <cfRule type="containsText" dxfId="1195" priority="4327" stopIfTrue="1" operator="containsText" text="Nivel I: Riesgo Inaceptable">
      <formula>NOT(ISERROR(SEARCH("Nivel I: Riesgo Inaceptable",Y304)))</formula>
    </cfRule>
  </conditionalFormatting>
  <conditionalFormatting sqref="Y305:Z305">
    <cfRule type="containsText" dxfId="1194" priority="4367" stopIfTrue="1" operator="containsText" text="Nivel IV: Riesgo Tolerable (Aceptable)">
      <formula>NOT(ISERROR(SEARCH("Nivel IV: Riesgo Tolerable (Aceptable)",Y305)))</formula>
    </cfRule>
    <cfRule type="containsText" dxfId="1193" priority="4365" stopIfTrue="1" operator="containsText" text="Nivel II: Riesgo Importante">
      <formula>NOT(ISERROR(SEARCH("Nivel II: Riesgo Importante",Y305)))</formula>
    </cfRule>
    <cfRule type="containsText" dxfId="1192" priority="4366" stopIfTrue="1" operator="containsText" text="Nivel I: Riesgo Inaceptable">
      <formula>NOT(ISERROR(SEARCH("Nivel I: Riesgo Inaceptable",Y305)))</formula>
    </cfRule>
    <cfRule type="containsText" dxfId="1191" priority="4364" stopIfTrue="1" operator="containsText" text="Nivel III: Riesgo Moderado (Aceptable)">
      <formula>NOT(ISERROR(SEARCH("Nivel III: Riesgo Moderado (Aceptable)",Y305)))</formula>
    </cfRule>
  </conditionalFormatting>
  <conditionalFormatting sqref="Y306:Z306">
    <cfRule type="containsText" dxfId="1190" priority="4282" stopIfTrue="1" operator="containsText" text="Nivel III: Riesgo Moderado (Aceptable)">
      <formula>NOT(ISERROR(SEARCH("Nivel III: Riesgo Moderado (Aceptable)",Y306)))</formula>
    </cfRule>
    <cfRule type="containsText" dxfId="1189" priority="4283" stopIfTrue="1" operator="containsText" text="Nivel II: Riesgo Importante">
      <formula>NOT(ISERROR(SEARCH("Nivel II: Riesgo Importante",Y306)))</formula>
    </cfRule>
    <cfRule type="containsText" dxfId="1188" priority="4284" stopIfTrue="1" operator="containsText" text="Nivel I: Riesgo Inaceptable">
      <formula>NOT(ISERROR(SEARCH("Nivel I: Riesgo Inaceptable",Y306)))</formula>
    </cfRule>
    <cfRule type="containsText" dxfId="1187" priority="4285" stopIfTrue="1" operator="containsText" text="Nivel IV: Riesgo Tolerable (Aceptable)">
      <formula>NOT(ISERROR(SEARCH("Nivel IV: Riesgo Tolerable (Aceptable)",Y306)))</formula>
    </cfRule>
  </conditionalFormatting>
  <conditionalFormatting sqref="Y307:Z307">
    <cfRule type="containsText" dxfId="1186" priority="4440" stopIfTrue="1" operator="containsText" text="Nivel III: Riesgo Moderado (Aceptable)">
      <formula>NOT(ISERROR(SEARCH("Nivel III: Riesgo Moderado (Aceptable)",Y307)))</formula>
    </cfRule>
  </conditionalFormatting>
  <conditionalFormatting sqref="Y308:Z309">
    <cfRule type="containsText" dxfId="1185" priority="4198" stopIfTrue="1" operator="containsText" text="Nivel III: Riesgo Moderado (Aceptable)">
      <formula>NOT(ISERROR(SEARCH("Nivel III: Riesgo Moderado (Aceptable)",Y308)))</formula>
    </cfRule>
  </conditionalFormatting>
  <conditionalFormatting sqref="Y310:Z310">
    <cfRule type="containsText" dxfId="1184" priority="4465" stopIfTrue="1" operator="containsText" text="Nivel III: Riesgo Moderado (Aceptable)">
      <formula>NOT(ISERROR(SEARCH("Nivel III: Riesgo Moderado (Aceptable)",Y310)))</formula>
    </cfRule>
  </conditionalFormatting>
  <conditionalFormatting sqref="Y311:Z313">
    <cfRule type="containsText" dxfId="1183" priority="3734" stopIfTrue="1" operator="containsText" text="Nivel III: Riesgo Moderado (Aceptable)">
      <formula>NOT(ISERROR(SEARCH("Nivel III: Riesgo Moderado (Aceptable)",Y311)))</formula>
    </cfRule>
  </conditionalFormatting>
  <conditionalFormatting sqref="Y314:Z314">
    <cfRule type="containsText" dxfId="1182" priority="3674" stopIfTrue="1" operator="containsText" text="Nivel III: Riesgo Moderado (Aceptable)">
      <formula>NOT(ISERROR(SEARCH("Nivel III: Riesgo Moderado (Aceptable)",Y314)))</formula>
    </cfRule>
  </conditionalFormatting>
  <conditionalFormatting sqref="Y324:Z325">
    <cfRule type="containsText" dxfId="1181" priority="3175" stopIfTrue="1" operator="containsText" text="Nivel III: Riesgo Moderado (Aceptable)">
      <formula>NOT(ISERROR(SEARCH("Nivel III: Riesgo Moderado (Aceptable)",Y324)))</formula>
    </cfRule>
  </conditionalFormatting>
  <conditionalFormatting sqref="Y325:Z327">
    <cfRule type="containsText" dxfId="1180" priority="3139" stopIfTrue="1" operator="containsText" text="Nivel III: Riesgo Moderado (Aceptable)">
      <formula>NOT(ISERROR(SEARCH("Nivel III: Riesgo Moderado (Aceptable)",Y325)))</formula>
    </cfRule>
  </conditionalFormatting>
  <conditionalFormatting sqref="Y326:Z326">
    <cfRule type="containsText" dxfId="1179" priority="3111" stopIfTrue="1" operator="containsText" text="Nivel III: Riesgo Moderado (Aceptable)">
      <formula>NOT(ISERROR(SEARCH("Nivel III: Riesgo Moderado (Aceptable)",Y326)))</formula>
    </cfRule>
  </conditionalFormatting>
  <conditionalFormatting sqref="Y328:Z328">
    <cfRule type="containsText" dxfId="1178" priority="3625" stopIfTrue="1" operator="containsText" text="Nivel III: Riesgo Moderado (Aceptable)">
      <formula>NOT(ISERROR(SEARCH("Nivel III: Riesgo Moderado (Aceptable)",Y328)))</formula>
    </cfRule>
  </conditionalFormatting>
  <conditionalFormatting sqref="Y329:Z329">
    <cfRule type="containsText" dxfId="1177" priority="3488" stopIfTrue="1" operator="containsText" text="Nivel III: Riesgo Moderado (Aceptable)">
      <formula>NOT(ISERROR(SEARCH("Nivel III: Riesgo Moderado (Aceptable)",Y329)))</formula>
    </cfRule>
  </conditionalFormatting>
  <conditionalFormatting sqref="Y330:Z330">
    <cfRule type="containsText" dxfId="1176" priority="3317" stopIfTrue="1" operator="containsText" text="Nivel IV: Riesgo Tolerable (Aceptable)">
      <formula>NOT(ISERROR(SEARCH("Nivel IV: Riesgo Tolerable (Aceptable)",Y330)))</formula>
    </cfRule>
    <cfRule type="containsText" dxfId="1175" priority="3316" stopIfTrue="1" operator="containsText" text="Nivel I: Riesgo Inaceptable">
      <formula>NOT(ISERROR(SEARCH("Nivel I: Riesgo Inaceptable",Y330)))</formula>
    </cfRule>
    <cfRule type="containsText" dxfId="1174" priority="3315" stopIfTrue="1" operator="containsText" text="Nivel II: Riesgo Importante">
      <formula>NOT(ISERROR(SEARCH("Nivel II: Riesgo Importante",Y330)))</formula>
    </cfRule>
    <cfRule type="containsText" dxfId="1173" priority="3314" stopIfTrue="1" operator="containsText" text="Nivel III: Riesgo Moderado (Aceptable)">
      <formula>NOT(ISERROR(SEARCH("Nivel III: Riesgo Moderado (Aceptable)",Y330)))</formula>
    </cfRule>
  </conditionalFormatting>
  <conditionalFormatting sqref="Y331:Z331">
    <cfRule type="containsText" dxfId="1172" priority="3356" stopIfTrue="1" operator="containsText" text="Nivel IV: Riesgo Tolerable (Aceptable)">
      <formula>NOT(ISERROR(SEARCH("Nivel IV: Riesgo Tolerable (Aceptable)",Y331)))</formula>
    </cfRule>
    <cfRule type="containsText" dxfId="1171" priority="3355" stopIfTrue="1" operator="containsText" text="Nivel I: Riesgo Inaceptable">
      <formula>NOT(ISERROR(SEARCH("Nivel I: Riesgo Inaceptable",Y331)))</formula>
    </cfRule>
    <cfRule type="containsText" dxfId="1170" priority="3354" stopIfTrue="1" operator="containsText" text="Nivel II: Riesgo Importante">
      <formula>NOT(ISERROR(SEARCH("Nivel II: Riesgo Importante",Y331)))</formula>
    </cfRule>
    <cfRule type="containsText" dxfId="1169" priority="3353" stopIfTrue="1" operator="containsText" text="Nivel III: Riesgo Moderado (Aceptable)">
      <formula>NOT(ISERROR(SEARCH("Nivel III: Riesgo Moderado (Aceptable)",Y331)))</formula>
    </cfRule>
  </conditionalFormatting>
  <conditionalFormatting sqref="Y332:Z332">
    <cfRule type="containsText" dxfId="1168" priority="3272" stopIfTrue="1" operator="containsText" text="Nivel II: Riesgo Importante">
      <formula>NOT(ISERROR(SEARCH("Nivel II: Riesgo Importante",Y332)))</formula>
    </cfRule>
    <cfRule type="containsText" dxfId="1167" priority="3271" stopIfTrue="1" operator="containsText" text="Nivel III: Riesgo Moderado (Aceptable)">
      <formula>NOT(ISERROR(SEARCH("Nivel III: Riesgo Moderado (Aceptable)",Y332)))</formula>
    </cfRule>
    <cfRule type="containsText" dxfId="1166" priority="3274" stopIfTrue="1" operator="containsText" text="Nivel IV: Riesgo Tolerable (Aceptable)">
      <formula>NOT(ISERROR(SEARCH("Nivel IV: Riesgo Tolerable (Aceptable)",Y332)))</formula>
    </cfRule>
    <cfRule type="containsText" dxfId="1165" priority="3273" stopIfTrue="1" operator="containsText" text="Nivel I: Riesgo Inaceptable">
      <formula>NOT(ISERROR(SEARCH("Nivel I: Riesgo Inaceptable",Y332)))</formula>
    </cfRule>
  </conditionalFormatting>
  <conditionalFormatting sqref="Y333:Z333">
    <cfRule type="containsText" dxfId="1164" priority="3429" stopIfTrue="1" operator="containsText" text="Nivel III: Riesgo Moderado (Aceptable)">
      <formula>NOT(ISERROR(SEARCH("Nivel III: Riesgo Moderado (Aceptable)",Y333)))</formula>
    </cfRule>
  </conditionalFormatting>
  <conditionalFormatting sqref="Y334:Z335">
    <cfRule type="containsText" dxfId="1163" priority="3187" stopIfTrue="1" operator="containsText" text="Nivel III: Riesgo Moderado (Aceptable)">
      <formula>NOT(ISERROR(SEARCH("Nivel III: Riesgo Moderado (Aceptable)",Y334)))</formula>
    </cfRule>
  </conditionalFormatting>
  <conditionalFormatting sqref="Y336:Z336">
    <cfRule type="containsText" dxfId="1162" priority="3454" stopIfTrue="1" operator="containsText" text="Nivel III: Riesgo Moderado (Aceptable)">
      <formula>NOT(ISERROR(SEARCH("Nivel III: Riesgo Moderado (Aceptable)",Y336)))</formula>
    </cfRule>
  </conditionalFormatting>
  <conditionalFormatting sqref="Y337:Z338">
    <cfRule type="containsText" dxfId="1161" priority="3019" stopIfTrue="1" operator="containsText" text="Nivel III: Riesgo Moderado (Aceptable)">
      <formula>NOT(ISERROR(SEARCH("Nivel III: Riesgo Moderado (Aceptable)",Y337)))</formula>
    </cfRule>
  </conditionalFormatting>
  <conditionalFormatting sqref="Y339:Z341">
    <cfRule type="containsText" dxfId="1160" priority="2576" stopIfTrue="1" operator="containsText" text="Nivel III: Riesgo Moderado (Aceptable)">
      <formula>NOT(ISERROR(SEARCH("Nivel III: Riesgo Moderado (Aceptable)",Y339)))</formula>
    </cfRule>
  </conditionalFormatting>
  <conditionalFormatting sqref="Y340:Z340">
    <cfRule type="containsText" dxfId="1159" priority="2548" stopIfTrue="1" operator="containsText" text="Nivel III: Riesgo Moderado (Aceptable)">
      <formula>NOT(ISERROR(SEARCH("Nivel III: Riesgo Moderado (Aceptable)",Y340)))</formula>
    </cfRule>
  </conditionalFormatting>
  <conditionalFormatting sqref="Y342:Z342">
    <cfRule type="containsText" dxfId="1158" priority="3062" stopIfTrue="1" operator="containsText" text="Nivel III: Riesgo Moderado (Aceptable)">
      <formula>NOT(ISERROR(SEARCH("Nivel III: Riesgo Moderado (Aceptable)",Y342)))</formula>
    </cfRule>
  </conditionalFormatting>
  <conditionalFormatting sqref="Y343:Z343">
    <cfRule type="containsText" dxfId="1157" priority="2925" stopIfTrue="1" operator="containsText" text="Nivel III: Riesgo Moderado (Aceptable)">
      <formula>NOT(ISERROR(SEARCH("Nivel III: Riesgo Moderado (Aceptable)",Y343)))</formula>
    </cfRule>
  </conditionalFormatting>
  <conditionalFormatting sqref="Y344:Z344">
    <cfRule type="containsText" dxfId="1156" priority="2752" stopIfTrue="1" operator="containsText" text="Nivel II: Riesgo Importante">
      <formula>NOT(ISERROR(SEARCH("Nivel II: Riesgo Importante",Y344)))</formula>
    </cfRule>
    <cfRule type="containsText" dxfId="1155" priority="2751" stopIfTrue="1" operator="containsText" text="Nivel III: Riesgo Moderado (Aceptable)">
      <formula>NOT(ISERROR(SEARCH("Nivel III: Riesgo Moderado (Aceptable)",Y344)))</formula>
    </cfRule>
    <cfRule type="containsText" dxfId="1154" priority="2754" stopIfTrue="1" operator="containsText" text="Nivel IV: Riesgo Tolerable (Aceptable)">
      <formula>NOT(ISERROR(SEARCH("Nivel IV: Riesgo Tolerable (Aceptable)",Y344)))</formula>
    </cfRule>
    <cfRule type="containsText" dxfId="1153" priority="2753" stopIfTrue="1" operator="containsText" text="Nivel I: Riesgo Inaceptable">
      <formula>NOT(ISERROR(SEARCH("Nivel I: Riesgo Inaceptable",Y344)))</formula>
    </cfRule>
  </conditionalFormatting>
  <conditionalFormatting sqref="Y345:Z345">
    <cfRule type="containsText" dxfId="1152" priority="2791" stopIfTrue="1" operator="containsText" text="Nivel II: Riesgo Importante">
      <formula>NOT(ISERROR(SEARCH("Nivel II: Riesgo Importante",Y345)))</formula>
    </cfRule>
    <cfRule type="containsText" dxfId="1151" priority="2793" stopIfTrue="1" operator="containsText" text="Nivel IV: Riesgo Tolerable (Aceptable)">
      <formula>NOT(ISERROR(SEARCH("Nivel IV: Riesgo Tolerable (Aceptable)",Y345)))</formula>
    </cfRule>
    <cfRule type="containsText" dxfId="1150" priority="2792" stopIfTrue="1" operator="containsText" text="Nivel I: Riesgo Inaceptable">
      <formula>NOT(ISERROR(SEARCH("Nivel I: Riesgo Inaceptable",Y345)))</formula>
    </cfRule>
    <cfRule type="containsText" dxfId="1149" priority="2790" stopIfTrue="1" operator="containsText" text="Nivel III: Riesgo Moderado (Aceptable)">
      <formula>NOT(ISERROR(SEARCH("Nivel III: Riesgo Moderado (Aceptable)",Y345)))</formula>
    </cfRule>
  </conditionalFormatting>
  <conditionalFormatting sqref="Y346:Z346">
    <cfRule type="containsText" dxfId="1148" priority="2709" stopIfTrue="1" operator="containsText" text="Nivel II: Riesgo Importante">
      <formula>NOT(ISERROR(SEARCH("Nivel II: Riesgo Importante",Y346)))</formula>
    </cfRule>
    <cfRule type="containsText" dxfId="1147" priority="2711" stopIfTrue="1" operator="containsText" text="Nivel IV: Riesgo Tolerable (Aceptable)">
      <formula>NOT(ISERROR(SEARCH("Nivel IV: Riesgo Tolerable (Aceptable)",Y346)))</formula>
    </cfRule>
    <cfRule type="containsText" dxfId="1146" priority="2708" stopIfTrue="1" operator="containsText" text="Nivel III: Riesgo Moderado (Aceptable)">
      <formula>NOT(ISERROR(SEARCH("Nivel III: Riesgo Moderado (Aceptable)",Y346)))</formula>
    </cfRule>
    <cfRule type="containsText" dxfId="1145" priority="2710" stopIfTrue="1" operator="containsText" text="Nivel I: Riesgo Inaceptable">
      <formula>NOT(ISERROR(SEARCH("Nivel I: Riesgo Inaceptable",Y346)))</formula>
    </cfRule>
  </conditionalFormatting>
  <conditionalFormatting sqref="Y347:Z347">
    <cfRule type="containsText" dxfId="1144" priority="2866" stopIfTrue="1" operator="containsText" text="Nivel III: Riesgo Moderado (Aceptable)">
      <formula>NOT(ISERROR(SEARCH("Nivel III: Riesgo Moderado (Aceptable)",Y347)))</formula>
    </cfRule>
  </conditionalFormatting>
  <conditionalFormatting sqref="Y348:Z349">
    <cfRule type="containsText" dxfId="1143" priority="2624" stopIfTrue="1" operator="containsText" text="Nivel III: Riesgo Moderado (Aceptable)">
      <formula>NOT(ISERROR(SEARCH("Nivel III: Riesgo Moderado (Aceptable)",Y348)))</formula>
    </cfRule>
  </conditionalFormatting>
  <conditionalFormatting sqref="Y350:Z350">
    <cfRule type="containsText" dxfId="1142" priority="2891" stopIfTrue="1" operator="containsText" text="Nivel III: Riesgo Moderado (Aceptable)">
      <formula>NOT(ISERROR(SEARCH("Nivel III: Riesgo Moderado (Aceptable)",Y350)))</formula>
    </cfRule>
  </conditionalFormatting>
  <conditionalFormatting sqref="Y351:Z352">
    <cfRule type="containsText" dxfId="1141" priority="2439" stopIfTrue="1" operator="containsText" text="Nivel III: Riesgo Moderado (Aceptable)">
      <formula>NOT(ISERROR(SEARCH("Nivel III: Riesgo Moderado (Aceptable)",Y351)))</formula>
    </cfRule>
  </conditionalFormatting>
  <conditionalFormatting sqref="Y353:Z356">
    <cfRule type="containsText" dxfId="1140" priority="2043" stopIfTrue="1" operator="containsText" text="Nivel III: Riesgo Moderado (Aceptable)">
      <formula>NOT(ISERROR(SEARCH("Nivel III: Riesgo Moderado (Aceptable)",Y353)))</formula>
    </cfRule>
  </conditionalFormatting>
  <conditionalFormatting sqref="Y354:Z354">
    <cfRule type="containsText" dxfId="1139" priority="2153" stopIfTrue="1" operator="containsText" text="Nivel III: Riesgo Moderado (Aceptable)">
      <formula>NOT(ISERROR(SEARCH("Nivel III: Riesgo Moderado (Aceptable)",Y354)))</formula>
    </cfRule>
  </conditionalFormatting>
  <conditionalFormatting sqref="Y355:Z355">
    <cfRule type="containsText" dxfId="1138" priority="2015" stopIfTrue="1" operator="containsText" text="Nivel III: Riesgo Moderado (Aceptable)">
      <formula>NOT(ISERROR(SEARCH("Nivel III: Riesgo Moderado (Aceptable)",Y355)))</formula>
    </cfRule>
  </conditionalFormatting>
  <conditionalFormatting sqref="Y357:Z357">
    <cfRule type="containsText" dxfId="1137" priority="2482" stopIfTrue="1" operator="containsText" text="Nivel III: Riesgo Moderado (Aceptable)">
      <formula>NOT(ISERROR(SEARCH("Nivel III: Riesgo Moderado (Aceptable)",Y357)))</formula>
    </cfRule>
  </conditionalFormatting>
  <conditionalFormatting sqref="Y358:Z358">
    <cfRule type="containsText" dxfId="1136" priority="2345" stopIfTrue="1" operator="containsText" text="Nivel III: Riesgo Moderado (Aceptable)">
      <formula>NOT(ISERROR(SEARCH("Nivel III: Riesgo Moderado (Aceptable)",Y358)))</formula>
    </cfRule>
  </conditionalFormatting>
  <conditionalFormatting sqref="Y359:Z359">
    <cfRule type="containsText" dxfId="1135" priority="2205" stopIfTrue="1" operator="containsText" text="Nivel II: Riesgo Importante">
      <formula>NOT(ISERROR(SEARCH("Nivel II: Riesgo Importante",Y359)))</formula>
    </cfRule>
    <cfRule type="containsText" dxfId="1134" priority="2206" stopIfTrue="1" operator="containsText" text="Nivel I: Riesgo Inaceptable">
      <formula>NOT(ISERROR(SEARCH("Nivel I: Riesgo Inaceptable",Y359)))</formula>
    </cfRule>
    <cfRule type="containsText" dxfId="1133" priority="2207" stopIfTrue="1" operator="containsText" text="Nivel IV: Riesgo Tolerable (Aceptable)">
      <formula>NOT(ISERROR(SEARCH("Nivel IV: Riesgo Tolerable (Aceptable)",Y359)))</formula>
    </cfRule>
    <cfRule type="containsText" dxfId="1132" priority="2204" stopIfTrue="1" operator="containsText" text="Nivel III: Riesgo Moderado (Aceptable)">
      <formula>NOT(ISERROR(SEARCH("Nivel III: Riesgo Moderado (Aceptable)",Y359)))</formula>
    </cfRule>
  </conditionalFormatting>
  <conditionalFormatting sqref="Y360:Z360">
    <cfRule type="containsText" dxfId="1131" priority="2286" stopIfTrue="1" operator="containsText" text="Nivel III: Riesgo Moderado (Aceptable)">
      <formula>NOT(ISERROR(SEARCH("Nivel III: Riesgo Moderado (Aceptable)",Y360)))</formula>
    </cfRule>
  </conditionalFormatting>
  <conditionalFormatting sqref="Y361:Z362">
    <cfRule type="containsText" dxfId="1130" priority="2051" stopIfTrue="1" operator="containsText" text="Nivel III: Riesgo Moderado (Aceptable)">
      <formula>NOT(ISERROR(SEARCH("Nivel III: Riesgo Moderado (Aceptable)",Y361)))</formula>
    </cfRule>
  </conditionalFormatting>
  <conditionalFormatting sqref="Y363:Z363">
    <cfRule type="containsText" dxfId="1129" priority="2311" stopIfTrue="1" operator="containsText" text="Nivel III: Riesgo Moderado (Aceptable)">
      <formula>NOT(ISERROR(SEARCH("Nivel III: Riesgo Moderado (Aceptable)",Y363)))</formula>
    </cfRule>
  </conditionalFormatting>
  <conditionalFormatting sqref="Y364:Z365">
    <cfRule type="containsText" dxfId="1128" priority="2165" stopIfTrue="1" operator="containsText" text="Nivel III: Riesgo Moderado (Aceptable)">
      <formula>NOT(ISERROR(SEARCH("Nivel III: Riesgo Moderado (Aceptable)",Y364)))</formula>
    </cfRule>
  </conditionalFormatting>
  <conditionalFormatting sqref="Y366:Z367">
    <cfRule type="containsText" dxfId="1127" priority="1587" stopIfTrue="1" operator="containsText" text="Nivel III: Riesgo Moderado (Aceptable)">
      <formula>NOT(ISERROR(SEARCH("Nivel III: Riesgo Moderado (Aceptable)",Y366)))</formula>
    </cfRule>
  </conditionalFormatting>
  <conditionalFormatting sqref="Y367:Z369">
    <cfRule type="containsText" dxfId="1126" priority="1555" stopIfTrue="1" operator="containsText" text="Nivel III: Riesgo Moderado (Aceptable)">
      <formula>NOT(ISERROR(SEARCH("Nivel III: Riesgo Moderado (Aceptable)",Y367)))</formula>
    </cfRule>
  </conditionalFormatting>
  <conditionalFormatting sqref="Y368:Z368">
    <cfRule type="containsText" dxfId="1125" priority="1527" stopIfTrue="1" operator="containsText" text="Nivel III: Riesgo Moderado (Aceptable)">
      <formula>NOT(ISERROR(SEARCH("Nivel III: Riesgo Moderado (Aceptable)",Y368)))</formula>
    </cfRule>
  </conditionalFormatting>
  <conditionalFormatting sqref="Y370:Z370">
    <cfRule type="containsText" dxfId="1124" priority="1953" stopIfTrue="1" operator="containsText" text="Nivel III: Riesgo Moderado (Aceptable)">
      <formula>NOT(ISERROR(SEARCH("Nivel III: Riesgo Moderado (Aceptable)",Y370)))</formula>
    </cfRule>
  </conditionalFormatting>
  <conditionalFormatting sqref="Y371:Z371">
    <cfRule type="containsText" dxfId="1123" priority="1816" stopIfTrue="1" operator="containsText" text="Nivel III: Riesgo Moderado (Aceptable)">
      <formula>NOT(ISERROR(SEARCH("Nivel III: Riesgo Moderado (Aceptable)",Y371)))</formula>
    </cfRule>
  </conditionalFormatting>
  <conditionalFormatting sqref="Y372:Z372">
    <cfRule type="containsText" dxfId="1122" priority="1684" stopIfTrue="1" operator="containsText" text="Nivel IV: Riesgo Tolerable (Aceptable)">
      <formula>NOT(ISERROR(SEARCH("Nivel IV: Riesgo Tolerable (Aceptable)",Y372)))</formula>
    </cfRule>
    <cfRule type="containsText" dxfId="1121" priority="1682" stopIfTrue="1" operator="containsText" text="Nivel II: Riesgo Importante">
      <formula>NOT(ISERROR(SEARCH("Nivel II: Riesgo Importante",Y372)))</formula>
    </cfRule>
    <cfRule type="containsText" dxfId="1120" priority="1683" stopIfTrue="1" operator="containsText" text="Nivel I: Riesgo Inaceptable">
      <formula>NOT(ISERROR(SEARCH("Nivel I: Riesgo Inaceptable",Y372)))</formula>
    </cfRule>
    <cfRule type="containsText" dxfId="1119" priority="1681" stopIfTrue="1" operator="containsText" text="Nivel III: Riesgo Moderado (Aceptable)">
      <formula>NOT(ISERROR(SEARCH("Nivel III: Riesgo Moderado (Aceptable)",Y372)))</formula>
    </cfRule>
  </conditionalFormatting>
  <conditionalFormatting sqref="Y373:Z373">
    <cfRule type="containsText" dxfId="1118" priority="1638" stopIfTrue="1" operator="containsText" text="Nivel III: Riesgo Moderado (Aceptable)">
      <formula>NOT(ISERROR(SEARCH("Nivel III: Riesgo Moderado (Aceptable)",Y373)))</formula>
    </cfRule>
    <cfRule type="containsText" dxfId="1117" priority="1639" stopIfTrue="1" operator="containsText" text="Nivel II: Riesgo Importante">
      <formula>NOT(ISERROR(SEARCH("Nivel II: Riesgo Importante",Y373)))</formula>
    </cfRule>
    <cfRule type="containsText" dxfId="1116" priority="1641" stopIfTrue="1" operator="containsText" text="Nivel IV: Riesgo Tolerable (Aceptable)">
      <formula>NOT(ISERROR(SEARCH("Nivel IV: Riesgo Tolerable (Aceptable)",Y373)))</formula>
    </cfRule>
    <cfRule type="containsText" dxfId="1115" priority="1640" stopIfTrue="1" operator="containsText" text="Nivel I: Riesgo Inaceptable">
      <formula>NOT(ISERROR(SEARCH("Nivel I: Riesgo Inaceptable",Y373)))</formula>
    </cfRule>
  </conditionalFormatting>
  <conditionalFormatting sqref="Y374:Z374">
    <cfRule type="containsText" dxfId="1114" priority="1757" stopIfTrue="1" operator="containsText" text="Nivel III: Riesgo Moderado (Aceptable)">
      <formula>NOT(ISERROR(SEARCH("Nivel III: Riesgo Moderado (Aceptable)",Y374)))</formula>
    </cfRule>
  </conditionalFormatting>
  <conditionalFormatting sqref="Y375:Z375">
    <cfRule type="containsText" dxfId="1113" priority="1696" stopIfTrue="1" operator="containsText" text="Nivel III: Riesgo Moderado (Aceptable)">
      <formula>NOT(ISERROR(SEARCH("Nivel III: Riesgo Moderado (Aceptable)",Y375)))</formula>
    </cfRule>
  </conditionalFormatting>
  <conditionalFormatting sqref="Y376:Z376">
    <cfRule type="containsText" dxfId="1112" priority="1782" stopIfTrue="1" operator="containsText" text="Nivel III: Riesgo Moderado (Aceptable)">
      <formula>NOT(ISERROR(SEARCH("Nivel III: Riesgo Moderado (Aceptable)",Y376)))</formula>
    </cfRule>
  </conditionalFormatting>
  <conditionalFormatting sqref="Y377:Z377">
    <cfRule type="containsText" dxfId="1111" priority="1599" stopIfTrue="1" operator="containsText" text="Nivel III: Riesgo Moderado (Aceptable)">
      <formula>NOT(ISERROR(SEARCH("Nivel III: Riesgo Moderado (Aceptable)",Y377)))</formula>
    </cfRule>
  </conditionalFormatting>
  <conditionalFormatting sqref="Y378:Z380">
    <cfRule type="containsText" dxfId="1110" priority="1158" stopIfTrue="1" operator="containsText" text="Nivel III: Riesgo Moderado (Aceptable)">
      <formula>NOT(ISERROR(SEARCH("Nivel III: Riesgo Moderado (Aceptable)",Y378)))</formula>
    </cfRule>
  </conditionalFormatting>
  <conditionalFormatting sqref="Y381:Z381">
    <cfRule type="containsText" dxfId="1109" priority="1470" stopIfTrue="1" operator="containsText" text="Nivel III: Riesgo Moderado (Aceptable)">
      <formula>NOT(ISERROR(SEARCH("Nivel III: Riesgo Moderado (Aceptable)",Y381)))</formula>
    </cfRule>
  </conditionalFormatting>
  <conditionalFormatting sqref="Y382:Z382">
    <cfRule type="containsText" dxfId="1108" priority="1290" stopIfTrue="1" operator="containsText" text="Nivel III: Riesgo Moderado (Aceptable)">
      <formula>NOT(ISERROR(SEARCH("Nivel III: Riesgo Moderado (Aceptable)",Y382)))</formula>
    </cfRule>
    <cfRule type="containsText" dxfId="1107" priority="1292" stopIfTrue="1" operator="containsText" text="Nivel I: Riesgo Inaceptable">
      <formula>NOT(ISERROR(SEARCH("Nivel I: Riesgo Inaceptable",Y382)))</formula>
    </cfRule>
    <cfRule type="containsText" dxfId="1106" priority="1293" stopIfTrue="1" operator="containsText" text="Nivel IV: Riesgo Tolerable (Aceptable)">
      <formula>NOT(ISERROR(SEARCH("Nivel IV: Riesgo Tolerable (Aceptable)",Y382)))</formula>
    </cfRule>
    <cfRule type="containsText" dxfId="1105" priority="1291" stopIfTrue="1" operator="containsText" text="Nivel II: Riesgo Importante">
      <formula>NOT(ISERROR(SEARCH("Nivel II: Riesgo Importante",Y382)))</formula>
    </cfRule>
  </conditionalFormatting>
  <conditionalFormatting sqref="Y383:Z383">
    <cfRule type="containsText" dxfId="1104" priority="1248" stopIfTrue="1" operator="containsText" text="Nivel IV: Riesgo Tolerable (Aceptable)">
      <formula>NOT(ISERROR(SEARCH("Nivel IV: Riesgo Tolerable (Aceptable)",Y383)))</formula>
    </cfRule>
    <cfRule type="containsText" dxfId="1103" priority="1247" stopIfTrue="1" operator="containsText" text="Nivel I: Riesgo Inaceptable">
      <formula>NOT(ISERROR(SEARCH("Nivel I: Riesgo Inaceptable",Y383)))</formula>
    </cfRule>
    <cfRule type="containsText" dxfId="1102" priority="1246" stopIfTrue="1" operator="containsText" text="Nivel II: Riesgo Importante">
      <formula>NOT(ISERROR(SEARCH("Nivel II: Riesgo Importante",Y383)))</formula>
    </cfRule>
    <cfRule type="containsText" dxfId="1101" priority="1245" stopIfTrue="1" operator="containsText" text="Nivel III: Riesgo Moderado (Aceptable)">
      <formula>NOT(ISERROR(SEARCH("Nivel III: Riesgo Moderado (Aceptable)",Y383)))</formula>
    </cfRule>
  </conditionalFormatting>
  <conditionalFormatting sqref="Y384:Z384">
    <cfRule type="containsText" dxfId="1100" priority="1366" stopIfTrue="1" operator="containsText" text="Nivel III: Riesgo Moderado (Aceptable)">
      <formula>NOT(ISERROR(SEARCH("Nivel III: Riesgo Moderado (Aceptable)",Y384)))</formula>
    </cfRule>
  </conditionalFormatting>
  <conditionalFormatting sqref="Y385:Z385">
    <cfRule type="containsText" dxfId="1099" priority="1305" stopIfTrue="1" operator="containsText" text="Nivel III: Riesgo Moderado (Aceptable)">
      <formula>NOT(ISERROR(SEARCH("Nivel III: Riesgo Moderado (Aceptable)",Y385)))</formula>
    </cfRule>
  </conditionalFormatting>
  <conditionalFormatting sqref="Y386:Z386">
    <cfRule type="containsText" dxfId="1098" priority="1391" stopIfTrue="1" operator="containsText" text="Nivel III: Riesgo Moderado (Aceptable)">
      <formula>NOT(ISERROR(SEARCH("Nivel III: Riesgo Moderado (Aceptable)",Y386)))</formula>
    </cfRule>
  </conditionalFormatting>
  <conditionalFormatting sqref="Y387:Z387">
    <cfRule type="containsText" dxfId="1097" priority="1206" stopIfTrue="1" operator="containsText" text="Nivel III: Riesgo Moderado (Aceptable)">
      <formula>NOT(ISERROR(SEARCH("Nivel III: Riesgo Moderado (Aceptable)",Y387)))</formula>
    </cfRule>
  </conditionalFormatting>
  <conditionalFormatting sqref="Y394:Z394">
    <cfRule type="containsText" dxfId="1096" priority="798" stopIfTrue="1" operator="containsText" text="Nivel I: Riesgo Inaceptable">
      <formula>NOT(ISERROR(SEARCH("Nivel I: Riesgo Inaceptable",Y394)))</formula>
    </cfRule>
    <cfRule type="containsText" dxfId="1095" priority="797" stopIfTrue="1" operator="containsText" text="Nivel II: Riesgo Importante">
      <formula>NOT(ISERROR(SEARCH("Nivel II: Riesgo Importante",Y394)))</formula>
    </cfRule>
    <cfRule type="containsText" dxfId="1094" priority="796" stopIfTrue="1" operator="containsText" text="Nivel III: Riesgo Moderado (Aceptable)">
      <formula>NOT(ISERROR(SEARCH("Nivel III: Riesgo Moderado (Aceptable)",Y394)))</formula>
    </cfRule>
    <cfRule type="containsText" dxfId="1093" priority="799" stopIfTrue="1" operator="containsText" text="Nivel IV: Riesgo Tolerable (Aceptable)">
      <formula>NOT(ISERROR(SEARCH("Nivel IV: Riesgo Tolerable (Aceptable)",Y394)))</formula>
    </cfRule>
  </conditionalFormatting>
  <conditionalFormatting sqref="Y395:Z395">
    <cfRule type="containsText" dxfId="1092" priority="753" stopIfTrue="1" operator="containsText" text="Nivel III: Riesgo Moderado (Aceptable)">
      <formula>NOT(ISERROR(SEARCH("Nivel III: Riesgo Moderado (Aceptable)",Y395)))</formula>
    </cfRule>
    <cfRule type="containsText" dxfId="1091" priority="754" stopIfTrue="1" operator="containsText" text="Nivel II: Riesgo Importante">
      <formula>NOT(ISERROR(SEARCH("Nivel II: Riesgo Importante",Y395)))</formula>
    </cfRule>
    <cfRule type="containsText" dxfId="1090" priority="755" stopIfTrue="1" operator="containsText" text="Nivel I: Riesgo Inaceptable">
      <formula>NOT(ISERROR(SEARCH("Nivel I: Riesgo Inaceptable",Y395)))</formula>
    </cfRule>
    <cfRule type="containsText" dxfId="1089" priority="756" stopIfTrue="1" operator="containsText" text="Nivel IV: Riesgo Tolerable (Aceptable)">
      <formula>NOT(ISERROR(SEARCH("Nivel IV: Riesgo Tolerable (Aceptable)",Y395)))</formula>
    </cfRule>
  </conditionalFormatting>
  <conditionalFormatting sqref="Y407:Z407">
    <cfRule type="containsText" dxfId="1088" priority="269" stopIfTrue="1" operator="containsText" text="Nivel IV: Riesgo Tolerable (Aceptable)">
      <formula>NOT(ISERROR(SEARCH("Nivel IV: Riesgo Tolerable (Aceptable)",Y407)))</formula>
    </cfRule>
    <cfRule type="containsText" dxfId="1087" priority="266" stopIfTrue="1" operator="containsText" text="Nivel III: Riesgo Moderado (Aceptable)">
      <formula>NOT(ISERROR(SEARCH("Nivel III: Riesgo Moderado (Aceptable)",Y407)))</formula>
    </cfRule>
    <cfRule type="containsText" dxfId="1086" priority="268" stopIfTrue="1" operator="containsText" text="Nivel I: Riesgo Inaceptable">
      <formula>NOT(ISERROR(SEARCH("Nivel I: Riesgo Inaceptable",Y407)))</formula>
    </cfRule>
    <cfRule type="containsText" dxfId="1085" priority="267" stopIfTrue="1" operator="containsText" text="Nivel II: Riesgo Importante">
      <formula>NOT(ISERROR(SEARCH("Nivel II: Riesgo Importante",Y407)))</formula>
    </cfRule>
  </conditionalFormatting>
  <conditionalFormatting sqref="Y408:Z408">
    <cfRule type="containsText" dxfId="1084" priority="223" stopIfTrue="1" operator="containsText" text="Nivel III: Riesgo Moderado (Aceptable)">
      <formula>NOT(ISERROR(SEARCH("Nivel III: Riesgo Moderado (Aceptable)",Y408)))</formula>
    </cfRule>
    <cfRule type="containsText" dxfId="1083" priority="224" stopIfTrue="1" operator="containsText" text="Nivel II: Riesgo Importante">
      <formula>NOT(ISERROR(SEARCH("Nivel II: Riesgo Importante",Y408)))</formula>
    </cfRule>
    <cfRule type="containsText" dxfId="1082" priority="226" stopIfTrue="1" operator="containsText" text="Nivel IV: Riesgo Tolerable (Aceptable)">
      <formula>NOT(ISERROR(SEARCH("Nivel IV: Riesgo Tolerable (Aceptable)",Y408)))</formula>
    </cfRule>
    <cfRule type="containsText" dxfId="1081" priority="225" stopIfTrue="1" operator="containsText" text="Nivel I: Riesgo Inaceptable">
      <formula>NOT(ISERROR(SEARCH("Nivel I: Riesgo Inaceptable",Y408)))</formula>
    </cfRule>
  </conditionalFormatting>
  <conditionalFormatting sqref="Z15:Z30">
    <cfRule type="containsText" dxfId="1080" priority="13990" stopIfTrue="1" operator="containsText" text="Nivel II: Riesgo Importante">
      <formula>NOT(ISERROR(SEARCH("Nivel II: Riesgo Importante",Z15)))</formula>
    </cfRule>
    <cfRule type="containsText" dxfId="1079" priority="13991" stopIfTrue="1" operator="containsText" text="Nivel I: Riesgo Inaceptable">
      <formula>NOT(ISERROR(SEARCH("Nivel I: Riesgo Inaceptable",Z15)))</formula>
    </cfRule>
    <cfRule type="containsText" dxfId="1078" priority="13992" stopIfTrue="1" operator="containsText" text="Nivel IV: Riesgo Tolerable (Aceptable)">
      <formula>NOT(ISERROR(SEARCH("Nivel IV: Riesgo Tolerable (Aceptable)",Z15)))</formula>
    </cfRule>
  </conditionalFormatting>
  <conditionalFormatting sqref="Z15:Z54">
    <cfRule type="containsText" dxfId="1077" priority="8837" stopIfTrue="1" operator="containsText" text="Nivel III: Riesgo Moderado (Aceptable)">
      <formula>NOT(ISERROR(SEARCH("Nivel III: Riesgo Moderado (Aceptable)",Z15)))</formula>
    </cfRule>
  </conditionalFormatting>
  <conditionalFormatting sqref="Z31">
    <cfRule type="containsText" dxfId="1076" priority="8838" stopIfTrue="1" operator="containsText" text="Nivel II: Riesgo Importante">
      <formula>NOT(ISERROR(SEARCH("Nivel II: Riesgo Importante",Z31)))</formula>
    </cfRule>
    <cfRule type="containsText" dxfId="1075" priority="8839" stopIfTrue="1" operator="containsText" text="Nivel I: Riesgo Inaceptable">
      <formula>NOT(ISERROR(SEARCH("Nivel I: Riesgo Inaceptable",Z31)))</formula>
    </cfRule>
    <cfRule type="containsText" dxfId="1074" priority="8840" stopIfTrue="1" operator="containsText" text="Nivel IV: Riesgo Tolerable (Aceptable)">
      <formula>NOT(ISERROR(SEARCH("Nivel IV: Riesgo Tolerable (Aceptable)",Z31)))</formula>
    </cfRule>
    <cfRule type="containsText" dxfId="1073" priority="8815" stopIfTrue="1" operator="containsText" text="Nivel II: Riesgo Importante">
      <formula>NOT(ISERROR(SEARCH("Nivel II: Riesgo Importante",Z31)))</formula>
    </cfRule>
    <cfRule type="containsText" dxfId="1072" priority="8816" stopIfTrue="1" operator="containsText" text="Nivel I: Riesgo Inaceptable">
      <formula>NOT(ISERROR(SEARCH("Nivel I: Riesgo Inaceptable",Z31)))</formula>
    </cfRule>
    <cfRule type="containsText" dxfId="1071" priority="8817" stopIfTrue="1" operator="containsText" text="Nivel IV: Riesgo Tolerable (Aceptable)">
      <formula>NOT(ISERROR(SEARCH("Nivel IV: Riesgo Tolerable (Aceptable)",Z31)))</formula>
    </cfRule>
  </conditionalFormatting>
  <conditionalFormatting sqref="Z32:Z54">
    <cfRule type="containsText" dxfId="1070" priority="13844" stopIfTrue="1" operator="containsText" text="Nivel II: Riesgo Importante">
      <formula>NOT(ISERROR(SEARCH("Nivel II: Riesgo Importante",Z32)))</formula>
    </cfRule>
    <cfRule type="containsText" dxfId="1069" priority="13845" stopIfTrue="1" operator="containsText" text="Nivel I: Riesgo Inaceptable">
      <formula>NOT(ISERROR(SEARCH("Nivel I: Riesgo Inaceptable",Z32)))</formula>
    </cfRule>
    <cfRule type="containsText" dxfId="1068" priority="13846" stopIfTrue="1" operator="containsText" text="Nivel IV: Riesgo Tolerable (Aceptable)">
      <formula>NOT(ISERROR(SEARCH("Nivel IV: Riesgo Tolerable (Aceptable)",Z32)))</formula>
    </cfRule>
  </conditionalFormatting>
  <conditionalFormatting sqref="Z55:Z96 Y7:Y30 Z137:Z154 Z156:Z171 Y7:Z14 Y416:Z439">
    <cfRule type="containsText" dxfId="1067" priority="14055" stopIfTrue="1" operator="containsText" text="Nivel III: Riesgo Moderado (Aceptable)">
      <formula>NOT(ISERROR(SEARCH("Nivel III: Riesgo Moderado (Aceptable)",Y7)))</formula>
    </cfRule>
  </conditionalFormatting>
  <conditionalFormatting sqref="Z92">
    <cfRule type="containsText" dxfId="1066" priority="13177" stopIfTrue="1" operator="containsText" text="Nivel IV: Riesgo Tolerable (Aceptable)">
      <formula>NOT(ISERROR(SEARCH("Nivel IV: Riesgo Tolerable (Aceptable)",Z92)))</formula>
    </cfRule>
    <cfRule type="containsText" dxfId="1065" priority="13175" stopIfTrue="1" operator="containsText" text="Nivel II: Riesgo Importante">
      <formula>NOT(ISERROR(SEARCH("Nivel II: Riesgo Importante",Z92)))</formula>
    </cfRule>
    <cfRule type="containsText" dxfId="1064" priority="13176" stopIfTrue="1" operator="containsText" text="Nivel I: Riesgo Inaceptable">
      <formula>NOT(ISERROR(SEARCH("Nivel I: Riesgo Inaceptable",Z92)))</formula>
    </cfRule>
  </conditionalFormatting>
  <conditionalFormatting sqref="Z92:Z98">
    <cfRule type="containsText" dxfId="1063" priority="8786" stopIfTrue="1" operator="containsText" text="Nivel III: Riesgo Moderado (Aceptable)">
      <formula>NOT(ISERROR(SEARCH("Nivel III: Riesgo Moderado (Aceptable)",Z92)))</formula>
    </cfRule>
  </conditionalFormatting>
  <conditionalFormatting sqref="Z93:Z94">
    <cfRule type="containsText" dxfId="1062" priority="13136" stopIfTrue="1" operator="containsText" text="Nivel II: Riesgo Importante">
      <formula>NOT(ISERROR(SEARCH("Nivel II: Riesgo Importante",Z93)))</formula>
    </cfRule>
    <cfRule type="containsText" dxfId="1061" priority="13138" stopIfTrue="1" operator="containsText" text="Nivel IV: Riesgo Tolerable (Aceptable)">
      <formula>NOT(ISERROR(SEARCH("Nivel IV: Riesgo Tolerable (Aceptable)",Z93)))</formula>
    </cfRule>
    <cfRule type="containsText" dxfId="1060" priority="13137" stopIfTrue="1" operator="containsText" text="Nivel I: Riesgo Inaceptable">
      <formula>NOT(ISERROR(SEARCH("Nivel I: Riesgo Inaceptable",Z93)))</formula>
    </cfRule>
  </conditionalFormatting>
  <conditionalFormatting sqref="Z95:Z96">
    <cfRule type="containsText" dxfId="1059" priority="13098" stopIfTrue="1" operator="containsText" text="Nivel II: Riesgo Importante">
      <formula>NOT(ISERROR(SEARCH("Nivel II: Riesgo Importante",Z95)))</formula>
    </cfRule>
    <cfRule type="containsText" dxfId="1058" priority="13099" stopIfTrue="1" operator="containsText" text="Nivel I: Riesgo Inaceptable">
      <formula>NOT(ISERROR(SEARCH("Nivel I: Riesgo Inaceptable",Z95)))</formula>
    </cfRule>
    <cfRule type="containsText" dxfId="1057" priority="13100" stopIfTrue="1" operator="containsText" text="Nivel IV: Riesgo Tolerable (Aceptable)">
      <formula>NOT(ISERROR(SEARCH("Nivel IV: Riesgo Tolerable (Aceptable)",Z95)))</formula>
    </cfRule>
  </conditionalFormatting>
  <conditionalFormatting sqref="Z97 Z99:Z116">
    <cfRule type="containsText" dxfId="1056" priority="13020" stopIfTrue="1" operator="containsText" text="Nivel I: Riesgo Inaceptable">
      <formula>NOT(ISERROR(SEARCH("Nivel I: Riesgo Inaceptable",Z97)))</formula>
    </cfRule>
    <cfRule type="containsText" dxfId="1055" priority="13019" stopIfTrue="1" operator="containsText" text="Nivel II: Riesgo Importante">
      <formula>NOT(ISERROR(SEARCH("Nivel II: Riesgo Importante",Z97)))</formula>
    </cfRule>
    <cfRule type="containsText" dxfId="1054" priority="13021" stopIfTrue="1" operator="containsText" text="Nivel IV: Riesgo Tolerable (Aceptable)">
      <formula>NOT(ISERROR(SEARCH("Nivel IV: Riesgo Tolerable (Aceptable)",Z97)))</formula>
    </cfRule>
  </conditionalFormatting>
  <conditionalFormatting sqref="Z98">
    <cfRule type="containsText" dxfId="1053" priority="8766" stopIfTrue="1" operator="containsText" text="Nivel IV: Riesgo Tolerable (Aceptable)">
      <formula>NOT(ISERROR(SEARCH("Nivel IV: Riesgo Tolerable (Aceptable)",Z98)))</formula>
    </cfRule>
    <cfRule type="containsText" dxfId="1052" priority="8764" stopIfTrue="1" operator="containsText" text="Nivel II: Riesgo Importante">
      <formula>NOT(ISERROR(SEARCH("Nivel II: Riesgo Importante",Z98)))</formula>
    </cfRule>
    <cfRule type="containsText" dxfId="1051" priority="8765" stopIfTrue="1" operator="containsText" text="Nivel I: Riesgo Inaceptable">
      <formula>NOT(ISERROR(SEARCH("Nivel I: Riesgo Inaceptable",Z98)))</formula>
    </cfRule>
    <cfRule type="containsText" dxfId="1050" priority="8789" stopIfTrue="1" operator="containsText" text="Nivel IV: Riesgo Tolerable (Aceptable)">
      <formula>NOT(ISERROR(SEARCH("Nivel IV: Riesgo Tolerable (Aceptable)",Z98)))</formula>
    </cfRule>
    <cfRule type="containsText" dxfId="1049" priority="8787" stopIfTrue="1" operator="containsText" text="Nivel II: Riesgo Importante">
      <formula>NOT(ISERROR(SEARCH("Nivel II: Riesgo Importante",Z98)))</formula>
    </cfRule>
    <cfRule type="containsText" dxfId="1048" priority="8788" stopIfTrue="1" operator="containsText" text="Nivel I: Riesgo Inaceptable">
      <formula>NOT(ISERROR(SEARCH("Nivel I: Riesgo Inaceptable",Z98)))</formula>
    </cfRule>
  </conditionalFormatting>
  <conditionalFormatting sqref="Z99">
    <cfRule type="containsText" dxfId="1047" priority="12858" stopIfTrue="1" operator="containsText" text="Nivel II: Riesgo Importante">
      <formula>NOT(ISERROR(SEARCH("Nivel II: Riesgo Importante",Z99)))</formula>
    </cfRule>
    <cfRule type="containsText" dxfId="1046" priority="12860" stopIfTrue="1" operator="containsText" text="Nivel IV: Riesgo Tolerable (Aceptable)">
      <formula>NOT(ISERROR(SEARCH("Nivel IV: Riesgo Tolerable (Aceptable)",Z99)))</formula>
    </cfRule>
    <cfRule type="containsText" dxfId="1045" priority="12859" stopIfTrue="1" operator="containsText" text="Nivel I: Riesgo Inaceptable">
      <formula>NOT(ISERROR(SEARCH("Nivel I: Riesgo Inaceptable",Z99)))</formula>
    </cfRule>
  </conditionalFormatting>
  <conditionalFormatting sqref="Z99:Z116">
    <cfRule type="containsText" dxfId="1044" priority="13018" stopIfTrue="1" operator="containsText" text="Nivel III: Riesgo Moderado (Aceptable)">
      <formula>NOT(ISERROR(SEARCH("Nivel III: Riesgo Moderado (Aceptable)",Z99)))</formula>
    </cfRule>
  </conditionalFormatting>
  <conditionalFormatting sqref="Z100">
    <cfRule type="containsText" dxfId="1043" priority="12815" stopIfTrue="1" operator="containsText" text="Nivel II: Riesgo Importante">
      <formula>NOT(ISERROR(SEARCH("Nivel II: Riesgo Importante",Z100)))</formula>
    </cfRule>
    <cfRule type="containsText" dxfId="1042" priority="12816" stopIfTrue="1" operator="containsText" text="Nivel I: Riesgo Inaceptable">
      <formula>NOT(ISERROR(SEARCH("Nivel I: Riesgo Inaceptable",Z100)))</formula>
    </cfRule>
    <cfRule type="containsText" dxfId="1041" priority="12817" stopIfTrue="1" operator="containsText" text="Nivel IV: Riesgo Tolerable (Aceptable)">
      <formula>NOT(ISERROR(SEARCH("Nivel IV: Riesgo Tolerable (Aceptable)",Z100)))</formula>
    </cfRule>
  </conditionalFormatting>
  <conditionalFormatting sqref="Z101">
    <cfRule type="containsText" dxfId="1040" priority="12961" stopIfTrue="1" operator="containsText" text="Nivel II: Riesgo Importante">
      <formula>NOT(ISERROR(SEARCH("Nivel II: Riesgo Importante",Z101)))</formula>
    </cfRule>
    <cfRule type="containsText" dxfId="1039" priority="12963" stopIfTrue="1" operator="containsText" text="Nivel IV: Riesgo Tolerable (Aceptable)">
      <formula>NOT(ISERROR(SEARCH("Nivel IV: Riesgo Tolerable (Aceptable)",Z101)))</formula>
    </cfRule>
    <cfRule type="containsText" dxfId="1038" priority="12962" stopIfTrue="1" operator="containsText" text="Nivel I: Riesgo Inaceptable">
      <formula>NOT(ISERROR(SEARCH("Nivel I: Riesgo Inaceptable",Z101)))</formula>
    </cfRule>
  </conditionalFormatting>
  <conditionalFormatting sqref="Z102">
    <cfRule type="containsText" dxfId="1037" priority="12765" stopIfTrue="1" operator="containsText" text="Nivel I: Riesgo Inaceptable">
      <formula>NOT(ISERROR(SEARCH("Nivel I: Riesgo Inaceptable",Z102)))</formula>
    </cfRule>
    <cfRule type="containsText" dxfId="1036" priority="12764" stopIfTrue="1" operator="containsText" text="Nivel II: Riesgo Importante">
      <formula>NOT(ISERROR(SEARCH("Nivel II: Riesgo Importante",Z102)))</formula>
    </cfRule>
    <cfRule type="containsText" dxfId="1035" priority="12766" stopIfTrue="1" operator="containsText" text="Nivel IV: Riesgo Tolerable (Aceptable)">
      <formula>NOT(ISERROR(SEARCH("Nivel IV: Riesgo Tolerable (Aceptable)",Z102)))</formula>
    </cfRule>
  </conditionalFormatting>
  <conditionalFormatting sqref="Z103">
    <cfRule type="containsText" dxfId="1034" priority="12727" stopIfTrue="1" operator="containsText" text="Nivel IV: Riesgo Tolerable (Aceptable)">
      <formula>NOT(ISERROR(SEARCH("Nivel IV: Riesgo Tolerable (Aceptable)",Z103)))</formula>
    </cfRule>
    <cfRule type="containsText" dxfId="1033" priority="12726" stopIfTrue="1" operator="containsText" text="Nivel I: Riesgo Inaceptable">
      <formula>NOT(ISERROR(SEARCH("Nivel I: Riesgo Inaceptable",Z103)))</formula>
    </cfRule>
    <cfRule type="containsText" dxfId="1032" priority="12725" stopIfTrue="1" operator="containsText" text="Nivel II: Riesgo Importante">
      <formula>NOT(ISERROR(SEARCH("Nivel II: Riesgo Importante",Z103)))</formula>
    </cfRule>
  </conditionalFormatting>
  <conditionalFormatting sqref="Z106">
    <cfRule type="containsText" dxfId="1031" priority="12539" stopIfTrue="1" operator="containsText" text="Nivel IV: Riesgo Tolerable (Aceptable)">
      <formula>NOT(ISERROR(SEARCH("Nivel IV: Riesgo Tolerable (Aceptable)",Z106)))</formula>
    </cfRule>
    <cfRule type="containsText" dxfId="1030" priority="12537" stopIfTrue="1" operator="containsText" text="Nivel II: Riesgo Importante">
      <formula>NOT(ISERROR(SEARCH("Nivel II: Riesgo Importante",Z106)))</formula>
    </cfRule>
    <cfRule type="containsText" dxfId="1029" priority="12538" stopIfTrue="1" operator="containsText" text="Nivel I: Riesgo Inaceptable">
      <formula>NOT(ISERROR(SEARCH("Nivel I: Riesgo Inaceptable",Z106)))</formula>
    </cfRule>
  </conditionalFormatting>
  <conditionalFormatting sqref="Z109">
    <cfRule type="containsText" dxfId="1028" priority="12639" stopIfTrue="1" operator="containsText" text="Nivel II: Riesgo Importante">
      <formula>NOT(ISERROR(SEARCH("Nivel II: Riesgo Importante",Z109)))</formula>
    </cfRule>
    <cfRule type="containsText" dxfId="1027" priority="12640" stopIfTrue="1" operator="containsText" text="Nivel I: Riesgo Inaceptable">
      <formula>NOT(ISERROR(SEARCH("Nivel I: Riesgo Inaceptable",Z109)))</formula>
    </cfRule>
    <cfRule type="containsText" dxfId="1026" priority="12641" stopIfTrue="1" operator="containsText" text="Nivel IV: Riesgo Tolerable (Aceptable)">
      <formula>NOT(ISERROR(SEARCH("Nivel IV: Riesgo Tolerable (Aceptable)",Z109)))</formula>
    </cfRule>
  </conditionalFormatting>
  <conditionalFormatting sqref="Z113">
    <cfRule type="containsText" dxfId="1025" priority="12483" stopIfTrue="1" operator="containsText" text="Nivel IV: Riesgo Tolerable (Aceptable)">
      <formula>NOT(ISERROR(SEARCH("Nivel IV: Riesgo Tolerable (Aceptable)",Z113)))</formula>
    </cfRule>
    <cfRule type="containsText" dxfId="1024" priority="12482" stopIfTrue="1" operator="containsText" text="Nivel I: Riesgo Inaceptable">
      <formula>NOT(ISERROR(SEARCH("Nivel I: Riesgo Inaceptable",Z113)))</formula>
    </cfRule>
    <cfRule type="containsText" dxfId="1023" priority="12481" stopIfTrue="1" operator="containsText" text="Nivel II: Riesgo Importante">
      <formula>NOT(ISERROR(SEARCH("Nivel II: Riesgo Importante",Z113)))</formula>
    </cfRule>
  </conditionalFormatting>
  <conditionalFormatting sqref="Z114:Z115">
    <cfRule type="containsText" dxfId="1022" priority="12301" stopIfTrue="1" operator="containsText" text="Nivel IV: Riesgo Tolerable (Aceptable)">
      <formula>NOT(ISERROR(SEARCH("Nivel IV: Riesgo Tolerable (Aceptable)",Z114)))</formula>
    </cfRule>
    <cfRule type="containsText" dxfId="1021" priority="12300" stopIfTrue="1" operator="containsText" text="Nivel I: Riesgo Inaceptable">
      <formula>NOT(ISERROR(SEARCH("Nivel I: Riesgo Inaceptable",Z114)))</formula>
    </cfRule>
    <cfRule type="containsText" dxfId="1020" priority="12299" stopIfTrue="1" operator="containsText" text="Nivel II: Riesgo Importante">
      <formula>NOT(ISERROR(SEARCH("Nivel II: Riesgo Importante",Z114)))</formula>
    </cfRule>
  </conditionalFormatting>
  <conditionalFormatting sqref="Z116">
    <cfRule type="containsText" dxfId="1019" priority="12237" stopIfTrue="1" operator="containsText" text="Nivel IV: Riesgo Tolerable (Aceptable)">
      <formula>NOT(ISERROR(SEARCH("Nivel IV: Riesgo Tolerable (Aceptable)",Z116)))</formula>
    </cfRule>
    <cfRule type="containsText" dxfId="1018" priority="12235" stopIfTrue="1" operator="containsText" text="Nivel II: Riesgo Importante">
      <formula>NOT(ISERROR(SEARCH("Nivel II: Riesgo Importante",Z116)))</formula>
    </cfRule>
    <cfRule type="containsText" dxfId="1017" priority="12236" stopIfTrue="1" operator="containsText" text="Nivel I: Riesgo Inaceptable">
      <formula>NOT(ISERROR(SEARCH("Nivel I: Riesgo Inaceptable",Z116)))</formula>
    </cfRule>
  </conditionalFormatting>
  <conditionalFormatting sqref="Z117 Z119:Z131">
    <cfRule type="containsText" dxfId="1016" priority="12204" stopIfTrue="1" operator="containsText" text="Nivel I: Riesgo Inaceptable">
      <formula>NOT(ISERROR(SEARCH("Nivel I: Riesgo Inaceptable",Z117)))</formula>
    </cfRule>
    <cfRule type="containsText" dxfId="1015" priority="12205" stopIfTrue="1" operator="containsText" text="Nivel IV: Riesgo Tolerable (Aceptable)">
      <formula>NOT(ISERROR(SEARCH("Nivel IV: Riesgo Tolerable (Aceptable)",Z117)))</formula>
    </cfRule>
    <cfRule type="containsText" dxfId="1014" priority="12203" stopIfTrue="1" operator="containsText" text="Nivel II: Riesgo Importante">
      <formula>NOT(ISERROR(SEARCH("Nivel II: Riesgo Importante",Z117)))</formula>
    </cfRule>
  </conditionalFormatting>
  <conditionalFormatting sqref="Z118">
    <cfRule type="containsText" dxfId="1013" priority="8715" stopIfTrue="1" operator="containsText" text="Nivel IV: Riesgo Tolerable (Aceptable)">
      <formula>NOT(ISERROR(SEARCH("Nivel IV: Riesgo Tolerable (Aceptable)",Z118)))</formula>
    </cfRule>
    <cfRule type="containsText" dxfId="1012" priority="8738" stopIfTrue="1" operator="containsText" text="Nivel IV: Riesgo Tolerable (Aceptable)">
      <formula>NOT(ISERROR(SEARCH("Nivel IV: Riesgo Tolerable (Aceptable)",Z118)))</formula>
    </cfRule>
    <cfRule type="containsText" dxfId="1011" priority="8737" stopIfTrue="1" operator="containsText" text="Nivel I: Riesgo Inaceptable">
      <formula>NOT(ISERROR(SEARCH("Nivel I: Riesgo Inaceptable",Z118)))</formula>
    </cfRule>
    <cfRule type="containsText" dxfId="1010" priority="8736" stopIfTrue="1" operator="containsText" text="Nivel II: Riesgo Importante">
      <formula>NOT(ISERROR(SEARCH("Nivel II: Riesgo Importante",Z118)))</formula>
    </cfRule>
    <cfRule type="containsText" dxfId="1009" priority="8735" stopIfTrue="1" operator="containsText" text="Nivel III: Riesgo Moderado (Aceptable)">
      <formula>NOT(ISERROR(SEARCH("Nivel III: Riesgo Moderado (Aceptable)",Z118)))</formula>
    </cfRule>
    <cfRule type="containsText" dxfId="1008" priority="8713" stopIfTrue="1" operator="containsText" text="Nivel II: Riesgo Importante">
      <formula>NOT(ISERROR(SEARCH("Nivel II: Riesgo Importante",Z118)))</formula>
    </cfRule>
    <cfRule type="containsText" dxfId="1007" priority="8714" stopIfTrue="1" operator="containsText" text="Nivel I: Riesgo Inaceptable">
      <formula>NOT(ISERROR(SEARCH("Nivel I: Riesgo Inaceptable",Z118)))</formula>
    </cfRule>
  </conditionalFormatting>
  <conditionalFormatting sqref="Z119">
    <cfRule type="containsText" dxfId="1006" priority="12058" stopIfTrue="1" operator="containsText" text="Nivel I: Riesgo Inaceptable">
      <formula>NOT(ISERROR(SEARCH("Nivel I: Riesgo Inaceptable",Z119)))</formula>
    </cfRule>
    <cfRule type="containsText" dxfId="1005" priority="12057" stopIfTrue="1" operator="containsText" text="Nivel II: Riesgo Importante">
      <formula>NOT(ISERROR(SEARCH("Nivel II: Riesgo Importante",Z119)))</formula>
    </cfRule>
    <cfRule type="containsText" dxfId="1004" priority="12059" stopIfTrue="1" operator="containsText" text="Nivel IV: Riesgo Tolerable (Aceptable)">
      <formula>NOT(ISERROR(SEARCH("Nivel IV: Riesgo Tolerable (Aceptable)",Z119)))</formula>
    </cfRule>
  </conditionalFormatting>
  <conditionalFormatting sqref="Z119:Z131">
    <cfRule type="containsText" dxfId="1003" priority="12202" stopIfTrue="1" operator="containsText" text="Nivel III: Riesgo Moderado (Aceptable)">
      <formula>NOT(ISERROR(SEARCH("Nivel III: Riesgo Moderado (Aceptable)",Z119)))</formula>
    </cfRule>
  </conditionalFormatting>
  <conditionalFormatting sqref="Z120">
    <cfRule type="containsText" dxfId="1002" priority="12016" stopIfTrue="1" operator="containsText" text="Nivel IV: Riesgo Tolerable (Aceptable)">
      <formula>NOT(ISERROR(SEARCH("Nivel IV: Riesgo Tolerable (Aceptable)",Z120)))</formula>
    </cfRule>
    <cfRule type="containsText" dxfId="1001" priority="12015" stopIfTrue="1" operator="containsText" text="Nivel I: Riesgo Inaceptable">
      <formula>NOT(ISERROR(SEARCH("Nivel I: Riesgo Inaceptable",Z120)))</formula>
    </cfRule>
    <cfRule type="containsText" dxfId="1000" priority="12014" stopIfTrue="1" operator="containsText" text="Nivel II: Riesgo Importante">
      <formula>NOT(ISERROR(SEARCH("Nivel II: Riesgo Importante",Z120)))</formula>
    </cfRule>
  </conditionalFormatting>
  <conditionalFormatting sqref="Z121">
    <cfRule type="containsText" dxfId="999" priority="12162" stopIfTrue="1" operator="containsText" text="Nivel IV: Riesgo Tolerable (Aceptable)">
      <formula>NOT(ISERROR(SEARCH("Nivel IV: Riesgo Tolerable (Aceptable)",Z121)))</formula>
    </cfRule>
    <cfRule type="containsText" dxfId="998" priority="12161" stopIfTrue="1" operator="containsText" text="Nivel I: Riesgo Inaceptable">
      <formula>NOT(ISERROR(SEARCH("Nivel I: Riesgo Inaceptable",Z121)))</formula>
    </cfRule>
    <cfRule type="containsText" dxfId="997" priority="12160" stopIfTrue="1" operator="containsText" text="Nivel II: Riesgo Importante">
      <formula>NOT(ISERROR(SEARCH("Nivel II: Riesgo Importante",Z121)))</formula>
    </cfRule>
  </conditionalFormatting>
  <conditionalFormatting sqref="Z122">
    <cfRule type="containsText" dxfId="996" priority="11963" stopIfTrue="1" operator="containsText" text="Nivel II: Riesgo Importante">
      <formula>NOT(ISERROR(SEARCH("Nivel II: Riesgo Importante",Z122)))</formula>
    </cfRule>
    <cfRule type="containsText" dxfId="995" priority="11964" stopIfTrue="1" operator="containsText" text="Nivel I: Riesgo Inaceptable">
      <formula>NOT(ISERROR(SEARCH("Nivel I: Riesgo Inaceptable",Z122)))</formula>
    </cfRule>
    <cfRule type="containsText" dxfId="994" priority="11965" stopIfTrue="1" operator="containsText" text="Nivel IV: Riesgo Tolerable (Aceptable)">
      <formula>NOT(ISERROR(SEARCH("Nivel IV: Riesgo Tolerable (Aceptable)",Z122)))</formula>
    </cfRule>
  </conditionalFormatting>
  <conditionalFormatting sqref="Z123">
    <cfRule type="containsText" dxfId="993" priority="11924" stopIfTrue="1" operator="containsText" text="Nivel II: Riesgo Importante">
      <formula>NOT(ISERROR(SEARCH("Nivel II: Riesgo Importante",Z123)))</formula>
    </cfRule>
    <cfRule type="containsText" dxfId="992" priority="11926" stopIfTrue="1" operator="containsText" text="Nivel IV: Riesgo Tolerable (Aceptable)">
      <formula>NOT(ISERROR(SEARCH("Nivel IV: Riesgo Tolerable (Aceptable)",Z123)))</formula>
    </cfRule>
    <cfRule type="containsText" dxfId="991" priority="11925" stopIfTrue="1" operator="containsText" text="Nivel I: Riesgo Inaceptable">
      <formula>NOT(ISERROR(SEARCH("Nivel I: Riesgo Inaceptable",Z123)))</formula>
    </cfRule>
  </conditionalFormatting>
  <conditionalFormatting sqref="Z126">
    <cfRule type="containsText" dxfId="990" priority="11736" stopIfTrue="1" operator="containsText" text="Nivel II: Riesgo Importante">
      <formula>NOT(ISERROR(SEARCH("Nivel II: Riesgo Importante",Z126)))</formula>
    </cfRule>
    <cfRule type="containsText" dxfId="989" priority="11737" stopIfTrue="1" operator="containsText" text="Nivel I: Riesgo Inaceptable">
      <formula>NOT(ISERROR(SEARCH("Nivel I: Riesgo Inaceptable",Z126)))</formula>
    </cfRule>
    <cfRule type="containsText" dxfId="988" priority="11738" stopIfTrue="1" operator="containsText" text="Nivel IV: Riesgo Tolerable (Aceptable)">
      <formula>NOT(ISERROR(SEARCH("Nivel IV: Riesgo Tolerable (Aceptable)",Z126)))</formula>
    </cfRule>
  </conditionalFormatting>
  <conditionalFormatting sqref="Z129">
    <cfRule type="containsText" dxfId="987" priority="11840" stopIfTrue="1" operator="containsText" text="Nivel IV: Riesgo Tolerable (Aceptable)">
      <formula>NOT(ISERROR(SEARCH("Nivel IV: Riesgo Tolerable (Aceptable)",Z129)))</formula>
    </cfRule>
    <cfRule type="containsText" dxfId="986" priority="11838" stopIfTrue="1" operator="containsText" text="Nivel II: Riesgo Importante">
      <formula>NOT(ISERROR(SEARCH("Nivel II: Riesgo Importante",Z129)))</formula>
    </cfRule>
    <cfRule type="containsText" dxfId="985" priority="11839" stopIfTrue="1" operator="containsText" text="Nivel I: Riesgo Inaceptable">
      <formula>NOT(ISERROR(SEARCH("Nivel I: Riesgo Inaceptable",Z129)))</formula>
    </cfRule>
  </conditionalFormatting>
  <conditionalFormatting sqref="Z132">
    <cfRule type="containsText" dxfId="984" priority="11567" stopIfTrue="1" operator="containsText" text="Nivel II: Riesgo Importante">
      <formula>NOT(ISERROR(SEARCH("Nivel II: Riesgo Importante",Z132)))</formula>
    </cfRule>
    <cfRule type="containsText" dxfId="983" priority="11568" stopIfTrue="1" operator="containsText" text="Nivel I: Riesgo Inaceptable">
      <formula>NOT(ISERROR(SEARCH("Nivel I: Riesgo Inaceptable",Z132)))</formula>
    </cfRule>
    <cfRule type="containsText" dxfId="982" priority="11569" stopIfTrue="1" operator="containsText" text="Nivel IV: Riesgo Tolerable (Aceptable)">
      <formula>NOT(ISERROR(SEARCH("Nivel IV: Riesgo Tolerable (Aceptable)",Z132)))</formula>
    </cfRule>
  </conditionalFormatting>
  <conditionalFormatting sqref="Z132:Z134">
    <cfRule type="containsText" dxfId="981" priority="11581" stopIfTrue="1" operator="containsText" text="Nivel III: Riesgo Moderado (Aceptable)">
      <formula>NOT(ISERROR(SEARCH("Nivel III: Riesgo Moderado (Aceptable)",Z132)))</formula>
    </cfRule>
    <cfRule type="containsText" dxfId="980" priority="11582" stopIfTrue="1" operator="containsText" text="Nivel II: Riesgo Importante">
      <formula>NOT(ISERROR(SEARCH("Nivel II: Riesgo Importante",Z132)))</formula>
    </cfRule>
    <cfRule type="containsText" dxfId="979" priority="11583" stopIfTrue="1" operator="containsText" text="Nivel I: Riesgo Inaceptable">
      <formula>NOT(ISERROR(SEARCH("Nivel I: Riesgo Inaceptable",Z132)))</formula>
    </cfRule>
    <cfRule type="containsText" dxfId="978" priority="11584" stopIfTrue="1" operator="containsText" text="Nivel IV: Riesgo Tolerable (Aceptable)">
      <formula>NOT(ISERROR(SEARCH("Nivel IV: Riesgo Tolerable (Aceptable)",Z132)))</formula>
    </cfRule>
  </conditionalFormatting>
  <conditionalFormatting sqref="Z133:Z134">
    <cfRule type="containsText" dxfId="977" priority="11538" stopIfTrue="1" operator="containsText" text="Nivel I: Riesgo Inaceptable">
      <formula>NOT(ISERROR(SEARCH("Nivel I: Riesgo Inaceptable",Z133)))</formula>
    </cfRule>
    <cfRule type="containsText" dxfId="976" priority="11539" stopIfTrue="1" operator="containsText" text="Nivel IV: Riesgo Tolerable (Aceptable)">
      <formula>NOT(ISERROR(SEARCH("Nivel IV: Riesgo Tolerable (Aceptable)",Z133)))</formula>
    </cfRule>
    <cfRule type="containsText" dxfId="975" priority="11537" stopIfTrue="1" operator="containsText" text="Nivel II: Riesgo Importante">
      <formula>NOT(ISERROR(SEARCH("Nivel II: Riesgo Importante",Z133)))</formula>
    </cfRule>
  </conditionalFormatting>
  <conditionalFormatting sqref="Z135">
    <cfRule type="containsText" dxfId="974" priority="11482" stopIfTrue="1" operator="containsText" text="Nivel IV: Riesgo Tolerable (Aceptable)">
      <formula>NOT(ISERROR(SEARCH("Nivel IV: Riesgo Tolerable (Aceptable)",Z135)))</formula>
    </cfRule>
    <cfRule type="containsText" dxfId="973" priority="11481" stopIfTrue="1" operator="containsText" text="Nivel I: Riesgo Inaceptable">
      <formula>NOT(ISERROR(SEARCH("Nivel I: Riesgo Inaceptable",Z135)))</formula>
    </cfRule>
    <cfRule type="containsText" dxfId="972" priority="11480" stopIfTrue="1" operator="containsText" text="Nivel II: Riesgo Importante">
      <formula>NOT(ISERROR(SEARCH("Nivel II: Riesgo Importante",Z135)))</formula>
    </cfRule>
  </conditionalFormatting>
  <conditionalFormatting sqref="Z136 Z155 Z173">
    <cfRule type="containsText" dxfId="971" priority="8684" stopIfTrue="1" operator="containsText" text="Nivel III: Riesgo Moderado (Aceptable)">
      <formula>NOT(ISERROR(SEARCH("Nivel III: Riesgo Moderado (Aceptable)",Z136)))</formula>
    </cfRule>
  </conditionalFormatting>
  <conditionalFormatting sqref="Z137">
    <cfRule type="containsText" dxfId="970" priority="11291" stopIfTrue="1" operator="containsText" text="Nivel II: Riesgo Importante">
      <formula>NOT(ISERROR(SEARCH("Nivel II: Riesgo Importante",Z137)))</formula>
    </cfRule>
    <cfRule type="containsText" dxfId="969" priority="11293" stopIfTrue="1" operator="containsText" text="Nivel IV: Riesgo Tolerable (Aceptable)">
      <formula>NOT(ISERROR(SEARCH("Nivel IV: Riesgo Tolerable (Aceptable)",Z137)))</formula>
    </cfRule>
    <cfRule type="containsText" dxfId="968" priority="11292" stopIfTrue="1" operator="containsText" text="Nivel I: Riesgo Inaceptable">
      <formula>NOT(ISERROR(SEARCH("Nivel I: Riesgo Inaceptable",Z137)))</formula>
    </cfRule>
  </conditionalFormatting>
  <conditionalFormatting sqref="Z138">
    <cfRule type="containsText" dxfId="967" priority="11438" stopIfTrue="1" operator="containsText" text="Nivel I: Riesgo Inaceptable">
      <formula>NOT(ISERROR(SEARCH("Nivel I: Riesgo Inaceptable",Z138)))</formula>
    </cfRule>
    <cfRule type="containsText" dxfId="966" priority="11437" stopIfTrue="1" operator="containsText" text="Nivel II: Riesgo Importante">
      <formula>NOT(ISERROR(SEARCH("Nivel II: Riesgo Importante",Z138)))</formula>
    </cfRule>
    <cfRule type="containsText" dxfId="965" priority="11439" stopIfTrue="1" operator="containsText" text="Nivel IV: Riesgo Tolerable (Aceptable)">
      <formula>NOT(ISERROR(SEARCH("Nivel IV: Riesgo Tolerable (Aceptable)",Z138)))</formula>
    </cfRule>
  </conditionalFormatting>
  <conditionalFormatting sqref="Z139">
    <cfRule type="containsText" dxfId="964" priority="11242" stopIfTrue="1" operator="containsText" text="Nivel IV: Riesgo Tolerable (Aceptable)">
      <formula>NOT(ISERROR(SEARCH("Nivel IV: Riesgo Tolerable (Aceptable)",Z139)))</formula>
    </cfRule>
    <cfRule type="containsText" dxfId="963" priority="11241" stopIfTrue="1" operator="containsText" text="Nivel I: Riesgo Inaceptable">
      <formula>NOT(ISERROR(SEARCH("Nivel I: Riesgo Inaceptable",Z139)))</formula>
    </cfRule>
    <cfRule type="containsText" dxfId="962" priority="11240" stopIfTrue="1" operator="containsText" text="Nivel II: Riesgo Importante">
      <formula>NOT(ISERROR(SEARCH("Nivel II: Riesgo Importante",Z139)))</formula>
    </cfRule>
  </conditionalFormatting>
  <conditionalFormatting sqref="Z140">
    <cfRule type="containsText" dxfId="961" priority="11201" stopIfTrue="1" operator="containsText" text="Nivel II: Riesgo Importante">
      <formula>NOT(ISERROR(SEARCH("Nivel II: Riesgo Importante",Z140)))</formula>
    </cfRule>
    <cfRule type="containsText" dxfId="960" priority="11203" stopIfTrue="1" operator="containsText" text="Nivel IV: Riesgo Tolerable (Aceptable)">
      <formula>NOT(ISERROR(SEARCH("Nivel IV: Riesgo Tolerable (Aceptable)",Z140)))</formula>
    </cfRule>
    <cfRule type="containsText" dxfId="959" priority="11202" stopIfTrue="1" operator="containsText" text="Nivel I: Riesgo Inaceptable">
      <formula>NOT(ISERROR(SEARCH("Nivel I: Riesgo Inaceptable",Z140)))</formula>
    </cfRule>
  </conditionalFormatting>
  <conditionalFormatting sqref="Z143">
    <cfRule type="containsText" dxfId="958" priority="11014" stopIfTrue="1" operator="containsText" text="Nivel I: Riesgo Inaceptable">
      <formula>NOT(ISERROR(SEARCH("Nivel I: Riesgo Inaceptable",Z143)))</formula>
    </cfRule>
    <cfRule type="containsText" dxfId="957" priority="11013" stopIfTrue="1" operator="containsText" text="Nivel II: Riesgo Importante">
      <formula>NOT(ISERROR(SEARCH("Nivel II: Riesgo Importante",Z143)))</formula>
    </cfRule>
    <cfRule type="containsText" dxfId="956" priority="11015" stopIfTrue="1" operator="containsText" text="Nivel IV: Riesgo Tolerable (Aceptable)">
      <formula>NOT(ISERROR(SEARCH("Nivel IV: Riesgo Tolerable (Aceptable)",Z143)))</formula>
    </cfRule>
  </conditionalFormatting>
  <conditionalFormatting sqref="Z146">
    <cfRule type="containsText" dxfId="955" priority="11116" stopIfTrue="1" operator="containsText" text="Nivel I: Riesgo Inaceptable">
      <formula>NOT(ISERROR(SEARCH("Nivel I: Riesgo Inaceptable",Z146)))</formula>
    </cfRule>
    <cfRule type="containsText" dxfId="954" priority="11115" stopIfTrue="1" operator="containsText" text="Nivel II: Riesgo Importante">
      <formula>NOT(ISERROR(SEARCH("Nivel II: Riesgo Importante",Z146)))</formula>
    </cfRule>
    <cfRule type="containsText" dxfId="953" priority="11117" stopIfTrue="1" operator="containsText" text="Nivel IV: Riesgo Tolerable (Aceptable)">
      <formula>NOT(ISERROR(SEARCH("Nivel IV: Riesgo Tolerable (Aceptable)",Z146)))</formula>
    </cfRule>
  </conditionalFormatting>
  <conditionalFormatting sqref="Z150">
    <cfRule type="containsText" dxfId="952" priority="10961" stopIfTrue="1" operator="containsText" text="Nivel II: Riesgo Importante">
      <formula>NOT(ISERROR(SEARCH("Nivel II: Riesgo Importante",Z150)))</formula>
    </cfRule>
    <cfRule type="containsText" dxfId="951" priority="10963" stopIfTrue="1" operator="containsText" text="Nivel IV: Riesgo Tolerable (Aceptable)">
      <formula>NOT(ISERROR(SEARCH("Nivel IV: Riesgo Tolerable (Aceptable)",Z150)))</formula>
    </cfRule>
    <cfRule type="containsText" dxfId="950" priority="10962" stopIfTrue="1" operator="containsText" text="Nivel I: Riesgo Inaceptable">
      <formula>NOT(ISERROR(SEARCH("Nivel I: Riesgo Inaceptable",Z150)))</formula>
    </cfRule>
  </conditionalFormatting>
  <conditionalFormatting sqref="Z151:Z152">
    <cfRule type="containsText" dxfId="949" priority="10779" stopIfTrue="1" operator="containsText" text="Nivel II: Riesgo Importante">
      <formula>NOT(ISERROR(SEARCH("Nivel II: Riesgo Importante",Z151)))</formula>
    </cfRule>
    <cfRule type="containsText" dxfId="948" priority="10781" stopIfTrue="1" operator="containsText" text="Nivel IV: Riesgo Tolerable (Aceptable)">
      <formula>NOT(ISERROR(SEARCH("Nivel IV: Riesgo Tolerable (Aceptable)",Z151)))</formula>
    </cfRule>
    <cfRule type="containsText" dxfId="947" priority="10780" stopIfTrue="1" operator="containsText" text="Nivel I: Riesgo Inaceptable">
      <formula>NOT(ISERROR(SEARCH("Nivel I: Riesgo Inaceptable",Z151)))</formula>
    </cfRule>
  </conditionalFormatting>
  <conditionalFormatting sqref="Z153">
    <cfRule type="containsText" dxfId="946" priority="10725" stopIfTrue="1" operator="containsText" text="Nivel IV: Riesgo Tolerable (Aceptable)">
      <formula>NOT(ISERROR(SEARCH("Nivel IV: Riesgo Tolerable (Aceptable)",Z153)))</formula>
    </cfRule>
    <cfRule type="containsText" dxfId="945" priority="10724" stopIfTrue="1" operator="containsText" text="Nivel I: Riesgo Inaceptable">
      <formula>NOT(ISERROR(SEARCH("Nivel I: Riesgo Inaceptable",Z153)))</formula>
    </cfRule>
    <cfRule type="containsText" dxfId="944" priority="10723" stopIfTrue="1" operator="containsText" text="Nivel II: Riesgo Importante">
      <formula>NOT(ISERROR(SEARCH("Nivel II: Riesgo Importante",Z153)))</formula>
    </cfRule>
  </conditionalFormatting>
  <conditionalFormatting sqref="Z156">
    <cfRule type="containsText" dxfId="943" priority="10543" stopIfTrue="1" operator="containsText" text="Nivel IV: Riesgo Tolerable (Aceptable)">
      <formula>NOT(ISERROR(SEARCH("Nivel IV: Riesgo Tolerable (Aceptable)",Z156)))</formula>
    </cfRule>
    <cfRule type="containsText" dxfId="942" priority="10542" stopIfTrue="1" operator="containsText" text="Nivel I: Riesgo Inaceptable">
      <formula>NOT(ISERROR(SEARCH("Nivel I: Riesgo Inaceptable",Z156)))</formula>
    </cfRule>
    <cfRule type="containsText" dxfId="941" priority="10541" stopIfTrue="1" operator="containsText" text="Nivel II: Riesgo Importante">
      <formula>NOT(ISERROR(SEARCH("Nivel II: Riesgo Importante",Z156)))</formula>
    </cfRule>
  </conditionalFormatting>
  <conditionalFormatting sqref="Z157">
    <cfRule type="containsText" dxfId="940" priority="10500" stopIfTrue="1" operator="containsText" text="Nivel IV: Riesgo Tolerable (Aceptable)">
      <formula>NOT(ISERROR(SEARCH("Nivel IV: Riesgo Tolerable (Aceptable)",Z157)))</formula>
    </cfRule>
    <cfRule type="containsText" dxfId="939" priority="10499" stopIfTrue="1" operator="containsText" text="Nivel I: Riesgo Inaceptable">
      <formula>NOT(ISERROR(SEARCH("Nivel I: Riesgo Inaceptable",Z157)))</formula>
    </cfRule>
    <cfRule type="containsText" dxfId="938" priority="10498" stopIfTrue="1" operator="containsText" text="Nivel II: Riesgo Importante">
      <formula>NOT(ISERROR(SEARCH("Nivel II: Riesgo Importante",Z157)))</formula>
    </cfRule>
  </conditionalFormatting>
  <conditionalFormatting sqref="Z158">
    <cfRule type="containsText" dxfId="937" priority="10645" stopIfTrue="1" operator="containsText" text="Nivel I: Riesgo Inaceptable">
      <formula>NOT(ISERROR(SEARCH("Nivel I: Riesgo Inaceptable",Z158)))</formula>
    </cfRule>
    <cfRule type="containsText" dxfId="936" priority="10646" stopIfTrue="1" operator="containsText" text="Nivel IV: Riesgo Tolerable (Aceptable)">
      <formula>NOT(ISERROR(SEARCH("Nivel IV: Riesgo Tolerable (Aceptable)",Z158)))</formula>
    </cfRule>
    <cfRule type="containsText" dxfId="935" priority="10644" stopIfTrue="1" operator="containsText" text="Nivel II: Riesgo Importante">
      <formula>NOT(ISERROR(SEARCH("Nivel II: Riesgo Importante",Z158)))</formula>
    </cfRule>
  </conditionalFormatting>
  <conditionalFormatting sqref="Z159">
    <cfRule type="containsText" dxfId="934" priority="10448" stopIfTrue="1" operator="containsText" text="Nivel I: Riesgo Inaceptable">
      <formula>NOT(ISERROR(SEARCH("Nivel I: Riesgo Inaceptable",Z159)))</formula>
    </cfRule>
    <cfRule type="containsText" dxfId="933" priority="10449" stopIfTrue="1" operator="containsText" text="Nivel IV: Riesgo Tolerable (Aceptable)">
      <formula>NOT(ISERROR(SEARCH("Nivel IV: Riesgo Tolerable (Aceptable)",Z159)))</formula>
    </cfRule>
    <cfRule type="containsText" dxfId="932" priority="10447" stopIfTrue="1" operator="containsText" text="Nivel II: Riesgo Importante">
      <formula>NOT(ISERROR(SEARCH("Nivel II: Riesgo Importante",Z159)))</formula>
    </cfRule>
  </conditionalFormatting>
  <conditionalFormatting sqref="Z160">
    <cfRule type="containsText" dxfId="931" priority="10408" stopIfTrue="1" operator="containsText" text="Nivel II: Riesgo Importante">
      <formula>NOT(ISERROR(SEARCH("Nivel II: Riesgo Importante",Z160)))</formula>
    </cfRule>
    <cfRule type="containsText" dxfId="930" priority="10410" stopIfTrue="1" operator="containsText" text="Nivel IV: Riesgo Tolerable (Aceptable)">
      <formula>NOT(ISERROR(SEARCH("Nivel IV: Riesgo Tolerable (Aceptable)",Z160)))</formula>
    </cfRule>
    <cfRule type="containsText" dxfId="929" priority="10409" stopIfTrue="1" operator="containsText" text="Nivel I: Riesgo Inaceptable">
      <formula>NOT(ISERROR(SEARCH("Nivel I: Riesgo Inaceptable",Z160)))</formula>
    </cfRule>
  </conditionalFormatting>
  <conditionalFormatting sqref="Z163">
    <cfRule type="containsText" dxfId="928" priority="10220" stopIfTrue="1" operator="containsText" text="Nivel II: Riesgo Importante">
      <formula>NOT(ISERROR(SEARCH("Nivel II: Riesgo Importante",Z163)))</formula>
    </cfRule>
    <cfRule type="containsText" dxfId="927" priority="10221" stopIfTrue="1" operator="containsText" text="Nivel I: Riesgo Inaceptable">
      <formula>NOT(ISERROR(SEARCH("Nivel I: Riesgo Inaceptable",Z163)))</formula>
    </cfRule>
    <cfRule type="containsText" dxfId="926" priority="10222" stopIfTrue="1" operator="containsText" text="Nivel IV: Riesgo Tolerable (Aceptable)">
      <formula>NOT(ISERROR(SEARCH("Nivel IV: Riesgo Tolerable (Aceptable)",Z163)))</formula>
    </cfRule>
  </conditionalFormatting>
  <conditionalFormatting sqref="Z166">
    <cfRule type="containsText" dxfId="925" priority="10323" stopIfTrue="1" operator="containsText" text="Nivel I: Riesgo Inaceptable">
      <formula>NOT(ISERROR(SEARCH("Nivel I: Riesgo Inaceptable",Z166)))</formula>
    </cfRule>
    <cfRule type="containsText" dxfId="924" priority="10324" stopIfTrue="1" operator="containsText" text="Nivel IV: Riesgo Tolerable (Aceptable)">
      <formula>NOT(ISERROR(SEARCH("Nivel IV: Riesgo Tolerable (Aceptable)",Z166)))</formula>
    </cfRule>
    <cfRule type="containsText" dxfId="923" priority="10322" stopIfTrue="1" operator="containsText" text="Nivel II: Riesgo Importante">
      <formula>NOT(ISERROR(SEARCH("Nivel II: Riesgo Importante",Z166)))</formula>
    </cfRule>
  </conditionalFormatting>
  <conditionalFormatting sqref="Z168">
    <cfRule type="containsText" dxfId="922" priority="9897" stopIfTrue="1" operator="containsText" text="Nivel III: Riesgo Moderado (Aceptable)">
      <formula>NOT(ISERROR(SEARCH("Nivel III: Riesgo Moderado (Aceptable)",Z168)))</formula>
    </cfRule>
    <cfRule type="containsText" dxfId="921" priority="9900" stopIfTrue="1" operator="containsText" text="Nivel IV: Riesgo Tolerable (Aceptable)">
      <formula>NOT(ISERROR(SEARCH("Nivel IV: Riesgo Tolerable (Aceptable)",Z168)))</formula>
    </cfRule>
    <cfRule type="containsText" dxfId="920" priority="9899" stopIfTrue="1" operator="containsText" text="Nivel I: Riesgo Inaceptable">
      <formula>NOT(ISERROR(SEARCH("Nivel I: Riesgo Inaceptable",Z168)))</formula>
    </cfRule>
    <cfRule type="containsText" dxfId="919" priority="9898" stopIfTrue="1" operator="containsText" text="Nivel II: Riesgo Importante">
      <formula>NOT(ISERROR(SEARCH("Nivel II: Riesgo Importante",Z168)))</formula>
    </cfRule>
  </conditionalFormatting>
  <conditionalFormatting sqref="Z169">
    <cfRule type="containsText" dxfId="918" priority="10168" stopIfTrue="1" operator="containsText" text="Nivel II: Riesgo Importante">
      <formula>NOT(ISERROR(SEARCH("Nivel II: Riesgo Importante",Z169)))</formula>
    </cfRule>
    <cfRule type="containsText" dxfId="917" priority="10170" stopIfTrue="1" operator="containsText" text="Nivel IV: Riesgo Tolerable (Aceptable)">
      <formula>NOT(ISERROR(SEARCH("Nivel IV: Riesgo Tolerable (Aceptable)",Z169)))</formula>
    </cfRule>
    <cfRule type="containsText" dxfId="916" priority="10169" stopIfTrue="1" operator="containsText" text="Nivel I: Riesgo Inaceptable">
      <formula>NOT(ISERROR(SEARCH("Nivel I: Riesgo Inaceptable",Z169)))</formula>
    </cfRule>
  </conditionalFormatting>
  <conditionalFormatting sqref="Z170:Z171">
    <cfRule type="containsText" dxfId="915" priority="9986" stopIfTrue="1" operator="containsText" text="Nivel II: Riesgo Importante">
      <formula>NOT(ISERROR(SEARCH("Nivel II: Riesgo Importante",Z170)))</formula>
    </cfRule>
    <cfRule type="containsText" dxfId="914" priority="9987" stopIfTrue="1" operator="containsText" text="Nivel I: Riesgo Inaceptable">
      <formula>NOT(ISERROR(SEARCH("Nivel I: Riesgo Inaceptable",Z170)))</formula>
    </cfRule>
    <cfRule type="containsText" dxfId="913" priority="9988" stopIfTrue="1" operator="containsText" text="Nivel IV: Riesgo Tolerable (Aceptable)">
      <formula>NOT(ISERROR(SEARCH("Nivel IV: Riesgo Tolerable (Aceptable)",Z170)))</formula>
    </cfRule>
  </conditionalFormatting>
  <conditionalFormatting sqref="Z172 Z174:Z189">
    <cfRule type="containsText" dxfId="912" priority="9851" stopIfTrue="1" operator="containsText" text="Nivel II: Riesgo Importante">
      <formula>NOT(ISERROR(SEARCH("Nivel II: Riesgo Importante",Z172)))</formula>
    </cfRule>
    <cfRule type="containsText" dxfId="911" priority="9853" stopIfTrue="1" operator="containsText" text="Nivel IV: Riesgo Tolerable (Aceptable)">
      <formula>NOT(ISERROR(SEARCH("Nivel IV: Riesgo Tolerable (Aceptable)",Z172)))</formula>
    </cfRule>
    <cfRule type="containsText" dxfId="910" priority="9852" stopIfTrue="1" operator="containsText" text="Nivel I: Riesgo Inaceptable">
      <formula>NOT(ISERROR(SEARCH("Nivel I: Riesgo Inaceptable",Z172)))</formula>
    </cfRule>
  </conditionalFormatting>
  <conditionalFormatting sqref="Z173 Z155 Z136">
    <cfRule type="containsText" dxfId="909" priority="8664" stopIfTrue="1" operator="containsText" text="Nivel IV: Riesgo Tolerable (Aceptable)">
      <formula>NOT(ISERROR(SEARCH("Nivel IV: Riesgo Tolerable (Aceptable)",Z136)))</formula>
    </cfRule>
    <cfRule type="containsText" dxfId="908" priority="8686" stopIfTrue="1" operator="containsText" text="Nivel I: Riesgo Inaceptable">
      <formula>NOT(ISERROR(SEARCH("Nivel I: Riesgo Inaceptable",Z136)))</formula>
    </cfRule>
    <cfRule type="containsText" dxfId="907" priority="8663" stopIfTrue="1" operator="containsText" text="Nivel I: Riesgo Inaceptable">
      <formula>NOT(ISERROR(SEARCH("Nivel I: Riesgo Inaceptable",Z136)))</formula>
    </cfRule>
    <cfRule type="containsText" dxfId="906" priority="8662" stopIfTrue="1" operator="containsText" text="Nivel II: Riesgo Importante">
      <formula>NOT(ISERROR(SEARCH("Nivel II: Riesgo Importante",Z136)))</formula>
    </cfRule>
    <cfRule type="containsText" dxfId="905" priority="8685" stopIfTrue="1" operator="containsText" text="Nivel II: Riesgo Importante">
      <formula>NOT(ISERROR(SEARCH("Nivel II: Riesgo Importante",Z136)))</formula>
    </cfRule>
    <cfRule type="containsText" dxfId="904" priority="8687" stopIfTrue="1" operator="containsText" text="Nivel IV: Riesgo Tolerable (Aceptable)">
      <formula>NOT(ISERROR(SEARCH("Nivel IV: Riesgo Tolerable (Aceptable)",Z136)))</formula>
    </cfRule>
  </conditionalFormatting>
  <conditionalFormatting sqref="Z174">
    <cfRule type="containsText" dxfId="903" priority="9703" stopIfTrue="1" operator="containsText" text="Nivel IV: Riesgo Tolerable (Aceptable)">
      <formula>NOT(ISERROR(SEARCH("Nivel IV: Riesgo Tolerable (Aceptable)",Z174)))</formula>
    </cfRule>
    <cfRule type="containsText" dxfId="902" priority="9701" stopIfTrue="1" operator="containsText" text="Nivel II: Riesgo Importante">
      <formula>NOT(ISERROR(SEARCH("Nivel II: Riesgo Importante",Z174)))</formula>
    </cfRule>
    <cfRule type="containsText" dxfId="901" priority="9702" stopIfTrue="1" operator="containsText" text="Nivel I: Riesgo Inaceptable">
      <formula>NOT(ISERROR(SEARCH("Nivel I: Riesgo Inaceptable",Z174)))</formula>
    </cfRule>
  </conditionalFormatting>
  <conditionalFormatting sqref="Z174:Z189">
    <cfRule type="containsText" dxfId="900" priority="9850" stopIfTrue="1" operator="containsText" text="Nivel III: Riesgo Moderado (Aceptable)">
      <formula>NOT(ISERROR(SEARCH("Nivel III: Riesgo Moderado (Aceptable)",Z174)))</formula>
    </cfRule>
  </conditionalFormatting>
  <conditionalFormatting sqref="Z175">
    <cfRule type="containsText" dxfId="899" priority="9660" stopIfTrue="1" operator="containsText" text="Nivel IV: Riesgo Tolerable (Aceptable)">
      <formula>NOT(ISERROR(SEARCH("Nivel IV: Riesgo Tolerable (Aceptable)",Z175)))</formula>
    </cfRule>
    <cfRule type="containsText" dxfId="898" priority="9659" stopIfTrue="1" operator="containsText" text="Nivel I: Riesgo Inaceptable">
      <formula>NOT(ISERROR(SEARCH("Nivel I: Riesgo Inaceptable",Z175)))</formula>
    </cfRule>
    <cfRule type="containsText" dxfId="897" priority="9658" stopIfTrue="1" operator="containsText" text="Nivel II: Riesgo Importante">
      <formula>NOT(ISERROR(SEARCH("Nivel II: Riesgo Importante",Z175)))</formula>
    </cfRule>
  </conditionalFormatting>
  <conditionalFormatting sqref="Z176">
    <cfRule type="containsText" dxfId="896" priority="9804" stopIfTrue="1" operator="containsText" text="Nivel II: Riesgo Importante">
      <formula>NOT(ISERROR(SEARCH("Nivel II: Riesgo Importante",Z176)))</formula>
    </cfRule>
    <cfRule type="containsText" dxfId="895" priority="9806" stopIfTrue="1" operator="containsText" text="Nivel IV: Riesgo Tolerable (Aceptable)">
      <formula>NOT(ISERROR(SEARCH("Nivel IV: Riesgo Tolerable (Aceptable)",Z176)))</formula>
    </cfRule>
    <cfRule type="containsText" dxfId="894" priority="9805" stopIfTrue="1" operator="containsText" text="Nivel I: Riesgo Inaceptable">
      <formula>NOT(ISERROR(SEARCH("Nivel I: Riesgo Inaceptable",Z176)))</formula>
    </cfRule>
  </conditionalFormatting>
  <conditionalFormatting sqref="Z177">
    <cfRule type="containsText" dxfId="893" priority="9608" stopIfTrue="1" operator="containsText" text="Nivel I: Riesgo Inaceptable">
      <formula>NOT(ISERROR(SEARCH("Nivel I: Riesgo Inaceptable",Z177)))</formula>
    </cfRule>
    <cfRule type="containsText" dxfId="892" priority="9607" stopIfTrue="1" operator="containsText" text="Nivel II: Riesgo Importante">
      <formula>NOT(ISERROR(SEARCH("Nivel II: Riesgo Importante",Z177)))</formula>
    </cfRule>
    <cfRule type="containsText" dxfId="891" priority="9609" stopIfTrue="1" operator="containsText" text="Nivel IV: Riesgo Tolerable (Aceptable)">
      <formula>NOT(ISERROR(SEARCH("Nivel IV: Riesgo Tolerable (Aceptable)",Z177)))</formula>
    </cfRule>
  </conditionalFormatting>
  <conditionalFormatting sqref="Z178">
    <cfRule type="containsText" dxfId="890" priority="9570" stopIfTrue="1" operator="containsText" text="Nivel IV: Riesgo Tolerable (Aceptable)">
      <formula>NOT(ISERROR(SEARCH("Nivel IV: Riesgo Tolerable (Aceptable)",Z178)))</formula>
    </cfRule>
    <cfRule type="containsText" dxfId="889" priority="9569" stopIfTrue="1" operator="containsText" text="Nivel I: Riesgo Inaceptable">
      <formula>NOT(ISERROR(SEARCH("Nivel I: Riesgo Inaceptable",Z178)))</formula>
    </cfRule>
    <cfRule type="containsText" dxfId="888" priority="9568" stopIfTrue="1" operator="containsText" text="Nivel II: Riesgo Importante">
      <formula>NOT(ISERROR(SEARCH("Nivel II: Riesgo Importante",Z178)))</formula>
    </cfRule>
  </conditionalFormatting>
  <conditionalFormatting sqref="Z181">
    <cfRule type="containsText" dxfId="887" priority="9381" stopIfTrue="1" operator="containsText" text="Nivel I: Riesgo Inaceptable">
      <formula>NOT(ISERROR(SEARCH("Nivel I: Riesgo Inaceptable",Z181)))</formula>
    </cfRule>
    <cfRule type="containsText" dxfId="886" priority="9380" stopIfTrue="1" operator="containsText" text="Nivel II: Riesgo Importante">
      <formula>NOT(ISERROR(SEARCH("Nivel II: Riesgo Importante",Z181)))</formula>
    </cfRule>
    <cfRule type="containsText" dxfId="885" priority="9382" stopIfTrue="1" operator="containsText" text="Nivel IV: Riesgo Tolerable (Aceptable)">
      <formula>NOT(ISERROR(SEARCH("Nivel IV: Riesgo Tolerable (Aceptable)",Z181)))</formula>
    </cfRule>
  </conditionalFormatting>
  <conditionalFormatting sqref="Z184">
    <cfRule type="containsText" dxfId="884" priority="9484" stopIfTrue="1" operator="containsText" text="Nivel IV: Riesgo Tolerable (Aceptable)">
      <formula>NOT(ISERROR(SEARCH("Nivel IV: Riesgo Tolerable (Aceptable)",Z184)))</formula>
    </cfRule>
    <cfRule type="containsText" dxfId="883" priority="9483" stopIfTrue="1" operator="containsText" text="Nivel I: Riesgo Inaceptable">
      <formula>NOT(ISERROR(SEARCH("Nivel I: Riesgo Inaceptable",Z184)))</formula>
    </cfRule>
    <cfRule type="containsText" dxfId="882" priority="9482" stopIfTrue="1" operator="containsText" text="Nivel II: Riesgo Importante">
      <formula>NOT(ISERROR(SEARCH("Nivel II: Riesgo Importante",Z184)))</formula>
    </cfRule>
  </conditionalFormatting>
  <conditionalFormatting sqref="Z186">
    <cfRule type="containsText" dxfId="881" priority="9183" stopIfTrue="1" operator="containsText" text="Nivel II: Riesgo Importante">
      <formula>NOT(ISERROR(SEARCH("Nivel II: Riesgo Importante",Z186)))</formula>
    </cfRule>
    <cfRule type="containsText" dxfId="880" priority="9182" stopIfTrue="1" operator="containsText" text="Nivel III: Riesgo Moderado (Aceptable)">
      <formula>NOT(ISERROR(SEARCH("Nivel III: Riesgo Moderado (Aceptable)",Z186)))</formula>
    </cfRule>
    <cfRule type="containsText" dxfId="879" priority="9185" stopIfTrue="1" operator="containsText" text="Nivel IV: Riesgo Tolerable (Aceptable)">
      <formula>NOT(ISERROR(SEARCH("Nivel IV: Riesgo Tolerable (Aceptable)",Z186)))</formula>
    </cfRule>
    <cfRule type="containsText" dxfId="878" priority="9184" stopIfTrue="1" operator="containsText" text="Nivel I: Riesgo Inaceptable">
      <formula>NOT(ISERROR(SEARCH("Nivel I: Riesgo Inaceptable",Z186)))</formula>
    </cfRule>
  </conditionalFormatting>
  <conditionalFormatting sqref="Z187">
    <cfRule type="containsText" dxfId="877" priority="9328" stopIfTrue="1" operator="containsText" text="Nivel II: Riesgo Importante">
      <formula>NOT(ISERROR(SEARCH("Nivel II: Riesgo Importante",Z187)))</formula>
    </cfRule>
    <cfRule type="containsText" dxfId="876" priority="9329" stopIfTrue="1" operator="containsText" text="Nivel I: Riesgo Inaceptable">
      <formula>NOT(ISERROR(SEARCH("Nivel I: Riesgo Inaceptable",Z187)))</formula>
    </cfRule>
    <cfRule type="containsText" dxfId="875" priority="9330" stopIfTrue="1" operator="containsText" text="Nivel IV: Riesgo Tolerable (Aceptable)">
      <formula>NOT(ISERROR(SEARCH("Nivel IV: Riesgo Tolerable (Aceptable)",Z187)))</formula>
    </cfRule>
  </conditionalFormatting>
  <conditionalFormatting sqref="Z188:Z189">
    <cfRule type="containsText" dxfId="874" priority="9230" stopIfTrue="1" operator="containsText" text="Nivel IV: Riesgo Tolerable (Aceptable)">
      <formula>NOT(ISERROR(SEARCH("Nivel IV: Riesgo Tolerable (Aceptable)",Z188)))</formula>
    </cfRule>
    <cfRule type="containsText" dxfId="873" priority="9229" stopIfTrue="1" operator="containsText" text="Nivel I: Riesgo Inaceptable">
      <formula>NOT(ISERROR(SEARCH("Nivel I: Riesgo Inaceptable",Z188)))</formula>
    </cfRule>
    <cfRule type="containsText" dxfId="872" priority="9228" stopIfTrue="1" operator="containsText" text="Nivel II: Riesgo Importante">
      <formula>NOT(ISERROR(SEARCH("Nivel II: Riesgo Importante",Z188)))</formula>
    </cfRule>
  </conditionalFormatting>
  <conditionalFormatting sqref="Z190">
    <cfRule type="containsText" dxfId="871" priority="9121" stopIfTrue="1" operator="containsText" text="Nivel II: Riesgo Importante">
      <formula>NOT(ISERROR(SEARCH("Nivel II: Riesgo Importante",Z190)))</formula>
    </cfRule>
    <cfRule type="containsText" dxfId="870" priority="9120" stopIfTrue="1" operator="containsText" text="Nivel III: Riesgo Moderado (Aceptable)">
      <formula>NOT(ISERROR(SEARCH("Nivel III: Riesgo Moderado (Aceptable)",Z190)))</formula>
    </cfRule>
    <cfRule type="containsText" dxfId="869" priority="9119" stopIfTrue="1" operator="containsText" text="Nivel IV: Riesgo Tolerable (Aceptable)">
      <formula>NOT(ISERROR(SEARCH("Nivel IV: Riesgo Tolerable (Aceptable)",Z190)))</formula>
    </cfRule>
    <cfRule type="containsText" dxfId="868" priority="9118" stopIfTrue="1" operator="containsText" text="Nivel I: Riesgo Inaceptable">
      <formula>NOT(ISERROR(SEARCH("Nivel I: Riesgo Inaceptable",Z190)))</formula>
    </cfRule>
    <cfRule type="containsText" dxfId="867" priority="9117" stopIfTrue="1" operator="containsText" text="Nivel II: Riesgo Importante">
      <formula>NOT(ISERROR(SEARCH("Nivel II: Riesgo Importante",Z190)))</formula>
    </cfRule>
    <cfRule type="containsText" dxfId="866" priority="9123" stopIfTrue="1" operator="containsText" text="Nivel IV: Riesgo Tolerable (Aceptable)">
      <formula>NOT(ISERROR(SEARCH("Nivel IV: Riesgo Tolerable (Aceptable)",Z190)))</formula>
    </cfRule>
    <cfRule type="containsText" dxfId="865" priority="9122" stopIfTrue="1" operator="containsText" text="Nivel I: Riesgo Inaceptable">
      <formula>NOT(ISERROR(SEARCH("Nivel I: Riesgo Inaceptable",Z190)))</formula>
    </cfRule>
  </conditionalFormatting>
  <conditionalFormatting sqref="Z191">
    <cfRule type="containsText" dxfId="864" priority="9086" stopIfTrue="1" operator="containsText" text="Nivel I: Riesgo Inaceptable">
      <formula>NOT(ISERROR(SEARCH("Nivel I: Riesgo Inaceptable",Z191)))</formula>
    </cfRule>
    <cfRule type="containsText" dxfId="863" priority="9081" stopIfTrue="1" operator="containsText" text="Nivel II: Riesgo Importante">
      <formula>NOT(ISERROR(SEARCH("Nivel II: Riesgo Importante",Z191)))</formula>
    </cfRule>
    <cfRule type="containsText" dxfId="862" priority="9082" stopIfTrue="1" operator="containsText" text="Nivel I: Riesgo Inaceptable">
      <formula>NOT(ISERROR(SEARCH("Nivel I: Riesgo Inaceptable",Z191)))</formula>
    </cfRule>
    <cfRule type="containsText" dxfId="861" priority="9087" stopIfTrue="1" operator="containsText" text="Nivel IV: Riesgo Tolerable (Aceptable)">
      <formula>NOT(ISERROR(SEARCH("Nivel IV: Riesgo Tolerable (Aceptable)",Z191)))</formula>
    </cfRule>
    <cfRule type="containsText" dxfId="860" priority="9083" stopIfTrue="1" operator="containsText" text="Nivel IV: Riesgo Tolerable (Aceptable)">
      <formula>NOT(ISERROR(SEARCH("Nivel IV: Riesgo Tolerable (Aceptable)",Z191)))</formula>
    </cfRule>
    <cfRule type="containsText" dxfId="859" priority="9084" stopIfTrue="1" operator="containsText" text="Nivel III: Riesgo Moderado (Aceptable)">
      <formula>NOT(ISERROR(SEARCH("Nivel III: Riesgo Moderado (Aceptable)",Z191)))</formula>
    </cfRule>
    <cfRule type="containsText" dxfId="858" priority="9085" stopIfTrue="1" operator="containsText" text="Nivel II: Riesgo Importante">
      <formula>NOT(ISERROR(SEARCH("Nivel II: Riesgo Importante",Z191)))</formula>
    </cfRule>
  </conditionalFormatting>
  <conditionalFormatting sqref="Z192">
    <cfRule type="containsText" dxfId="857" priority="9048" stopIfTrue="1" operator="containsText" text="Nivel I: Riesgo Inaceptable">
      <formula>NOT(ISERROR(SEARCH("Nivel I: Riesgo Inaceptable",Z192)))</formula>
    </cfRule>
    <cfRule type="containsText" dxfId="856" priority="9047" stopIfTrue="1" operator="containsText" text="Nivel II: Riesgo Importante">
      <formula>NOT(ISERROR(SEARCH("Nivel II: Riesgo Importante",Z192)))</formula>
    </cfRule>
    <cfRule type="containsText" dxfId="855" priority="9049" stopIfTrue="1" operator="containsText" text="Nivel IV: Riesgo Tolerable (Aceptable)">
      <formula>NOT(ISERROR(SEARCH("Nivel IV: Riesgo Tolerable (Aceptable)",Z192)))</formula>
    </cfRule>
  </conditionalFormatting>
  <conditionalFormatting sqref="Z193">
    <cfRule type="containsText" dxfId="854" priority="9015" stopIfTrue="1" operator="containsText" text="Nivel IV: Riesgo Tolerable (Aceptable)">
      <formula>NOT(ISERROR(SEARCH("Nivel IV: Riesgo Tolerable (Aceptable)",Z193)))</formula>
    </cfRule>
    <cfRule type="containsText" dxfId="853" priority="9013" stopIfTrue="1" operator="containsText" text="Nivel II: Riesgo Importante">
      <formula>NOT(ISERROR(SEARCH("Nivel II: Riesgo Importante",Z193)))</formula>
    </cfRule>
    <cfRule type="containsText" dxfId="852" priority="9014" stopIfTrue="1" operator="containsText" text="Nivel I: Riesgo Inaceptable">
      <formula>NOT(ISERROR(SEARCH("Nivel I: Riesgo Inaceptable",Z193)))</formula>
    </cfRule>
  </conditionalFormatting>
  <conditionalFormatting sqref="Z199:Z200 Z209:Z211 Z203:Z206">
    <cfRule type="containsText" dxfId="851" priority="8634" stopIfTrue="1" operator="containsText" text="Nivel II: Riesgo Importante">
      <formula>NOT(ISERROR(SEARCH("Nivel II: Riesgo Importante",Z199)))</formula>
    </cfRule>
    <cfRule type="containsText" dxfId="850" priority="8635" stopIfTrue="1" operator="containsText" text="Nivel I: Riesgo Inaceptable">
      <formula>NOT(ISERROR(SEARCH("Nivel I: Riesgo Inaceptable",Z199)))</formula>
    </cfRule>
    <cfRule type="containsText" dxfId="849" priority="8636" stopIfTrue="1" operator="containsText" text="Nivel IV: Riesgo Tolerable (Aceptable)">
      <formula>NOT(ISERROR(SEARCH("Nivel IV: Riesgo Tolerable (Aceptable)",Z199)))</formula>
    </cfRule>
  </conditionalFormatting>
  <conditionalFormatting sqref="Z200">
    <cfRule type="containsText" dxfId="848" priority="8526" stopIfTrue="1" operator="containsText" text="Nivel I: Riesgo Inaceptable">
      <formula>NOT(ISERROR(SEARCH("Nivel I: Riesgo Inaceptable",Z200)))</formula>
    </cfRule>
    <cfRule type="containsText" dxfId="847" priority="8525" stopIfTrue="1" operator="containsText" text="Nivel II: Riesgo Importante">
      <formula>NOT(ISERROR(SEARCH("Nivel II: Riesgo Importante",Z200)))</formula>
    </cfRule>
    <cfRule type="containsText" dxfId="846" priority="8527" stopIfTrue="1" operator="containsText" text="Nivel IV: Riesgo Tolerable (Aceptable)">
      <formula>NOT(ISERROR(SEARCH("Nivel IV: Riesgo Tolerable (Aceptable)",Z200)))</formula>
    </cfRule>
  </conditionalFormatting>
  <conditionalFormatting sqref="Z201">
    <cfRule type="containsText" dxfId="845" priority="8144" stopIfTrue="1" operator="containsText" text="Nivel I: Riesgo Inaceptable">
      <formula>NOT(ISERROR(SEARCH("Nivel I: Riesgo Inaceptable",Z201)))</formula>
    </cfRule>
    <cfRule type="containsText" dxfId="844" priority="8137" stopIfTrue="1" operator="containsText" text="Nivel IV: Riesgo Tolerable (Aceptable)">
      <formula>NOT(ISERROR(SEARCH("Nivel IV: Riesgo Tolerable (Aceptable)",Z201)))</formula>
    </cfRule>
    <cfRule type="containsText" dxfId="843" priority="8135" stopIfTrue="1" operator="containsText" text="Nivel II: Riesgo Importante">
      <formula>NOT(ISERROR(SEARCH("Nivel II: Riesgo Importante",Z201)))</formula>
    </cfRule>
    <cfRule type="containsText" dxfId="842" priority="8143" stopIfTrue="1" operator="containsText" text="Nivel II: Riesgo Importante">
      <formula>NOT(ISERROR(SEARCH("Nivel II: Riesgo Importante",Z201)))</formula>
    </cfRule>
    <cfRule type="containsText" dxfId="841" priority="8136" stopIfTrue="1" operator="containsText" text="Nivel I: Riesgo Inaceptable">
      <formula>NOT(ISERROR(SEARCH("Nivel I: Riesgo Inaceptable",Z201)))</formula>
    </cfRule>
    <cfRule type="containsText" dxfId="840" priority="8145" stopIfTrue="1" operator="containsText" text="Nivel IV: Riesgo Tolerable (Aceptable)">
      <formula>NOT(ISERROR(SEARCH("Nivel IV: Riesgo Tolerable (Aceptable)",Z201)))</formula>
    </cfRule>
  </conditionalFormatting>
  <conditionalFormatting sqref="Z202">
    <cfRule type="containsText" dxfId="839" priority="8108" stopIfTrue="1" operator="containsText" text="Nivel I: Riesgo Inaceptable">
      <formula>NOT(ISERROR(SEARCH("Nivel I: Riesgo Inaceptable",Z202)))</formula>
    </cfRule>
    <cfRule type="containsText" dxfId="838" priority="8107" stopIfTrue="1" operator="containsText" text="Nivel II: Riesgo Importante">
      <formula>NOT(ISERROR(SEARCH("Nivel II: Riesgo Importante",Z202)))</formula>
    </cfRule>
    <cfRule type="containsText" dxfId="837" priority="8109" stopIfTrue="1" operator="containsText" text="Nivel IV: Riesgo Tolerable (Aceptable)">
      <formula>NOT(ISERROR(SEARCH("Nivel IV: Riesgo Tolerable (Aceptable)",Z202)))</formula>
    </cfRule>
    <cfRule type="containsText" dxfId="836" priority="8101" stopIfTrue="1" operator="containsText" text="Nivel IV: Riesgo Tolerable (Aceptable)">
      <formula>NOT(ISERROR(SEARCH("Nivel IV: Riesgo Tolerable (Aceptable)",Z202)))</formula>
    </cfRule>
    <cfRule type="containsText" dxfId="835" priority="8100" stopIfTrue="1" operator="containsText" text="Nivel I: Riesgo Inaceptable">
      <formula>NOT(ISERROR(SEARCH("Nivel I: Riesgo Inaceptable",Z202)))</formula>
    </cfRule>
    <cfRule type="containsText" dxfId="834" priority="8099" stopIfTrue="1" operator="containsText" text="Nivel II: Riesgo Importante">
      <formula>NOT(ISERROR(SEARCH("Nivel II: Riesgo Importante",Z202)))</formula>
    </cfRule>
  </conditionalFormatting>
  <conditionalFormatting sqref="Z203">
    <cfRule type="containsText" dxfId="833" priority="8485" stopIfTrue="1" operator="containsText" text="Nivel I: Riesgo Inaceptable">
      <formula>NOT(ISERROR(SEARCH("Nivel I: Riesgo Inaceptable",Z203)))</formula>
    </cfRule>
    <cfRule type="containsText" dxfId="832" priority="8486" stopIfTrue="1" operator="containsText" text="Nivel IV: Riesgo Tolerable (Aceptable)">
      <formula>NOT(ISERROR(SEARCH("Nivel IV: Riesgo Tolerable (Aceptable)",Z203)))</formula>
    </cfRule>
    <cfRule type="containsText" dxfId="831" priority="8484" stopIfTrue="1" operator="containsText" text="Nivel II: Riesgo Importante">
      <formula>NOT(ISERROR(SEARCH("Nivel II: Riesgo Importante",Z203)))</formula>
    </cfRule>
  </conditionalFormatting>
  <conditionalFormatting sqref="Z203:Z206 Z199:Z200 Z209:Z211">
    <cfRule type="containsText" dxfId="830" priority="8633" stopIfTrue="1" operator="containsText" text="Nivel III: Riesgo Moderado (Aceptable)">
      <formula>NOT(ISERROR(SEARCH("Nivel III: Riesgo Moderado (Aceptable)",Z199)))</formula>
    </cfRule>
  </conditionalFormatting>
  <conditionalFormatting sqref="Z204">
    <cfRule type="containsText" dxfId="829" priority="8587" stopIfTrue="1" operator="containsText" text="Nivel II: Riesgo Importante">
      <formula>NOT(ISERROR(SEARCH("Nivel II: Riesgo Importante",Z204)))</formula>
    </cfRule>
    <cfRule type="containsText" dxfId="828" priority="8588" stopIfTrue="1" operator="containsText" text="Nivel I: Riesgo Inaceptable">
      <formula>NOT(ISERROR(SEARCH("Nivel I: Riesgo Inaceptable",Z204)))</formula>
    </cfRule>
    <cfRule type="containsText" dxfId="827" priority="8589" stopIfTrue="1" operator="containsText" text="Nivel IV: Riesgo Tolerable (Aceptable)">
      <formula>NOT(ISERROR(SEARCH("Nivel IV: Riesgo Tolerable (Aceptable)",Z204)))</formula>
    </cfRule>
  </conditionalFormatting>
  <conditionalFormatting sqref="Z205">
    <cfRule type="containsText" dxfId="826" priority="8436" stopIfTrue="1" operator="containsText" text="Nivel I: Riesgo Inaceptable">
      <formula>NOT(ISERROR(SEARCH("Nivel I: Riesgo Inaceptable",Z205)))</formula>
    </cfRule>
    <cfRule type="containsText" dxfId="825" priority="8435" stopIfTrue="1" operator="containsText" text="Nivel II: Riesgo Importante">
      <formula>NOT(ISERROR(SEARCH("Nivel II: Riesgo Importante",Z205)))</formula>
    </cfRule>
    <cfRule type="containsText" dxfId="824" priority="8437" stopIfTrue="1" operator="containsText" text="Nivel IV: Riesgo Tolerable (Aceptable)">
      <formula>NOT(ISERROR(SEARCH("Nivel IV: Riesgo Tolerable (Aceptable)",Z205)))</formula>
    </cfRule>
  </conditionalFormatting>
  <conditionalFormatting sqref="Z207">
    <cfRule type="containsText" dxfId="823" priority="8198" stopIfTrue="1" operator="containsText" text="Nivel III: Riesgo Moderado (Aceptable)">
      <formula>NOT(ISERROR(SEARCH("Nivel III: Riesgo Moderado (Aceptable)",Z207)))</formula>
    </cfRule>
    <cfRule type="containsText" dxfId="822" priority="8199" stopIfTrue="1" operator="containsText" text="Nivel II: Riesgo Importante">
      <formula>NOT(ISERROR(SEARCH("Nivel II: Riesgo Importante",Z207)))</formula>
    </cfRule>
    <cfRule type="containsText" dxfId="821" priority="8201" stopIfTrue="1" operator="containsText" text="Nivel IV: Riesgo Tolerable (Aceptable)">
      <formula>NOT(ISERROR(SEARCH("Nivel IV: Riesgo Tolerable (Aceptable)",Z207)))</formula>
    </cfRule>
    <cfRule type="containsText" dxfId="820" priority="8200" stopIfTrue="1" operator="containsText" text="Nivel I: Riesgo Inaceptable">
      <formula>NOT(ISERROR(SEARCH("Nivel I: Riesgo Inaceptable",Z207)))</formula>
    </cfRule>
  </conditionalFormatting>
  <conditionalFormatting sqref="Z208">
    <cfRule type="containsText" dxfId="819" priority="8173" stopIfTrue="1" operator="containsText" text="Nivel IV: Riesgo Tolerable (Aceptable)">
      <formula>NOT(ISERROR(SEARCH("Nivel IV: Riesgo Tolerable (Aceptable)",Z208)))</formula>
    </cfRule>
    <cfRule type="containsText" dxfId="818" priority="8172" stopIfTrue="1" operator="containsText" text="Nivel I: Riesgo Inaceptable">
      <formula>NOT(ISERROR(SEARCH("Nivel I: Riesgo Inaceptable",Z208)))</formula>
    </cfRule>
    <cfRule type="containsText" dxfId="817" priority="8170" stopIfTrue="1" operator="containsText" text="Nivel III: Riesgo Moderado (Aceptable)">
      <formula>NOT(ISERROR(SEARCH("Nivel III: Riesgo Moderado (Aceptable)",Z208)))</formula>
    </cfRule>
    <cfRule type="containsText" dxfId="816" priority="8171" stopIfTrue="1" operator="containsText" text="Nivel II: Riesgo Importante">
      <formula>NOT(ISERROR(SEARCH("Nivel II: Riesgo Importante",Z208)))</formula>
    </cfRule>
  </conditionalFormatting>
  <conditionalFormatting sqref="Z209">
    <cfRule type="containsText" dxfId="815" priority="8373" stopIfTrue="1" operator="containsText" text="Nivel II: Riesgo Importante">
      <formula>NOT(ISERROR(SEARCH("Nivel II: Riesgo Importante",Z209)))</formula>
    </cfRule>
    <cfRule type="containsText" dxfId="814" priority="8374" stopIfTrue="1" operator="containsText" text="Nivel I: Riesgo Inaceptable">
      <formula>NOT(ISERROR(SEARCH("Nivel I: Riesgo Inaceptable",Z209)))</formula>
    </cfRule>
    <cfRule type="containsText" dxfId="813" priority="8375" stopIfTrue="1" operator="containsText" text="Nivel IV: Riesgo Tolerable (Aceptable)">
      <formula>NOT(ISERROR(SEARCH("Nivel IV: Riesgo Tolerable (Aceptable)",Z209)))</formula>
    </cfRule>
  </conditionalFormatting>
  <conditionalFormatting sqref="Z210">
    <cfRule type="containsText" dxfId="812" priority="8323" stopIfTrue="1" operator="containsText" text="Nivel IV: Riesgo Tolerable (Aceptable)">
      <formula>NOT(ISERROR(SEARCH("Nivel IV: Riesgo Tolerable (Aceptable)",Z210)))</formula>
    </cfRule>
    <cfRule type="containsText" dxfId="811" priority="8322" stopIfTrue="1" operator="containsText" text="Nivel I: Riesgo Inaceptable">
      <formula>NOT(ISERROR(SEARCH("Nivel I: Riesgo Inaceptable",Z210)))</formula>
    </cfRule>
    <cfRule type="containsText" dxfId="810" priority="8321" stopIfTrue="1" operator="containsText" text="Nivel II: Riesgo Importante">
      <formula>NOT(ISERROR(SEARCH("Nivel II: Riesgo Importante",Z210)))</formula>
    </cfRule>
  </conditionalFormatting>
  <conditionalFormatting sqref="Z211">
    <cfRule type="containsText" dxfId="809" priority="8407" stopIfTrue="1" operator="containsText" text="Nivel II: Riesgo Importante">
      <formula>NOT(ISERROR(SEARCH("Nivel II: Riesgo Importante",Z211)))</formula>
    </cfRule>
    <cfRule type="containsText" dxfId="808" priority="8408" stopIfTrue="1" operator="containsText" text="Nivel I: Riesgo Inaceptable">
      <formula>NOT(ISERROR(SEARCH("Nivel I: Riesgo Inaceptable",Z211)))</formula>
    </cfRule>
    <cfRule type="containsText" dxfId="807" priority="8409" stopIfTrue="1" operator="containsText" text="Nivel IV: Riesgo Tolerable (Aceptable)">
      <formula>NOT(ISERROR(SEARCH("Nivel IV: Riesgo Tolerable (Aceptable)",Z211)))</formula>
    </cfRule>
  </conditionalFormatting>
  <conditionalFormatting sqref="Z212">
    <cfRule type="containsText" dxfId="806" priority="8233" stopIfTrue="1" operator="containsText" text="Nivel II: Riesgo Importante">
      <formula>NOT(ISERROR(SEARCH("Nivel II: Riesgo Importante",Z212)))</formula>
    </cfRule>
    <cfRule type="containsText" dxfId="805" priority="8239" stopIfTrue="1" operator="containsText" text="Nivel IV: Riesgo Tolerable (Aceptable)">
      <formula>NOT(ISERROR(SEARCH("Nivel IV: Riesgo Tolerable (Aceptable)",Z212)))</formula>
    </cfRule>
    <cfRule type="containsText" dxfId="804" priority="8238" stopIfTrue="1" operator="containsText" text="Nivel I: Riesgo Inaceptable">
      <formula>NOT(ISERROR(SEARCH("Nivel I: Riesgo Inaceptable",Z212)))</formula>
    </cfRule>
    <cfRule type="containsText" dxfId="803" priority="8237" stopIfTrue="1" operator="containsText" text="Nivel II: Riesgo Importante">
      <formula>NOT(ISERROR(SEARCH("Nivel II: Riesgo Importante",Z212)))</formula>
    </cfRule>
    <cfRule type="containsText" dxfId="802" priority="8236" stopIfTrue="1" operator="containsText" text="Nivel III: Riesgo Moderado (Aceptable)">
      <formula>NOT(ISERROR(SEARCH("Nivel III: Riesgo Moderado (Aceptable)",Z212)))</formula>
    </cfRule>
    <cfRule type="containsText" dxfId="801" priority="8235" stopIfTrue="1" operator="containsText" text="Nivel IV: Riesgo Tolerable (Aceptable)">
      <formula>NOT(ISERROR(SEARCH("Nivel IV: Riesgo Tolerable (Aceptable)",Z212)))</formula>
    </cfRule>
    <cfRule type="containsText" dxfId="800" priority="8234" stopIfTrue="1" operator="containsText" text="Nivel I: Riesgo Inaceptable">
      <formula>NOT(ISERROR(SEARCH("Nivel I: Riesgo Inaceptable",Z212)))</formula>
    </cfRule>
  </conditionalFormatting>
  <conditionalFormatting sqref="Z213 Z226 Z216:Z220 Z222:Z224">
    <cfRule type="containsText" dxfId="799" priority="8069" stopIfTrue="1" operator="containsText" text="Nivel IV: Riesgo Tolerable (Aceptable)">
      <formula>NOT(ISERROR(SEARCH("Nivel IV: Riesgo Tolerable (Aceptable)",Z213)))</formula>
    </cfRule>
    <cfRule type="containsText" dxfId="798" priority="8068" stopIfTrue="1" operator="containsText" text="Nivel I: Riesgo Inaceptable">
      <formula>NOT(ISERROR(SEARCH("Nivel I: Riesgo Inaceptable",Z213)))</formula>
    </cfRule>
    <cfRule type="containsText" dxfId="797" priority="8067" stopIfTrue="1" operator="containsText" text="Nivel II: Riesgo Importante">
      <formula>NOT(ISERROR(SEARCH("Nivel II: Riesgo Importante",Z213)))</formula>
    </cfRule>
  </conditionalFormatting>
  <conditionalFormatting sqref="Z213">
    <cfRule type="containsText" dxfId="796" priority="7999" stopIfTrue="1" operator="containsText" text="Nivel II: Riesgo Importante">
      <formula>NOT(ISERROR(SEARCH("Nivel II: Riesgo Importante",Z213)))</formula>
    </cfRule>
    <cfRule type="containsText" dxfId="795" priority="8000" stopIfTrue="1" operator="containsText" text="Nivel I: Riesgo Inaceptable">
      <formula>NOT(ISERROR(SEARCH("Nivel I: Riesgo Inaceptable",Z213)))</formula>
    </cfRule>
    <cfRule type="containsText" dxfId="794" priority="8001" stopIfTrue="1" operator="containsText" text="Nivel IV: Riesgo Tolerable (Aceptable)">
      <formula>NOT(ISERROR(SEARCH("Nivel IV: Riesgo Tolerable (Aceptable)",Z213)))</formula>
    </cfRule>
  </conditionalFormatting>
  <conditionalFormatting sqref="Z214">
    <cfRule type="containsText" dxfId="793" priority="7574" stopIfTrue="1" operator="containsText" text="Nivel IV: Riesgo Tolerable (Aceptable)">
      <formula>NOT(ISERROR(SEARCH("Nivel IV: Riesgo Tolerable (Aceptable)",Z214)))</formula>
    </cfRule>
    <cfRule type="containsText" dxfId="792" priority="7573" stopIfTrue="1" operator="containsText" text="Nivel I: Riesgo Inaceptable">
      <formula>NOT(ISERROR(SEARCH("Nivel I: Riesgo Inaceptable",Z214)))</formula>
    </cfRule>
    <cfRule type="containsText" dxfId="791" priority="7572" stopIfTrue="1" operator="containsText" text="Nivel II: Riesgo Importante">
      <formula>NOT(ISERROR(SEARCH("Nivel II: Riesgo Importante",Z214)))</formula>
    </cfRule>
    <cfRule type="containsText" dxfId="790" priority="7582" stopIfTrue="1" operator="containsText" text="Nivel IV: Riesgo Tolerable (Aceptable)">
      <formula>NOT(ISERROR(SEARCH("Nivel IV: Riesgo Tolerable (Aceptable)",Z214)))</formula>
    </cfRule>
    <cfRule type="containsText" dxfId="789" priority="7581" stopIfTrue="1" operator="containsText" text="Nivel I: Riesgo Inaceptable">
      <formula>NOT(ISERROR(SEARCH("Nivel I: Riesgo Inaceptable",Z214)))</formula>
    </cfRule>
    <cfRule type="containsText" dxfId="788" priority="7580" stopIfTrue="1" operator="containsText" text="Nivel II: Riesgo Importante">
      <formula>NOT(ISERROR(SEARCH("Nivel II: Riesgo Importante",Z214)))</formula>
    </cfRule>
  </conditionalFormatting>
  <conditionalFormatting sqref="Z215">
    <cfRule type="containsText" dxfId="787" priority="7537" stopIfTrue="1" operator="containsText" text="Nivel I: Riesgo Inaceptable">
      <formula>NOT(ISERROR(SEARCH("Nivel I: Riesgo Inaceptable",Z215)))</formula>
    </cfRule>
    <cfRule type="containsText" dxfId="786" priority="7546" stopIfTrue="1" operator="containsText" text="Nivel IV: Riesgo Tolerable (Aceptable)">
      <formula>NOT(ISERROR(SEARCH("Nivel IV: Riesgo Tolerable (Aceptable)",Z215)))</formula>
    </cfRule>
    <cfRule type="containsText" dxfId="785" priority="7536" stopIfTrue="1" operator="containsText" text="Nivel II: Riesgo Importante">
      <formula>NOT(ISERROR(SEARCH("Nivel II: Riesgo Importante",Z215)))</formula>
    </cfRule>
    <cfRule type="containsText" dxfId="784" priority="7538" stopIfTrue="1" operator="containsText" text="Nivel IV: Riesgo Tolerable (Aceptable)">
      <formula>NOT(ISERROR(SEARCH("Nivel IV: Riesgo Tolerable (Aceptable)",Z215)))</formula>
    </cfRule>
    <cfRule type="containsText" dxfId="783" priority="7544" stopIfTrue="1" operator="containsText" text="Nivel II: Riesgo Importante">
      <formula>NOT(ISERROR(SEARCH("Nivel II: Riesgo Importante",Z215)))</formula>
    </cfRule>
    <cfRule type="containsText" dxfId="782" priority="7545" stopIfTrue="1" operator="containsText" text="Nivel I: Riesgo Inaceptable">
      <formula>NOT(ISERROR(SEARCH("Nivel I: Riesgo Inaceptable",Z215)))</formula>
    </cfRule>
  </conditionalFormatting>
  <conditionalFormatting sqref="Z216">
    <cfRule type="containsText" dxfId="781" priority="7958" stopIfTrue="1" operator="containsText" text="Nivel II: Riesgo Importante">
      <formula>NOT(ISERROR(SEARCH("Nivel II: Riesgo Importante",Z216)))</formula>
    </cfRule>
    <cfRule type="containsText" dxfId="780" priority="7959" stopIfTrue="1" operator="containsText" text="Nivel I: Riesgo Inaceptable">
      <formula>NOT(ISERROR(SEARCH("Nivel I: Riesgo Inaceptable",Z216)))</formula>
    </cfRule>
    <cfRule type="containsText" dxfId="779" priority="7960" stopIfTrue="1" operator="containsText" text="Nivel IV: Riesgo Tolerable (Aceptable)">
      <formula>NOT(ISERROR(SEARCH("Nivel IV: Riesgo Tolerable (Aceptable)",Z216)))</formula>
    </cfRule>
  </conditionalFormatting>
  <conditionalFormatting sqref="Z216:Z220 Z213 Z226 Z222:Z224">
    <cfRule type="containsText" dxfId="778" priority="8066" stopIfTrue="1" operator="containsText" text="Nivel III: Riesgo Moderado (Aceptable)">
      <formula>NOT(ISERROR(SEARCH("Nivel III: Riesgo Moderado (Aceptable)",Z213)))</formula>
    </cfRule>
  </conditionalFormatting>
  <conditionalFormatting sqref="Z217">
    <cfRule type="containsText" dxfId="777" priority="8046" stopIfTrue="1" operator="containsText" text="Nivel II: Riesgo Importante">
      <formula>NOT(ISERROR(SEARCH("Nivel II: Riesgo Importante",Z217)))</formula>
    </cfRule>
    <cfRule type="containsText" dxfId="776" priority="8047" stopIfTrue="1" operator="containsText" text="Nivel I: Riesgo Inaceptable">
      <formula>NOT(ISERROR(SEARCH("Nivel I: Riesgo Inaceptable",Z217)))</formula>
    </cfRule>
    <cfRule type="containsText" dxfId="775" priority="8048" stopIfTrue="1" operator="containsText" text="Nivel IV: Riesgo Tolerable (Aceptable)">
      <formula>NOT(ISERROR(SEARCH("Nivel IV: Riesgo Tolerable (Aceptable)",Z217)))</formula>
    </cfRule>
  </conditionalFormatting>
  <conditionalFormatting sqref="Z218">
    <cfRule type="containsText" dxfId="774" priority="7909" stopIfTrue="1" operator="containsText" text="Nivel II: Riesgo Importante">
      <formula>NOT(ISERROR(SEARCH("Nivel II: Riesgo Importante",Z218)))</formula>
    </cfRule>
    <cfRule type="containsText" dxfId="773" priority="7910" stopIfTrue="1" operator="containsText" text="Nivel I: Riesgo Inaceptable">
      <formula>NOT(ISERROR(SEARCH("Nivel I: Riesgo Inaceptable",Z218)))</formula>
    </cfRule>
    <cfRule type="containsText" dxfId="772" priority="7911" stopIfTrue="1" operator="containsText" text="Nivel IV: Riesgo Tolerable (Aceptable)">
      <formula>NOT(ISERROR(SEARCH("Nivel IV: Riesgo Tolerable (Aceptable)",Z218)))</formula>
    </cfRule>
  </conditionalFormatting>
  <conditionalFormatting sqref="Z221">
    <cfRule type="containsText" dxfId="771" priority="7686" stopIfTrue="1" operator="containsText" text="Nivel III: Riesgo Moderado (Aceptable)">
      <formula>NOT(ISERROR(SEARCH("Nivel III: Riesgo Moderado (Aceptable)",Z221)))</formula>
    </cfRule>
    <cfRule type="containsText" dxfId="770" priority="7687" stopIfTrue="1" operator="containsText" text="Nivel II: Riesgo Importante">
      <formula>NOT(ISERROR(SEARCH("Nivel II: Riesgo Importante",Z221)))</formula>
    </cfRule>
    <cfRule type="containsText" dxfId="769" priority="7688" stopIfTrue="1" operator="containsText" text="Nivel I: Riesgo Inaceptable">
      <formula>NOT(ISERROR(SEARCH("Nivel I: Riesgo Inaceptable",Z221)))</formula>
    </cfRule>
    <cfRule type="containsText" dxfId="768" priority="7689" stopIfTrue="1" operator="containsText" text="Nivel IV: Riesgo Tolerable (Aceptable)">
      <formula>NOT(ISERROR(SEARCH("Nivel IV: Riesgo Tolerable (Aceptable)",Z221)))</formula>
    </cfRule>
  </conditionalFormatting>
  <conditionalFormatting sqref="Z222:Z223">
    <cfRule type="containsText" dxfId="767" priority="7849" stopIfTrue="1" operator="containsText" text="Nivel IV: Riesgo Tolerable (Aceptable)">
      <formula>NOT(ISERROR(SEARCH("Nivel IV: Riesgo Tolerable (Aceptable)",Z222)))</formula>
    </cfRule>
    <cfRule type="containsText" dxfId="766" priority="7848" stopIfTrue="1" operator="containsText" text="Nivel I: Riesgo Inaceptable">
      <formula>NOT(ISERROR(SEARCH("Nivel I: Riesgo Inaceptable",Z222)))</formula>
    </cfRule>
    <cfRule type="containsText" dxfId="765" priority="7847" stopIfTrue="1" operator="containsText" text="Nivel II: Riesgo Importante">
      <formula>NOT(ISERROR(SEARCH("Nivel II: Riesgo Importante",Z222)))</formula>
    </cfRule>
  </conditionalFormatting>
  <conditionalFormatting sqref="Z224">
    <cfRule type="containsText" dxfId="764" priority="7797" stopIfTrue="1" operator="containsText" text="Nivel IV: Riesgo Tolerable (Aceptable)">
      <formula>NOT(ISERROR(SEARCH("Nivel IV: Riesgo Tolerable (Aceptable)",Z224)))</formula>
    </cfRule>
    <cfRule type="containsText" dxfId="763" priority="7796" stopIfTrue="1" operator="containsText" text="Nivel I: Riesgo Inaceptable">
      <formula>NOT(ISERROR(SEARCH("Nivel I: Riesgo Inaceptable",Z224)))</formula>
    </cfRule>
    <cfRule type="containsText" dxfId="762" priority="7795" stopIfTrue="1" operator="containsText" text="Nivel II: Riesgo Importante">
      <formula>NOT(ISERROR(SEARCH("Nivel II: Riesgo Importante",Z224)))</formula>
    </cfRule>
  </conditionalFormatting>
  <conditionalFormatting sqref="Z225">
    <cfRule type="containsText" dxfId="761" priority="7626" stopIfTrue="1" operator="containsText" text="Nivel I: Riesgo Inaceptable">
      <formula>NOT(ISERROR(SEARCH("Nivel I: Riesgo Inaceptable",Z225)))</formula>
    </cfRule>
    <cfRule type="containsText" dxfId="760" priority="7625" stopIfTrue="1" operator="containsText" text="Nivel II: Riesgo Importante">
      <formula>NOT(ISERROR(SEARCH("Nivel II: Riesgo Importante",Z225)))</formula>
    </cfRule>
    <cfRule type="containsText" dxfId="759" priority="7612" stopIfTrue="1" operator="containsText" text="Nivel IV: Riesgo Tolerable (Aceptable)">
      <formula>NOT(ISERROR(SEARCH("Nivel IV: Riesgo Tolerable (Aceptable)",Z225)))</formula>
    </cfRule>
    <cfRule type="containsText" dxfId="758" priority="7627" stopIfTrue="1" operator="containsText" text="Nivel IV: Riesgo Tolerable (Aceptable)">
      <formula>NOT(ISERROR(SEARCH("Nivel IV: Riesgo Tolerable (Aceptable)",Z225)))</formula>
    </cfRule>
    <cfRule type="containsText" dxfId="757" priority="7624" stopIfTrue="1" operator="containsText" text="Nivel III: Riesgo Moderado (Aceptable)">
      <formula>NOT(ISERROR(SEARCH("Nivel III: Riesgo Moderado (Aceptable)",Z225)))</formula>
    </cfRule>
    <cfRule type="containsText" dxfId="756" priority="7610" stopIfTrue="1" operator="containsText" text="Nivel II: Riesgo Importante">
      <formula>NOT(ISERROR(SEARCH("Nivel II: Riesgo Importante",Z225)))</formula>
    </cfRule>
    <cfRule type="containsText" dxfId="755" priority="7611" stopIfTrue="1" operator="containsText" text="Nivel I: Riesgo Inaceptable">
      <formula>NOT(ISERROR(SEARCH("Nivel I: Riesgo Inaceptable",Z225)))</formula>
    </cfRule>
  </conditionalFormatting>
  <conditionalFormatting sqref="Z226">
    <cfRule type="containsText" dxfId="754" priority="7883" stopIfTrue="1" operator="containsText" text="Nivel IV: Riesgo Tolerable (Aceptable)">
      <formula>NOT(ISERROR(SEARCH("Nivel IV: Riesgo Tolerable (Aceptable)",Z226)))</formula>
    </cfRule>
    <cfRule type="containsText" dxfId="753" priority="7881" stopIfTrue="1" operator="containsText" text="Nivel II: Riesgo Importante">
      <formula>NOT(ISERROR(SEARCH("Nivel II: Riesgo Importante",Z226)))</formula>
    </cfRule>
    <cfRule type="containsText" dxfId="752" priority="7882" stopIfTrue="1" operator="containsText" text="Nivel I: Riesgo Inaceptable">
      <formula>NOT(ISERROR(SEARCH("Nivel I: Riesgo Inaceptable",Z226)))</formula>
    </cfRule>
  </conditionalFormatting>
  <conditionalFormatting sqref="Z227">
    <cfRule type="containsText" dxfId="751" priority="7660" stopIfTrue="1" operator="containsText" text="Nivel I: Riesgo Inaceptable">
      <formula>NOT(ISERROR(SEARCH("Nivel I: Riesgo Inaceptable",Z227)))</formula>
    </cfRule>
    <cfRule type="containsText" dxfId="750" priority="7659" stopIfTrue="1" operator="containsText" text="Nivel II: Riesgo Importante">
      <formula>NOT(ISERROR(SEARCH("Nivel II: Riesgo Importante",Z227)))</formula>
    </cfRule>
    <cfRule type="containsText" dxfId="749" priority="7658" stopIfTrue="1" operator="containsText" text="Nivel III: Riesgo Moderado (Aceptable)">
      <formula>NOT(ISERROR(SEARCH("Nivel III: Riesgo Moderado (Aceptable)",Z227)))</formula>
    </cfRule>
    <cfRule type="containsText" dxfId="748" priority="7657" stopIfTrue="1" operator="containsText" text="Nivel IV: Riesgo Tolerable (Aceptable)">
      <formula>NOT(ISERROR(SEARCH("Nivel IV: Riesgo Tolerable (Aceptable)",Z227)))</formula>
    </cfRule>
    <cfRule type="containsText" dxfId="747" priority="7656" stopIfTrue="1" operator="containsText" text="Nivel I: Riesgo Inaceptable">
      <formula>NOT(ISERROR(SEARCH("Nivel I: Riesgo Inaceptable",Z227)))</formula>
    </cfRule>
    <cfRule type="containsText" dxfId="746" priority="7655" stopIfTrue="1" operator="containsText" text="Nivel II: Riesgo Importante">
      <formula>NOT(ISERROR(SEARCH("Nivel II: Riesgo Importante",Z227)))</formula>
    </cfRule>
    <cfRule type="containsText" dxfId="745" priority="7661" stopIfTrue="1" operator="containsText" text="Nivel IV: Riesgo Tolerable (Aceptable)">
      <formula>NOT(ISERROR(SEARCH("Nivel IV: Riesgo Tolerable (Aceptable)",Z227)))</formula>
    </cfRule>
  </conditionalFormatting>
  <conditionalFormatting sqref="Z228:Z229 Z238:Z239 Z241 Z232:Z236">
    <cfRule type="containsText" dxfId="744" priority="7505" stopIfTrue="1" operator="containsText" text="Nivel I: Riesgo Inaceptable">
      <formula>NOT(ISERROR(SEARCH("Nivel I: Riesgo Inaceptable",Z228)))</formula>
    </cfRule>
    <cfRule type="containsText" dxfId="743" priority="7506" stopIfTrue="1" operator="containsText" text="Nivel IV: Riesgo Tolerable (Aceptable)">
      <formula>NOT(ISERROR(SEARCH("Nivel IV: Riesgo Tolerable (Aceptable)",Z228)))</formula>
    </cfRule>
    <cfRule type="containsText" dxfId="742" priority="7504" stopIfTrue="1" operator="containsText" text="Nivel II: Riesgo Importante">
      <formula>NOT(ISERROR(SEARCH("Nivel II: Riesgo Importante",Z228)))</formula>
    </cfRule>
  </conditionalFormatting>
  <conditionalFormatting sqref="Z229">
    <cfRule type="containsText" dxfId="741" priority="7395" stopIfTrue="1" operator="containsText" text="Nivel II: Riesgo Importante">
      <formula>NOT(ISERROR(SEARCH("Nivel II: Riesgo Importante",Z229)))</formula>
    </cfRule>
    <cfRule type="containsText" dxfId="740" priority="7396" stopIfTrue="1" operator="containsText" text="Nivel I: Riesgo Inaceptable">
      <formula>NOT(ISERROR(SEARCH("Nivel I: Riesgo Inaceptable",Z229)))</formula>
    </cfRule>
    <cfRule type="containsText" dxfId="739" priority="7397" stopIfTrue="1" operator="containsText" text="Nivel IV: Riesgo Tolerable (Aceptable)">
      <formula>NOT(ISERROR(SEARCH("Nivel IV: Riesgo Tolerable (Aceptable)",Z229)))</formula>
    </cfRule>
  </conditionalFormatting>
  <conditionalFormatting sqref="Z230">
    <cfRule type="containsText" dxfId="738" priority="6970" stopIfTrue="1" operator="containsText" text="Nivel IV: Riesgo Tolerable (Aceptable)">
      <formula>NOT(ISERROR(SEARCH("Nivel IV: Riesgo Tolerable (Aceptable)",Z230)))</formula>
    </cfRule>
    <cfRule type="containsText" dxfId="737" priority="6977" stopIfTrue="1" operator="containsText" text="Nivel I: Riesgo Inaceptable">
      <formula>NOT(ISERROR(SEARCH("Nivel I: Riesgo Inaceptable",Z230)))</formula>
    </cfRule>
    <cfRule type="containsText" dxfId="736" priority="6978" stopIfTrue="1" operator="containsText" text="Nivel IV: Riesgo Tolerable (Aceptable)">
      <formula>NOT(ISERROR(SEARCH("Nivel IV: Riesgo Tolerable (Aceptable)",Z230)))</formula>
    </cfRule>
    <cfRule type="containsText" dxfId="735" priority="6976" stopIfTrue="1" operator="containsText" text="Nivel II: Riesgo Importante">
      <formula>NOT(ISERROR(SEARCH("Nivel II: Riesgo Importante",Z230)))</formula>
    </cfRule>
    <cfRule type="containsText" dxfId="734" priority="6969" stopIfTrue="1" operator="containsText" text="Nivel I: Riesgo Inaceptable">
      <formula>NOT(ISERROR(SEARCH("Nivel I: Riesgo Inaceptable",Z230)))</formula>
    </cfRule>
    <cfRule type="containsText" dxfId="733" priority="6968" stopIfTrue="1" operator="containsText" text="Nivel II: Riesgo Importante">
      <formula>NOT(ISERROR(SEARCH("Nivel II: Riesgo Importante",Z230)))</formula>
    </cfRule>
  </conditionalFormatting>
  <conditionalFormatting sqref="Z231">
    <cfRule type="containsText" dxfId="732" priority="6936" stopIfTrue="1" operator="containsText" text="Nivel II: Riesgo Importante">
      <formula>NOT(ISERROR(SEARCH("Nivel II: Riesgo Importante",Z231)))</formula>
    </cfRule>
    <cfRule type="containsText" dxfId="731" priority="6937" stopIfTrue="1" operator="containsText" text="Nivel I: Riesgo Inaceptable">
      <formula>NOT(ISERROR(SEARCH("Nivel I: Riesgo Inaceptable",Z231)))</formula>
    </cfRule>
    <cfRule type="containsText" dxfId="730" priority="6938" stopIfTrue="1" operator="containsText" text="Nivel IV: Riesgo Tolerable (Aceptable)">
      <formula>NOT(ISERROR(SEARCH("Nivel IV: Riesgo Tolerable (Aceptable)",Z231)))</formula>
    </cfRule>
    <cfRule type="containsText" dxfId="729" priority="6944" stopIfTrue="1" operator="containsText" text="Nivel II: Riesgo Importante">
      <formula>NOT(ISERROR(SEARCH("Nivel II: Riesgo Importante",Z231)))</formula>
    </cfRule>
    <cfRule type="containsText" dxfId="728" priority="6945" stopIfTrue="1" operator="containsText" text="Nivel I: Riesgo Inaceptable">
      <formula>NOT(ISERROR(SEARCH("Nivel I: Riesgo Inaceptable",Z231)))</formula>
    </cfRule>
    <cfRule type="containsText" dxfId="727" priority="6946" stopIfTrue="1" operator="containsText" text="Nivel IV: Riesgo Tolerable (Aceptable)">
      <formula>NOT(ISERROR(SEARCH("Nivel IV: Riesgo Tolerable (Aceptable)",Z231)))</formula>
    </cfRule>
  </conditionalFormatting>
  <conditionalFormatting sqref="Z232">
    <cfRule type="containsText" dxfId="726" priority="7355" stopIfTrue="1" operator="containsText" text="Nivel I: Riesgo Inaceptable">
      <formula>NOT(ISERROR(SEARCH("Nivel I: Riesgo Inaceptable",Z232)))</formula>
    </cfRule>
    <cfRule type="containsText" dxfId="725" priority="7354" stopIfTrue="1" operator="containsText" text="Nivel II: Riesgo Importante">
      <formula>NOT(ISERROR(SEARCH("Nivel II: Riesgo Importante",Z232)))</formula>
    </cfRule>
    <cfRule type="containsText" dxfId="724" priority="7356" stopIfTrue="1" operator="containsText" text="Nivel IV: Riesgo Tolerable (Aceptable)">
      <formula>NOT(ISERROR(SEARCH("Nivel IV: Riesgo Tolerable (Aceptable)",Z232)))</formula>
    </cfRule>
  </conditionalFormatting>
  <conditionalFormatting sqref="Z232:Z236 Z228:Z229 Z241 Z238:Z239">
    <cfRule type="containsText" dxfId="723" priority="7503" stopIfTrue="1" operator="containsText" text="Nivel III: Riesgo Moderado (Aceptable)">
      <formula>NOT(ISERROR(SEARCH("Nivel III: Riesgo Moderado (Aceptable)",Z228)))</formula>
    </cfRule>
  </conditionalFormatting>
  <conditionalFormatting sqref="Z233">
    <cfRule type="containsText" dxfId="722" priority="7459" stopIfTrue="1" operator="containsText" text="Nivel IV: Riesgo Tolerable (Aceptable)">
      <formula>NOT(ISERROR(SEARCH("Nivel IV: Riesgo Tolerable (Aceptable)",Z233)))</formula>
    </cfRule>
    <cfRule type="containsText" dxfId="721" priority="7458" stopIfTrue="1" operator="containsText" text="Nivel I: Riesgo Inaceptable">
      <formula>NOT(ISERROR(SEARCH("Nivel I: Riesgo Inaceptable",Z233)))</formula>
    </cfRule>
    <cfRule type="containsText" dxfId="720" priority="7457" stopIfTrue="1" operator="containsText" text="Nivel II: Riesgo Importante">
      <formula>NOT(ISERROR(SEARCH("Nivel II: Riesgo Importante",Z233)))</formula>
    </cfRule>
  </conditionalFormatting>
  <conditionalFormatting sqref="Z234">
    <cfRule type="containsText" dxfId="719" priority="7306" stopIfTrue="1" operator="containsText" text="Nivel I: Riesgo Inaceptable">
      <formula>NOT(ISERROR(SEARCH("Nivel I: Riesgo Inaceptable",Z234)))</formula>
    </cfRule>
    <cfRule type="containsText" dxfId="718" priority="7305" stopIfTrue="1" operator="containsText" text="Nivel II: Riesgo Importante">
      <formula>NOT(ISERROR(SEARCH("Nivel II: Riesgo Importante",Z234)))</formula>
    </cfRule>
    <cfRule type="containsText" dxfId="717" priority="7307" stopIfTrue="1" operator="containsText" text="Nivel IV: Riesgo Tolerable (Aceptable)">
      <formula>NOT(ISERROR(SEARCH("Nivel IV: Riesgo Tolerable (Aceptable)",Z234)))</formula>
    </cfRule>
  </conditionalFormatting>
  <conditionalFormatting sqref="Z237">
    <cfRule type="containsText" dxfId="716" priority="7082" stopIfTrue="1" operator="containsText" text="Nivel III: Riesgo Moderado (Aceptable)">
      <formula>NOT(ISERROR(SEARCH("Nivel III: Riesgo Moderado (Aceptable)",Z237)))</formula>
    </cfRule>
    <cfRule type="containsText" dxfId="715" priority="7085" stopIfTrue="1" operator="containsText" text="Nivel IV: Riesgo Tolerable (Aceptable)">
      <formula>NOT(ISERROR(SEARCH("Nivel IV: Riesgo Tolerable (Aceptable)",Z237)))</formula>
    </cfRule>
    <cfRule type="containsText" dxfId="714" priority="7083" stopIfTrue="1" operator="containsText" text="Nivel II: Riesgo Importante">
      <formula>NOT(ISERROR(SEARCH("Nivel II: Riesgo Importante",Z237)))</formula>
    </cfRule>
    <cfRule type="containsText" dxfId="713" priority="7084" stopIfTrue="1" operator="containsText" text="Nivel I: Riesgo Inaceptable">
      <formula>NOT(ISERROR(SEARCH("Nivel I: Riesgo Inaceptable",Z237)))</formula>
    </cfRule>
  </conditionalFormatting>
  <conditionalFormatting sqref="Z238">
    <cfRule type="containsText" dxfId="712" priority="7245" stopIfTrue="1" operator="containsText" text="Nivel IV: Riesgo Tolerable (Aceptable)">
      <formula>NOT(ISERROR(SEARCH("Nivel IV: Riesgo Tolerable (Aceptable)",Z238)))</formula>
    </cfRule>
    <cfRule type="containsText" dxfId="711" priority="7244" stopIfTrue="1" operator="containsText" text="Nivel I: Riesgo Inaceptable">
      <formula>NOT(ISERROR(SEARCH("Nivel I: Riesgo Inaceptable",Z238)))</formula>
    </cfRule>
    <cfRule type="containsText" dxfId="710" priority="7243" stopIfTrue="1" operator="containsText" text="Nivel II: Riesgo Importante">
      <formula>NOT(ISERROR(SEARCH("Nivel II: Riesgo Importante",Z238)))</formula>
    </cfRule>
  </conditionalFormatting>
  <conditionalFormatting sqref="Z239">
    <cfRule type="containsText" dxfId="709" priority="7192" stopIfTrue="1" operator="containsText" text="Nivel I: Riesgo Inaceptable">
      <formula>NOT(ISERROR(SEARCH("Nivel I: Riesgo Inaceptable",Z239)))</formula>
    </cfRule>
    <cfRule type="containsText" dxfId="708" priority="7193" stopIfTrue="1" operator="containsText" text="Nivel IV: Riesgo Tolerable (Aceptable)">
      <formula>NOT(ISERROR(SEARCH("Nivel IV: Riesgo Tolerable (Aceptable)",Z239)))</formula>
    </cfRule>
    <cfRule type="containsText" dxfId="707" priority="7191" stopIfTrue="1" operator="containsText" text="Nivel II: Riesgo Importante">
      <formula>NOT(ISERROR(SEARCH("Nivel II: Riesgo Importante",Z239)))</formula>
    </cfRule>
  </conditionalFormatting>
  <conditionalFormatting sqref="Z240">
    <cfRule type="containsText" dxfId="706" priority="7020" stopIfTrue="1" operator="containsText" text="Nivel III: Riesgo Moderado (Aceptable)">
      <formula>NOT(ISERROR(SEARCH("Nivel III: Riesgo Moderado (Aceptable)",Z240)))</formula>
    </cfRule>
    <cfRule type="containsText" dxfId="705" priority="7021" stopIfTrue="1" operator="containsText" text="Nivel II: Riesgo Importante">
      <formula>NOT(ISERROR(SEARCH("Nivel II: Riesgo Importante",Z240)))</formula>
    </cfRule>
    <cfRule type="containsText" dxfId="704" priority="7022" stopIfTrue="1" operator="containsText" text="Nivel I: Riesgo Inaceptable">
      <formula>NOT(ISERROR(SEARCH("Nivel I: Riesgo Inaceptable",Z240)))</formula>
    </cfRule>
    <cfRule type="containsText" dxfId="703" priority="7006" stopIfTrue="1" operator="containsText" text="Nivel II: Riesgo Importante">
      <formula>NOT(ISERROR(SEARCH("Nivel II: Riesgo Importante",Z240)))</formula>
    </cfRule>
    <cfRule type="containsText" dxfId="702" priority="7008" stopIfTrue="1" operator="containsText" text="Nivel IV: Riesgo Tolerable (Aceptable)">
      <formula>NOT(ISERROR(SEARCH("Nivel IV: Riesgo Tolerable (Aceptable)",Z240)))</formula>
    </cfRule>
    <cfRule type="containsText" dxfId="701" priority="7023" stopIfTrue="1" operator="containsText" text="Nivel IV: Riesgo Tolerable (Aceptable)">
      <formula>NOT(ISERROR(SEARCH("Nivel IV: Riesgo Tolerable (Aceptable)",Z240)))</formula>
    </cfRule>
    <cfRule type="containsText" dxfId="700" priority="7007" stopIfTrue="1" operator="containsText" text="Nivel I: Riesgo Inaceptable">
      <formula>NOT(ISERROR(SEARCH("Nivel I: Riesgo Inaceptable",Z240)))</formula>
    </cfRule>
  </conditionalFormatting>
  <conditionalFormatting sqref="Z241">
    <cfRule type="containsText" dxfId="699" priority="7278" stopIfTrue="1" operator="containsText" text="Nivel I: Riesgo Inaceptable">
      <formula>NOT(ISERROR(SEARCH("Nivel I: Riesgo Inaceptable",Z241)))</formula>
    </cfRule>
    <cfRule type="containsText" dxfId="698" priority="7277" stopIfTrue="1" operator="containsText" text="Nivel II: Riesgo Importante">
      <formula>NOT(ISERROR(SEARCH("Nivel II: Riesgo Importante",Z241)))</formula>
    </cfRule>
    <cfRule type="containsText" dxfId="697" priority="7279" stopIfTrue="1" operator="containsText" text="Nivel IV: Riesgo Tolerable (Aceptable)">
      <formula>NOT(ISERROR(SEARCH("Nivel IV: Riesgo Tolerable (Aceptable)",Z241)))</formula>
    </cfRule>
  </conditionalFormatting>
  <conditionalFormatting sqref="Z242">
    <cfRule type="containsText" dxfId="696" priority="7056" stopIfTrue="1" operator="containsText" text="Nivel I: Riesgo Inaceptable">
      <formula>NOT(ISERROR(SEARCH("Nivel I: Riesgo Inaceptable",Z242)))</formula>
    </cfRule>
    <cfRule type="containsText" dxfId="695" priority="7055" stopIfTrue="1" operator="containsText" text="Nivel II: Riesgo Importante">
      <formula>NOT(ISERROR(SEARCH("Nivel II: Riesgo Importante",Z242)))</formula>
    </cfRule>
    <cfRule type="containsText" dxfId="694" priority="7054" stopIfTrue="1" operator="containsText" text="Nivel III: Riesgo Moderado (Aceptable)">
      <formula>NOT(ISERROR(SEARCH("Nivel III: Riesgo Moderado (Aceptable)",Z242)))</formula>
    </cfRule>
    <cfRule type="containsText" dxfId="693" priority="7057" stopIfTrue="1" operator="containsText" text="Nivel IV: Riesgo Tolerable (Aceptable)">
      <formula>NOT(ISERROR(SEARCH("Nivel IV: Riesgo Tolerable (Aceptable)",Z242)))</formula>
    </cfRule>
    <cfRule type="containsText" dxfId="692" priority="7053" stopIfTrue="1" operator="containsText" text="Nivel IV: Riesgo Tolerable (Aceptable)">
      <formula>NOT(ISERROR(SEARCH("Nivel IV: Riesgo Tolerable (Aceptable)",Z242)))</formula>
    </cfRule>
    <cfRule type="containsText" dxfId="691" priority="7052" stopIfTrue="1" operator="containsText" text="Nivel I: Riesgo Inaceptable">
      <formula>NOT(ISERROR(SEARCH("Nivel I: Riesgo Inaceptable",Z242)))</formula>
    </cfRule>
    <cfRule type="containsText" dxfId="690" priority="7051" stopIfTrue="1" operator="containsText" text="Nivel II: Riesgo Importante">
      <formula>NOT(ISERROR(SEARCH("Nivel II: Riesgo Importante",Z242)))</formula>
    </cfRule>
  </conditionalFormatting>
  <conditionalFormatting sqref="Z243:Z244 Z253:Z254 Z256 Z247:Z251">
    <cfRule type="containsText" dxfId="689" priority="6900" stopIfTrue="1" operator="containsText" text="Nivel II: Riesgo Importante">
      <formula>NOT(ISERROR(SEARCH("Nivel II: Riesgo Importante",Z243)))</formula>
    </cfRule>
    <cfRule type="containsText" dxfId="688" priority="6902" stopIfTrue="1" operator="containsText" text="Nivel IV: Riesgo Tolerable (Aceptable)">
      <formula>NOT(ISERROR(SEARCH("Nivel IV: Riesgo Tolerable (Aceptable)",Z243)))</formula>
    </cfRule>
    <cfRule type="containsText" dxfId="687" priority="6901" stopIfTrue="1" operator="containsText" text="Nivel I: Riesgo Inaceptable">
      <formula>NOT(ISERROR(SEARCH("Nivel I: Riesgo Inaceptable",Z243)))</formula>
    </cfRule>
  </conditionalFormatting>
  <conditionalFormatting sqref="Z244">
    <cfRule type="containsText" dxfId="686" priority="6791" stopIfTrue="1" operator="containsText" text="Nivel II: Riesgo Importante">
      <formula>NOT(ISERROR(SEARCH("Nivel II: Riesgo Importante",Z244)))</formula>
    </cfRule>
    <cfRule type="containsText" dxfId="685" priority="6793" stopIfTrue="1" operator="containsText" text="Nivel IV: Riesgo Tolerable (Aceptable)">
      <formula>NOT(ISERROR(SEARCH("Nivel IV: Riesgo Tolerable (Aceptable)",Z244)))</formula>
    </cfRule>
    <cfRule type="containsText" dxfId="684" priority="6792" stopIfTrue="1" operator="containsText" text="Nivel I: Riesgo Inaceptable">
      <formula>NOT(ISERROR(SEARCH("Nivel I: Riesgo Inaceptable",Z244)))</formula>
    </cfRule>
  </conditionalFormatting>
  <conditionalFormatting sqref="Z245">
    <cfRule type="containsText" dxfId="683" priority="6364" stopIfTrue="1" operator="containsText" text="Nivel II: Riesgo Importante">
      <formula>NOT(ISERROR(SEARCH("Nivel II: Riesgo Importante",Z245)))</formula>
    </cfRule>
    <cfRule type="containsText" dxfId="682" priority="6374" stopIfTrue="1" operator="containsText" text="Nivel IV: Riesgo Tolerable (Aceptable)">
      <formula>NOT(ISERROR(SEARCH("Nivel IV: Riesgo Tolerable (Aceptable)",Z245)))</formula>
    </cfRule>
    <cfRule type="containsText" dxfId="681" priority="6373" stopIfTrue="1" operator="containsText" text="Nivel I: Riesgo Inaceptable">
      <formula>NOT(ISERROR(SEARCH("Nivel I: Riesgo Inaceptable",Z245)))</formula>
    </cfRule>
    <cfRule type="containsText" dxfId="680" priority="6372" stopIfTrue="1" operator="containsText" text="Nivel II: Riesgo Importante">
      <formula>NOT(ISERROR(SEARCH("Nivel II: Riesgo Importante",Z245)))</formula>
    </cfRule>
    <cfRule type="containsText" dxfId="679" priority="6366" stopIfTrue="1" operator="containsText" text="Nivel IV: Riesgo Tolerable (Aceptable)">
      <formula>NOT(ISERROR(SEARCH("Nivel IV: Riesgo Tolerable (Aceptable)",Z245)))</formula>
    </cfRule>
    <cfRule type="containsText" dxfId="678" priority="6365" stopIfTrue="1" operator="containsText" text="Nivel I: Riesgo Inaceptable">
      <formula>NOT(ISERROR(SEARCH("Nivel I: Riesgo Inaceptable",Z245)))</formula>
    </cfRule>
  </conditionalFormatting>
  <conditionalFormatting sqref="Z246">
    <cfRule type="containsText" dxfId="677" priority="6333" stopIfTrue="1" operator="containsText" text="Nivel I: Riesgo Inaceptable">
      <formula>NOT(ISERROR(SEARCH("Nivel I: Riesgo Inaceptable",Z246)))</formula>
    </cfRule>
    <cfRule type="containsText" dxfId="676" priority="6334" stopIfTrue="1" operator="containsText" text="Nivel IV: Riesgo Tolerable (Aceptable)">
      <formula>NOT(ISERROR(SEARCH("Nivel IV: Riesgo Tolerable (Aceptable)",Z246)))</formula>
    </cfRule>
    <cfRule type="containsText" dxfId="675" priority="6342" stopIfTrue="1" operator="containsText" text="Nivel IV: Riesgo Tolerable (Aceptable)">
      <formula>NOT(ISERROR(SEARCH("Nivel IV: Riesgo Tolerable (Aceptable)",Z246)))</formula>
    </cfRule>
    <cfRule type="containsText" dxfId="674" priority="6332" stopIfTrue="1" operator="containsText" text="Nivel II: Riesgo Importante">
      <formula>NOT(ISERROR(SEARCH("Nivel II: Riesgo Importante",Z246)))</formula>
    </cfRule>
    <cfRule type="containsText" dxfId="673" priority="6340" stopIfTrue="1" operator="containsText" text="Nivel II: Riesgo Importante">
      <formula>NOT(ISERROR(SEARCH("Nivel II: Riesgo Importante",Z246)))</formula>
    </cfRule>
    <cfRule type="containsText" dxfId="672" priority="6341" stopIfTrue="1" operator="containsText" text="Nivel I: Riesgo Inaceptable">
      <formula>NOT(ISERROR(SEARCH("Nivel I: Riesgo Inaceptable",Z246)))</formula>
    </cfRule>
  </conditionalFormatting>
  <conditionalFormatting sqref="Z247">
    <cfRule type="containsText" dxfId="671" priority="6750" stopIfTrue="1" operator="containsText" text="Nivel II: Riesgo Importante">
      <formula>NOT(ISERROR(SEARCH("Nivel II: Riesgo Importante",Z247)))</formula>
    </cfRule>
    <cfRule type="containsText" dxfId="670" priority="6751" stopIfTrue="1" operator="containsText" text="Nivel I: Riesgo Inaceptable">
      <formula>NOT(ISERROR(SEARCH("Nivel I: Riesgo Inaceptable",Z247)))</formula>
    </cfRule>
    <cfRule type="containsText" dxfId="669" priority="6752" stopIfTrue="1" operator="containsText" text="Nivel IV: Riesgo Tolerable (Aceptable)">
      <formula>NOT(ISERROR(SEARCH("Nivel IV: Riesgo Tolerable (Aceptable)",Z247)))</formula>
    </cfRule>
  </conditionalFormatting>
  <conditionalFormatting sqref="Z247:Z251 Z243:Z244 Z256 Z253:Z254">
    <cfRule type="containsText" dxfId="668" priority="6899" stopIfTrue="1" operator="containsText" text="Nivel III: Riesgo Moderado (Aceptable)">
      <formula>NOT(ISERROR(SEARCH("Nivel III: Riesgo Moderado (Aceptable)",Z243)))</formula>
    </cfRule>
  </conditionalFormatting>
  <conditionalFormatting sqref="Z248">
    <cfRule type="containsText" dxfId="667" priority="6855" stopIfTrue="1" operator="containsText" text="Nivel IV: Riesgo Tolerable (Aceptable)">
      <formula>NOT(ISERROR(SEARCH("Nivel IV: Riesgo Tolerable (Aceptable)",Z248)))</formula>
    </cfRule>
    <cfRule type="containsText" dxfId="666" priority="6853" stopIfTrue="1" operator="containsText" text="Nivel II: Riesgo Importante">
      <formula>NOT(ISERROR(SEARCH("Nivel II: Riesgo Importante",Z248)))</formula>
    </cfRule>
    <cfRule type="containsText" dxfId="665" priority="6854" stopIfTrue="1" operator="containsText" text="Nivel I: Riesgo Inaceptable">
      <formula>NOT(ISERROR(SEARCH("Nivel I: Riesgo Inaceptable",Z248)))</formula>
    </cfRule>
  </conditionalFormatting>
  <conditionalFormatting sqref="Z249">
    <cfRule type="containsText" dxfId="664" priority="6703" stopIfTrue="1" operator="containsText" text="Nivel IV: Riesgo Tolerable (Aceptable)">
      <formula>NOT(ISERROR(SEARCH("Nivel IV: Riesgo Tolerable (Aceptable)",Z249)))</formula>
    </cfRule>
    <cfRule type="containsText" dxfId="663" priority="6701" stopIfTrue="1" operator="containsText" text="Nivel II: Riesgo Importante">
      <formula>NOT(ISERROR(SEARCH("Nivel II: Riesgo Importante",Z249)))</formula>
    </cfRule>
    <cfRule type="containsText" dxfId="662" priority="6702" stopIfTrue="1" operator="containsText" text="Nivel I: Riesgo Inaceptable">
      <formula>NOT(ISERROR(SEARCH("Nivel I: Riesgo Inaceptable",Z249)))</formula>
    </cfRule>
  </conditionalFormatting>
  <conditionalFormatting sqref="Z252">
    <cfRule type="containsText" dxfId="661" priority="6480" stopIfTrue="1" operator="containsText" text="Nivel I: Riesgo Inaceptable">
      <formula>NOT(ISERROR(SEARCH("Nivel I: Riesgo Inaceptable",Z252)))</formula>
    </cfRule>
    <cfRule type="containsText" dxfId="660" priority="6481" stopIfTrue="1" operator="containsText" text="Nivel IV: Riesgo Tolerable (Aceptable)">
      <formula>NOT(ISERROR(SEARCH("Nivel IV: Riesgo Tolerable (Aceptable)",Z252)))</formula>
    </cfRule>
    <cfRule type="containsText" dxfId="659" priority="6478" stopIfTrue="1" operator="containsText" text="Nivel III: Riesgo Moderado (Aceptable)">
      <formula>NOT(ISERROR(SEARCH("Nivel III: Riesgo Moderado (Aceptable)",Z252)))</formula>
    </cfRule>
    <cfRule type="containsText" dxfId="658" priority="6479" stopIfTrue="1" operator="containsText" text="Nivel II: Riesgo Importante">
      <formula>NOT(ISERROR(SEARCH("Nivel II: Riesgo Importante",Z252)))</formula>
    </cfRule>
  </conditionalFormatting>
  <conditionalFormatting sqref="Z253">
    <cfRule type="containsText" dxfId="657" priority="6639" stopIfTrue="1" operator="containsText" text="Nivel II: Riesgo Importante">
      <formula>NOT(ISERROR(SEARCH("Nivel II: Riesgo Importante",Z253)))</formula>
    </cfRule>
    <cfRule type="containsText" dxfId="656" priority="6640" stopIfTrue="1" operator="containsText" text="Nivel I: Riesgo Inaceptable">
      <formula>NOT(ISERROR(SEARCH("Nivel I: Riesgo Inaceptable",Z253)))</formula>
    </cfRule>
    <cfRule type="containsText" dxfId="655" priority="6641" stopIfTrue="1" operator="containsText" text="Nivel IV: Riesgo Tolerable (Aceptable)">
      <formula>NOT(ISERROR(SEARCH("Nivel IV: Riesgo Tolerable (Aceptable)",Z253)))</formula>
    </cfRule>
  </conditionalFormatting>
  <conditionalFormatting sqref="Z254">
    <cfRule type="containsText" dxfId="654" priority="6589" stopIfTrue="1" operator="containsText" text="Nivel IV: Riesgo Tolerable (Aceptable)">
      <formula>NOT(ISERROR(SEARCH("Nivel IV: Riesgo Tolerable (Aceptable)",Z254)))</formula>
    </cfRule>
    <cfRule type="containsText" dxfId="653" priority="6587" stopIfTrue="1" operator="containsText" text="Nivel II: Riesgo Importante">
      <formula>NOT(ISERROR(SEARCH("Nivel II: Riesgo Importante",Z254)))</formula>
    </cfRule>
    <cfRule type="containsText" dxfId="652" priority="6588" stopIfTrue="1" operator="containsText" text="Nivel I: Riesgo Inaceptable">
      <formula>NOT(ISERROR(SEARCH("Nivel I: Riesgo Inaceptable",Z254)))</formula>
    </cfRule>
  </conditionalFormatting>
  <conditionalFormatting sqref="Z255">
    <cfRule type="containsText" dxfId="651" priority="6418" stopIfTrue="1" operator="containsText" text="Nivel I: Riesgo Inaceptable">
      <formula>NOT(ISERROR(SEARCH("Nivel I: Riesgo Inaceptable",Z255)))</formula>
    </cfRule>
    <cfRule type="containsText" dxfId="650" priority="6402" stopIfTrue="1" operator="containsText" text="Nivel II: Riesgo Importante">
      <formula>NOT(ISERROR(SEARCH("Nivel II: Riesgo Importante",Z255)))</formula>
    </cfRule>
    <cfRule type="containsText" dxfId="649" priority="6403" stopIfTrue="1" operator="containsText" text="Nivel I: Riesgo Inaceptable">
      <formula>NOT(ISERROR(SEARCH("Nivel I: Riesgo Inaceptable",Z255)))</formula>
    </cfRule>
    <cfRule type="containsText" dxfId="648" priority="6404" stopIfTrue="1" operator="containsText" text="Nivel IV: Riesgo Tolerable (Aceptable)">
      <formula>NOT(ISERROR(SEARCH("Nivel IV: Riesgo Tolerable (Aceptable)",Z255)))</formula>
    </cfRule>
    <cfRule type="containsText" dxfId="647" priority="6419" stopIfTrue="1" operator="containsText" text="Nivel IV: Riesgo Tolerable (Aceptable)">
      <formula>NOT(ISERROR(SEARCH("Nivel IV: Riesgo Tolerable (Aceptable)",Z255)))</formula>
    </cfRule>
    <cfRule type="containsText" dxfId="646" priority="6417" stopIfTrue="1" operator="containsText" text="Nivel II: Riesgo Importante">
      <formula>NOT(ISERROR(SEARCH("Nivel II: Riesgo Importante",Z255)))</formula>
    </cfRule>
    <cfRule type="containsText" dxfId="645" priority="6416" stopIfTrue="1" operator="containsText" text="Nivel III: Riesgo Moderado (Aceptable)">
      <formula>NOT(ISERROR(SEARCH("Nivel III: Riesgo Moderado (Aceptable)",Z255)))</formula>
    </cfRule>
  </conditionalFormatting>
  <conditionalFormatting sqref="Z256">
    <cfRule type="containsText" dxfId="644" priority="6675" stopIfTrue="1" operator="containsText" text="Nivel IV: Riesgo Tolerable (Aceptable)">
      <formula>NOT(ISERROR(SEARCH("Nivel IV: Riesgo Tolerable (Aceptable)",Z256)))</formula>
    </cfRule>
    <cfRule type="containsText" dxfId="643" priority="6673" stopIfTrue="1" operator="containsText" text="Nivel II: Riesgo Importante">
      <formula>NOT(ISERROR(SEARCH("Nivel II: Riesgo Importante",Z256)))</formula>
    </cfRule>
    <cfRule type="containsText" dxfId="642" priority="6674" stopIfTrue="1" operator="containsText" text="Nivel I: Riesgo Inaceptable">
      <formula>NOT(ISERROR(SEARCH("Nivel I: Riesgo Inaceptable",Z256)))</formula>
    </cfRule>
  </conditionalFormatting>
  <conditionalFormatting sqref="Z257">
    <cfRule type="containsText" dxfId="641" priority="6451" stopIfTrue="1" operator="containsText" text="Nivel II: Riesgo Importante">
      <formula>NOT(ISERROR(SEARCH("Nivel II: Riesgo Importante",Z257)))</formula>
    </cfRule>
    <cfRule type="containsText" dxfId="640" priority="6453" stopIfTrue="1" operator="containsText" text="Nivel IV: Riesgo Tolerable (Aceptable)">
      <formula>NOT(ISERROR(SEARCH("Nivel IV: Riesgo Tolerable (Aceptable)",Z257)))</formula>
    </cfRule>
    <cfRule type="containsText" dxfId="639" priority="6452" stopIfTrue="1" operator="containsText" text="Nivel I: Riesgo Inaceptable">
      <formula>NOT(ISERROR(SEARCH("Nivel I: Riesgo Inaceptable",Z257)))</formula>
    </cfRule>
    <cfRule type="containsText" dxfId="638" priority="6450" stopIfTrue="1" operator="containsText" text="Nivel III: Riesgo Moderado (Aceptable)">
      <formula>NOT(ISERROR(SEARCH("Nivel III: Riesgo Moderado (Aceptable)",Z257)))</formula>
    </cfRule>
    <cfRule type="containsText" dxfId="637" priority="6448" stopIfTrue="1" operator="containsText" text="Nivel I: Riesgo Inaceptable">
      <formula>NOT(ISERROR(SEARCH("Nivel I: Riesgo Inaceptable",Z257)))</formula>
    </cfRule>
    <cfRule type="containsText" dxfId="636" priority="6447" stopIfTrue="1" operator="containsText" text="Nivel II: Riesgo Importante">
      <formula>NOT(ISERROR(SEARCH("Nivel II: Riesgo Importante",Z257)))</formula>
    </cfRule>
    <cfRule type="containsText" dxfId="635" priority="6449" stopIfTrue="1" operator="containsText" text="Nivel IV: Riesgo Tolerable (Aceptable)">
      <formula>NOT(ISERROR(SEARCH("Nivel IV: Riesgo Tolerable (Aceptable)",Z257)))</formula>
    </cfRule>
  </conditionalFormatting>
  <conditionalFormatting sqref="Z258 Z266:Z268 Z261:Z264">
    <cfRule type="containsText" dxfId="634" priority="6283" stopIfTrue="1" operator="containsText" text="Nivel II: Riesgo Importante">
      <formula>NOT(ISERROR(SEARCH("Nivel II: Riesgo Importante",Z258)))</formula>
    </cfRule>
    <cfRule type="containsText" dxfId="633" priority="6284" stopIfTrue="1" operator="containsText" text="Nivel I: Riesgo Inaceptable">
      <formula>NOT(ISERROR(SEARCH("Nivel I: Riesgo Inaceptable",Z258)))</formula>
    </cfRule>
    <cfRule type="containsText" dxfId="632" priority="6285" stopIfTrue="1" operator="containsText" text="Nivel IV: Riesgo Tolerable (Aceptable)">
      <formula>NOT(ISERROR(SEARCH("Nivel IV: Riesgo Tolerable (Aceptable)",Z258)))</formula>
    </cfRule>
  </conditionalFormatting>
  <conditionalFormatting sqref="Z258">
    <cfRule type="containsText" dxfId="631" priority="6217" stopIfTrue="1" operator="containsText" text="Nivel IV: Riesgo Tolerable (Aceptable)">
      <formula>NOT(ISERROR(SEARCH("Nivel IV: Riesgo Tolerable (Aceptable)",Z258)))</formula>
    </cfRule>
    <cfRule type="containsText" dxfId="630" priority="6216" stopIfTrue="1" operator="containsText" text="Nivel I: Riesgo Inaceptable">
      <formula>NOT(ISERROR(SEARCH("Nivel I: Riesgo Inaceptable",Z258)))</formula>
    </cfRule>
    <cfRule type="containsText" dxfId="629" priority="6215" stopIfTrue="1" operator="containsText" text="Nivel II: Riesgo Importante">
      <formula>NOT(ISERROR(SEARCH("Nivel II: Riesgo Importante",Z258)))</formula>
    </cfRule>
  </conditionalFormatting>
  <conditionalFormatting sqref="Z259">
    <cfRule type="containsText" dxfId="628" priority="5873" stopIfTrue="1" operator="containsText" text="Nivel I: Riesgo Inaceptable">
      <formula>NOT(ISERROR(SEARCH("Nivel I: Riesgo Inaceptable",Z259)))</formula>
    </cfRule>
    <cfRule type="containsText" dxfId="627" priority="5880" stopIfTrue="1" operator="containsText" text="Nivel II: Riesgo Importante">
      <formula>NOT(ISERROR(SEARCH("Nivel II: Riesgo Importante",Z259)))</formula>
    </cfRule>
    <cfRule type="containsText" dxfId="626" priority="5881" stopIfTrue="1" operator="containsText" text="Nivel I: Riesgo Inaceptable">
      <formula>NOT(ISERROR(SEARCH("Nivel I: Riesgo Inaceptable",Z259)))</formula>
    </cfRule>
    <cfRule type="containsText" dxfId="625" priority="5882" stopIfTrue="1" operator="containsText" text="Nivel IV: Riesgo Tolerable (Aceptable)">
      <formula>NOT(ISERROR(SEARCH("Nivel IV: Riesgo Tolerable (Aceptable)",Z259)))</formula>
    </cfRule>
    <cfRule type="containsText" dxfId="624" priority="5879" stopIfTrue="1" operator="containsText" text="Nivel III: Riesgo Moderado (Aceptable)">
      <formula>NOT(ISERROR(SEARCH("Nivel III: Riesgo Moderado (Aceptable)",Z259)))</formula>
    </cfRule>
    <cfRule type="containsText" dxfId="623" priority="5872" stopIfTrue="1" operator="containsText" text="Nivel II: Riesgo Importante">
      <formula>NOT(ISERROR(SEARCH("Nivel II: Riesgo Importante",Z259)))</formula>
    </cfRule>
    <cfRule type="containsText" dxfId="622" priority="5874" stopIfTrue="1" operator="containsText" text="Nivel IV: Riesgo Tolerable (Aceptable)">
      <formula>NOT(ISERROR(SEARCH("Nivel IV: Riesgo Tolerable (Aceptable)",Z259)))</formula>
    </cfRule>
  </conditionalFormatting>
  <conditionalFormatting sqref="Z260">
    <cfRule type="containsText" dxfId="621" priority="5842" stopIfTrue="1" operator="containsText" text="Nivel IV: Riesgo Tolerable (Aceptable)">
      <formula>NOT(ISERROR(SEARCH("Nivel IV: Riesgo Tolerable (Aceptable)",Z260)))</formula>
    </cfRule>
    <cfRule type="containsText" dxfId="620" priority="5840" stopIfTrue="1" operator="containsText" text="Nivel II: Riesgo Importante">
      <formula>NOT(ISERROR(SEARCH("Nivel II: Riesgo Importante",Z260)))</formula>
    </cfRule>
    <cfRule type="containsText" dxfId="619" priority="5849" stopIfTrue="1" operator="containsText" text="Nivel I: Riesgo Inaceptable">
      <formula>NOT(ISERROR(SEARCH("Nivel I: Riesgo Inaceptable",Z260)))</formula>
    </cfRule>
    <cfRule type="containsText" dxfId="618" priority="5841" stopIfTrue="1" operator="containsText" text="Nivel I: Riesgo Inaceptable">
      <formula>NOT(ISERROR(SEARCH("Nivel I: Riesgo Inaceptable",Z260)))</formula>
    </cfRule>
    <cfRule type="containsText" dxfId="617" priority="5850" stopIfTrue="1" operator="containsText" text="Nivel IV: Riesgo Tolerable (Aceptable)">
      <formula>NOT(ISERROR(SEARCH("Nivel IV: Riesgo Tolerable (Aceptable)",Z260)))</formula>
    </cfRule>
    <cfRule type="containsText" dxfId="616" priority="5848" stopIfTrue="1" operator="containsText" text="Nivel II: Riesgo Importante">
      <formula>NOT(ISERROR(SEARCH("Nivel II: Riesgo Importante",Z260)))</formula>
    </cfRule>
  </conditionalFormatting>
  <conditionalFormatting sqref="Z261">
    <cfRule type="containsText" dxfId="615" priority="6174" stopIfTrue="1" operator="containsText" text="Nivel II: Riesgo Importante">
      <formula>NOT(ISERROR(SEARCH("Nivel II: Riesgo Importante",Z261)))</formula>
    </cfRule>
    <cfRule type="containsText" dxfId="614" priority="6175" stopIfTrue="1" operator="containsText" text="Nivel I: Riesgo Inaceptable">
      <formula>NOT(ISERROR(SEARCH("Nivel I: Riesgo Inaceptable",Z261)))</formula>
    </cfRule>
    <cfRule type="containsText" dxfId="613" priority="6176" stopIfTrue="1" operator="containsText" text="Nivel IV: Riesgo Tolerable (Aceptable)">
      <formula>NOT(ISERROR(SEARCH("Nivel IV: Riesgo Tolerable (Aceptable)",Z261)))</formula>
    </cfRule>
  </conditionalFormatting>
  <conditionalFormatting sqref="Z261:Z264 Z258 Z266:Z268">
    <cfRule type="containsText" dxfId="612" priority="6282" stopIfTrue="1" operator="containsText" text="Nivel III: Riesgo Moderado (Aceptable)">
      <formula>NOT(ISERROR(SEARCH("Nivel III: Riesgo Moderado (Aceptable)",Z258)))</formula>
    </cfRule>
  </conditionalFormatting>
  <conditionalFormatting sqref="Z262">
    <cfRule type="containsText" dxfId="611" priority="6262" stopIfTrue="1" operator="containsText" text="Nivel II: Riesgo Importante">
      <formula>NOT(ISERROR(SEARCH("Nivel II: Riesgo Importante",Z262)))</formula>
    </cfRule>
    <cfRule type="containsText" dxfId="610" priority="6263" stopIfTrue="1" operator="containsText" text="Nivel I: Riesgo Inaceptable">
      <formula>NOT(ISERROR(SEARCH("Nivel I: Riesgo Inaceptable",Z262)))</formula>
    </cfRule>
    <cfRule type="containsText" dxfId="609" priority="6264" stopIfTrue="1" operator="containsText" text="Nivel IV: Riesgo Tolerable (Aceptable)">
      <formula>NOT(ISERROR(SEARCH("Nivel IV: Riesgo Tolerable (Aceptable)",Z262)))</formula>
    </cfRule>
  </conditionalFormatting>
  <conditionalFormatting sqref="Z263">
    <cfRule type="containsText" dxfId="608" priority="6127" stopIfTrue="1" operator="containsText" text="Nivel IV: Riesgo Tolerable (Aceptable)">
      <formula>NOT(ISERROR(SEARCH("Nivel IV: Riesgo Tolerable (Aceptable)",Z263)))</formula>
    </cfRule>
    <cfRule type="containsText" dxfId="607" priority="6126" stopIfTrue="1" operator="containsText" text="Nivel I: Riesgo Inaceptable">
      <formula>NOT(ISERROR(SEARCH("Nivel I: Riesgo Inaceptable",Z263)))</formula>
    </cfRule>
    <cfRule type="containsText" dxfId="606" priority="6125" stopIfTrue="1" operator="containsText" text="Nivel II: Riesgo Importante">
      <formula>NOT(ISERROR(SEARCH("Nivel II: Riesgo Importante",Z263)))</formula>
    </cfRule>
  </conditionalFormatting>
  <conditionalFormatting sqref="Z265">
    <cfRule type="containsText" dxfId="605" priority="5943" stopIfTrue="1" operator="containsText" text="Nivel I: Riesgo Inaceptable">
      <formula>NOT(ISERROR(SEARCH("Nivel I: Riesgo Inaceptable",Z265)))</formula>
    </cfRule>
    <cfRule type="containsText" dxfId="604" priority="5944" stopIfTrue="1" operator="containsText" text="Nivel IV: Riesgo Tolerable (Aceptable)">
      <formula>NOT(ISERROR(SEARCH("Nivel IV: Riesgo Tolerable (Aceptable)",Z265)))</formula>
    </cfRule>
    <cfRule type="containsText" dxfId="603" priority="5941" stopIfTrue="1" operator="containsText" text="Nivel III: Riesgo Moderado (Aceptable)">
      <formula>NOT(ISERROR(SEARCH("Nivel III: Riesgo Moderado (Aceptable)",Z265)))</formula>
    </cfRule>
    <cfRule type="containsText" dxfId="602" priority="5942" stopIfTrue="1" operator="containsText" text="Nivel II: Riesgo Importante">
      <formula>NOT(ISERROR(SEARCH("Nivel II: Riesgo Importante",Z265)))</formula>
    </cfRule>
  </conditionalFormatting>
  <conditionalFormatting sqref="Z266">
    <cfRule type="containsText" dxfId="601" priority="6065" stopIfTrue="1" operator="containsText" text="Nivel IV: Riesgo Tolerable (Aceptable)">
      <formula>NOT(ISERROR(SEARCH("Nivel IV: Riesgo Tolerable (Aceptable)",Z266)))</formula>
    </cfRule>
    <cfRule type="containsText" dxfId="600" priority="6064" stopIfTrue="1" operator="containsText" text="Nivel I: Riesgo Inaceptable">
      <formula>NOT(ISERROR(SEARCH("Nivel I: Riesgo Inaceptable",Z266)))</formula>
    </cfRule>
    <cfRule type="containsText" dxfId="599" priority="6063" stopIfTrue="1" operator="containsText" text="Nivel II: Riesgo Importante">
      <formula>NOT(ISERROR(SEARCH("Nivel II: Riesgo Importante",Z266)))</formula>
    </cfRule>
  </conditionalFormatting>
  <conditionalFormatting sqref="Z267">
    <cfRule type="containsText" dxfId="598" priority="6011" stopIfTrue="1" operator="containsText" text="Nivel II: Riesgo Importante">
      <formula>NOT(ISERROR(SEARCH("Nivel II: Riesgo Importante",Z267)))</formula>
    </cfRule>
    <cfRule type="containsText" dxfId="597" priority="6012" stopIfTrue="1" operator="containsText" text="Nivel I: Riesgo Inaceptable">
      <formula>NOT(ISERROR(SEARCH("Nivel I: Riesgo Inaceptable",Z267)))</formula>
    </cfRule>
    <cfRule type="containsText" dxfId="596" priority="6013" stopIfTrue="1" operator="containsText" text="Nivel IV: Riesgo Tolerable (Aceptable)">
      <formula>NOT(ISERROR(SEARCH("Nivel IV: Riesgo Tolerable (Aceptable)",Z267)))</formula>
    </cfRule>
  </conditionalFormatting>
  <conditionalFormatting sqref="Z268">
    <cfRule type="containsText" dxfId="595" priority="6099" stopIfTrue="1" operator="containsText" text="Nivel IV: Riesgo Tolerable (Aceptable)">
      <formula>NOT(ISERROR(SEARCH("Nivel IV: Riesgo Tolerable (Aceptable)",Z268)))</formula>
    </cfRule>
    <cfRule type="containsText" dxfId="594" priority="6097" stopIfTrue="1" operator="containsText" text="Nivel II: Riesgo Importante">
      <formula>NOT(ISERROR(SEARCH("Nivel II: Riesgo Importante",Z268)))</formula>
    </cfRule>
    <cfRule type="containsText" dxfId="593" priority="6098" stopIfTrue="1" operator="containsText" text="Nivel I: Riesgo Inaceptable">
      <formula>NOT(ISERROR(SEARCH("Nivel I: Riesgo Inaceptable",Z268)))</formula>
    </cfRule>
  </conditionalFormatting>
  <conditionalFormatting sqref="Z269">
    <cfRule type="containsText" dxfId="592" priority="5910" stopIfTrue="1" operator="containsText" text="Nivel II: Riesgo Importante">
      <formula>NOT(ISERROR(SEARCH("Nivel II: Riesgo Importante",Z269)))</formula>
    </cfRule>
    <cfRule type="containsText" dxfId="591" priority="5911" stopIfTrue="1" operator="containsText" text="Nivel I: Riesgo Inaceptable">
      <formula>NOT(ISERROR(SEARCH("Nivel I: Riesgo Inaceptable",Z269)))</formula>
    </cfRule>
    <cfRule type="containsText" dxfId="590" priority="5915" stopIfTrue="1" operator="containsText" text="Nivel I: Riesgo Inaceptable">
      <formula>NOT(ISERROR(SEARCH("Nivel I: Riesgo Inaceptable",Z269)))</formula>
    </cfRule>
    <cfRule type="containsText" dxfId="589" priority="5913" stopIfTrue="1" operator="containsText" text="Nivel III: Riesgo Moderado (Aceptable)">
      <formula>NOT(ISERROR(SEARCH("Nivel III: Riesgo Moderado (Aceptable)",Z269)))</formula>
    </cfRule>
    <cfRule type="containsText" dxfId="588" priority="5916" stopIfTrue="1" operator="containsText" text="Nivel IV: Riesgo Tolerable (Aceptable)">
      <formula>NOT(ISERROR(SEARCH("Nivel IV: Riesgo Tolerable (Aceptable)",Z269)))</formula>
    </cfRule>
    <cfRule type="containsText" dxfId="587" priority="5912" stopIfTrue="1" operator="containsText" text="Nivel IV: Riesgo Tolerable (Aceptable)">
      <formula>NOT(ISERROR(SEARCH("Nivel IV: Riesgo Tolerable (Aceptable)",Z269)))</formula>
    </cfRule>
    <cfRule type="containsText" dxfId="586" priority="5914" stopIfTrue="1" operator="containsText" text="Nivel II: Riesgo Importante">
      <formula>NOT(ISERROR(SEARCH("Nivel II: Riesgo Importante",Z269)))</formula>
    </cfRule>
  </conditionalFormatting>
  <conditionalFormatting sqref="Z270 Z279:Z280 Z282 Z273:Z277">
    <cfRule type="containsText" dxfId="585" priority="5804" stopIfTrue="1" operator="containsText" text="Nivel II: Riesgo Importante">
      <formula>NOT(ISERROR(SEARCH("Nivel II: Riesgo Importante",Z270)))</formula>
    </cfRule>
    <cfRule type="containsText" dxfId="584" priority="5806" stopIfTrue="1" operator="containsText" text="Nivel IV: Riesgo Tolerable (Aceptable)">
      <formula>NOT(ISERROR(SEARCH("Nivel IV: Riesgo Tolerable (Aceptable)",Z270)))</formula>
    </cfRule>
    <cfRule type="containsText" dxfId="583" priority="5805" stopIfTrue="1" operator="containsText" text="Nivel I: Riesgo Inaceptable">
      <formula>NOT(ISERROR(SEARCH("Nivel I: Riesgo Inaceptable",Z270)))</formula>
    </cfRule>
  </conditionalFormatting>
  <conditionalFormatting sqref="Z270">
    <cfRule type="containsText" dxfId="582" priority="5736" stopIfTrue="1" operator="containsText" text="Nivel II: Riesgo Importante">
      <formula>NOT(ISERROR(SEARCH("Nivel II: Riesgo Importante",Z270)))</formula>
    </cfRule>
    <cfRule type="containsText" dxfId="581" priority="5737" stopIfTrue="1" operator="containsText" text="Nivel I: Riesgo Inaceptable">
      <formula>NOT(ISERROR(SEARCH("Nivel I: Riesgo Inaceptable",Z270)))</formula>
    </cfRule>
    <cfRule type="containsText" dxfId="580" priority="5738" stopIfTrue="1" operator="containsText" text="Nivel IV: Riesgo Tolerable (Aceptable)">
      <formula>NOT(ISERROR(SEARCH("Nivel IV: Riesgo Tolerable (Aceptable)",Z270)))</formula>
    </cfRule>
  </conditionalFormatting>
  <conditionalFormatting sqref="Z271">
    <cfRule type="containsText" dxfId="579" priority="5319" stopIfTrue="1" operator="containsText" text="Nivel IV: Riesgo Tolerable (Aceptable)">
      <formula>NOT(ISERROR(SEARCH("Nivel IV: Riesgo Tolerable (Aceptable)",Z271)))</formula>
    </cfRule>
    <cfRule type="containsText" dxfId="578" priority="5310" stopIfTrue="1" operator="containsText" text="Nivel I: Riesgo Inaceptable">
      <formula>NOT(ISERROR(SEARCH("Nivel I: Riesgo Inaceptable",Z271)))</formula>
    </cfRule>
    <cfRule type="containsText" dxfId="577" priority="5318" stopIfTrue="1" operator="containsText" text="Nivel I: Riesgo Inaceptable">
      <formula>NOT(ISERROR(SEARCH("Nivel I: Riesgo Inaceptable",Z271)))</formula>
    </cfRule>
    <cfRule type="containsText" dxfId="576" priority="5317" stopIfTrue="1" operator="containsText" text="Nivel II: Riesgo Importante">
      <formula>NOT(ISERROR(SEARCH("Nivel II: Riesgo Importante",Z271)))</formula>
    </cfRule>
    <cfRule type="containsText" dxfId="575" priority="5311" stopIfTrue="1" operator="containsText" text="Nivel IV: Riesgo Tolerable (Aceptable)">
      <formula>NOT(ISERROR(SEARCH("Nivel IV: Riesgo Tolerable (Aceptable)",Z271)))</formula>
    </cfRule>
    <cfRule type="containsText" dxfId="574" priority="5309" stopIfTrue="1" operator="containsText" text="Nivel II: Riesgo Importante">
      <formula>NOT(ISERROR(SEARCH("Nivel II: Riesgo Importante",Z271)))</formula>
    </cfRule>
  </conditionalFormatting>
  <conditionalFormatting sqref="Z272">
    <cfRule type="containsText" dxfId="573" priority="5286" stopIfTrue="1" operator="containsText" text="Nivel I: Riesgo Inaceptable">
      <formula>NOT(ISERROR(SEARCH("Nivel I: Riesgo Inaceptable",Z272)))</formula>
    </cfRule>
    <cfRule type="containsText" dxfId="572" priority="5285" stopIfTrue="1" operator="containsText" text="Nivel II: Riesgo Importante">
      <formula>NOT(ISERROR(SEARCH("Nivel II: Riesgo Importante",Z272)))</formula>
    </cfRule>
    <cfRule type="containsText" dxfId="571" priority="5279" stopIfTrue="1" operator="containsText" text="Nivel IV: Riesgo Tolerable (Aceptable)">
      <formula>NOT(ISERROR(SEARCH("Nivel IV: Riesgo Tolerable (Aceptable)",Z272)))</formula>
    </cfRule>
    <cfRule type="containsText" dxfId="570" priority="5278" stopIfTrue="1" operator="containsText" text="Nivel I: Riesgo Inaceptable">
      <formula>NOT(ISERROR(SEARCH("Nivel I: Riesgo Inaceptable",Z272)))</formula>
    </cfRule>
    <cfRule type="containsText" dxfId="569" priority="5277" stopIfTrue="1" operator="containsText" text="Nivel II: Riesgo Importante">
      <formula>NOT(ISERROR(SEARCH("Nivel II: Riesgo Importante",Z272)))</formula>
    </cfRule>
    <cfRule type="containsText" dxfId="568" priority="5287" stopIfTrue="1" operator="containsText" text="Nivel IV: Riesgo Tolerable (Aceptable)">
      <formula>NOT(ISERROR(SEARCH("Nivel IV: Riesgo Tolerable (Aceptable)",Z272)))</formula>
    </cfRule>
  </conditionalFormatting>
  <conditionalFormatting sqref="Z273">
    <cfRule type="containsText" dxfId="567" priority="5696" stopIfTrue="1" operator="containsText" text="Nivel I: Riesgo Inaceptable">
      <formula>NOT(ISERROR(SEARCH("Nivel I: Riesgo Inaceptable",Z273)))</formula>
    </cfRule>
    <cfRule type="containsText" dxfId="566" priority="5697" stopIfTrue="1" operator="containsText" text="Nivel IV: Riesgo Tolerable (Aceptable)">
      <formula>NOT(ISERROR(SEARCH("Nivel IV: Riesgo Tolerable (Aceptable)",Z273)))</formula>
    </cfRule>
    <cfRule type="containsText" dxfId="565" priority="5695" stopIfTrue="1" operator="containsText" text="Nivel II: Riesgo Importante">
      <formula>NOT(ISERROR(SEARCH("Nivel II: Riesgo Importante",Z273)))</formula>
    </cfRule>
  </conditionalFormatting>
  <conditionalFormatting sqref="Z273:Z277 Z270 Z282 Z279:Z280">
    <cfRule type="containsText" dxfId="564" priority="5803" stopIfTrue="1" operator="containsText" text="Nivel III: Riesgo Moderado (Aceptable)">
      <formula>NOT(ISERROR(SEARCH("Nivel III: Riesgo Moderado (Aceptable)",Z270)))</formula>
    </cfRule>
  </conditionalFormatting>
  <conditionalFormatting sqref="Z274">
    <cfRule type="containsText" dxfId="563" priority="5783" stopIfTrue="1" operator="containsText" text="Nivel II: Riesgo Importante">
      <formula>NOT(ISERROR(SEARCH("Nivel II: Riesgo Importante",Z274)))</formula>
    </cfRule>
    <cfRule type="containsText" dxfId="562" priority="5785" stopIfTrue="1" operator="containsText" text="Nivel IV: Riesgo Tolerable (Aceptable)">
      <formula>NOT(ISERROR(SEARCH("Nivel IV: Riesgo Tolerable (Aceptable)",Z274)))</formula>
    </cfRule>
    <cfRule type="containsText" dxfId="561" priority="5784" stopIfTrue="1" operator="containsText" text="Nivel I: Riesgo Inaceptable">
      <formula>NOT(ISERROR(SEARCH("Nivel I: Riesgo Inaceptable",Z274)))</formula>
    </cfRule>
  </conditionalFormatting>
  <conditionalFormatting sqref="Z275">
    <cfRule type="containsText" dxfId="560" priority="5647" stopIfTrue="1" operator="containsText" text="Nivel I: Riesgo Inaceptable">
      <formula>NOT(ISERROR(SEARCH("Nivel I: Riesgo Inaceptable",Z275)))</formula>
    </cfRule>
    <cfRule type="containsText" dxfId="559" priority="5648" stopIfTrue="1" operator="containsText" text="Nivel IV: Riesgo Tolerable (Aceptable)">
      <formula>NOT(ISERROR(SEARCH("Nivel IV: Riesgo Tolerable (Aceptable)",Z275)))</formula>
    </cfRule>
    <cfRule type="containsText" dxfId="558" priority="5646" stopIfTrue="1" operator="containsText" text="Nivel II: Riesgo Importante">
      <formula>NOT(ISERROR(SEARCH("Nivel II: Riesgo Importante",Z275)))</formula>
    </cfRule>
  </conditionalFormatting>
  <conditionalFormatting sqref="Z278">
    <cfRule type="containsText" dxfId="557" priority="5426" stopIfTrue="1" operator="containsText" text="Nivel IV: Riesgo Tolerable (Aceptable)">
      <formula>NOT(ISERROR(SEARCH("Nivel IV: Riesgo Tolerable (Aceptable)",Z278)))</formula>
    </cfRule>
    <cfRule type="containsText" dxfId="556" priority="5425" stopIfTrue="1" operator="containsText" text="Nivel I: Riesgo Inaceptable">
      <formula>NOT(ISERROR(SEARCH("Nivel I: Riesgo Inaceptable",Z278)))</formula>
    </cfRule>
    <cfRule type="containsText" dxfId="555" priority="5424" stopIfTrue="1" operator="containsText" text="Nivel II: Riesgo Importante">
      <formula>NOT(ISERROR(SEARCH("Nivel II: Riesgo Importante",Z278)))</formula>
    </cfRule>
    <cfRule type="containsText" dxfId="554" priority="5423" stopIfTrue="1" operator="containsText" text="Nivel III: Riesgo Moderado (Aceptable)">
      <formula>NOT(ISERROR(SEARCH("Nivel III: Riesgo Moderado (Aceptable)",Z278)))</formula>
    </cfRule>
  </conditionalFormatting>
  <conditionalFormatting sqref="Z279">
    <cfRule type="containsText" dxfId="553" priority="5585" stopIfTrue="1" operator="containsText" text="Nivel I: Riesgo Inaceptable">
      <formula>NOT(ISERROR(SEARCH("Nivel I: Riesgo Inaceptable",Z279)))</formula>
    </cfRule>
    <cfRule type="containsText" dxfId="552" priority="5586" stopIfTrue="1" operator="containsText" text="Nivel IV: Riesgo Tolerable (Aceptable)">
      <formula>NOT(ISERROR(SEARCH("Nivel IV: Riesgo Tolerable (Aceptable)",Z279)))</formula>
    </cfRule>
    <cfRule type="containsText" dxfId="551" priority="5584" stopIfTrue="1" operator="containsText" text="Nivel II: Riesgo Importante">
      <formula>NOT(ISERROR(SEARCH("Nivel II: Riesgo Importante",Z279)))</formula>
    </cfRule>
  </conditionalFormatting>
  <conditionalFormatting sqref="Z280">
    <cfRule type="containsText" dxfId="550" priority="5532" stopIfTrue="1" operator="containsText" text="Nivel II: Riesgo Importante">
      <formula>NOT(ISERROR(SEARCH("Nivel II: Riesgo Importante",Z280)))</formula>
    </cfRule>
    <cfRule type="containsText" dxfId="549" priority="5533" stopIfTrue="1" operator="containsText" text="Nivel I: Riesgo Inaceptable">
      <formula>NOT(ISERROR(SEARCH("Nivel I: Riesgo Inaceptable",Z280)))</formula>
    </cfRule>
    <cfRule type="containsText" dxfId="548" priority="5534" stopIfTrue="1" operator="containsText" text="Nivel IV: Riesgo Tolerable (Aceptable)">
      <formula>NOT(ISERROR(SEARCH("Nivel IV: Riesgo Tolerable (Aceptable)",Z280)))</formula>
    </cfRule>
  </conditionalFormatting>
  <conditionalFormatting sqref="Z281">
    <cfRule type="containsText" dxfId="547" priority="5347" stopIfTrue="1" operator="containsText" text="Nivel II: Riesgo Importante">
      <formula>NOT(ISERROR(SEARCH("Nivel II: Riesgo Importante",Z281)))</formula>
    </cfRule>
    <cfRule type="containsText" dxfId="546" priority="5363" stopIfTrue="1" operator="containsText" text="Nivel I: Riesgo Inaceptable">
      <formula>NOT(ISERROR(SEARCH("Nivel I: Riesgo Inaceptable",Z281)))</formula>
    </cfRule>
    <cfRule type="containsText" dxfId="545" priority="5348" stopIfTrue="1" operator="containsText" text="Nivel I: Riesgo Inaceptable">
      <formula>NOT(ISERROR(SEARCH("Nivel I: Riesgo Inaceptable",Z281)))</formula>
    </cfRule>
    <cfRule type="containsText" dxfId="544" priority="5361" stopIfTrue="1" operator="containsText" text="Nivel III: Riesgo Moderado (Aceptable)">
      <formula>NOT(ISERROR(SEARCH("Nivel III: Riesgo Moderado (Aceptable)",Z281)))</formula>
    </cfRule>
    <cfRule type="containsText" dxfId="543" priority="5364" stopIfTrue="1" operator="containsText" text="Nivel IV: Riesgo Tolerable (Aceptable)">
      <formula>NOT(ISERROR(SEARCH("Nivel IV: Riesgo Tolerable (Aceptable)",Z281)))</formula>
    </cfRule>
    <cfRule type="containsText" dxfId="542" priority="5362" stopIfTrue="1" operator="containsText" text="Nivel II: Riesgo Importante">
      <formula>NOT(ISERROR(SEARCH("Nivel II: Riesgo Importante",Z281)))</formula>
    </cfRule>
    <cfRule type="containsText" dxfId="541" priority="5349" stopIfTrue="1" operator="containsText" text="Nivel IV: Riesgo Tolerable (Aceptable)">
      <formula>NOT(ISERROR(SEARCH("Nivel IV: Riesgo Tolerable (Aceptable)",Z281)))</formula>
    </cfRule>
  </conditionalFormatting>
  <conditionalFormatting sqref="Z282">
    <cfRule type="containsText" dxfId="540" priority="5620" stopIfTrue="1" operator="containsText" text="Nivel IV: Riesgo Tolerable (Aceptable)">
      <formula>NOT(ISERROR(SEARCH("Nivel IV: Riesgo Tolerable (Aceptable)",Z282)))</formula>
    </cfRule>
    <cfRule type="containsText" dxfId="539" priority="5619" stopIfTrue="1" operator="containsText" text="Nivel I: Riesgo Inaceptable">
      <formula>NOT(ISERROR(SEARCH("Nivel I: Riesgo Inaceptable",Z282)))</formula>
    </cfRule>
    <cfRule type="containsText" dxfId="538" priority="5618" stopIfTrue="1" operator="containsText" text="Nivel II: Riesgo Importante">
      <formula>NOT(ISERROR(SEARCH("Nivel II: Riesgo Importante",Z282)))</formula>
    </cfRule>
  </conditionalFormatting>
  <conditionalFormatting sqref="Z283">
    <cfRule type="containsText" dxfId="537" priority="5395" stopIfTrue="1" operator="containsText" text="Nivel III: Riesgo Moderado (Aceptable)">
      <formula>NOT(ISERROR(SEARCH("Nivel III: Riesgo Moderado (Aceptable)",Z283)))</formula>
    </cfRule>
    <cfRule type="containsText" dxfId="536" priority="5396" stopIfTrue="1" operator="containsText" text="Nivel II: Riesgo Importante">
      <formula>NOT(ISERROR(SEARCH("Nivel II: Riesgo Importante",Z283)))</formula>
    </cfRule>
    <cfRule type="containsText" dxfId="535" priority="5394" stopIfTrue="1" operator="containsText" text="Nivel IV: Riesgo Tolerable (Aceptable)">
      <formula>NOT(ISERROR(SEARCH("Nivel IV: Riesgo Tolerable (Aceptable)",Z283)))</formula>
    </cfRule>
    <cfRule type="containsText" dxfId="534" priority="5397" stopIfTrue="1" operator="containsText" text="Nivel I: Riesgo Inaceptable">
      <formula>NOT(ISERROR(SEARCH("Nivel I: Riesgo Inaceptable",Z283)))</formula>
    </cfRule>
    <cfRule type="containsText" dxfId="533" priority="5398" stopIfTrue="1" operator="containsText" text="Nivel IV: Riesgo Tolerable (Aceptable)">
      <formula>NOT(ISERROR(SEARCH("Nivel IV: Riesgo Tolerable (Aceptable)",Z283)))</formula>
    </cfRule>
    <cfRule type="containsText" dxfId="532" priority="5392" stopIfTrue="1" operator="containsText" text="Nivel II: Riesgo Importante">
      <formula>NOT(ISERROR(SEARCH("Nivel II: Riesgo Importante",Z283)))</formula>
    </cfRule>
    <cfRule type="containsText" dxfId="531" priority="5393" stopIfTrue="1" operator="containsText" text="Nivel I: Riesgo Inaceptable">
      <formula>NOT(ISERROR(SEARCH("Nivel I: Riesgo Inaceptable",Z283)))</formula>
    </cfRule>
  </conditionalFormatting>
  <conditionalFormatting sqref="Z284 Z293:Z294 Z296 Z287:Z291">
    <cfRule type="containsText" dxfId="530" priority="5243" stopIfTrue="1" operator="containsText" text="Nivel IV: Riesgo Tolerable (Aceptable)">
      <formula>NOT(ISERROR(SEARCH("Nivel IV: Riesgo Tolerable (Aceptable)",Z284)))</formula>
    </cfRule>
    <cfRule type="containsText" dxfId="529" priority="5242" stopIfTrue="1" operator="containsText" text="Nivel I: Riesgo Inaceptable">
      <formula>NOT(ISERROR(SEARCH("Nivel I: Riesgo Inaceptable",Z284)))</formula>
    </cfRule>
    <cfRule type="containsText" dxfId="528" priority="5241" stopIfTrue="1" operator="containsText" text="Nivel II: Riesgo Importante">
      <formula>NOT(ISERROR(SEARCH("Nivel II: Riesgo Importante",Z284)))</formula>
    </cfRule>
  </conditionalFormatting>
  <conditionalFormatting sqref="Z284">
    <cfRule type="containsText" dxfId="527" priority="5175" stopIfTrue="1" operator="containsText" text="Nivel IV: Riesgo Tolerable (Aceptable)">
      <formula>NOT(ISERROR(SEARCH("Nivel IV: Riesgo Tolerable (Aceptable)",Z284)))</formula>
    </cfRule>
    <cfRule type="containsText" dxfId="526" priority="5174" stopIfTrue="1" operator="containsText" text="Nivel I: Riesgo Inaceptable">
      <formula>NOT(ISERROR(SEARCH("Nivel I: Riesgo Inaceptable",Z284)))</formula>
    </cfRule>
    <cfRule type="containsText" dxfId="525" priority="5173" stopIfTrue="1" operator="containsText" text="Nivel II: Riesgo Importante">
      <formula>NOT(ISERROR(SEARCH("Nivel II: Riesgo Importante",Z284)))</formula>
    </cfRule>
  </conditionalFormatting>
  <conditionalFormatting sqref="Z285">
    <cfRule type="containsText" dxfId="524" priority="4746" stopIfTrue="1" operator="containsText" text="Nivel II: Riesgo Importante">
      <formula>NOT(ISERROR(SEARCH("Nivel II: Riesgo Importante",Z285)))</formula>
    </cfRule>
    <cfRule type="containsText" dxfId="523" priority="4747" stopIfTrue="1" operator="containsText" text="Nivel I: Riesgo Inaceptable">
      <formula>NOT(ISERROR(SEARCH("Nivel I: Riesgo Inaceptable",Z285)))</formula>
    </cfRule>
    <cfRule type="containsText" dxfId="522" priority="4755" stopIfTrue="1" operator="containsText" text="Nivel I: Riesgo Inaceptable">
      <formula>NOT(ISERROR(SEARCH("Nivel I: Riesgo Inaceptable",Z285)))</formula>
    </cfRule>
    <cfRule type="containsText" dxfId="521" priority="4753" stopIfTrue="1" operator="containsText" text="Nivel III: Riesgo Moderado (Aceptable)">
      <formula>NOT(ISERROR(SEARCH("Nivel III: Riesgo Moderado (Aceptable)",Z285)))</formula>
    </cfRule>
    <cfRule type="containsText" dxfId="520" priority="4756" stopIfTrue="1" operator="containsText" text="Nivel IV: Riesgo Tolerable (Aceptable)">
      <formula>NOT(ISERROR(SEARCH("Nivel IV: Riesgo Tolerable (Aceptable)",Z285)))</formula>
    </cfRule>
    <cfRule type="containsText" dxfId="519" priority="4754" stopIfTrue="1" operator="containsText" text="Nivel II: Riesgo Importante">
      <formula>NOT(ISERROR(SEARCH("Nivel II: Riesgo Importante",Z285)))</formula>
    </cfRule>
    <cfRule type="containsText" dxfId="518" priority="4748" stopIfTrue="1" operator="containsText" text="Nivel IV: Riesgo Tolerable (Aceptable)">
      <formula>NOT(ISERROR(SEARCH("Nivel IV: Riesgo Tolerable (Aceptable)",Z285)))</formula>
    </cfRule>
  </conditionalFormatting>
  <conditionalFormatting sqref="Z286">
    <cfRule type="containsText" dxfId="517" priority="4714" stopIfTrue="1" operator="containsText" text="Nivel II: Riesgo Importante">
      <formula>NOT(ISERROR(SEARCH("Nivel II: Riesgo Importante",Z286)))</formula>
    </cfRule>
    <cfRule type="containsText" dxfId="516" priority="4715" stopIfTrue="1" operator="containsText" text="Nivel I: Riesgo Inaceptable">
      <formula>NOT(ISERROR(SEARCH("Nivel I: Riesgo Inaceptable",Z286)))</formula>
    </cfRule>
    <cfRule type="containsText" dxfId="515" priority="4716" stopIfTrue="1" operator="containsText" text="Nivel IV: Riesgo Tolerable (Aceptable)">
      <formula>NOT(ISERROR(SEARCH("Nivel IV: Riesgo Tolerable (Aceptable)",Z286)))</formula>
    </cfRule>
    <cfRule type="containsText" dxfId="514" priority="4722" stopIfTrue="1" operator="containsText" text="Nivel II: Riesgo Importante">
      <formula>NOT(ISERROR(SEARCH("Nivel II: Riesgo Importante",Z286)))</formula>
    </cfRule>
    <cfRule type="containsText" dxfId="513" priority="4723" stopIfTrue="1" operator="containsText" text="Nivel I: Riesgo Inaceptable">
      <formula>NOT(ISERROR(SEARCH("Nivel I: Riesgo Inaceptable",Z286)))</formula>
    </cfRule>
    <cfRule type="containsText" dxfId="512" priority="4724" stopIfTrue="1" operator="containsText" text="Nivel IV: Riesgo Tolerable (Aceptable)">
      <formula>NOT(ISERROR(SEARCH("Nivel IV: Riesgo Tolerable (Aceptable)",Z286)))</formula>
    </cfRule>
  </conditionalFormatting>
  <conditionalFormatting sqref="Z287">
    <cfRule type="containsText" dxfId="511" priority="5132" stopIfTrue="1" operator="containsText" text="Nivel II: Riesgo Importante">
      <formula>NOT(ISERROR(SEARCH("Nivel II: Riesgo Importante",Z287)))</formula>
    </cfRule>
    <cfRule type="containsText" dxfId="510" priority="5133" stopIfTrue="1" operator="containsText" text="Nivel I: Riesgo Inaceptable">
      <formula>NOT(ISERROR(SEARCH("Nivel I: Riesgo Inaceptable",Z287)))</formula>
    </cfRule>
    <cfRule type="containsText" dxfId="509" priority="5134" stopIfTrue="1" operator="containsText" text="Nivel IV: Riesgo Tolerable (Aceptable)">
      <formula>NOT(ISERROR(SEARCH("Nivel IV: Riesgo Tolerable (Aceptable)",Z287)))</formula>
    </cfRule>
  </conditionalFormatting>
  <conditionalFormatting sqref="Z287:Z291 Z284 Z296 Z293:Z294">
    <cfRule type="containsText" dxfId="508" priority="5240" stopIfTrue="1" operator="containsText" text="Nivel III: Riesgo Moderado (Aceptable)">
      <formula>NOT(ISERROR(SEARCH("Nivel III: Riesgo Moderado (Aceptable)",Z284)))</formula>
    </cfRule>
  </conditionalFormatting>
  <conditionalFormatting sqref="Z288">
    <cfRule type="containsText" dxfId="507" priority="5222" stopIfTrue="1" operator="containsText" text="Nivel IV: Riesgo Tolerable (Aceptable)">
      <formula>NOT(ISERROR(SEARCH("Nivel IV: Riesgo Tolerable (Aceptable)",Z288)))</formula>
    </cfRule>
    <cfRule type="containsText" dxfId="506" priority="5221" stopIfTrue="1" operator="containsText" text="Nivel I: Riesgo Inaceptable">
      <formula>NOT(ISERROR(SEARCH("Nivel I: Riesgo Inaceptable",Z288)))</formula>
    </cfRule>
    <cfRule type="containsText" dxfId="505" priority="5220" stopIfTrue="1" operator="containsText" text="Nivel II: Riesgo Importante">
      <formula>NOT(ISERROR(SEARCH("Nivel II: Riesgo Importante",Z288)))</formula>
    </cfRule>
  </conditionalFormatting>
  <conditionalFormatting sqref="Z289">
    <cfRule type="containsText" dxfId="504" priority="5084" stopIfTrue="1" operator="containsText" text="Nivel I: Riesgo Inaceptable">
      <formula>NOT(ISERROR(SEARCH("Nivel I: Riesgo Inaceptable",Z289)))</formula>
    </cfRule>
    <cfRule type="containsText" dxfId="503" priority="5083" stopIfTrue="1" operator="containsText" text="Nivel II: Riesgo Importante">
      <formula>NOT(ISERROR(SEARCH("Nivel II: Riesgo Importante",Z289)))</formula>
    </cfRule>
    <cfRule type="containsText" dxfId="502" priority="5085" stopIfTrue="1" operator="containsText" text="Nivel IV: Riesgo Tolerable (Aceptable)">
      <formula>NOT(ISERROR(SEARCH("Nivel IV: Riesgo Tolerable (Aceptable)",Z289)))</formula>
    </cfRule>
  </conditionalFormatting>
  <conditionalFormatting sqref="Z292">
    <cfRule type="containsText" dxfId="501" priority="4863" stopIfTrue="1" operator="containsText" text="Nivel IV: Riesgo Tolerable (Aceptable)">
      <formula>NOT(ISERROR(SEARCH("Nivel IV: Riesgo Tolerable (Aceptable)",Z292)))</formula>
    </cfRule>
    <cfRule type="containsText" dxfId="500" priority="4862" stopIfTrue="1" operator="containsText" text="Nivel I: Riesgo Inaceptable">
      <formula>NOT(ISERROR(SEARCH("Nivel I: Riesgo Inaceptable",Z292)))</formula>
    </cfRule>
    <cfRule type="containsText" dxfId="499" priority="4861" stopIfTrue="1" operator="containsText" text="Nivel II: Riesgo Importante">
      <formula>NOT(ISERROR(SEARCH("Nivel II: Riesgo Importante",Z292)))</formula>
    </cfRule>
    <cfRule type="containsText" dxfId="498" priority="4860" stopIfTrue="1" operator="containsText" text="Nivel III: Riesgo Moderado (Aceptable)">
      <formula>NOT(ISERROR(SEARCH("Nivel III: Riesgo Moderado (Aceptable)",Z292)))</formula>
    </cfRule>
  </conditionalFormatting>
  <conditionalFormatting sqref="Z293">
    <cfRule type="containsText" dxfId="497" priority="5021" stopIfTrue="1" operator="containsText" text="Nivel II: Riesgo Importante">
      <formula>NOT(ISERROR(SEARCH("Nivel II: Riesgo Importante",Z293)))</formula>
    </cfRule>
    <cfRule type="containsText" dxfId="496" priority="5022" stopIfTrue="1" operator="containsText" text="Nivel I: Riesgo Inaceptable">
      <formula>NOT(ISERROR(SEARCH("Nivel I: Riesgo Inaceptable",Z293)))</formula>
    </cfRule>
    <cfRule type="containsText" dxfId="495" priority="5023" stopIfTrue="1" operator="containsText" text="Nivel IV: Riesgo Tolerable (Aceptable)">
      <formula>NOT(ISERROR(SEARCH("Nivel IV: Riesgo Tolerable (Aceptable)",Z293)))</formula>
    </cfRule>
  </conditionalFormatting>
  <conditionalFormatting sqref="Z294">
    <cfRule type="containsText" dxfId="494" priority="4970" stopIfTrue="1" operator="containsText" text="Nivel I: Riesgo Inaceptable">
      <formula>NOT(ISERROR(SEARCH("Nivel I: Riesgo Inaceptable",Z294)))</formula>
    </cfRule>
    <cfRule type="containsText" dxfId="493" priority="4969" stopIfTrue="1" operator="containsText" text="Nivel II: Riesgo Importante">
      <formula>NOT(ISERROR(SEARCH("Nivel II: Riesgo Importante",Z294)))</formula>
    </cfRule>
    <cfRule type="containsText" dxfId="492" priority="4971" stopIfTrue="1" operator="containsText" text="Nivel IV: Riesgo Tolerable (Aceptable)">
      <formula>NOT(ISERROR(SEARCH("Nivel IV: Riesgo Tolerable (Aceptable)",Z294)))</formula>
    </cfRule>
  </conditionalFormatting>
  <conditionalFormatting sqref="Z295">
    <cfRule type="containsText" dxfId="491" priority="4799" stopIfTrue="1" operator="containsText" text="Nivel II: Riesgo Importante">
      <formula>NOT(ISERROR(SEARCH("Nivel II: Riesgo Importante",Z295)))</formula>
    </cfRule>
    <cfRule type="containsText" dxfId="490" priority="4784" stopIfTrue="1" operator="containsText" text="Nivel II: Riesgo Importante">
      <formula>NOT(ISERROR(SEARCH("Nivel II: Riesgo Importante",Z295)))</formula>
    </cfRule>
    <cfRule type="containsText" dxfId="489" priority="4801" stopIfTrue="1" operator="containsText" text="Nivel IV: Riesgo Tolerable (Aceptable)">
      <formula>NOT(ISERROR(SEARCH("Nivel IV: Riesgo Tolerable (Aceptable)",Z295)))</formula>
    </cfRule>
    <cfRule type="containsText" dxfId="488" priority="4798" stopIfTrue="1" operator="containsText" text="Nivel III: Riesgo Moderado (Aceptable)">
      <formula>NOT(ISERROR(SEARCH("Nivel III: Riesgo Moderado (Aceptable)",Z295)))</formula>
    </cfRule>
    <cfRule type="containsText" dxfId="487" priority="4786" stopIfTrue="1" operator="containsText" text="Nivel IV: Riesgo Tolerable (Aceptable)">
      <formula>NOT(ISERROR(SEARCH("Nivel IV: Riesgo Tolerable (Aceptable)",Z295)))</formula>
    </cfRule>
    <cfRule type="containsText" dxfId="486" priority="4785" stopIfTrue="1" operator="containsText" text="Nivel I: Riesgo Inaceptable">
      <formula>NOT(ISERROR(SEARCH("Nivel I: Riesgo Inaceptable",Z295)))</formula>
    </cfRule>
    <cfRule type="containsText" dxfId="485" priority="4800" stopIfTrue="1" operator="containsText" text="Nivel I: Riesgo Inaceptable">
      <formula>NOT(ISERROR(SEARCH("Nivel I: Riesgo Inaceptable",Z295)))</formula>
    </cfRule>
  </conditionalFormatting>
  <conditionalFormatting sqref="Z296">
    <cfRule type="containsText" dxfId="484" priority="5057" stopIfTrue="1" operator="containsText" text="Nivel IV: Riesgo Tolerable (Aceptable)">
      <formula>NOT(ISERROR(SEARCH("Nivel IV: Riesgo Tolerable (Aceptable)",Z296)))</formula>
    </cfRule>
    <cfRule type="containsText" dxfId="483" priority="5056" stopIfTrue="1" operator="containsText" text="Nivel I: Riesgo Inaceptable">
      <formula>NOT(ISERROR(SEARCH("Nivel I: Riesgo Inaceptable",Z296)))</formula>
    </cfRule>
    <cfRule type="containsText" dxfId="482" priority="5055" stopIfTrue="1" operator="containsText" text="Nivel II: Riesgo Importante">
      <formula>NOT(ISERROR(SEARCH("Nivel II: Riesgo Importante",Z296)))</formula>
    </cfRule>
  </conditionalFormatting>
  <conditionalFormatting sqref="Z297">
    <cfRule type="containsText" dxfId="481" priority="4830" stopIfTrue="1" operator="containsText" text="Nivel I: Riesgo Inaceptable">
      <formula>NOT(ISERROR(SEARCH("Nivel I: Riesgo Inaceptable",Z297)))</formula>
    </cfRule>
    <cfRule type="containsText" dxfId="480" priority="4831" stopIfTrue="1" operator="containsText" text="Nivel IV: Riesgo Tolerable (Aceptable)">
      <formula>NOT(ISERROR(SEARCH("Nivel IV: Riesgo Tolerable (Aceptable)",Z297)))</formula>
    </cfRule>
    <cfRule type="containsText" dxfId="479" priority="4834" stopIfTrue="1" operator="containsText" text="Nivel I: Riesgo Inaceptable">
      <formula>NOT(ISERROR(SEARCH("Nivel I: Riesgo Inaceptable",Z297)))</formula>
    </cfRule>
    <cfRule type="containsText" dxfId="478" priority="4835" stopIfTrue="1" operator="containsText" text="Nivel IV: Riesgo Tolerable (Aceptable)">
      <formula>NOT(ISERROR(SEARCH("Nivel IV: Riesgo Tolerable (Aceptable)",Z297)))</formula>
    </cfRule>
    <cfRule type="containsText" dxfId="477" priority="4829" stopIfTrue="1" operator="containsText" text="Nivel II: Riesgo Importante">
      <formula>NOT(ISERROR(SEARCH("Nivel II: Riesgo Importante",Z297)))</formula>
    </cfRule>
    <cfRule type="containsText" dxfId="476" priority="4833" stopIfTrue="1" operator="containsText" text="Nivel II: Riesgo Importante">
      <formula>NOT(ISERROR(SEARCH("Nivel II: Riesgo Importante",Z297)))</formula>
    </cfRule>
    <cfRule type="containsText" dxfId="475" priority="4832" stopIfTrue="1" operator="containsText" text="Nivel III: Riesgo Moderado (Aceptable)">
      <formula>NOT(ISERROR(SEARCH("Nivel III: Riesgo Moderado (Aceptable)",Z297)))</formula>
    </cfRule>
  </conditionalFormatting>
  <conditionalFormatting sqref="Z298 Z307:Z308 Z310 Z301:Z305">
    <cfRule type="containsText" dxfId="474" priority="4679" stopIfTrue="1" operator="containsText" text="Nivel I: Riesgo Inaceptable">
      <formula>NOT(ISERROR(SEARCH("Nivel I: Riesgo Inaceptable",Z298)))</formula>
    </cfRule>
    <cfRule type="containsText" dxfId="473" priority="4678" stopIfTrue="1" operator="containsText" text="Nivel II: Riesgo Importante">
      <formula>NOT(ISERROR(SEARCH("Nivel II: Riesgo Importante",Z298)))</formula>
    </cfRule>
    <cfRule type="containsText" dxfId="472" priority="4680" stopIfTrue="1" operator="containsText" text="Nivel IV: Riesgo Tolerable (Aceptable)">
      <formula>NOT(ISERROR(SEARCH("Nivel IV: Riesgo Tolerable (Aceptable)",Z298)))</formula>
    </cfRule>
  </conditionalFormatting>
  <conditionalFormatting sqref="Z298">
    <cfRule type="containsText" dxfId="471" priority="4611" stopIfTrue="1" operator="containsText" text="Nivel I: Riesgo Inaceptable">
      <formula>NOT(ISERROR(SEARCH("Nivel I: Riesgo Inaceptable",Z298)))</formula>
    </cfRule>
    <cfRule type="containsText" dxfId="470" priority="4610" stopIfTrue="1" operator="containsText" text="Nivel II: Riesgo Importante">
      <formula>NOT(ISERROR(SEARCH("Nivel II: Riesgo Importante",Z298)))</formula>
    </cfRule>
    <cfRule type="containsText" dxfId="469" priority="4612" stopIfTrue="1" operator="containsText" text="Nivel IV: Riesgo Tolerable (Aceptable)">
      <formula>NOT(ISERROR(SEARCH("Nivel IV: Riesgo Tolerable (Aceptable)",Z298)))</formula>
    </cfRule>
  </conditionalFormatting>
  <conditionalFormatting sqref="Z299">
    <cfRule type="containsText" dxfId="468" priority="4190" stopIfTrue="1" operator="containsText" text="Nivel III: Riesgo Moderado (Aceptable)">
      <formula>NOT(ISERROR(SEARCH("Nivel III: Riesgo Moderado (Aceptable)",Z299)))</formula>
    </cfRule>
    <cfRule type="containsText" dxfId="467" priority="4185" stopIfTrue="1" operator="containsText" text="Nivel IV: Riesgo Tolerable (Aceptable)">
      <formula>NOT(ISERROR(SEARCH("Nivel IV: Riesgo Tolerable (Aceptable)",Z299)))</formula>
    </cfRule>
    <cfRule type="containsText" dxfId="466" priority="4184" stopIfTrue="1" operator="containsText" text="Nivel I: Riesgo Inaceptable">
      <formula>NOT(ISERROR(SEARCH("Nivel I: Riesgo Inaceptable",Z299)))</formula>
    </cfRule>
    <cfRule type="containsText" dxfId="465" priority="4192" stopIfTrue="1" operator="containsText" text="Nivel I: Riesgo Inaceptable">
      <formula>NOT(ISERROR(SEARCH("Nivel I: Riesgo Inaceptable",Z299)))</formula>
    </cfRule>
    <cfRule type="containsText" dxfId="464" priority="4193" stopIfTrue="1" operator="containsText" text="Nivel IV: Riesgo Tolerable (Aceptable)">
      <formula>NOT(ISERROR(SEARCH("Nivel IV: Riesgo Tolerable (Aceptable)",Z299)))</formula>
    </cfRule>
    <cfRule type="containsText" dxfId="463" priority="4191" stopIfTrue="1" operator="containsText" text="Nivel II: Riesgo Importante">
      <formula>NOT(ISERROR(SEARCH("Nivel II: Riesgo Importante",Z299)))</formula>
    </cfRule>
    <cfRule type="containsText" dxfId="462" priority="4183" stopIfTrue="1" operator="containsText" text="Nivel II: Riesgo Importante">
      <formula>NOT(ISERROR(SEARCH("Nivel II: Riesgo Importante",Z299)))</formula>
    </cfRule>
  </conditionalFormatting>
  <conditionalFormatting sqref="Z300">
    <cfRule type="containsText" dxfId="461" priority="4161" stopIfTrue="1" operator="containsText" text="Nivel IV: Riesgo Tolerable (Aceptable)">
      <formula>NOT(ISERROR(SEARCH("Nivel IV: Riesgo Tolerable (Aceptable)",Z300)))</formula>
    </cfRule>
    <cfRule type="containsText" dxfId="460" priority="4159" stopIfTrue="1" operator="containsText" text="Nivel II: Riesgo Importante">
      <formula>NOT(ISERROR(SEARCH("Nivel II: Riesgo Importante",Z300)))</formula>
    </cfRule>
    <cfRule type="containsText" dxfId="459" priority="4160" stopIfTrue="1" operator="containsText" text="Nivel I: Riesgo Inaceptable">
      <formula>NOT(ISERROR(SEARCH("Nivel I: Riesgo Inaceptable",Z300)))</formula>
    </cfRule>
    <cfRule type="containsText" dxfId="458" priority="4153" stopIfTrue="1" operator="containsText" text="Nivel IV: Riesgo Tolerable (Aceptable)">
      <formula>NOT(ISERROR(SEARCH("Nivel IV: Riesgo Tolerable (Aceptable)",Z300)))</formula>
    </cfRule>
    <cfRule type="containsText" dxfId="457" priority="4152" stopIfTrue="1" operator="containsText" text="Nivel I: Riesgo Inaceptable">
      <formula>NOT(ISERROR(SEARCH("Nivel I: Riesgo Inaceptable",Z300)))</formula>
    </cfRule>
    <cfRule type="containsText" dxfId="456" priority="4151" stopIfTrue="1" operator="containsText" text="Nivel II: Riesgo Importante">
      <formula>NOT(ISERROR(SEARCH("Nivel II: Riesgo Importante",Z300)))</formula>
    </cfRule>
  </conditionalFormatting>
  <conditionalFormatting sqref="Z301">
    <cfRule type="containsText" dxfId="455" priority="4569" stopIfTrue="1" operator="containsText" text="Nivel II: Riesgo Importante">
      <formula>NOT(ISERROR(SEARCH("Nivel II: Riesgo Importante",Z301)))</formula>
    </cfRule>
    <cfRule type="containsText" dxfId="454" priority="4571" stopIfTrue="1" operator="containsText" text="Nivel IV: Riesgo Tolerable (Aceptable)">
      <formula>NOT(ISERROR(SEARCH("Nivel IV: Riesgo Tolerable (Aceptable)",Z301)))</formula>
    </cfRule>
    <cfRule type="containsText" dxfId="453" priority="4570" stopIfTrue="1" operator="containsText" text="Nivel I: Riesgo Inaceptable">
      <formula>NOT(ISERROR(SEARCH("Nivel I: Riesgo Inaceptable",Z301)))</formula>
    </cfRule>
  </conditionalFormatting>
  <conditionalFormatting sqref="Z301:Z305 Z298 Z310 Z307:Z308">
    <cfRule type="containsText" dxfId="452" priority="4677" stopIfTrue="1" operator="containsText" text="Nivel III: Riesgo Moderado (Aceptable)">
      <formula>NOT(ISERROR(SEARCH("Nivel III: Riesgo Moderado (Aceptable)",Z298)))</formula>
    </cfRule>
  </conditionalFormatting>
  <conditionalFormatting sqref="Z302">
    <cfRule type="containsText" dxfId="451" priority="4658" stopIfTrue="1" operator="containsText" text="Nivel I: Riesgo Inaceptable">
      <formula>NOT(ISERROR(SEARCH("Nivel I: Riesgo Inaceptable",Z302)))</formula>
    </cfRule>
    <cfRule type="containsText" dxfId="450" priority="4659" stopIfTrue="1" operator="containsText" text="Nivel IV: Riesgo Tolerable (Aceptable)">
      <formula>NOT(ISERROR(SEARCH("Nivel IV: Riesgo Tolerable (Aceptable)",Z302)))</formula>
    </cfRule>
    <cfRule type="containsText" dxfId="449" priority="4657" stopIfTrue="1" operator="containsText" text="Nivel II: Riesgo Importante">
      <formula>NOT(ISERROR(SEARCH("Nivel II: Riesgo Importante",Z302)))</formula>
    </cfRule>
  </conditionalFormatting>
  <conditionalFormatting sqref="Z303">
    <cfRule type="containsText" dxfId="448" priority="4520" stopIfTrue="1" operator="containsText" text="Nivel II: Riesgo Importante">
      <formula>NOT(ISERROR(SEARCH("Nivel II: Riesgo Importante",Z303)))</formula>
    </cfRule>
    <cfRule type="containsText" dxfId="447" priority="4521" stopIfTrue="1" operator="containsText" text="Nivel I: Riesgo Inaceptable">
      <formula>NOT(ISERROR(SEARCH("Nivel I: Riesgo Inaceptable",Z303)))</formula>
    </cfRule>
    <cfRule type="containsText" dxfId="446" priority="4522" stopIfTrue="1" operator="containsText" text="Nivel IV: Riesgo Tolerable (Aceptable)">
      <formula>NOT(ISERROR(SEARCH("Nivel IV: Riesgo Tolerable (Aceptable)",Z303)))</formula>
    </cfRule>
  </conditionalFormatting>
  <conditionalFormatting sqref="Z306">
    <cfRule type="containsText" dxfId="445" priority="4298" stopIfTrue="1" operator="containsText" text="Nivel II: Riesgo Importante">
      <formula>NOT(ISERROR(SEARCH("Nivel II: Riesgo Importante",Z306)))</formula>
    </cfRule>
    <cfRule type="containsText" dxfId="444" priority="4299" stopIfTrue="1" operator="containsText" text="Nivel I: Riesgo Inaceptable">
      <formula>NOT(ISERROR(SEARCH("Nivel I: Riesgo Inaceptable",Z306)))</formula>
    </cfRule>
    <cfRule type="containsText" dxfId="443" priority="4300" stopIfTrue="1" operator="containsText" text="Nivel IV: Riesgo Tolerable (Aceptable)">
      <formula>NOT(ISERROR(SEARCH("Nivel IV: Riesgo Tolerable (Aceptable)",Z306)))</formula>
    </cfRule>
    <cfRule type="containsText" dxfId="442" priority="4297" stopIfTrue="1" operator="containsText" text="Nivel III: Riesgo Moderado (Aceptable)">
      <formula>NOT(ISERROR(SEARCH("Nivel III: Riesgo Moderado (Aceptable)",Z306)))</formula>
    </cfRule>
  </conditionalFormatting>
  <conditionalFormatting sqref="Z307">
    <cfRule type="containsText" dxfId="441" priority="4460" stopIfTrue="1" operator="containsText" text="Nivel IV: Riesgo Tolerable (Aceptable)">
      <formula>NOT(ISERROR(SEARCH("Nivel IV: Riesgo Tolerable (Aceptable)",Z307)))</formula>
    </cfRule>
    <cfRule type="containsText" dxfId="440" priority="4458" stopIfTrue="1" operator="containsText" text="Nivel II: Riesgo Importante">
      <formula>NOT(ISERROR(SEARCH("Nivel II: Riesgo Importante",Z307)))</formula>
    </cfRule>
    <cfRule type="containsText" dxfId="439" priority="4459" stopIfTrue="1" operator="containsText" text="Nivel I: Riesgo Inaceptable">
      <formula>NOT(ISERROR(SEARCH("Nivel I: Riesgo Inaceptable",Z307)))</formula>
    </cfRule>
  </conditionalFormatting>
  <conditionalFormatting sqref="Z308">
    <cfRule type="containsText" dxfId="438" priority="4408" stopIfTrue="1" operator="containsText" text="Nivel IV: Riesgo Tolerable (Aceptable)">
      <formula>NOT(ISERROR(SEARCH("Nivel IV: Riesgo Tolerable (Aceptable)",Z308)))</formula>
    </cfRule>
    <cfRule type="containsText" dxfId="437" priority="4406" stopIfTrue="1" operator="containsText" text="Nivel II: Riesgo Importante">
      <formula>NOT(ISERROR(SEARCH("Nivel II: Riesgo Importante",Z308)))</formula>
    </cfRule>
    <cfRule type="containsText" dxfId="436" priority="4407" stopIfTrue="1" operator="containsText" text="Nivel I: Riesgo Inaceptable">
      <formula>NOT(ISERROR(SEARCH("Nivel I: Riesgo Inaceptable",Z308)))</formula>
    </cfRule>
  </conditionalFormatting>
  <conditionalFormatting sqref="Z309">
    <cfRule type="containsText" dxfId="435" priority="4222" stopIfTrue="1" operator="containsText" text="Nivel I: Riesgo Inaceptable">
      <formula>NOT(ISERROR(SEARCH("Nivel I: Riesgo Inaceptable",Z309)))</formula>
    </cfRule>
    <cfRule type="containsText" dxfId="434" priority="4221" stopIfTrue="1" operator="containsText" text="Nivel II: Riesgo Importante">
      <formula>NOT(ISERROR(SEARCH("Nivel II: Riesgo Importante",Z309)))</formula>
    </cfRule>
    <cfRule type="containsText" dxfId="433" priority="4236" stopIfTrue="1" operator="containsText" text="Nivel II: Riesgo Importante">
      <formula>NOT(ISERROR(SEARCH("Nivel II: Riesgo Importante",Z309)))</formula>
    </cfRule>
    <cfRule type="containsText" dxfId="432" priority="4235" stopIfTrue="1" operator="containsText" text="Nivel III: Riesgo Moderado (Aceptable)">
      <formula>NOT(ISERROR(SEARCH("Nivel III: Riesgo Moderado (Aceptable)",Z309)))</formula>
    </cfRule>
    <cfRule type="containsText" dxfId="431" priority="4238" stopIfTrue="1" operator="containsText" text="Nivel IV: Riesgo Tolerable (Aceptable)">
      <formula>NOT(ISERROR(SEARCH("Nivel IV: Riesgo Tolerable (Aceptable)",Z309)))</formula>
    </cfRule>
    <cfRule type="containsText" dxfId="430" priority="4237" stopIfTrue="1" operator="containsText" text="Nivel I: Riesgo Inaceptable">
      <formula>NOT(ISERROR(SEARCH("Nivel I: Riesgo Inaceptable",Z309)))</formula>
    </cfRule>
    <cfRule type="containsText" dxfId="429" priority="4223" stopIfTrue="1" operator="containsText" text="Nivel IV: Riesgo Tolerable (Aceptable)">
      <formula>NOT(ISERROR(SEARCH("Nivel IV: Riesgo Tolerable (Aceptable)",Z309)))</formula>
    </cfRule>
  </conditionalFormatting>
  <conditionalFormatting sqref="Z310">
    <cfRule type="containsText" dxfId="428" priority="4493" stopIfTrue="1" operator="containsText" text="Nivel I: Riesgo Inaceptable">
      <formula>NOT(ISERROR(SEARCH("Nivel I: Riesgo Inaceptable",Z310)))</formula>
    </cfRule>
    <cfRule type="containsText" dxfId="427" priority="4492" stopIfTrue="1" operator="containsText" text="Nivel II: Riesgo Importante">
      <formula>NOT(ISERROR(SEARCH("Nivel II: Riesgo Importante",Z310)))</formula>
    </cfRule>
    <cfRule type="containsText" dxfId="426" priority="4494" stopIfTrue="1" operator="containsText" text="Nivel IV: Riesgo Tolerable (Aceptable)">
      <formula>NOT(ISERROR(SEARCH("Nivel IV: Riesgo Tolerable (Aceptable)",Z310)))</formula>
    </cfRule>
  </conditionalFormatting>
  <conditionalFormatting sqref="Z311">
    <cfRule type="containsText" dxfId="425" priority="4267" stopIfTrue="1" operator="containsText" text="Nivel I: Riesgo Inaceptable">
      <formula>NOT(ISERROR(SEARCH("Nivel I: Riesgo Inaceptable",Z311)))</formula>
    </cfRule>
    <cfRule type="containsText" dxfId="424" priority="4266" stopIfTrue="1" operator="containsText" text="Nivel II: Riesgo Importante">
      <formula>NOT(ISERROR(SEARCH("Nivel II: Riesgo Importante",Z311)))</formula>
    </cfRule>
    <cfRule type="containsText" dxfId="423" priority="4272" stopIfTrue="1" operator="containsText" text="Nivel IV: Riesgo Tolerable (Aceptable)">
      <formula>NOT(ISERROR(SEARCH("Nivel IV: Riesgo Tolerable (Aceptable)",Z311)))</formula>
    </cfRule>
    <cfRule type="containsText" dxfId="422" priority="4271" stopIfTrue="1" operator="containsText" text="Nivel I: Riesgo Inaceptable">
      <formula>NOT(ISERROR(SEARCH("Nivel I: Riesgo Inaceptable",Z311)))</formula>
    </cfRule>
    <cfRule type="containsText" dxfId="421" priority="4270" stopIfTrue="1" operator="containsText" text="Nivel II: Riesgo Importante">
      <formula>NOT(ISERROR(SEARCH("Nivel II: Riesgo Importante",Z311)))</formula>
    </cfRule>
    <cfRule type="containsText" dxfId="420" priority="4269" stopIfTrue="1" operator="containsText" text="Nivel III: Riesgo Moderado (Aceptable)">
      <formula>NOT(ISERROR(SEARCH("Nivel III: Riesgo Moderado (Aceptable)",Z311)))</formula>
    </cfRule>
    <cfRule type="containsText" dxfId="419" priority="4268" stopIfTrue="1" operator="containsText" text="Nivel IV: Riesgo Tolerable (Aceptable)">
      <formula>NOT(ISERROR(SEARCH("Nivel IV: Riesgo Tolerable (Aceptable)",Z311)))</formula>
    </cfRule>
  </conditionalFormatting>
  <conditionalFormatting sqref="Z312:Z313 Z315:Z323">
    <cfRule type="containsText" dxfId="418" priority="4121" stopIfTrue="1" operator="containsText" text="Nivel IV: Riesgo Tolerable (Aceptable)">
      <formula>NOT(ISERROR(SEARCH("Nivel IV: Riesgo Tolerable (Aceptable)",Z312)))</formula>
    </cfRule>
    <cfRule type="containsText" dxfId="417" priority="4120" stopIfTrue="1" operator="containsText" text="Nivel I: Riesgo Inaceptable">
      <formula>NOT(ISERROR(SEARCH("Nivel I: Riesgo Inaceptable",Z312)))</formula>
    </cfRule>
    <cfRule type="containsText" dxfId="416" priority="4119" stopIfTrue="1" operator="containsText" text="Nivel II: Riesgo Importante">
      <formula>NOT(ISERROR(SEARCH("Nivel II: Riesgo Importante",Z312)))</formula>
    </cfRule>
  </conditionalFormatting>
  <conditionalFormatting sqref="Z314">
    <cfRule type="containsText" dxfId="415" priority="3699" stopIfTrue="1" operator="containsText" text="Nivel II: Riesgo Importante">
      <formula>NOT(ISERROR(SEARCH("Nivel II: Riesgo Importante",Z314)))</formula>
    </cfRule>
    <cfRule type="containsText" dxfId="414" priority="3709" stopIfTrue="1" operator="containsText" text="Nivel IV: Riesgo Tolerable (Aceptable)">
      <formula>NOT(ISERROR(SEARCH("Nivel IV: Riesgo Tolerable (Aceptable)",Z314)))</formula>
    </cfRule>
    <cfRule type="containsText" dxfId="413" priority="3700" stopIfTrue="1" operator="containsText" text="Nivel I: Riesgo Inaceptable">
      <formula>NOT(ISERROR(SEARCH("Nivel I: Riesgo Inaceptable",Z314)))</formula>
    </cfRule>
    <cfRule type="containsText" dxfId="412" priority="3701" stopIfTrue="1" operator="containsText" text="Nivel IV: Riesgo Tolerable (Aceptable)">
      <formula>NOT(ISERROR(SEARCH("Nivel IV: Riesgo Tolerable (Aceptable)",Z314)))</formula>
    </cfRule>
    <cfRule type="containsText" dxfId="411" priority="3708" stopIfTrue="1" operator="containsText" text="Nivel I: Riesgo Inaceptable">
      <formula>NOT(ISERROR(SEARCH("Nivel I: Riesgo Inaceptable",Z314)))</formula>
    </cfRule>
    <cfRule type="containsText" dxfId="410" priority="3707" stopIfTrue="1" operator="containsText" text="Nivel II: Riesgo Importante">
      <formula>NOT(ISERROR(SEARCH("Nivel II: Riesgo Importante",Z314)))</formula>
    </cfRule>
  </conditionalFormatting>
  <conditionalFormatting sqref="Z314:Z323">
    <cfRule type="containsText" dxfId="409" priority="3706" stopIfTrue="1" operator="containsText" text="Nivel III: Riesgo Moderado (Aceptable)">
      <formula>NOT(ISERROR(SEARCH("Nivel III: Riesgo Moderado (Aceptable)",Z314)))</formula>
    </cfRule>
  </conditionalFormatting>
  <conditionalFormatting sqref="Z324 Z333:Z334 Z336 Z327:Z331">
    <cfRule type="containsText" dxfId="408" priority="3667" stopIfTrue="1" operator="containsText" text="Nivel II: Riesgo Importante">
      <formula>NOT(ISERROR(SEARCH("Nivel II: Riesgo Importante",Z324)))</formula>
    </cfRule>
    <cfRule type="containsText" dxfId="407" priority="3668" stopIfTrue="1" operator="containsText" text="Nivel I: Riesgo Inaceptable">
      <formula>NOT(ISERROR(SEARCH("Nivel I: Riesgo Inaceptable",Z324)))</formula>
    </cfRule>
    <cfRule type="containsText" dxfId="406" priority="3669" stopIfTrue="1" operator="containsText" text="Nivel IV: Riesgo Tolerable (Aceptable)">
      <formula>NOT(ISERROR(SEARCH("Nivel IV: Riesgo Tolerable (Aceptable)",Z324)))</formula>
    </cfRule>
  </conditionalFormatting>
  <conditionalFormatting sqref="Z324">
    <cfRule type="containsText" dxfId="405" priority="3601" stopIfTrue="1" operator="containsText" text="Nivel IV: Riesgo Tolerable (Aceptable)">
      <formula>NOT(ISERROR(SEARCH("Nivel IV: Riesgo Tolerable (Aceptable)",Z324)))</formula>
    </cfRule>
    <cfRule type="containsText" dxfId="404" priority="3599" stopIfTrue="1" operator="containsText" text="Nivel II: Riesgo Importante">
      <formula>NOT(ISERROR(SEARCH("Nivel II: Riesgo Importante",Z324)))</formula>
    </cfRule>
    <cfRule type="containsText" dxfId="403" priority="3600" stopIfTrue="1" operator="containsText" text="Nivel I: Riesgo Inaceptable">
      <formula>NOT(ISERROR(SEARCH("Nivel I: Riesgo Inaceptable",Z324)))</formula>
    </cfRule>
  </conditionalFormatting>
  <conditionalFormatting sqref="Z325">
    <cfRule type="containsText" dxfId="402" priority="3182" stopIfTrue="1" operator="containsText" text="Nivel IV: Riesgo Tolerable (Aceptable)">
      <formula>NOT(ISERROR(SEARCH("Nivel IV: Riesgo Tolerable (Aceptable)",Z325)))</formula>
    </cfRule>
    <cfRule type="containsText" dxfId="401" priority="3181" stopIfTrue="1" operator="containsText" text="Nivel I: Riesgo Inaceptable">
      <formula>NOT(ISERROR(SEARCH("Nivel I: Riesgo Inaceptable",Z325)))</formula>
    </cfRule>
    <cfRule type="containsText" dxfId="400" priority="3174" stopIfTrue="1" operator="containsText" text="Nivel IV: Riesgo Tolerable (Aceptable)">
      <formula>NOT(ISERROR(SEARCH("Nivel IV: Riesgo Tolerable (Aceptable)",Z325)))</formula>
    </cfRule>
    <cfRule type="containsText" dxfId="399" priority="3173" stopIfTrue="1" operator="containsText" text="Nivel I: Riesgo Inaceptable">
      <formula>NOT(ISERROR(SEARCH("Nivel I: Riesgo Inaceptable",Z325)))</formula>
    </cfRule>
    <cfRule type="containsText" dxfId="398" priority="3172" stopIfTrue="1" operator="containsText" text="Nivel II: Riesgo Importante">
      <formula>NOT(ISERROR(SEARCH("Nivel II: Riesgo Importante",Z325)))</formula>
    </cfRule>
    <cfRule type="containsText" dxfId="397" priority="3180" stopIfTrue="1" operator="containsText" text="Nivel II: Riesgo Importante">
      <formula>NOT(ISERROR(SEARCH("Nivel II: Riesgo Importante",Z325)))</formula>
    </cfRule>
  </conditionalFormatting>
  <conditionalFormatting sqref="Z326">
    <cfRule type="containsText" dxfId="396" priority="3138" stopIfTrue="1" operator="containsText" text="Nivel IV: Riesgo Tolerable (Aceptable)">
      <formula>NOT(ISERROR(SEARCH("Nivel IV: Riesgo Tolerable (Aceptable)",Z326)))</formula>
    </cfRule>
    <cfRule type="containsText" dxfId="395" priority="3137" stopIfTrue="1" operator="containsText" text="Nivel I: Riesgo Inaceptable">
      <formula>NOT(ISERROR(SEARCH("Nivel I: Riesgo Inaceptable",Z326)))</formula>
    </cfRule>
    <cfRule type="containsText" dxfId="394" priority="3136" stopIfTrue="1" operator="containsText" text="Nivel II: Riesgo Importante">
      <formula>NOT(ISERROR(SEARCH("Nivel II: Riesgo Importante",Z326)))</formula>
    </cfRule>
    <cfRule type="containsText" dxfId="393" priority="3145" stopIfTrue="1" operator="containsText" text="Nivel I: Riesgo Inaceptable">
      <formula>NOT(ISERROR(SEARCH("Nivel I: Riesgo Inaceptable",Z326)))</formula>
    </cfRule>
    <cfRule type="containsText" dxfId="392" priority="3144" stopIfTrue="1" operator="containsText" text="Nivel II: Riesgo Importante">
      <formula>NOT(ISERROR(SEARCH("Nivel II: Riesgo Importante",Z326)))</formula>
    </cfRule>
    <cfRule type="containsText" dxfId="391" priority="3146" stopIfTrue="1" operator="containsText" text="Nivel IV: Riesgo Tolerable (Aceptable)">
      <formula>NOT(ISERROR(SEARCH("Nivel IV: Riesgo Tolerable (Aceptable)",Z326)))</formula>
    </cfRule>
  </conditionalFormatting>
  <conditionalFormatting sqref="Z327">
    <cfRule type="containsText" dxfId="390" priority="3558" stopIfTrue="1" operator="containsText" text="Nivel II: Riesgo Importante">
      <formula>NOT(ISERROR(SEARCH("Nivel II: Riesgo Importante",Z327)))</formula>
    </cfRule>
    <cfRule type="containsText" dxfId="389" priority="3560" stopIfTrue="1" operator="containsText" text="Nivel IV: Riesgo Tolerable (Aceptable)">
      <formula>NOT(ISERROR(SEARCH("Nivel IV: Riesgo Tolerable (Aceptable)",Z327)))</formula>
    </cfRule>
    <cfRule type="containsText" dxfId="388" priority="3559" stopIfTrue="1" operator="containsText" text="Nivel I: Riesgo Inaceptable">
      <formula>NOT(ISERROR(SEARCH("Nivel I: Riesgo Inaceptable",Z327)))</formula>
    </cfRule>
  </conditionalFormatting>
  <conditionalFormatting sqref="Z327:Z331 Z324 Z336 Z333:Z334">
    <cfRule type="containsText" dxfId="387" priority="3666" stopIfTrue="1" operator="containsText" text="Nivel III: Riesgo Moderado (Aceptable)">
      <formula>NOT(ISERROR(SEARCH("Nivel III: Riesgo Moderado (Aceptable)",Z324)))</formula>
    </cfRule>
  </conditionalFormatting>
  <conditionalFormatting sqref="Z328">
    <cfRule type="containsText" dxfId="386" priority="3646" stopIfTrue="1" operator="containsText" text="Nivel II: Riesgo Importante">
      <formula>NOT(ISERROR(SEARCH("Nivel II: Riesgo Importante",Z328)))</formula>
    </cfRule>
    <cfRule type="containsText" dxfId="385" priority="3648" stopIfTrue="1" operator="containsText" text="Nivel IV: Riesgo Tolerable (Aceptable)">
      <formula>NOT(ISERROR(SEARCH("Nivel IV: Riesgo Tolerable (Aceptable)",Z328)))</formula>
    </cfRule>
    <cfRule type="containsText" dxfId="384" priority="3647" stopIfTrue="1" operator="containsText" text="Nivel I: Riesgo Inaceptable">
      <formula>NOT(ISERROR(SEARCH("Nivel I: Riesgo Inaceptable",Z328)))</formula>
    </cfRule>
  </conditionalFormatting>
  <conditionalFormatting sqref="Z329">
    <cfRule type="containsText" dxfId="383" priority="3510" stopIfTrue="1" operator="containsText" text="Nivel I: Riesgo Inaceptable">
      <formula>NOT(ISERROR(SEARCH("Nivel I: Riesgo Inaceptable",Z329)))</formula>
    </cfRule>
    <cfRule type="containsText" dxfId="382" priority="3509" stopIfTrue="1" operator="containsText" text="Nivel II: Riesgo Importante">
      <formula>NOT(ISERROR(SEARCH("Nivel II: Riesgo Importante",Z329)))</formula>
    </cfRule>
    <cfRule type="containsText" dxfId="381" priority="3511" stopIfTrue="1" operator="containsText" text="Nivel IV: Riesgo Tolerable (Aceptable)">
      <formula>NOT(ISERROR(SEARCH("Nivel IV: Riesgo Tolerable (Aceptable)",Z329)))</formula>
    </cfRule>
  </conditionalFormatting>
  <conditionalFormatting sqref="Z332">
    <cfRule type="containsText" dxfId="380" priority="3289" stopIfTrue="1" operator="containsText" text="Nivel IV: Riesgo Tolerable (Aceptable)">
      <formula>NOT(ISERROR(SEARCH("Nivel IV: Riesgo Tolerable (Aceptable)",Z332)))</formula>
    </cfRule>
    <cfRule type="containsText" dxfId="379" priority="3288" stopIfTrue="1" operator="containsText" text="Nivel I: Riesgo Inaceptable">
      <formula>NOT(ISERROR(SEARCH("Nivel I: Riesgo Inaceptable",Z332)))</formula>
    </cfRule>
    <cfRule type="containsText" dxfId="378" priority="3287" stopIfTrue="1" operator="containsText" text="Nivel II: Riesgo Importante">
      <formula>NOT(ISERROR(SEARCH("Nivel II: Riesgo Importante",Z332)))</formula>
    </cfRule>
    <cfRule type="containsText" dxfId="377" priority="3286" stopIfTrue="1" operator="containsText" text="Nivel III: Riesgo Moderado (Aceptable)">
      <formula>NOT(ISERROR(SEARCH("Nivel III: Riesgo Moderado (Aceptable)",Z332)))</formula>
    </cfRule>
  </conditionalFormatting>
  <conditionalFormatting sqref="Z333">
    <cfRule type="containsText" dxfId="376" priority="3447" stopIfTrue="1" operator="containsText" text="Nivel II: Riesgo Importante">
      <formula>NOT(ISERROR(SEARCH("Nivel II: Riesgo Importante",Z333)))</formula>
    </cfRule>
    <cfRule type="containsText" dxfId="375" priority="3449" stopIfTrue="1" operator="containsText" text="Nivel IV: Riesgo Tolerable (Aceptable)">
      <formula>NOT(ISERROR(SEARCH("Nivel IV: Riesgo Tolerable (Aceptable)",Z333)))</formula>
    </cfRule>
    <cfRule type="containsText" dxfId="374" priority="3448" stopIfTrue="1" operator="containsText" text="Nivel I: Riesgo Inaceptable">
      <formula>NOT(ISERROR(SEARCH("Nivel I: Riesgo Inaceptable",Z333)))</formula>
    </cfRule>
  </conditionalFormatting>
  <conditionalFormatting sqref="Z334">
    <cfRule type="containsText" dxfId="373" priority="3396" stopIfTrue="1" operator="containsText" text="Nivel I: Riesgo Inaceptable">
      <formula>NOT(ISERROR(SEARCH("Nivel I: Riesgo Inaceptable",Z334)))</formula>
    </cfRule>
    <cfRule type="containsText" dxfId="372" priority="3395" stopIfTrue="1" operator="containsText" text="Nivel II: Riesgo Importante">
      <formula>NOT(ISERROR(SEARCH("Nivel II: Riesgo Importante",Z334)))</formula>
    </cfRule>
    <cfRule type="containsText" dxfId="371" priority="3397" stopIfTrue="1" operator="containsText" text="Nivel IV: Riesgo Tolerable (Aceptable)">
      <formula>NOT(ISERROR(SEARCH("Nivel IV: Riesgo Tolerable (Aceptable)",Z334)))</formula>
    </cfRule>
  </conditionalFormatting>
  <conditionalFormatting sqref="Z335">
    <cfRule type="containsText" dxfId="370" priority="3210" stopIfTrue="1" operator="containsText" text="Nivel II: Riesgo Importante">
      <formula>NOT(ISERROR(SEARCH("Nivel II: Riesgo Importante",Z335)))</formula>
    </cfRule>
    <cfRule type="containsText" dxfId="369" priority="3211" stopIfTrue="1" operator="containsText" text="Nivel I: Riesgo Inaceptable">
      <formula>NOT(ISERROR(SEARCH("Nivel I: Riesgo Inaceptable",Z335)))</formula>
    </cfRule>
    <cfRule type="containsText" dxfId="368" priority="3212" stopIfTrue="1" operator="containsText" text="Nivel IV: Riesgo Tolerable (Aceptable)">
      <formula>NOT(ISERROR(SEARCH("Nivel IV: Riesgo Tolerable (Aceptable)",Z335)))</formula>
    </cfRule>
    <cfRule type="containsText" dxfId="367" priority="3227" stopIfTrue="1" operator="containsText" text="Nivel IV: Riesgo Tolerable (Aceptable)">
      <formula>NOT(ISERROR(SEARCH("Nivel IV: Riesgo Tolerable (Aceptable)",Z335)))</formula>
    </cfRule>
    <cfRule type="containsText" dxfId="366" priority="3226" stopIfTrue="1" operator="containsText" text="Nivel I: Riesgo Inaceptable">
      <formula>NOT(ISERROR(SEARCH("Nivel I: Riesgo Inaceptable",Z335)))</formula>
    </cfRule>
    <cfRule type="containsText" dxfId="365" priority="3225" stopIfTrue="1" operator="containsText" text="Nivel II: Riesgo Importante">
      <formula>NOT(ISERROR(SEARCH("Nivel II: Riesgo Importante",Z335)))</formula>
    </cfRule>
    <cfRule type="containsText" dxfId="364" priority="3224" stopIfTrue="1" operator="containsText" text="Nivel III: Riesgo Moderado (Aceptable)">
      <formula>NOT(ISERROR(SEARCH("Nivel III: Riesgo Moderado (Aceptable)",Z335)))</formula>
    </cfRule>
  </conditionalFormatting>
  <conditionalFormatting sqref="Z336">
    <cfRule type="containsText" dxfId="363" priority="3481" stopIfTrue="1" operator="containsText" text="Nivel II: Riesgo Importante">
      <formula>NOT(ISERROR(SEARCH("Nivel II: Riesgo Importante",Z336)))</formula>
    </cfRule>
    <cfRule type="containsText" dxfId="362" priority="3483" stopIfTrue="1" operator="containsText" text="Nivel IV: Riesgo Tolerable (Aceptable)">
      <formula>NOT(ISERROR(SEARCH("Nivel IV: Riesgo Tolerable (Aceptable)",Z336)))</formula>
    </cfRule>
    <cfRule type="containsText" dxfId="361" priority="3482" stopIfTrue="1" operator="containsText" text="Nivel I: Riesgo Inaceptable">
      <formula>NOT(ISERROR(SEARCH("Nivel I: Riesgo Inaceptable",Z336)))</formula>
    </cfRule>
  </conditionalFormatting>
  <conditionalFormatting sqref="Z337">
    <cfRule type="containsText" dxfId="360" priority="3259" stopIfTrue="1" operator="containsText" text="Nivel II: Riesgo Importante">
      <formula>NOT(ISERROR(SEARCH("Nivel II: Riesgo Importante",Z337)))</formula>
    </cfRule>
    <cfRule type="containsText" dxfId="359" priority="3258" stopIfTrue="1" operator="containsText" text="Nivel III: Riesgo Moderado (Aceptable)">
      <formula>NOT(ISERROR(SEARCH("Nivel III: Riesgo Moderado (Aceptable)",Z337)))</formula>
    </cfRule>
    <cfRule type="containsText" dxfId="358" priority="3257" stopIfTrue="1" operator="containsText" text="Nivel IV: Riesgo Tolerable (Aceptable)">
      <formula>NOT(ISERROR(SEARCH("Nivel IV: Riesgo Tolerable (Aceptable)",Z337)))</formula>
    </cfRule>
    <cfRule type="containsText" dxfId="357" priority="3255" stopIfTrue="1" operator="containsText" text="Nivel II: Riesgo Importante">
      <formula>NOT(ISERROR(SEARCH("Nivel II: Riesgo Importante",Z337)))</formula>
    </cfRule>
    <cfRule type="containsText" dxfId="356" priority="3256" stopIfTrue="1" operator="containsText" text="Nivel I: Riesgo Inaceptable">
      <formula>NOT(ISERROR(SEARCH("Nivel I: Riesgo Inaceptable",Z337)))</formula>
    </cfRule>
    <cfRule type="containsText" dxfId="355" priority="3261" stopIfTrue="1" operator="containsText" text="Nivel IV: Riesgo Tolerable (Aceptable)">
      <formula>NOT(ISERROR(SEARCH("Nivel IV: Riesgo Tolerable (Aceptable)",Z337)))</formula>
    </cfRule>
    <cfRule type="containsText" dxfId="354" priority="3260" stopIfTrue="1" operator="containsText" text="Nivel I: Riesgo Inaceptable">
      <formula>NOT(ISERROR(SEARCH("Nivel I: Riesgo Inaceptable",Z337)))</formula>
    </cfRule>
  </conditionalFormatting>
  <conditionalFormatting sqref="Z338 Z347:Z348 Z350 Z341:Z345">
    <cfRule type="containsText" dxfId="353" priority="3106" stopIfTrue="1" operator="containsText" text="Nivel IV: Riesgo Tolerable (Aceptable)">
      <formula>NOT(ISERROR(SEARCH("Nivel IV: Riesgo Tolerable (Aceptable)",Z338)))</formula>
    </cfRule>
    <cfRule type="containsText" dxfId="352" priority="3105" stopIfTrue="1" operator="containsText" text="Nivel I: Riesgo Inaceptable">
      <formula>NOT(ISERROR(SEARCH("Nivel I: Riesgo Inaceptable",Z338)))</formula>
    </cfRule>
    <cfRule type="containsText" dxfId="351" priority="3104" stopIfTrue="1" operator="containsText" text="Nivel II: Riesgo Importante">
      <formula>NOT(ISERROR(SEARCH("Nivel II: Riesgo Importante",Z338)))</formula>
    </cfRule>
  </conditionalFormatting>
  <conditionalFormatting sqref="Z338">
    <cfRule type="containsText" dxfId="350" priority="3038" stopIfTrue="1" operator="containsText" text="Nivel IV: Riesgo Tolerable (Aceptable)">
      <formula>NOT(ISERROR(SEARCH("Nivel IV: Riesgo Tolerable (Aceptable)",Z338)))</formula>
    </cfRule>
    <cfRule type="containsText" dxfId="349" priority="3036" stopIfTrue="1" operator="containsText" text="Nivel II: Riesgo Importante">
      <formula>NOT(ISERROR(SEARCH("Nivel II: Riesgo Importante",Z338)))</formula>
    </cfRule>
    <cfRule type="containsText" dxfId="348" priority="3037" stopIfTrue="1" operator="containsText" text="Nivel I: Riesgo Inaceptable">
      <formula>NOT(ISERROR(SEARCH("Nivel I: Riesgo Inaceptable",Z338)))</formula>
    </cfRule>
  </conditionalFormatting>
  <conditionalFormatting sqref="Z339">
    <cfRule type="containsText" dxfId="347" priority="2609" stopIfTrue="1" operator="containsText" text="Nivel II: Riesgo Importante">
      <formula>NOT(ISERROR(SEARCH("Nivel II: Riesgo Importante",Z339)))</formula>
    </cfRule>
    <cfRule type="containsText" dxfId="346" priority="2610" stopIfTrue="1" operator="containsText" text="Nivel I: Riesgo Inaceptable">
      <formula>NOT(ISERROR(SEARCH("Nivel I: Riesgo Inaceptable",Z339)))</formula>
    </cfRule>
    <cfRule type="containsText" dxfId="345" priority="2611" stopIfTrue="1" operator="containsText" text="Nivel IV: Riesgo Tolerable (Aceptable)">
      <formula>NOT(ISERROR(SEARCH("Nivel IV: Riesgo Tolerable (Aceptable)",Z339)))</formula>
    </cfRule>
    <cfRule type="containsText" dxfId="344" priority="2616" stopIfTrue="1" operator="containsText" text="Nivel III: Riesgo Moderado (Aceptable)">
      <formula>NOT(ISERROR(SEARCH("Nivel III: Riesgo Moderado (Aceptable)",Z339)))</formula>
    </cfRule>
    <cfRule type="containsText" dxfId="343" priority="2617" stopIfTrue="1" operator="containsText" text="Nivel II: Riesgo Importante">
      <formula>NOT(ISERROR(SEARCH("Nivel II: Riesgo Importante",Z339)))</formula>
    </cfRule>
    <cfRule type="containsText" dxfId="342" priority="2618" stopIfTrue="1" operator="containsText" text="Nivel I: Riesgo Inaceptable">
      <formula>NOT(ISERROR(SEARCH("Nivel I: Riesgo Inaceptable",Z339)))</formula>
    </cfRule>
    <cfRule type="containsText" dxfId="341" priority="2619" stopIfTrue="1" operator="containsText" text="Nivel IV: Riesgo Tolerable (Aceptable)">
      <formula>NOT(ISERROR(SEARCH("Nivel IV: Riesgo Tolerable (Aceptable)",Z339)))</formula>
    </cfRule>
  </conditionalFormatting>
  <conditionalFormatting sqref="Z340">
    <cfRule type="containsText" dxfId="340" priority="2583" stopIfTrue="1" operator="containsText" text="Nivel IV: Riesgo Tolerable (Aceptable)">
      <formula>NOT(ISERROR(SEARCH("Nivel IV: Riesgo Tolerable (Aceptable)",Z340)))</formula>
    </cfRule>
    <cfRule type="containsText" dxfId="339" priority="2581" stopIfTrue="1" operator="containsText" text="Nivel II: Riesgo Importante">
      <formula>NOT(ISERROR(SEARCH("Nivel II: Riesgo Importante",Z340)))</formula>
    </cfRule>
    <cfRule type="containsText" dxfId="338" priority="2575" stopIfTrue="1" operator="containsText" text="Nivel IV: Riesgo Tolerable (Aceptable)">
      <formula>NOT(ISERROR(SEARCH("Nivel IV: Riesgo Tolerable (Aceptable)",Z340)))</formula>
    </cfRule>
    <cfRule type="containsText" dxfId="337" priority="2573" stopIfTrue="1" operator="containsText" text="Nivel II: Riesgo Importante">
      <formula>NOT(ISERROR(SEARCH("Nivel II: Riesgo Importante",Z340)))</formula>
    </cfRule>
    <cfRule type="containsText" dxfId="336" priority="2582" stopIfTrue="1" operator="containsText" text="Nivel I: Riesgo Inaceptable">
      <formula>NOT(ISERROR(SEARCH("Nivel I: Riesgo Inaceptable",Z340)))</formula>
    </cfRule>
    <cfRule type="containsText" dxfId="335" priority="2574" stopIfTrue="1" operator="containsText" text="Nivel I: Riesgo Inaceptable">
      <formula>NOT(ISERROR(SEARCH("Nivel I: Riesgo Inaceptable",Z340)))</formula>
    </cfRule>
  </conditionalFormatting>
  <conditionalFormatting sqref="Z341">
    <cfRule type="containsText" dxfId="334" priority="2995" stopIfTrue="1" operator="containsText" text="Nivel II: Riesgo Importante">
      <formula>NOT(ISERROR(SEARCH("Nivel II: Riesgo Importante",Z341)))</formula>
    </cfRule>
    <cfRule type="containsText" dxfId="333" priority="2996" stopIfTrue="1" operator="containsText" text="Nivel I: Riesgo Inaceptable">
      <formula>NOT(ISERROR(SEARCH("Nivel I: Riesgo Inaceptable",Z341)))</formula>
    </cfRule>
    <cfRule type="containsText" dxfId="332" priority="2997" stopIfTrue="1" operator="containsText" text="Nivel IV: Riesgo Tolerable (Aceptable)">
      <formula>NOT(ISERROR(SEARCH("Nivel IV: Riesgo Tolerable (Aceptable)",Z341)))</formula>
    </cfRule>
  </conditionalFormatting>
  <conditionalFormatting sqref="Z341:Z345 Z338 Z350 Z347:Z348">
    <cfRule type="containsText" dxfId="331" priority="3103" stopIfTrue="1" operator="containsText" text="Nivel III: Riesgo Moderado (Aceptable)">
      <formula>NOT(ISERROR(SEARCH("Nivel III: Riesgo Moderado (Aceptable)",Z338)))</formula>
    </cfRule>
  </conditionalFormatting>
  <conditionalFormatting sqref="Z342">
    <cfRule type="containsText" dxfId="330" priority="3083" stopIfTrue="1" operator="containsText" text="Nivel II: Riesgo Importante">
      <formula>NOT(ISERROR(SEARCH("Nivel II: Riesgo Importante",Z342)))</formula>
    </cfRule>
    <cfRule type="containsText" dxfId="329" priority="3085" stopIfTrue="1" operator="containsText" text="Nivel IV: Riesgo Tolerable (Aceptable)">
      <formula>NOT(ISERROR(SEARCH("Nivel IV: Riesgo Tolerable (Aceptable)",Z342)))</formula>
    </cfRule>
    <cfRule type="containsText" dxfId="328" priority="3084" stopIfTrue="1" operator="containsText" text="Nivel I: Riesgo Inaceptable">
      <formula>NOT(ISERROR(SEARCH("Nivel I: Riesgo Inaceptable",Z342)))</formula>
    </cfRule>
  </conditionalFormatting>
  <conditionalFormatting sqref="Z343">
    <cfRule type="containsText" dxfId="327" priority="2948" stopIfTrue="1" operator="containsText" text="Nivel IV: Riesgo Tolerable (Aceptable)">
      <formula>NOT(ISERROR(SEARCH("Nivel IV: Riesgo Tolerable (Aceptable)",Z343)))</formula>
    </cfRule>
    <cfRule type="containsText" dxfId="326" priority="2947" stopIfTrue="1" operator="containsText" text="Nivel I: Riesgo Inaceptable">
      <formula>NOT(ISERROR(SEARCH("Nivel I: Riesgo Inaceptable",Z343)))</formula>
    </cfRule>
    <cfRule type="containsText" dxfId="325" priority="2946" stopIfTrue="1" operator="containsText" text="Nivel II: Riesgo Importante">
      <formula>NOT(ISERROR(SEARCH("Nivel II: Riesgo Importante",Z343)))</formula>
    </cfRule>
  </conditionalFormatting>
  <conditionalFormatting sqref="Z346">
    <cfRule type="containsText" dxfId="324" priority="2723" stopIfTrue="1" operator="containsText" text="Nivel III: Riesgo Moderado (Aceptable)">
      <formula>NOT(ISERROR(SEARCH("Nivel III: Riesgo Moderado (Aceptable)",Z346)))</formula>
    </cfRule>
    <cfRule type="containsText" dxfId="323" priority="2725" stopIfTrue="1" operator="containsText" text="Nivel I: Riesgo Inaceptable">
      <formula>NOT(ISERROR(SEARCH("Nivel I: Riesgo Inaceptable",Z346)))</formula>
    </cfRule>
    <cfRule type="containsText" dxfId="322" priority="2726" stopIfTrue="1" operator="containsText" text="Nivel IV: Riesgo Tolerable (Aceptable)">
      <formula>NOT(ISERROR(SEARCH("Nivel IV: Riesgo Tolerable (Aceptable)",Z346)))</formula>
    </cfRule>
    <cfRule type="containsText" dxfId="321" priority="2724" stopIfTrue="1" operator="containsText" text="Nivel II: Riesgo Importante">
      <formula>NOT(ISERROR(SEARCH("Nivel II: Riesgo Importante",Z346)))</formula>
    </cfRule>
  </conditionalFormatting>
  <conditionalFormatting sqref="Z347">
    <cfRule type="containsText" dxfId="320" priority="2884" stopIfTrue="1" operator="containsText" text="Nivel II: Riesgo Importante">
      <formula>NOT(ISERROR(SEARCH("Nivel II: Riesgo Importante",Z347)))</formula>
    </cfRule>
    <cfRule type="containsText" dxfId="319" priority="2885" stopIfTrue="1" operator="containsText" text="Nivel I: Riesgo Inaceptable">
      <formula>NOT(ISERROR(SEARCH("Nivel I: Riesgo Inaceptable",Z347)))</formula>
    </cfRule>
    <cfRule type="containsText" dxfId="318" priority="2886" stopIfTrue="1" operator="containsText" text="Nivel IV: Riesgo Tolerable (Aceptable)">
      <formula>NOT(ISERROR(SEARCH("Nivel IV: Riesgo Tolerable (Aceptable)",Z347)))</formula>
    </cfRule>
  </conditionalFormatting>
  <conditionalFormatting sqref="Z348">
    <cfRule type="containsText" dxfId="317" priority="2833" stopIfTrue="1" operator="containsText" text="Nivel I: Riesgo Inaceptable">
      <formula>NOT(ISERROR(SEARCH("Nivel I: Riesgo Inaceptable",Z348)))</formula>
    </cfRule>
    <cfRule type="containsText" dxfId="316" priority="2834" stopIfTrue="1" operator="containsText" text="Nivel IV: Riesgo Tolerable (Aceptable)">
      <formula>NOT(ISERROR(SEARCH("Nivel IV: Riesgo Tolerable (Aceptable)",Z348)))</formula>
    </cfRule>
    <cfRule type="containsText" dxfId="315" priority="2832" stopIfTrue="1" operator="containsText" text="Nivel II: Riesgo Importante">
      <formula>NOT(ISERROR(SEARCH("Nivel II: Riesgo Importante",Z348)))</formula>
    </cfRule>
  </conditionalFormatting>
  <conditionalFormatting sqref="Z349">
    <cfRule type="containsText" dxfId="314" priority="2647" stopIfTrue="1" operator="containsText" text="Nivel II: Riesgo Importante">
      <formula>NOT(ISERROR(SEARCH("Nivel II: Riesgo Importante",Z349)))</formula>
    </cfRule>
    <cfRule type="containsText" dxfId="313" priority="2664" stopIfTrue="1" operator="containsText" text="Nivel IV: Riesgo Tolerable (Aceptable)">
      <formula>NOT(ISERROR(SEARCH("Nivel IV: Riesgo Tolerable (Aceptable)",Z349)))</formula>
    </cfRule>
    <cfRule type="containsText" dxfId="312" priority="2663" stopIfTrue="1" operator="containsText" text="Nivel I: Riesgo Inaceptable">
      <formula>NOT(ISERROR(SEARCH("Nivel I: Riesgo Inaceptable",Z349)))</formula>
    </cfRule>
    <cfRule type="containsText" dxfId="311" priority="2662" stopIfTrue="1" operator="containsText" text="Nivel II: Riesgo Importante">
      <formula>NOT(ISERROR(SEARCH("Nivel II: Riesgo Importante",Z349)))</formula>
    </cfRule>
    <cfRule type="containsText" dxfId="310" priority="2648" stopIfTrue="1" operator="containsText" text="Nivel I: Riesgo Inaceptable">
      <formula>NOT(ISERROR(SEARCH("Nivel I: Riesgo Inaceptable",Z349)))</formula>
    </cfRule>
    <cfRule type="containsText" dxfId="309" priority="2661" stopIfTrue="1" operator="containsText" text="Nivel III: Riesgo Moderado (Aceptable)">
      <formula>NOT(ISERROR(SEARCH("Nivel III: Riesgo Moderado (Aceptable)",Z349)))</formula>
    </cfRule>
    <cfRule type="containsText" dxfId="308" priority="2649" stopIfTrue="1" operator="containsText" text="Nivel IV: Riesgo Tolerable (Aceptable)">
      <formula>NOT(ISERROR(SEARCH("Nivel IV: Riesgo Tolerable (Aceptable)",Z349)))</formula>
    </cfRule>
  </conditionalFormatting>
  <conditionalFormatting sqref="Z350">
    <cfRule type="containsText" dxfId="307" priority="2918" stopIfTrue="1" operator="containsText" text="Nivel II: Riesgo Importante">
      <formula>NOT(ISERROR(SEARCH("Nivel II: Riesgo Importante",Z350)))</formula>
    </cfRule>
    <cfRule type="containsText" dxfId="306" priority="2920" stopIfTrue="1" operator="containsText" text="Nivel IV: Riesgo Tolerable (Aceptable)">
      <formula>NOT(ISERROR(SEARCH("Nivel IV: Riesgo Tolerable (Aceptable)",Z350)))</formula>
    </cfRule>
    <cfRule type="containsText" dxfId="305" priority="2919" stopIfTrue="1" operator="containsText" text="Nivel I: Riesgo Inaceptable">
      <formula>NOT(ISERROR(SEARCH("Nivel I: Riesgo Inaceptable",Z350)))</formula>
    </cfRule>
  </conditionalFormatting>
  <conditionalFormatting sqref="Z351">
    <cfRule type="containsText" dxfId="304" priority="2698" stopIfTrue="1" operator="containsText" text="Nivel IV: Riesgo Tolerable (Aceptable)">
      <formula>NOT(ISERROR(SEARCH("Nivel IV: Riesgo Tolerable (Aceptable)",Z351)))</formula>
    </cfRule>
    <cfRule type="containsText" dxfId="303" priority="2697" stopIfTrue="1" operator="containsText" text="Nivel I: Riesgo Inaceptable">
      <formula>NOT(ISERROR(SEARCH("Nivel I: Riesgo Inaceptable",Z351)))</formula>
    </cfRule>
    <cfRule type="containsText" dxfId="302" priority="2693" stopIfTrue="1" operator="containsText" text="Nivel I: Riesgo Inaceptable">
      <formula>NOT(ISERROR(SEARCH("Nivel I: Riesgo Inaceptable",Z351)))</formula>
    </cfRule>
    <cfRule type="containsText" dxfId="301" priority="2692" stopIfTrue="1" operator="containsText" text="Nivel II: Riesgo Importante">
      <formula>NOT(ISERROR(SEARCH("Nivel II: Riesgo Importante",Z351)))</formula>
    </cfRule>
    <cfRule type="containsText" dxfId="300" priority="2696" stopIfTrue="1" operator="containsText" text="Nivel II: Riesgo Importante">
      <formula>NOT(ISERROR(SEARCH("Nivel II: Riesgo Importante",Z351)))</formula>
    </cfRule>
    <cfRule type="containsText" dxfId="299" priority="2695" stopIfTrue="1" operator="containsText" text="Nivel III: Riesgo Moderado (Aceptable)">
      <formula>NOT(ISERROR(SEARCH("Nivel III: Riesgo Moderado (Aceptable)",Z351)))</formula>
    </cfRule>
    <cfRule type="containsText" dxfId="298" priority="2694" stopIfTrue="1" operator="containsText" text="Nivel IV: Riesgo Tolerable (Aceptable)">
      <formula>NOT(ISERROR(SEARCH("Nivel IV: Riesgo Tolerable (Aceptable)",Z351)))</formula>
    </cfRule>
  </conditionalFormatting>
  <conditionalFormatting sqref="Z352 Z360 Z362:Z363">
    <cfRule type="containsText" dxfId="297" priority="2526" stopIfTrue="1" operator="containsText" text="Nivel IV: Riesgo Tolerable (Aceptable)">
      <formula>NOT(ISERROR(SEARCH("Nivel IV: Riesgo Tolerable (Aceptable)",Z352)))</formula>
    </cfRule>
    <cfRule type="containsText" dxfId="296" priority="2525" stopIfTrue="1" operator="containsText" text="Nivel I: Riesgo Inaceptable">
      <formula>NOT(ISERROR(SEARCH("Nivel I: Riesgo Inaceptable",Z352)))</formula>
    </cfRule>
    <cfRule type="containsText" dxfId="295" priority="2524" stopIfTrue="1" operator="containsText" text="Nivel II: Riesgo Importante">
      <formula>NOT(ISERROR(SEARCH("Nivel II: Riesgo Importante",Z352)))</formula>
    </cfRule>
  </conditionalFormatting>
  <conditionalFormatting sqref="Z352 Z362:Z363 Z360">
    <cfRule type="containsText" dxfId="294" priority="2523" stopIfTrue="1" operator="containsText" text="Nivel III: Riesgo Moderado (Aceptable)">
      <formula>NOT(ISERROR(SEARCH("Nivel III: Riesgo Moderado (Aceptable)",Z352)))</formula>
    </cfRule>
  </conditionalFormatting>
  <conditionalFormatting sqref="Z352">
    <cfRule type="containsText" dxfId="293" priority="2456" stopIfTrue="1" operator="containsText" text="Nivel II: Riesgo Importante">
      <formula>NOT(ISERROR(SEARCH("Nivel II: Riesgo Importante",Z352)))</formula>
    </cfRule>
    <cfRule type="containsText" dxfId="292" priority="2457" stopIfTrue="1" operator="containsText" text="Nivel I: Riesgo Inaceptable">
      <formula>NOT(ISERROR(SEARCH("Nivel I: Riesgo Inaceptable",Z352)))</formula>
    </cfRule>
    <cfRule type="containsText" dxfId="291" priority="2458" stopIfTrue="1" operator="containsText" text="Nivel IV: Riesgo Tolerable (Aceptable)">
      <formula>NOT(ISERROR(SEARCH("Nivel IV: Riesgo Tolerable (Aceptable)",Z352)))</formula>
    </cfRule>
  </conditionalFormatting>
  <conditionalFormatting sqref="Z353">
    <cfRule type="containsText" dxfId="290" priority="2124" stopIfTrue="1" operator="containsText" text="Nivel IV: Riesgo Tolerable (Aceptable)">
      <formula>NOT(ISERROR(SEARCH("Nivel IV: Riesgo Tolerable (Aceptable)",Z353)))</formula>
    </cfRule>
    <cfRule type="containsText" dxfId="289" priority="2110" stopIfTrue="1" operator="containsText" text="Nivel II: Riesgo Importante">
      <formula>NOT(ISERROR(SEARCH("Nivel II: Riesgo Importante",Z353)))</formula>
    </cfRule>
    <cfRule type="containsText" dxfId="288" priority="2123" stopIfTrue="1" operator="containsText" text="Nivel I: Riesgo Inaceptable">
      <formula>NOT(ISERROR(SEARCH("Nivel I: Riesgo Inaceptable",Z353)))</formula>
    </cfRule>
    <cfRule type="containsText" dxfId="287" priority="2122" stopIfTrue="1" operator="containsText" text="Nivel II: Riesgo Importante">
      <formula>NOT(ISERROR(SEARCH("Nivel II: Riesgo Importante",Z353)))</formula>
    </cfRule>
    <cfRule type="containsText" dxfId="286" priority="2121" stopIfTrue="1" operator="containsText" text="Nivel III: Riesgo Moderado (Aceptable)">
      <formula>NOT(ISERROR(SEARCH("Nivel III: Riesgo Moderado (Aceptable)",Z353)))</formula>
    </cfRule>
    <cfRule type="containsText" dxfId="285" priority="2112" stopIfTrue="1" operator="containsText" text="Nivel IV: Riesgo Tolerable (Aceptable)">
      <formula>NOT(ISERROR(SEARCH("Nivel IV: Riesgo Tolerable (Aceptable)",Z353)))</formula>
    </cfRule>
    <cfRule type="containsText" dxfId="284" priority="2111" stopIfTrue="1" operator="containsText" text="Nivel I: Riesgo Inaceptable">
      <formula>NOT(ISERROR(SEARCH("Nivel I: Riesgo Inaceptable",Z353)))</formula>
    </cfRule>
  </conditionalFormatting>
  <conditionalFormatting sqref="Z354">
    <cfRule type="containsText" dxfId="283" priority="2152" stopIfTrue="1" operator="containsText" text="Nivel IV: Riesgo Tolerable (Aceptable)">
      <formula>NOT(ISERROR(SEARCH("Nivel IV: Riesgo Tolerable (Aceptable)",Z354)))</formula>
    </cfRule>
    <cfRule type="containsText" dxfId="282" priority="2151" stopIfTrue="1" operator="containsText" text="Nivel I: Riesgo Inaceptable">
      <formula>NOT(ISERROR(SEARCH("Nivel I: Riesgo Inaceptable",Z354)))</formula>
    </cfRule>
    <cfRule type="containsText" dxfId="281" priority="2150" stopIfTrue="1" operator="containsText" text="Nivel II: Riesgo Importante">
      <formula>NOT(ISERROR(SEARCH("Nivel II: Riesgo Importante",Z354)))</formula>
    </cfRule>
    <cfRule type="containsText" dxfId="280" priority="2159" stopIfTrue="1" operator="containsText" text="Nivel I: Riesgo Inaceptable">
      <formula>NOT(ISERROR(SEARCH("Nivel I: Riesgo Inaceptable",Z354)))</formula>
    </cfRule>
    <cfRule type="containsText" dxfId="279" priority="2158" stopIfTrue="1" operator="containsText" text="Nivel II: Riesgo Importante">
      <formula>NOT(ISERROR(SEARCH("Nivel II: Riesgo Importante",Z354)))</formula>
    </cfRule>
    <cfRule type="containsText" dxfId="278" priority="2160" stopIfTrue="1" operator="containsText" text="Nivel IV: Riesgo Tolerable (Aceptable)">
      <formula>NOT(ISERROR(SEARCH("Nivel IV: Riesgo Tolerable (Aceptable)",Z354)))</formula>
    </cfRule>
  </conditionalFormatting>
  <conditionalFormatting sqref="Z355">
    <cfRule type="containsText" dxfId="277" priority="2040" stopIfTrue="1" operator="containsText" text="Nivel II: Riesgo Importante">
      <formula>NOT(ISERROR(SEARCH("Nivel II: Riesgo Importante",Z355)))</formula>
    </cfRule>
    <cfRule type="containsText" dxfId="276" priority="2042" stopIfTrue="1" operator="containsText" text="Nivel IV: Riesgo Tolerable (Aceptable)">
      <formula>NOT(ISERROR(SEARCH("Nivel IV: Riesgo Tolerable (Aceptable)",Z355)))</formula>
    </cfRule>
    <cfRule type="containsText" dxfId="275" priority="2050" stopIfTrue="1" operator="containsText" text="Nivel IV: Riesgo Tolerable (Aceptable)">
      <formula>NOT(ISERROR(SEARCH("Nivel IV: Riesgo Tolerable (Aceptable)",Z355)))</formula>
    </cfRule>
    <cfRule type="containsText" dxfId="274" priority="2049" stopIfTrue="1" operator="containsText" text="Nivel I: Riesgo Inaceptable">
      <formula>NOT(ISERROR(SEARCH("Nivel I: Riesgo Inaceptable",Z355)))</formula>
    </cfRule>
    <cfRule type="containsText" dxfId="273" priority="2048" stopIfTrue="1" operator="containsText" text="Nivel II: Riesgo Importante">
      <formula>NOT(ISERROR(SEARCH("Nivel II: Riesgo Importante",Z355)))</formula>
    </cfRule>
    <cfRule type="containsText" dxfId="272" priority="2041" stopIfTrue="1" operator="containsText" text="Nivel I: Riesgo Inaceptable">
      <formula>NOT(ISERROR(SEARCH("Nivel I: Riesgo Inaceptable",Z355)))</formula>
    </cfRule>
  </conditionalFormatting>
  <conditionalFormatting sqref="Z356">
    <cfRule type="containsText" dxfId="271" priority="2415" stopIfTrue="1" operator="containsText" text="Nivel II: Riesgo Importante">
      <formula>NOT(ISERROR(SEARCH("Nivel II: Riesgo Importante",Z356)))</formula>
    </cfRule>
    <cfRule type="containsText" dxfId="270" priority="2416" stopIfTrue="1" operator="containsText" text="Nivel I: Riesgo Inaceptable">
      <formula>NOT(ISERROR(SEARCH("Nivel I: Riesgo Inaceptable",Z356)))</formula>
    </cfRule>
    <cfRule type="containsText" dxfId="269" priority="2417" stopIfTrue="1" operator="containsText" text="Nivel IV: Riesgo Tolerable (Aceptable)">
      <formula>NOT(ISERROR(SEARCH("Nivel IV: Riesgo Tolerable (Aceptable)",Z356)))</formula>
    </cfRule>
  </conditionalFormatting>
  <conditionalFormatting sqref="Z356:Z358">
    <cfRule type="containsText" dxfId="268" priority="2544" stopIfTrue="1" operator="containsText" text="Nivel III: Riesgo Moderado (Aceptable)">
      <formula>NOT(ISERROR(SEARCH("Nivel III: Riesgo Moderado (Aceptable)",Z356)))</formula>
    </cfRule>
    <cfRule type="containsText" dxfId="267" priority="2545" stopIfTrue="1" operator="containsText" text="Nivel II: Riesgo Importante">
      <formula>NOT(ISERROR(SEARCH("Nivel II: Riesgo Importante",Z356)))</formula>
    </cfRule>
    <cfRule type="containsText" dxfId="266" priority="2547" stopIfTrue="1" operator="containsText" text="Nivel IV: Riesgo Tolerable (Aceptable)">
      <formula>NOT(ISERROR(SEARCH("Nivel IV: Riesgo Tolerable (Aceptable)",Z356)))</formula>
    </cfRule>
    <cfRule type="containsText" dxfId="265" priority="2546" stopIfTrue="1" operator="containsText" text="Nivel I: Riesgo Inaceptable">
      <formula>NOT(ISERROR(SEARCH("Nivel I: Riesgo Inaceptable",Z356)))</formula>
    </cfRule>
  </conditionalFormatting>
  <conditionalFormatting sqref="Z357">
    <cfRule type="containsText" dxfId="264" priority="2505" stopIfTrue="1" operator="containsText" text="Nivel IV: Riesgo Tolerable (Aceptable)">
      <formula>NOT(ISERROR(SEARCH("Nivel IV: Riesgo Tolerable (Aceptable)",Z357)))</formula>
    </cfRule>
    <cfRule type="containsText" dxfId="263" priority="2503" stopIfTrue="1" operator="containsText" text="Nivel II: Riesgo Importante">
      <formula>NOT(ISERROR(SEARCH("Nivel II: Riesgo Importante",Z357)))</formula>
    </cfRule>
    <cfRule type="containsText" dxfId="262" priority="2504" stopIfTrue="1" operator="containsText" text="Nivel I: Riesgo Inaceptable">
      <formula>NOT(ISERROR(SEARCH("Nivel I: Riesgo Inaceptable",Z357)))</formula>
    </cfRule>
  </conditionalFormatting>
  <conditionalFormatting sqref="Z358">
    <cfRule type="containsText" dxfId="261" priority="2366" stopIfTrue="1" operator="containsText" text="Nivel II: Riesgo Importante">
      <formula>NOT(ISERROR(SEARCH("Nivel II: Riesgo Importante",Z358)))</formula>
    </cfRule>
    <cfRule type="containsText" dxfId="260" priority="2368" stopIfTrue="1" operator="containsText" text="Nivel IV: Riesgo Tolerable (Aceptable)">
      <formula>NOT(ISERROR(SEARCH("Nivel IV: Riesgo Tolerable (Aceptable)",Z358)))</formula>
    </cfRule>
    <cfRule type="containsText" dxfId="259" priority="2367" stopIfTrue="1" operator="containsText" text="Nivel I: Riesgo Inaceptable">
      <formula>NOT(ISERROR(SEARCH("Nivel I: Riesgo Inaceptable",Z358)))</formula>
    </cfRule>
  </conditionalFormatting>
  <conditionalFormatting sqref="Z359">
    <cfRule type="containsText" dxfId="258" priority="2220" stopIfTrue="1" operator="containsText" text="Nivel II: Riesgo Importante">
      <formula>NOT(ISERROR(SEARCH("Nivel II: Riesgo Importante",Z359)))</formula>
    </cfRule>
    <cfRule type="containsText" dxfId="257" priority="2222" stopIfTrue="1" operator="containsText" text="Nivel IV: Riesgo Tolerable (Aceptable)">
      <formula>NOT(ISERROR(SEARCH("Nivel IV: Riesgo Tolerable (Aceptable)",Z359)))</formula>
    </cfRule>
    <cfRule type="containsText" dxfId="256" priority="2221" stopIfTrue="1" operator="containsText" text="Nivel I: Riesgo Inaceptable">
      <formula>NOT(ISERROR(SEARCH("Nivel I: Riesgo Inaceptable",Z359)))</formula>
    </cfRule>
    <cfRule type="containsText" dxfId="255" priority="2219" stopIfTrue="1" operator="containsText" text="Nivel III: Riesgo Moderado (Aceptable)">
      <formula>NOT(ISERROR(SEARCH("Nivel III: Riesgo Moderado (Aceptable)",Z359)))</formula>
    </cfRule>
  </conditionalFormatting>
  <conditionalFormatting sqref="Z360">
    <cfRule type="containsText" dxfId="254" priority="2305" stopIfTrue="1" operator="containsText" text="Nivel I: Riesgo Inaceptable">
      <formula>NOT(ISERROR(SEARCH("Nivel I: Riesgo Inaceptable",Z360)))</formula>
    </cfRule>
    <cfRule type="containsText" dxfId="253" priority="2306" stopIfTrue="1" operator="containsText" text="Nivel IV: Riesgo Tolerable (Aceptable)">
      <formula>NOT(ISERROR(SEARCH("Nivel IV: Riesgo Tolerable (Aceptable)",Z360)))</formula>
    </cfRule>
    <cfRule type="containsText" dxfId="252" priority="2304" stopIfTrue="1" operator="containsText" text="Nivel II: Riesgo Importante">
      <formula>NOT(ISERROR(SEARCH("Nivel II: Riesgo Importante",Z360)))</formula>
    </cfRule>
  </conditionalFormatting>
  <conditionalFormatting sqref="Z361">
    <cfRule type="containsText" dxfId="251" priority="2084" stopIfTrue="1" operator="containsText" text="Nivel IV: Riesgo Tolerable (Aceptable)">
      <formula>NOT(ISERROR(SEARCH("Nivel IV: Riesgo Tolerable (Aceptable)",Z361)))</formula>
    </cfRule>
    <cfRule type="containsText" dxfId="250" priority="2083" stopIfTrue="1" operator="containsText" text="Nivel I: Riesgo Inaceptable">
      <formula>NOT(ISERROR(SEARCH("Nivel I: Riesgo Inaceptable",Z361)))</formula>
    </cfRule>
    <cfRule type="containsText" dxfId="249" priority="2082" stopIfTrue="1" operator="containsText" text="Nivel II: Riesgo Importante">
      <formula>NOT(ISERROR(SEARCH("Nivel II: Riesgo Importante",Z361)))</formula>
    </cfRule>
    <cfRule type="containsText" dxfId="248" priority="2078" stopIfTrue="1" operator="containsText" text="Nivel II: Riesgo Importante">
      <formula>NOT(ISERROR(SEARCH("Nivel II: Riesgo Importante",Z361)))</formula>
    </cfRule>
    <cfRule type="containsText" dxfId="247" priority="2079" stopIfTrue="1" operator="containsText" text="Nivel I: Riesgo Inaceptable">
      <formula>NOT(ISERROR(SEARCH("Nivel I: Riesgo Inaceptable",Z361)))</formula>
    </cfRule>
    <cfRule type="containsText" dxfId="246" priority="2080" stopIfTrue="1" operator="containsText" text="Nivel IV: Riesgo Tolerable (Aceptable)">
      <formula>NOT(ISERROR(SEARCH("Nivel IV: Riesgo Tolerable (Aceptable)",Z361)))</formula>
    </cfRule>
    <cfRule type="containsText" dxfId="245" priority="2081" stopIfTrue="1" operator="containsText" text="Nivel III: Riesgo Moderado (Aceptable)">
      <formula>NOT(ISERROR(SEARCH("Nivel III: Riesgo Moderado (Aceptable)",Z361)))</formula>
    </cfRule>
  </conditionalFormatting>
  <conditionalFormatting sqref="Z362">
    <cfRule type="containsText" dxfId="244" priority="2253" stopIfTrue="1" operator="containsText" text="Nivel I: Riesgo Inaceptable">
      <formula>NOT(ISERROR(SEARCH("Nivel I: Riesgo Inaceptable",Z362)))</formula>
    </cfRule>
    <cfRule type="containsText" dxfId="243" priority="2252" stopIfTrue="1" operator="containsText" text="Nivel II: Riesgo Importante">
      <formula>NOT(ISERROR(SEARCH("Nivel II: Riesgo Importante",Z362)))</formula>
    </cfRule>
    <cfRule type="containsText" dxfId="242" priority="2254" stopIfTrue="1" operator="containsText" text="Nivel IV: Riesgo Tolerable (Aceptable)">
      <formula>NOT(ISERROR(SEARCH("Nivel IV: Riesgo Tolerable (Aceptable)",Z362)))</formula>
    </cfRule>
  </conditionalFormatting>
  <conditionalFormatting sqref="Z363">
    <cfRule type="containsText" dxfId="241" priority="2340" stopIfTrue="1" operator="containsText" text="Nivel IV: Riesgo Tolerable (Aceptable)">
      <formula>NOT(ISERROR(SEARCH("Nivel IV: Riesgo Tolerable (Aceptable)",Z363)))</formula>
    </cfRule>
    <cfRule type="containsText" dxfId="240" priority="2339" stopIfTrue="1" operator="containsText" text="Nivel I: Riesgo Inaceptable">
      <formula>NOT(ISERROR(SEARCH("Nivel I: Riesgo Inaceptable",Z363)))</formula>
    </cfRule>
    <cfRule type="containsText" dxfId="239" priority="2338" stopIfTrue="1" operator="containsText" text="Nivel II: Riesgo Importante">
      <formula>NOT(ISERROR(SEARCH("Nivel II: Riesgo Importante",Z363)))</formula>
    </cfRule>
  </conditionalFormatting>
  <conditionalFormatting sqref="Z364:Z365">
    <cfRule type="containsText" dxfId="238" priority="2194" stopIfTrue="1" operator="containsText" text="Nivel IV: Riesgo Tolerable (Aceptable)">
      <formula>NOT(ISERROR(SEARCH("Nivel IV: Riesgo Tolerable (Aceptable)",Z364)))</formula>
    </cfRule>
    <cfRule type="containsText" dxfId="237" priority="2193" stopIfTrue="1" operator="containsText" text="Nivel I: Riesgo Inaceptable">
      <formula>NOT(ISERROR(SEARCH("Nivel I: Riesgo Inaceptable",Z364)))</formula>
    </cfRule>
    <cfRule type="containsText" dxfId="236" priority="2192" stopIfTrue="1" operator="containsText" text="Nivel II: Riesgo Importante">
      <formula>NOT(ISERROR(SEARCH("Nivel II: Riesgo Importante",Z364)))</formula>
    </cfRule>
    <cfRule type="containsText" dxfId="235" priority="2191" stopIfTrue="1" operator="containsText" text="Nivel III: Riesgo Moderado (Aceptable)">
      <formula>NOT(ISERROR(SEARCH("Nivel III: Riesgo Moderado (Aceptable)",Z364)))</formula>
    </cfRule>
    <cfRule type="containsText" dxfId="234" priority="2190" stopIfTrue="1" operator="containsText" text="Nivel IV: Riesgo Tolerable (Aceptable)">
      <formula>NOT(ISERROR(SEARCH("Nivel IV: Riesgo Tolerable (Aceptable)",Z364)))</formula>
    </cfRule>
    <cfRule type="containsText" dxfId="233" priority="2189" stopIfTrue="1" operator="containsText" text="Nivel I: Riesgo Inaceptable">
      <formula>NOT(ISERROR(SEARCH("Nivel I: Riesgo Inaceptable",Z364)))</formula>
    </cfRule>
    <cfRule type="containsText" dxfId="232" priority="2188" stopIfTrue="1" operator="containsText" text="Nivel II: Riesgo Importante">
      <formula>NOT(ISERROR(SEARCH("Nivel II: Riesgo Importante",Z364)))</formula>
    </cfRule>
  </conditionalFormatting>
  <conditionalFormatting sqref="Z366 Z374:Z376 Z369:Z372">
    <cfRule type="containsText" dxfId="231" priority="1997" stopIfTrue="1" operator="containsText" text="Nivel IV: Riesgo Tolerable (Aceptable)">
      <formula>NOT(ISERROR(SEARCH("Nivel IV: Riesgo Tolerable (Aceptable)",Z366)))</formula>
    </cfRule>
    <cfRule type="containsText" dxfId="230" priority="1996" stopIfTrue="1" operator="containsText" text="Nivel I: Riesgo Inaceptable">
      <formula>NOT(ISERROR(SEARCH("Nivel I: Riesgo Inaceptable",Z366)))</formula>
    </cfRule>
    <cfRule type="containsText" dxfId="229" priority="1995" stopIfTrue="1" operator="containsText" text="Nivel II: Riesgo Importante">
      <formula>NOT(ISERROR(SEARCH("Nivel II: Riesgo Importante",Z366)))</formula>
    </cfRule>
  </conditionalFormatting>
  <conditionalFormatting sqref="Z366">
    <cfRule type="containsText" dxfId="228" priority="1927" stopIfTrue="1" operator="containsText" text="Nivel II: Riesgo Importante">
      <formula>NOT(ISERROR(SEARCH("Nivel II: Riesgo Importante",Z366)))</formula>
    </cfRule>
    <cfRule type="containsText" dxfId="227" priority="1928" stopIfTrue="1" operator="containsText" text="Nivel I: Riesgo Inaceptable">
      <formula>NOT(ISERROR(SEARCH("Nivel I: Riesgo Inaceptable",Z366)))</formula>
    </cfRule>
    <cfRule type="containsText" dxfId="226" priority="1929" stopIfTrue="1" operator="containsText" text="Nivel IV: Riesgo Tolerable (Aceptable)">
      <formula>NOT(ISERROR(SEARCH("Nivel IV: Riesgo Tolerable (Aceptable)",Z366)))</formula>
    </cfRule>
  </conditionalFormatting>
  <conditionalFormatting sqref="Z367">
    <cfRule type="containsText" dxfId="225" priority="1586" stopIfTrue="1" operator="containsText" text="Nivel IV: Riesgo Tolerable (Aceptable)">
      <formula>NOT(ISERROR(SEARCH("Nivel IV: Riesgo Tolerable (Aceptable)",Z367)))</formula>
    </cfRule>
    <cfRule type="containsText" dxfId="224" priority="1585" stopIfTrue="1" operator="containsText" text="Nivel I: Riesgo Inaceptable">
      <formula>NOT(ISERROR(SEARCH("Nivel I: Riesgo Inaceptable",Z367)))</formula>
    </cfRule>
    <cfRule type="containsText" dxfId="223" priority="1584" stopIfTrue="1" operator="containsText" text="Nivel II: Riesgo Importante">
      <formula>NOT(ISERROR(SEARCH("Nivel II: Riesgo Importante",Z367)))</formula>
    </cfRule>
    <cfRule type="containsText" dxfId="222" priority="1592" stopIfTrue="1" operator="containsText" text="Nivel II: Riesgo Importante">
      <formula>NOT(ISERROR(SEARCH("Nivel II: Riesgo Importante",Z367)))</formula>
    </cfRule>
    <cfRule type="containsText" dxfId="221" priority="1593" stopIfTrue="1" operator="containsText" text="Nivel I: Riesgo Inaceptable">
      <formula>NOT(ISERROR(SEARCH("Nivel I: Riesgo Inaceptable",Z367)))</formula>
    </cfRule>
    <cfRule type="containsText" dxfId="220" priority="1594" stopIfTrue="1" operator="containsText" text="Nivel IV: Riesgo Tolerable (Aceptable)">
      <formula>NOT(ISERROR(SEARCH("Nivel IV: Riesgo Tolerable (Aceptable)",Z367)))</formula>
    </cfRule>
  </conditionalFormatting>
  <conditionalFormatting sqref="Z368">
    <cfRule type="containsText" dxfId="219" priority="1554" stopIfTrue="1" operator="containsText" text="Nivel IV: Riesgo Tolerable (Aceptable)">
      <formula>NOT(ISERROR(SEARCH("Nivel IV: Riesgo Tolerable (Aceptable)",Z368)))</formula>
    </cfRule>
    <cfRule type="containsText" dxfId="218" priority="1560" stopIfTrue="1" operator="containsText" text="Nivel II: Riesgo Importante">
      <formula>NOT(ISERROR(SEARCH("Nivel II: Riesgo Importante",Z368)))</formula>
    </cfRule>
    <cfRule type="containsText" dxfId="217" priority="1561" stopIfTrue="1" operator="containsText" text="Nivel I: Riesgo Inaceptable">
      <formula>NOT(ISERROR(SEARCH("Nivel I: Riesgo Inaceptable",Z368)))</formula>
    </cfRule>
    <cfRule type="containsText" dxfId="216" priority="1562" stopIfTrue="1" operator="containsText" text="Nivel IV: Riesgo Tolerable (Aceptable)">
      <formula>NOT(ISERROR(SEARCH("Nivel IV: Riesgo Tolerable (Aceptable)",Z368)))</formula>
    </cfRule>
    <cfRule type="containsText" dxfId="215" priority="1553" stopIfTrue="1" operator="containsText" text="Nivel I: Riesgo Inaceptable">
      <formula>NOT(ISERROR(SEARCH("Nivel I: Riesgo Inaceptable",Z368)))</formula>
    </cfRule>
    <cfRule type="containsText" dxfId="214" priority="1552" stopIfTrue="1" operator="containsText" text="Nivel II: Riesgo Importante">
      <formula>NOT(ISERROR(SEARCH("Nivel II: Riesgo Importante",Z368)))</formula>
    </cfRule>
  </conditionalFormatting>
  <conditionalFormatting sqref="Z369">
    <cfRule type="containsText" dxfId="213" priority="1886" stopIfTrue="1" operator="containsText" text="Nivel II: Riesgo Importante">
      <formula>NOT(ISERROR(SEARCH("Nivel II: Riesgo Importante",Z369)))</formula>
    </cfRule>
    <cfRule type="containsText" dxfId="212" priority="1888" stopIfTrue="1" operator="containsText" text="Nivel IV: Riesgo Tolerable (Aceptable)">
      <formula>NOT(ISERROR(SEARCH("Nivel IV: Riesgo Tolerable (Aceptable)",Z369)))</formula>
    </cfRule>
    <cfRule type="containsText" dxfId="211" priority="1887" stopIfTrue="1" operator="containsText" text="Nivel I: Riesgo Inaceptable">
      <formula>NOT(ISERROR(SEARCH("Nivel I: Riesgo Inaceptable",Z369)))</formula>
    </cfRule>
  </conditionalFormatting>
  <conditionalFormatting sqref="Z369:Z372 Z366 Z374:Z376">
    <cfRule type="containsText" dxfId="210" priority="1994" stopIfTrue="1" operator="containsText" text="Nivel III: Riesgo Moderado (Aceptable)">
      <formula>NOT(ISERROR(SEARCH("Nivel III: Riesgo Moderado (Aceptable)",Z366)))</formula>
    </cfRule>
  </conditionalFormatting>
  <conditionalFormatting sqref="Z370">
    <cfRule type="containsText" dxfId="209" priority="1974" stopIfTrue="1" operator="containsText" text="Nivel II: Riesgo Importante">
      <formula>NOT(ISERROR(SEARCH("Nivel II: Riesgo Importante",Z370)))</formula>
    </cfRule>
    <cfRule type="containsText" dxfId="208" priority="1976" stopIfTrue="1" operator="containsText" text="Nivel IV: Riesgo Tolerable (Aceptable)">
      <formula>NOT(ISERROR(SEARCH("Nivel IV: Riesgo Tolerable (Aceptable)",Z370)))</formula>
    </cfRule>
    <cfRule type="containsText" dxfId="207" priority="1975" stopIfTrue="1" operator="containsText" text="Nivel I: Riesgo Inaceptable">
      <formula>NOT(ISERROR(SEARCH("Nivel I: Riesgo Inaceptable",Z370)))</formula>
    </cfRule>
  </conditionalFormatting>
  <conditionalFormatting sqref="Z371">
    <cfRule type="containsText" dxfId="206" priority="1837" stopIfTrue="1" operator="containsText" text="Nivel II: Riesgo Importante">
      <formula>NOT(ISERROR(SEARCH("Nivel II: Riesgo Importante",Z371)))</formula>
    </cfRule>
    <cfRule type="containsText" dxfId="205" priority="1838" stopIfTrue="1" operator="containsText" text="Nivel I: Riesgo Inaceptable">
      <formula>NOT(ISERROR(SEARCH("Nivel I: Riesgo Inaceptable",Z371)))</formula>
    </cfRule>
    <cfRule type="containsText" dxfId="204" priority="1839" stopIfTrue="1" operator="containsText" text="Nivel IV: Riesgo Tolerable (Aceptable)">
      <formula>NOT(ISERROR(SEARCH("Nivel IV: Riesgo Tolerable (Aceptable)",Z371)))</formula>
    </cfRule>
  </conditionalFormatting>
  <conditionalFormatting sqref="Z373">
    <cfRule type="containsText" dxfId="203" priority="1653" stopIfTrue="1" operator="containsText" text="Nivel III: Riesgo Moderado (Aceptable)">
      <formula>NOT(ISERROR(SEARCH("Nivel III: Riesgo Moderado (Aceptable)",Z373)))</formula>
    </cfRule>
    <cfRule type="containsText" dxfId="202" priority="1656" stopIfTrue="1" operator="containsText" text="Nivel IV: Riesgo Tolerable (Aceptable)">
      <formula>NOT(ISERROR(SEARCH("Nivel IV: Riesgo Tolerable (Aceptable)",Z373)))</formula>
    </cfRule>
    <cfRule type="containsText" dxfId="201" priority="1655" stopIfTrue="1" operator="containsText" text="Nivel I: Riesgo Inaceptable">
      <formula>NOT(ISERROR(SEARCH("Nivel I: Riesgo Inaceptable",Z373)))</formula>
    </cfRule>
    <cfRule type="containsText" dxfId="200" priority="1654" stopIfTrue="1" operator="containsText" text="Nivel II: Riesgo Importante">
      <formula>NOT(ISERROR(SEARCH("Nivel II: Riesgo Importante",Z373)))</formula>
    </cfRule>
  </conditionalFormatting>
  <conditionalFormatting sqref="Z374">
    <cfRule type="containsText" dxfId="199" priority="1775" stopIfTrue="1" operator="containsText" text="Nivel II: Riesgo Importante">
      <formula>NOT(ISERROR(SEARCH("Nivel II: Riesgo Importante",Z374)))</formula>
    </cfRule>
    <cfRule type="containsText" dxfId="198" priority="1776" stopIfTrue="1" operator="containsText" text="Nivel I: Riesgo Inaceptable">
      <formula>NOT(ISERROR(SEARCH("Nivel I: Riesgo Inaceptable",Z374)))</formula>
    </cfRule>
    <cfRule type="containsText" dxfId="197" priority="1777" stopIfTrue="1" operator="containsText" text="Nivel IV: Riesgo Tolerable (Aceptable)">
      <formula>NOT(ISERROR(SEARCH("Nivel IV: Riesgo Tolerable (Aceptable)",Z374)))</formula>
    </cfRule>
  </conditionalFormatting>
  <conditionalFormatting sqref="Z375">
    <cfRule type="containsText" dxfId="196" priority="1725" stopIfTrue="1" operator="containsText" text="Nivel IV: Riesgo Tolerable (Aceptable)">
      <formula>NOT(ISERROR(SEARCH("Nivel IV: Riesgo Tolerable (Aceptable)",Z375)))</formula>
    </cfRule>
    <cfRule type="containsText" dxfId="195" priority="1723" stopIfTrue="1" operator="containsText" text="Nivel II: Riesgo Importante">
      <formula>NOT(ISERROR(SEARCH("Nivel II: Riesgo Importante",Z375)))</formula>
    </cfRule>
    <cfRule type="containsText" dxfId="194" priority="1724" stopIfTrue="1" operator="containsText" text="Nivel I: Riesgo Inaceptable">
      <formula>NOT(ISERROR(SEARCH("Nivel I: Riesgo Inaceptable",Z375)))</formula>
    </cfRule>
  </conditionalFormatting>
  <conditionalFormatting sqref="Z376">
    <cfRule type="containsText" dxfId="193" priority="1810" stopIfTrue="1" operator="containsText" text="Nivel I: Riesgo Inaceptable">
      <formula>NOT(ISERROR(SEARCH("Nivel I: Riesgo Inaceptable",Z376)))</formula>
    </cfRule>
    <cfRule type="containsText" dxfId="192" priority="1809" stopIfTrue="1" operator="containsText" text="Nivel II: Riesgo Importante">
      <formula>NOT(ISERROR(SEARCH("Nivel II: Riesgo Importante",Z376)))</formula>
    </cfRule>
    <cfRule type="containsText" dxfId="191" priority="1811" stopIfTrue="1" operator="containsText" text="Nivel IV: Riesgo Tolerable (Aceptable)">
      <formula>NOT(ISERROR(SEARCH("Nivel IV: Riesgo Tolerable (Aceptable)",Z376)))</formula>
    </cfRule>
  </conditionalFormatting>
  <conditionalFormatting sqref="Z377">
    <cfRule type="containsText" dxfId="190" priority="1622" stopIfTrue="1" operator="containsText" text="Nivel II: Riesgo Importante">
      <formula>NOT(ISERROR(SEARCH("Nivel II: Riesgo Importante",Z377)))</formula>
    </cfRule>
    <cfRule type="containsText" dxfId="189" priority="1625" stopIfTrue="1" operator="containsText" text="Nivel III: Riesgo Moderado (Aceptable)">
      <formula>NOT(ISERROR(SEARCH("Nivel III: Riesgo Moderado (Aceptable)",Z377)))</formula>
    </cfRule>
    <cfRule type="containsText" dxfId="188" priority="1628" stopIfTrue="1" operator="containsText" text="Nivel IV: Riesgo Tolerable (Aceptable)">
      <formula>NOT(ISERROR(SEARCH("Nivel IV: Riesgo Tolerable (Aceptable)",Z377)))</formula>
    </cfRule>
    <cfRule type="containsText" dxfId="187" priority="1626" stopIfTrue="1" operator="containsText" text="Nivel II: Riesgo Importante">
      <formula>NOT(ISERROR(SEARCH("Nivel II: Riesgo Importante",Z377)))</formula>
    </cfRule>
    <cfRule type="containsText" dxfId="186" priority="1624" stopIfTrue="1" operator="containsText" text="Nivel IV: Riesgo Tolerable (Aceptable)">
      <formula>NOT(ISERROR(SEARCH("Nivel IV: Riesgo Tolerable (Aceptable)",Z377)))</formula>
    </cfRule>
    <cfRule type="containsText" dxfId="185" priority="1627" stopIfTrue="1" operator="containsText" text="Nivel I: Riesgo Inaceptable">
      <formula>NOT(ISERROR(SEARCH("Nivel I: Riesgo Inaceptable",Z377)))</formula>
    </cfRule>
    <cfRule type="containsText" dxfId="184" priority="1623" stopIfTrue="1" operator="containsText" text="Nivel I: Riesgo Inaceptable">
      <formula>NOT(ISERROR(SEARCH("Nivel I: Riesgo Inaceptable",Z377)))</formula>
    </cfRule>
  </conditionalFormatting>
  <conditionalFormatting sqref="Z378">
    <cfRule type="containsText" dxfId="183" priority="1193" stopIfTrue="1" operator="containsText" text="Nivel IV: Riesgo Tolerable (Aceptable)">
      <formula>NOT(ISERROR(SEARCH("Nivel IV: Riesgo Tolerable (Aceptable)",Z378)))</formula>
    </cfRule>
    <cfRule type="containsText" dxfId="182" priority="1198" stopIfTrue="1" operator="containsText" text="Nivel III: Riesgo Moderado (Aceptable)">
      <formula>NOT(ISERROR(SEARCH("Nivel III: Riesgo Moderado (Aceptable)",Z378)))</formula>
    </cfRule>
    <cfRule type="containsText" dxfId="181" priority="1191" stopIfTrue="1" operator="containsText" text="Nivel II: Riesgo Importante">
      <formula>NOT(ISERROR(SEARCH("Nivel II: Riesgo Importante",Z378)))</formula>
    </cfRule>
    <cfRule type="containsText" dxfId="180" priority="1192" stopIfTrue="1" operator="containsText" text="Nivel I: Riesgo Inaceptable">
      <formula>NOT(ISERROR(SEARCH("Nivel I: Riesgo Inaceptable",Z378)))</formula>
    </cfRule>
    <cfRule type="containsText" dxfId="179" priority="1200" stopIfTrue="1" operator="containsText" text="Nivel I: Riesgo Inaceptable">
      <formula>NOT(ISERROR(SEARCH("Nivel I: Riesgo Inaceptable",Z378)))</formula>
    </cfRule>
    <cfRule type="containsText" dxfId="178" priority="1201" stopIfTrue="1" operator="containsText" text="Nivel IV: Riesgo Tolerable (Aceptable)">
      <formula>NOT(ISERROR(SEARCH("Nivel IV: Riesgo Tolerable (Aceptable)",Z378)))</formula>
    </cfRule>
    <cfRule type="containsText" dxfId="177" priority="1199" stopIfTrue="1" operator="containsText" text="Nivel II: Riesgo Importante">
      <formula>NOT(ISERROR(SEARCH("Nivel II: Riesgo Importante",Z378)))</formula>
    </cfRule>
  </conditionalFormatting>
  <conditionalFormatting sqref="Z379">
    <cfRule type="containsText" dxfId="176" priority="1157" stopIfTrue="1" operator="containsText" text="Nivel IV: Riesgo Tolerable (Aceptable)">
      <formula>NOT(ISERROR(SEARCH("Nivel IV: Riesgo Tolerable (Aceptable)",Z379)))</formula>
    </cfRule>
    <cfRule type="containsText" dxfId="175" priority="1154" stopIfTrue="1" operator="containsText" text="Nivel III: Riesgo Moderado (Aceptable)">
      <formula>NOT(ISERROR(SEARCH("Nivel III: Riesgo Moderado (Aceptable)",Z379)))</formula>
    </cfRule>
    <cfRule type="containsText" dxfId="174" priority="1155" stopIfTrue="1" operator="containsText" text="Nivel II: Riesgo Importante">
      <formula>NOT(ISERROR(SEARCH("Nivel II: Riesgo Importante",Z379)))</formula>
    </cfRule>
    <cfRule type="containsText" dxfId="173" priority="1156" stopIfTrue="1" operator="containsText" text="Nivel I: Riesgo Inaceptable">
      <formula>NOT(ISERROR(SEARCH("Nivel I: Riesgo Inaceptable",Z379)))</formula>
    </cfRule>
    <cfRule type="containsText" dxfId="172" priority="1164" stopIfTrue="1" operator="containsText" text="Nivel I: Riesgo Inaceptable">
      <formula>NOT(ISERROR(SEARCH("Nivel I: Riesgo Inaceptable",Z379)))</formula>
    </cfRule>
    <cfRule type="containsText" dxfId="171" priority="1165" stopIfTrue="1" operator="containsText" text="Nivel IV: Riesgo Tolerable (Aceptable)">
      <formula>NOT(ISERROR(SEARCH("Nivel IV: Riesgo Tolerable (Aceptable)",Z379)))</formula>
    </cfRule>
    <cfRule type="containsText" dxfId="170" priority="1163" stopIfTrue="1" operator="containsText" text="Nivel II: Riesgo Importante">
      <formula>NOT(ISERROR(SEARCH("Nivel II: Riesgo Importante",Z379)))</formula>
    </cfRule>
  </conditionalFormatting>
  <conditionalFormatting sqref="Z380">
    <cfRule type="containsText" dxfId="169" priority="1451" stopIfTrue="1" operator="containsText" text="Nivel I: Riesgo Inaceptable">
      <formula>NOT(ISERROR(SEARCH("Nivel I: Riesgo Inaceptable",Z380)))</formula>
    </cfRule>
    <cfRule type="containsText" dxfId="168" priority="1450" stopIfTrue="1" operator="containsText" text="Nivel II: Riesgo Importante">
      <formula>NOT(ISERROR(SEARCH("Nivel II: Riesgo Importante",Z380)))</formula>
    </cfRule>
    <cfRule type="containsText" dxfId="167" priority="1452" stopIfTrue="1" operator="containsText" text="Nivel IV: Riesgo Tolerable (Aceptable)">
      <formula>NOT(ISERROR(SEARCH("Nivel IV: Riesgo Tolerable (Aceptable)",Z380)))</formula>
    </cfRule>
  </conditionalFormatting>
  <conditionalFormatting sqref="Z380:Z382">
    <cfRule type="containsText" dxfId="166" priority="1522" stopIfTrue="1" operator="containsText" text="Nivel IV: Riesgo Tolerable (Aceptable)">
      <formula>NOT(ISERROR(SEARCH("Nivel IV: Riesgo Tolerable (Aceptable)",Z380)))</formula>
    </cfRule>
    <cfRule type="containsText" dxfId="165" priority="1521" stopIfTrue="1" operator="containsText" text="Nivel I: Riesgo Inaceptable">
      <formula>NOT(ISERROR(SEARCH("Nivel I: Riesgo Inaceptable",Z380)))</formula>
    </cfRule>
    <cfRule type="containsText" dxfId="164" priority="1519" stopIfTrue="1" operator="containsText" text="Nivel III: Riesgo Moderado (Aceptable)">
      <formula>NOT(ISERROR(SEARCH("Nivel III: Riesgo Moderado (Aceptable)",Z380)))</formula>
    </cfRule>
    <cfRule type="containsText" dxfId="163" priority="1520" stopIfTrue="1" operator="containsText" text="Nivel II: Riesgo Importante">
      <formula>NOT(ISERROR(SEARCH("Nivel II: Riesgo Importante",Z380)))</formula>
    </cfRule>
  </conditionalFormatting>
  <conditionalFormatting sqref="Z381">
    <cfRule type="containsText" dxfId="162" priority="1491" stopIfTrue="1" operator="containsText" text="Nivel II: Riesgo Importante">
      <formula>NOT(ISERROR(SEARCH("Nivel II: Riesgo Importante",Z381)))</formula>
    </cfRule>
    <cfRule type="containsText" dxfId="161" priority="1492" stopIfTrue="1" operator="containsText" text="Nivel I: Riesgo Inaceptable">
      <formula>NOT(ISERROR(SEARCH("Nivel I: Riesgo Inaceptable",Z381)))</formula>
    </cfRule>
    <cfRule type="containsText" dxfId="160" priority="1493" stopIfTrue="1" operator="containsText" text="Nivel IV: Riesgo Tolerable (Aceptable)">
      <formula>NOT(ISERROR(SEARCH("Nivel IV: Riesgo Tolerable (Aceptable)",Z381)))</formula>
    </cfRule>
  </conditionalFormatting>
  <conditionalFormatting sqref="Z383">
    <cfRule type="containsText" dxfId="159" priority="1260" stopIfTrue="1" operator="containsText" text="Nivel III: Riesgo Moderado (Aceptable)">
      <formula>NOT(ISERROR(SEARCH("Nivel III: Riesgo Moderado (Aceptable)",Z383)))</formula>
    </cfRule>
    <cfRule type="containsText" dxfId="158" priority="1263" stopIfTrue="1" operator="containsText" text="Nivel IV: Riesgo Tolerable (Aceptable)">
      <formula>NOT(ISERROR(SEARCH("Nivel IV: Riesgo Tolerable (Aceptable)",Z383)))</formula>
    </cfRule>
    <cfRule type="containsText" dxfId="157" priority="1262" stopIfTrue="1" operator="containsText" text="Nivel I: Riesgo Inaceptable">
      <formula>NOT(ISERROR(SEARCH("Nivel I: Riesgo Inaceptable",Z383)))</formula>
    </cfRule>
    <cfRule type="containsText" dxfId="156" priority="1261" stopIfTrue="1" operator="containsText" text="Nivel II: Riesgo Importante">
      <formula>NOT(ISERROR(SEARCH("Nivel II: Riesgo Importante",Z383)))</formula>
    </cfRule>
  </conditionalFormatting>
  <conditionalFormatting sqref="Z384">
    <cfRule type="containsText" dxfId="155" priority="1384" stopIfTrue="1" operator="containsText" text="Nivel II: Riesgo Importante">
      <formula>NOT(ISERROR(SEARCH("Nivel II: Riesgo Importante",Z384)))</formula>
    </cfRule>
    <cfRule type="containsText" dxfId="154" priority="1386" stopIfTrue="1" operator="containsText" text="Nivel IV: Riesgo Tolerable (Aceptable)">
      <formula>NOT(ISERROR(SEARCH("Nivel IV: Riesgo Tolerable (Aceptable)",Z384)))</formula>
    </cfRule>
    <cfRule type="containsText" dxfId="153" priority="1385" stopIfTrue="1" operator="containsText" text="Nivel I: Riesgo Inaceptable">
      <formula>NOT(ISERROR(SEARCH("Nivel I: Riesgo Inaceptable",Z384)))</formula>
    </cfRule>
  </conditionalFormatting>
  <conditionalFormatting sqref="Z384:Z386">
    <cfRule type="containsText" dxfId="152" priority="1513" stopIfTrue="1" operator="containsText" text="Nivel I: Riesgo Inaceptable">
      <formula>NOT(ISERROR(SEARCH("Nivel I: Riesgo Inaceptable",Z384)))</formula>
    </cfRule>
    <cfRule type="containsText" dxfId="151" priority="1512" stopIfTrue="1" operator="containsText" text="Nivel II: Riesgo Importante">
      <formula>NOT(ISERROR(SEARCH("Nivel II: Riesgo Importante",Z384)))</formula>
    </cfRule>
    <cfRule type="containsText" dxfId="150" priority="1511" stopIfTrue="1" operator="containsText" text="Nivel III: Riesgo Moderado (Aceptable)">
      <formula>NOT(ISERROR(SEARCH("Nivel III: Riesgo Moderado (Aceptable)",Z384)))</formula>
    </cfRule>
    <cfRule type="containsText" dxfId="149" priority="1514" stopIfTrue="1" operator="containsText" text="Nivel IV: Riesgo Tolerable (Aceptable)">
      <formula>NOT(ISERROR(SEARCH("Nivel IV: Riesgo Tolerable (Aceptable)",Z384)))</formula>
    </cfRule>
  </conditionalFormatting>
  <conditionalFormatting sqref="Z385">
    <cfRule type="containsText" dxfId="148" priority="1334" stopIfTrue="1" operator="containsText" text="Nivel IV: Riesgo Tolerable (Aceptable)">
      <formula>NOT(ISERROR(SEARCH("Nivel IV: Riesgo Tolerable (Aceptable)",Z385)))</formula>
    </cfRule>
    <cfRule type="containsText" dxfId="147" priority="1333" stopIfTrue="1" operator="containsText" text="Nivel I: Riesgo Inaceptable">
      <formula>NOT(ISERROR(SEARCH("Nivel I: Riesgo Inaceptable",Z385)))</formula>
    </cfRule>
    <cfRule type="containsText" dxfId="146" priority="1332" stopIfTrue="1" operator="containsText" text="Nivel II: Riesgo Importante">
      <formula>NOT(ISERROR(SEARCH("Nivel II: Riesgo Importante",Z385)))</formula>
    </cfRule>
  </conditionalFormatting>
  <conditionalFormatting sqref="Z386">
    <cfRule type="containsText" dxfId="145" priority="1420" stopIfTrue="1" operator="containsText" text="Nivel IV: Riesgo Tolerable (Aceptable)">
      <formula>NOT(ISERROR(SEARCH("Nivel IV: Riesgo Tolerable (Aceptable)",Z386)))</formula>
    </cfRule>
    <cfRule type="containsText" dxfId="144" priority="1418" stopIfTrue="1" operator="containsText" text="Nivel II: Riesgo Importante">
      <formula>NOT(ISERROR(SEARCH("Nivel II: Riesgo Importante",Z386)))</formula>
    </cfRule>
    <cfRule type="containsText" dxfId="143" priority="1419" stopIfTrue="1" operator="containsText" text="Nivel I: Riesgo Inaceptable">
      <formula>NOT(ISERROR(SEARCH("Nivel I: Riesgo Inaceptable",Z386)))</formula>
    </cfRule>
  </conditionalFormatting>
  <conditionalFormatting sqref="Z387">
    <cfRule type="containsText" dxfId="142" priority="1229" stopIfTrue="1" operator="containsText" text="Nivel II: Riesgo Importante">
      <formula>NOT(ISERROR(SEARCH("Nivel II: Riesgo Importante",Z387)))</formula>
    </cfRule>
    <cfRule type="containsText" dxfId="141" priority="1235" stopIfTrue="1" operator="containsText" text="Nivel IV: Riesgo Tolerable (Aceptable)">
      <formula>NOT(ISERROR(SEARCH("Nivel IV: Riesgo Tolerable (Aceptable)",Z387)))</formula>
    </cfRule>
    <cfRule type="containsText" dxfId="140" priority="1230" stopIfTrue="1" operator="containsText" text="Nivel I: Riesgo Inaceptable">
      <formula>NOT(ISERROR(SEARCH("Nivel I: Riesgo Inaceptable",Z387)))</formula>
    </cfRule>
    <cfRule type="containsText" dxfId="139" priority="1231" stopIfTrue="1" operator="containsText" text="Nivel IV: Riesgo Tolerable (Aceptable)">
      <formula>NOT(ISERROR(SEARCH("Nivel IV: Riesgo Tolerable (Aceptable)",Z387)))</formula>
    </cfRule>
    <cfRule type="containsText" dxfId="138" priority="1232" stopIfTrue="1" operator="containsText" text="Nivel III: Riesgo Moderado (Aceptable)">
      <formula>NOT(ISERROR(SEARCH("Nivel III: Riesgo Moderado (Aceptable)",Z387)))</formula>
    </cfRule>
    <cfRule type="containsText" dxfId="137" priority="1233" stopIfTrue="1" operator="containsText" text="Nivel II: Riesgo Importante">
      <formula>NOT(ISERROR(SEARCH("Nivel II: Riesgo Importante",Z387)))</formula>
    </cfRule>
    <cfRule type="containsText" dxfId="136" priority="1234" stopIfTrue="1" operator="containsText" text="Nivel I: Riesgo Inaceptable">
      <formula>NOT(ISERROR(SEARCH("Nivel I: Riesgo Inaceptable",Z387)))</formula>
    </cfRule>
  </conditionalFormatting>
  <conditionalFormatting sqref="Z388 Z396:Z398 Z391:Z394">
    <cfRule type="containsText" dxfId="135" priority="1112" stopIfTrue="1" operator="containsText" text="Nivel IV: Riesgo Tolerable (Aceptable)">
      <formula>NOT(ISERROR(SEARCH("Nivel IV: Riesgo Tolerable (Aceptable)",Z388)))</formula>
    </cfRule>
    <cfRule type="containsText" dxfId="134" priority="1111" stopIfTrue="1" operator="containsText" text="Nivel I: Riesgo Inaceptable">
      <formula>NOT(ISERROR(SEARCH("Nivel I: Riesgo Inaceptable",Z388)))</formula>
    </cfRule>
    <cfRule type="containsText" dxfId="133" priority="1110" stopIfTrue="1" operator="containsText" text="Nivel II: Riesgo Importante">
      <formula>NOT(ISERROR(SEARCH("Nivel II: Riesgo Importante",Z388)))</formula>
    </cfRule>
    <cfRule type="containsText" dxfId="132" priority="1109" stopIfTrue="1" operator="containsText" text="Nivel III: Riesgo Moderado (Aceptable)">
      <formula>NOT(ISERROR(SEARCH("Nivel III: Riesgo Moderado (Aceptable)",Z388)))</formula>
    </cfRule>
  </conditionalFormatting>
  <conditionalFormatting sqref="Z388">
    <cfRule type="containsText" dxfId="131" priority="1044" stopIfTrue="1" operator="containsText" text="Nivel IV: Riesgo Tolerable (Aceptable)">
      <formula>NOT(ISERROR(SEARCH("Nivel IV: Riesgo Tolerable (Aceptable)",Z388)))</formula>
    </cfRule>
    <cfRule type="containsText" dxfId="130" priority="1043" stopIfTrue="1" operator="containsText" text="Nivel I: Riesgo Inaceptable">
      <formula>NOT(ISERROR(SEARCH("Nivel I: Riesgo Inaceptable",Z388)))</formula>
    </cfRule>
    <cfRule type="containsText" dxfId="129" priority="1042" stopIfTrue="1" operator="containsText" text="Nivel II: Riesgo Importante">
      <formula>NOT(ISERROR(SEARCH("Nivel II: Riesgo Importante",Z388)))</formula>
    </cfRule>
    <cfRule type="containsText" dxfId="128" priority="1041" stopIfTrue="1" operator="containsText" text="Nivel III: Riesgo Moderado (Aceptable)">
      <formula>NOT(ISERROR(SEARCH("Nivel III: Riesgo Moderado (Aceptable)",Z388)))</formula>
    </cfRule>
  </conditionalFormatting>
  <conditionalFormatting sqref="Z389">
    <cfRule type="containsText" dxfId="127" priority="708" stopIfTrue="1" operator="containsText" text="Nivel I: Riesgo Inaceptable">
      <formula>NOT(ISERROR(SEARCH("Nivel I: Riesgo Inaceptable",Z389)))</formula>
    </cfRule>
    <cfRule type="containsText" dxfId="126" priority="709" stopIfTrue="1" operator="containsText" text="Nivel IV: Riesgo Tolerable (Aceptable)">
      <formula>NOT(ISERROR(SEARCH("Nivel IV: Riesgo Tolerable (Aceptable)",Z389)))</formula>
    </cfRule>
    <cfRule type="containsText" dxfId="125" priority="698" stopIfTrue="1" operator="containsText" text="Nivel III: Riesgo Moderado (Aceptable)">
      <formula>NOT(ISERROR(SEARCH("Nivel III: Riesgo Moderado (Aceptable)",Z389)))</formula>
    </cfRule>
    <cfRule type="containsText" dxfId="124" priority="700" stopIfTrue="1" operator="containsText" text="Nivel I: Riesgo Inaceptable">
      <formula>NOT(ISERROR(SEARCH("Nivel I: Riesgo Inaceptable",Z389)))</formula>
    </cfRule>
    <cfRule type="containsText" dxfId="123" priority="701" stopIfTrue="1" operator="containsText" text="Nivel IV: Riesgo Tolerable (Aceptable)">
      <formula>NOT(ISERROR(SEARCH("Nivel IV: Riesgo Tolerable (Aceptable)",Z389)))</formula>
    </cfRule>
    <cfRule type="containsText" dxfId="122" priority="706" stopIfTrue="1" operator="containsText" text="Nivel III: Riesgo Moderado (Aceptable)">
      <formula>NOT(ISERROR(SEARCH("Nivel III: Riesgo Moderado (Aceptable)",Z389)))</formula>
    </cfRule>
    <cfRule type="containsText" dxfId="121" priority="699" stopIfTrue="1" operator="containsText" text="Nivel II: Riesgo Importante">
      <formula>NOT(ISERROR(SEARCH("Nivel II: Riesgo Importante",Z389)))</formula>
    </cfRule>
    <cfRule type="containsText" dxfId="120" priority="707" stopIfTrue="1" operator="containsText" text="Nivel II: Riesgo Importante">
      <formula>NOT(ISERROR(SEARCH("Nivel II: Riesgo Importante",Z389)))</formula>
    </cfRule>
  </conditionalFormatting>
  <conditionalFormatting sqref="Z390">
    <cfRule type="containsText" dxfId="119" priority="668" stopIfTrue="1" operator="containsText" text="Nivel I: Riesgo Inaceptable">
      <formula>NOT(ISERROR(SEARCH("Nivel I: Riesgo Inaceptable",Z390)))</formula>
    </cfRule>
    <cfRule type="containsText" dxfId="118" priority="667" stopIfTrue="1" operator="containsText" text="Nivel II: Riesgo Importante">
      <formula>NOT(ISERROR(SEARCH("Nivel II: Riesgo Importante",Z390)))</formula>
    </cfRule>
    <cfRule type="containsText" dxfId="117" priority="666" stopIfTrue="1" operator="containsText" text="Nivel III: Riesgo Moderado (Aceptable)">
      <formula>NOT(ISERROR(SEARCH("Nivel III: Riesgo Moderado (Aceptable)",Z390)))</formula>
    </cfRule>
    <cfRule type="containsText" dxfId="116" priority="674" stopIfTrue="1" operator="containsText" text="Nivel III: Riesgo Moderado (Aceptable)">
      <formula>NOT(ISERROR(SEARCH("Nivel III: Riesgo Moderado (Aceptable)",Z390)))</formula>
    </cfRule>
    <cfRule type="containsText" dxfId="115" priority="675" stopIfTrue="1" operator="containsText" text="Nivel II: Riesgo Importante">
      <formula>NOT(ISERROR(SEARCH("Nivel II: Riesgo Importante",Z390)))</formula>
    </cfRule>
    <cfRule type="containsText" dxfId="114" priority="677" stopIfTrue="1" operator="containsText" text="Nivel IV: Riesgo Tolerable (Aceptable)">
      <formula>NOT(ISERROR(SEARCH("Nivel IV: Riesgo Tolerable (Aceptable)",Z390)))</formula>
    </cfRule>
    <cfRule type="containsText" dxfId="113" priority="676" stopIfTrue="1" operator="containsText" text="Nivel I: Riesgo Inaceptable">
      <formula>NOT(ISERROR(SEARCH("Nivel I: Riesgo Inaceptable",Z390)))</formula>
    </cfRule>
    <cfRule type="containsText" dxfId="112" priority="669" stopIfTrue="1" operator="containsText" text="Nivel IV: Riesgo Tolerable (Aceptable)">
      <formula>NOT(ISERROR(SEARCH("Nivel IV: Riesgo Tolerable (Aceptable)",Z390)))</formula>
    </cfRule>
  </conditionalFormatting>
  <conditionalFormatting sqref="Z391">
    <cfRule type="containsText" dxfId="111" priority="1002" stopIfTrue="1" operator="containsText" text="Nivel I: Riesgo Inaceptable">
      <formula>NOT(ISERROR(SEARCH("Nivel I: Riesgo Inaceptable",Z391)))</formula>
    </cfRule>
    <cfRule type="containsText" dxfId="110" priority="1001" stopIfTrue="1" operator="containsText" text="Nivel II: Riesgo Importante">
      <formula>NOT(ISERROR(SEARCH("Nivel II: Riesgo Importante",Z391)))</formula>
    </cfRule>
    <cfRule type="containsText" dxfId="109" priority="1000" stopIfTrue="1" operator="containsText" text="Nivel III: Riesgo Moderado (Aceptable)">
      <formula>NOT(ISERROR(SEARCH("Nivel III: Riesgo Moderado (Aceptable)",Z391)))</formula>
    </cfRule>
    <cfRule type="containsText" dxfId="108" priority="1003" stopIfTrue="1" operator="containsText" text="Nivel IV: Riesgo Tolerable (Aceptable)">
      <formula>NOT(ISERROR(SEARCH("Nivel IV: Riesgo Tolerable (Aceptable)",Z391)))</formula>
    </cfRule>
  </conditionalFormatting>
  <conditionalFormatting sqref="Z392">
    <cfRule type="containsText" dxfId="107" priority="1088" stopIfTrue="1" operator="containsText" text="Nivel III: Riesgo Moderado (Aceptable)">
      <formula>NOT(ISERROR(SEARCH("Nivel III: Riesgo Moderado (Aceptable)",Z392)))</formula>
    </cfRule>
    <cfRule type="containsText" dxfId="106" priority="1089" stopIfTrue="1" operator="containsText" text="Nivel II: Riesgo Importante">
      <formula>NOT(ISERROR(SEARCH("Nivel II: Riesgo Importante",Z392)))</formula>
    </cfRule>
    <cfRule type="containsText" dxfId="105" priority="1090" stopIfTrue="1" operator="containsText" text="Nivel I: Riesgo Inaceptable">
      <formula>NOT(ISERROR(SEARCH("Nivel I: Riesgo Inaceptable",Z392)))</formula>
    </cfRule>
    <cfRule type="containsText" dxfId="104" priority="1091" stopIfTrue="1" operator="containsText" text="Nivel IV: Riesgo Tolerable (Aceptable)">
      <formula>NOT(ISERROR(SEARCH("Nivel IV: Riesgo Tolerable (Aceptable)",Z392)))</formula>
    </cfRule>
  </conditionalFormatting>
  <conditionalFormatting sqref="Z393">
    <cfRule type="containsText" dxfId="103" priority="951" stopIfTrue="1" operator="containsText" text="Nivel III: Riesgo Moderado (Aceptable)">
      <formula>NOT(ISERROR(SEARCH("Nivel III: Riesgo Moderado (Aceptable)",Z393)))</formula>
    </cfRule>
    <cfRule type="containsText" dxfId="102" priority="952" stopIfTrue="1" operator="containsText" text="Nivel II: Riesgo Importante">
      <formula>NOT(ISERROR(SEARCH("Nivel II: Riesgo Importante",Z393)))</formula>
    </cfRule>
    <cfRule type="containsText" dxfId="101" priority="953" stopIfTrue="1" operator="containsText" text="Nivel I: Riesgo Inaceptable">
      <formula>NOT(ISERROR(SEARCH("Nivel I: Riesgo Inaceptable",Z393)))</formula>
    </cfRule>
    <cfRule type="containsText" dxfId="100" priority="954" stopIfTrue="1" operator="containsText" text="Nivel IV: Riesgo Tolerable (Aceptable)">
      <formula>NOT(ISERROR(SEARCH("Nivel IV: Riesgo Tolerable (Aceptable)",Z393)))</formula>
    </cfRule>
  </conditionalFormatting>
  <conditionalFormatting sqref="Z395">
    <cfRule type="containsText" dxfId="99" priority="771" stopIfTrue="1" operator="containsText" text="Nivel IV: Riesgo Tolerable (Aceptable)">
      <formula>NOT(ISERROR(SEARCH("Nivel IV: Riesgo Tolerable (Aceptable)",Z395)))</formula>
    </cfRule>
    <cfRule type="containsText" dxfId="98" priority="770" stopIfTrue="1" operator="containsText" text="Nivel I: Riesgo Inaceptable">
      <formula>NOT(ISERROR(SEARCH("Nivel I: Riesgo Inaceptable",Z395)))</formula>
    </cfRule>
    <cfRule type="containsText" dxfId="97" priority="769" stopIfTrue="1" operator="containsText" text="Nivel II: Riesgo Importante">
      <formula>NOT(ISERROR(SEARCH("Nivel II: Riesgo Importante",Z395)))</formula>
    </cfRule>
    <cfRule type="containsText" dxfId="96" priority="768" stopIfTrue="1" operator="containsText" text="Nivel III: Riesgo Moderado (Aceptable)">
      <formula>NOT(ISERROR(SEARCH("Nivel III: Riesgo Moderado (Aceptable)",Z395)))</formula>
    </cfRule>
  </conditionalFormatting>
  <conditionalFormatting sqref="Z396">
    <cfRule type="containsText" dxfId="95" priority="890" stopIfTrue="1" operator="containsText" text="Nivel II: Riesgo Importante">
      <formula>NOT(ISERROR(SEARCH("Nivel II: Riesgo Importante",Z396)))</formula>
    </cfRule>
    <cfRule type="containsText" dxfId="94" priority="892" stopIfTrue="1" operator="containsText" text="Nivel IV: Riesgo Tolerable (Aceptable)">
      <formula>NOT(ISERROR(SEARCH("Nivel IV: Riesgo Tolerable (Aceptable)",Z396)))</formula>
    </cfRule>
    <cfRule type="containsText" dxfId="93" priority="889" stopIfTrue="1" operator="containsText" text="Nivel III: Riesgo Moderado (Aceptable)">
      <formula>NOT(ISERROR(SEARCH("Nivel III: Riesgo Moderado (Aceptable)",Z396)))</formula>
    </cfRule>
    <cfRule type="containsText" dxfId="92" priority="891" stopIfTrue="1" operator="containsText" text="Nivel I: Riesgo Inaceptable">
      <formula>NOT(ISERROR(SEARCH("Nivel I: Riesgo Inaceptable",Z396)))</formula>
    </cfRule>
  </conditionalFormatting>
  <conditionalFormatting sqref="Z397">
    <cfRule type="containsText" dxfId="91" priority="840" stopIfTrue="1" operator="containsText" text="Nivel IV: Riesgo Tolerable (Aceptable)">
      <formula>NOT(ISERROR(SEARCH("Nivel IV: Riesgo Tolerable (Aceptable)",Z397)))</formula>
    </cfRule>
    <cfRule type="containsText" dxfId="90" priority="839" stopIfTrue="1" operator="containsText" text="Nivel I: Riesgo Inaceptable">
      <formula>NOT(ISERROR(SEARCH("Nivel I: Riesgo Inaceptable",Z397)))</formula>
    </cfRule>
    <cfRule type="containsText" dxfId="89" priority="838" stopIfTrue="1" operator="containsText" text="Nivel II: Riesgo Importante">
      <formula>NOT(ISERROR(SEARCH("Nivel II: Riesgo Importante",Z397)))</formula>
    </cfRule>
    <cfRule type="containsText" dxfId="88" priority="837" stopIfTrue="1" operator="containsText" text="Nivel III: Riesgo Moderado (Aceptable)">
      <formula>NOT(ISERROR(SEARCH("Nivel III: Riesgo Moderado (Aceptable)",Z397)))</formula>
    </cfRule>
  </conditionalFormatting>
  <conditionalFormatting sqref="Z398">
    <cfRule type="containsText" dxfId="87" priority="925" stopIfTrue="1" operator="containsText" text="Nivel I: Riesgo Inaceptable">
      <formula>NOT(ISERROR(SEARCH("Nivel I: Riesgo Inaceptable",Z398)))</formula>
    </cfRule>
    <cfRule type="containsText" dxfId="86" priority="926" stopIfTrue="1" operator="containsText" text="Nivel IV: Riesgo Tolerable (Aceptable)">
      <formula>NOT(ISERROR(SEARCH("Nivel IV: Riesgo Tolerable (Aceptable)",Z398)))</formula>
    </cfRule>
    <cfRule type="containsText" dxfId="85" priority="923" stopIfTrue="1" operator="containsText" text="Nivel III: Riesgo Moderado (Aceptable)">
      <formula>NOT(ISERROR(SEARCH("Nivel III: Riesgo Moderado (Aceptable)",Z398)))</formula>
    </cfRule>
    <cfRule type="containsText" dxfId="84" priority="924" stopIfTrue="1" operator="containsText" text="Nivel II: Riesgo Importante">
      <formula>NOT(ISERROR(SEARCH("Nivel II: Riesgo Importante",Z398)))</formula>
    </cfRule>
  </conditionalFormatting>
  <conditionalFormatting sqref="Z399">
    <cfRule type="containsText" dxfId="83" priority="737" stopIfTrue="1" operator="containsText" text="Nivel II: Riesgo Importante">
      <formula>NOT(ISERROR(SEARCH("Nivel II: Riesgo Importante",Z399)))</formula>
    </cfRule>
    <cfRule type="containsText" dxfId="82" priority="741" stopIfTrue="1" operator="containsText" text="Nivel II: Riesgo Importante">
      <formula>NOT(ISERROR(SEARCH("Nivel II: Riesgo Importante",Z399)))</formula>
    </cfRule>
    <cfRule type="containsText" dxfId="81" priority="740" stopIfTrue="1" operator="containsText" text="Nivel III: Riesgo Moderado (Aceptable)">
      <formula>NOT(ISERROR(SEARCH("Nivel III: Riesgo Moderado (Aceptable)",Z399)))</formula>
    </cfRule>
    <cfRule type="containsText" dxfId="80" priority="739" stopIfTrue="1" operator="containsText" text="Nivel IV: Riesgo Tolerable (Aceptable)">
      <formula>NOT(ISERROR(SEARCH("Nivel IV: Riesgo Tolerable (Aceptable)",Z399)))</formula>
    </cfRule>
    <cfRule type="containsText" dxfId="79" priority="738" stopIfTrue="1" operator="containsText" text="Nivel I: Riesgo Inaceptable">
      <formula>NOT(ISERROR(SEARCH("Nivel I: Riesgo Inaceptable",Z399)))</formula>
    </cfRule>
    <cfRule type="containsText" dxfId="78" priority="736" stopIfTrue="1" operator="containsText" text="Nivel III: Riesgo Moderado (Aceptable)">
      <formula>NOT(ISERROR(SEARCH("Nivel III: Riesgo Moderado (Aceptable)",Z399)))</formula>
    </cfRule>
    <cfRule type="containsText" dxfId="77" priority="742" stopIfTrue="1" operator="containsText" text="Nivel I: Riesgo Inaceptable">
      <formula>NOT(ISERROR(SEARCH("Nivel I: Riesgo Inaceptable",Z399)))</formula>
    </cfRule>
    <cfRule type="containsText" dxfId="76" priority="743" stopIfTrue="1" operator="containsText" text="Nivel IV: Riesgo Tolerable (Aceptable)">
      <formula>NOT(ISERROR(SEARCH("Nivel IV: Riesgo Tolerable (Aceptable)",Z399)))</formula>
    </cfRule>
  </conditionalFormatting>
  <conditionalFormatting sqref="Z400">
    <cfRule type="containsText" dxfId="75" priority="632" stopIfTrue="1" operator="containsText" text="Nivel I: Riesgo Inaceptable">
      <formula>NOT(ISERROR(SEARCH("Nivel I: Riesgo Inaceptable",Z400)))</formula>
    </cfRule>
    <cfRule type="containsText" dxfId="74" priority="631" stopIfTrue="1" operator="containsText" text="Nivel II: Riesgo Importante">
      <formula>NOT(ISERROR(SEARCH("Nivel II: Riesgo Importante",Z400)))</formula>
    </cfRule>
    <cfRule type="containsText" dxfId="73" priority="637" stopIfTrue="1" operator="containsText" text="Nivel IV: Riesgo Tolerable (Aceptable)">
      <formula>NOT(ISERROR(SEARCH("Nivel IV: Riesgo Tolerable (Aceptable)",Z400)))</formula>
    </cfRule>
    <cfRule type="containsText" dxfId="72" priority="636" stopIfTrue="1" operator="containsText" text="Nivel I: Riesgo Inaceptable">
      <formula>NOT(ISERROR(SEARCH("Nivel I: Riesgo Inaceptable",Z400)))</formula>
    </cfRule>
    <cfRule type="containsText" dxfId="71" priority="634" stopIfTrue="1" operator="containsText" text="Nivel III: Riesgo Moderado (Aceptable)">
      <formula>NOT(ISERROR(SEARCH("Nivel III: Riesgo Moderado (Aceptable)",Z400)))</formula>
    </cfRule>
    <cfRule type="containsText" dxfId="70" priority="630" stopIfTrue="1" operator="containsText" text="Nivel III: Riesgo Moderado (Aceptable)">
      <formula>NOT(ISERROR(SEARCH("Nivel III: Riesgo Moderado (Aceptable)",Z400)))</formula>
    </cfRule>
    <cfRule type="containsText" dxfId="69" priority="635" stopIfTrue="1" operator="containsText" text="Nivel II: Riesgo Importante">
      <formula>NOT(ISERROR(SEARCH("Nivel II: Riesgo Importante",Z400)))</formula>
    </cfRule>
    <cfRule type="containsText" dxfId="68" priority="633" stopIfTrue="1" operator="containsText" text="Nivel IV: Riesgo Tolerable (Aceptable)">
      <formula>NOT(ISERROR(SEARCH("Nivel IV: Riesgo Tolerable (Aceptable)",Z400)))</formula>
    </cfRule>
  </conditionalFormatting>
  <conditionalFormatting sqref="Z401 Z409:Z411 Z404:Z407">
    <cfRule type="containsText" dxfId="67" priority="582" stopIfTrue="1" operator="containsText" text="Nivel IV: Riesgo Tolerable (Aceptable)">
      <formula>NOT(ISERROR(SEARCH("Nivel IV: Riesgo Tolerable (Aceptable)",Z401)))</formula>
    </cfRule>
    <cfRule type="containsText" dxfId="66" priority="580" stopIfTrue="1" operator="containsText" text="Nivel II: Riesgo Importante">
      <formula>NOT(ISERROR(SEARCH("Nivel II: Riesgo Importante",Z401)))</formula>
    </cfRule>
    <cfRule type="containsText" dxfId="65" priority="579" stopIfTrue="1" operator="containsText" text="Nivel III: Riesgo Moderado (Aceptable)">
      <formula>NOT(ISERROR(SEARCH("Nivel III: Riesgo Moderado (Aceptable)",Z401)))</formula>
    </cfRule>
    <cfRule type="containsText" dxfId="64" priority="581" stopIfTrue="1" operator="containsText" text="Nivel I: Riesgo Inaceptable">
      <formula>NOT(ISERROR(SEARCH("Nivel I: Riesgo Inaceptable",Z401)))</formula>
    </cfRule>
  </conditionalFormatting>
  <conditionalFormatting sqref="Z401">
    <cfRule type="containsText" dxfId="63" priority="512" stopIfTrue="1" operator="containsText" text="Nivel II: Riesgo Importante">
      <formula>NOT(ISERROR(SEARCH("Nivel II: Riesgo Importante",Z401)))</formula>
    </cfRule>
    <cfRule type="containsText" dxfId="62" priority="514" stopIfTrue="1" operator="containsText" text="Nivel IV: Riesgo Tolerable (Aceptable)">
      <formula>NOT(ISERROR(SEARCH("Nivel IV: Riesgo Tolerable (Aceptable)",Z401)))</formula>
    </cfRule>
    <cfRule type="containsText" dxfId="61" priority="513" stopIfTrue="1" operator="containsText" text="Nivel I: Riesgo Inaceptable">
      <formula>NOT(ISERROR(SEARCH("Nivel I: Riesgo Inaceptable",Z401)))</formula>
    </cfRule>
    <cfRule type="containsText" dxfId="60" priority="511" stopIfTrue="1" operator="containsText" text="Nivel III: Riesgo Moderado (Aceptable)">
      <formula>NOT(ISERROR(SEARCH("Nivel III: Riesgo Moderado (Aceptable)",Z401)))</formula>
    </cfRule>
  </conditionalFormatting>
  <conditionalFormatting sqref="Z402">
    <cfRule type="containsText" dxfId="59" priority="168" stopIfTrue="1" operator="containsText" text="Nivel III: Riesgo Moderado (Aceptable)">
      <formula>NOT(ISERROR(SEARCH("Nivel III: Riesgo Moderado (Aceptable)",Z402)))</formula>
    </cfRule>
    <cfRule type="containsText" dxfId="58" priority="169" stopIfTrue="1" operator="containsText" text="Nivel II: Riesgo Importante">
      <formula>NOT(ISERROR(SEARCH("Nivel II: Riesgo Importante",Z402)))</formula>
    </cfRule>
    <cfRule type="containsText" dxfId="57" priority="170" stopIfTrue="1" operator="containsText" text="Nivel I: Riesgo Inaceptable">
      <formula>NOT(ISERROR(SEARCH("Nivel I: Riesgo Inaceptable",Z402)))</formula>
    </cfRule>
    <cfRule type="containsText" dxfId="56" priority="179" stopIfTrue="1" operator="containsText" text="Nivel IV: Riesgo Tolerable (Aceptable)">
      <formula>NOT(ISERROR(SEARCH("Nivel IV: Riesgo Tolerable (Aceptable)",Z402)))</formula>
    </cfRule>
    <cfRule type="containsText" dxfId="55" priority="178" stopIfTrue="1" operator="containsText" text="Nivel I: Riesgo Inaceptable">
      <formula>NOT(ISERROR(SEARCH("Nivel I: Riesgo Inaceptable",Z402)))</formula>
    </cfRule>
    <cfRule type="containsText" dxfId="54" priority="177" stopIfTrue="1" operator="containsText" text="Nivel II: Riesgo Importante">
      <formula>NOT(ISERROR(SEARCH("Nivel II: Riesgo Importante",Z402)))</formula>
    </cfRule>
    <cfRule type="containsText" dxfId="53" priority="176" stopIfTrue="1" operator="containsText" text="Nivel III: Riesgo Moderado (Aceptable)">
      <formula>NOT(ISERROR(SEARCH("Nivel III: Riesgo Moderado (Aceptable)",Z402)))</formula>
    </cfRule>
    <cfRule type="containsText" dxfId="52" priority="171" stopIfTrue="1" operator="containsText" text="Nivel IV: Riesgo Tolerable (Aceptable)">
      <formula>NOT(ISERROR(SEARCH("Nivel IV: Riesgo Tolerable (Aceptable)",Z402)))</formula>
    </cfRule>
  </conditionalFormatting>
  <conditionalFormatting sqref="Z403">
    <cfRule type="containsText" dxfId="51" priority="138" stopIfTrue="1" operator="containsText" text="Nivel I: Riesgo Inaceptable">
      <formula>NOT(ISERROR(SEARCH("Nivel I: Riesgo Inaceptable",Z403)))</formula>
    </cfRule>
    <cfRule type="containsText" dxfId="50" priority="137" stopIfTrue="1" operator="containsText" text="Nivel II: Riesgo Importante">
      <formula>NOT(ISERROR(SEARCH("Nivel II: Riesgo Importante",Z403)))</formula>
    </cfRule>
    <cfRule type="containsText" dxfId="49" priority="136" stopIfTrue="1" operator="containsText" text="Nivel III: Riesgo Moderado (Aceptable)">
      <formula>NOT(ISERROR(SEARCH("Nivel III: Riesgo Moderado (Aceptable)",Z403)))</formula>
    </cfRule>
    <cfRule type="containsText" dxfId="48" priority="146" stopIfTrue="1" operator="containsText" text="Nivel I: Riesgo Inaceptable">
      <formula>NOT(ISERROR(SEARCH("Nivel I: Riesgo Inaceptable",Z403)))</formula>
    </cfRule>
    <cfRule type="containsText" dxfId="47" priority="139" stopIfTrue="1" operator="containsText" text="Nivel IV: Riesgo Tolerable (Aceptable)">
      <formula>NOT(ISERROR(SEARCH("Nivel IV: Riesgo Tolerable (Aceptable)",Z403)))</formula>
    </cfRule>
    <cfRule type="containsText" dxfId="46" priority="147" stopIfTrue="1" operator="containsText" text="Nivel IV: Riesgo Tolerable (Aceptable)">
      <formula>NOT(ISERROR(SEARCH("Nivel IV: Riesgo Tolerable (Aceptable)",Z403)))</formula>
    </cfRule>
    <cfRule type="containsText" dxfId="45" priority="145" stopIfTrue="1" operator="containsText" text="Nivel II: Riesgo Importante">
      <formula>NOT(ISERROR(SEARCH("Nivel II: Riesgo Importante",Z403)))</formula>
    </cfRule>
    <cfRule type="containsText" dxfId="44" priority="144" stopIfTrue="1" operator="containsText" text="Nivel III: Riesgo Moderado (Aceptable)">
      <formula>NOT(ISERROR(SEARCH("Nivel III: Riesgo Moderado (Aceptable)",Z403)))</formula>
    </cfRule>
  </conditionalFormatting>
  <conditionalFormatting sqref="Z404">
    <cfRule type="containsText" dxfId="43" priority="473" stopIfTrue="1" operator="containsText" text="Nivel IV: Riesgo Tolerable (Aceptable)">
      <formula>NOT(ISERROR(SEARCH("Nivel IV: Riesgo Tolerable (Aceptable)",Z404)))</formula>
    </cfRule>
    <cfRule type="containsText" dxfId="42" priority="472" stopIfTrue="1" operator="containsText" text="Nivel I: Riesgo Inaceptable">
      <formula>NOT(ISERROR(SEARCH("Nivel I: Riesgo Inaceptable",Z404)))</formula>
    </cfRule>
    <cfRule type="containsText" dxfId="41" priority="471" stopIfTrue="1" operator="containsText" text="Nivel II: Riesgo Importante">
      <formula>NOT(ISERROR(SEARCH("Nivel II: Riesgo Importante",Z404)))</formula>
    </cfRule>
    <cfRule type="containsText" dxfId="40" priority="470" stopIfTrue="1" operator="containsText" text="Nivel III: Riesgo Moderado (Aceptable)">
      <formula>NOT(ISERROR(SEARCH("Nivel III: Riesgo Moderado (Aceptable)",Z404)))</formula>
    </cfRule>
  </conditionalFormatting>
  <conditionalFormatting sqref="Z405">
    <cfRule type="containsText" dxfId="39" priority="559" stopIfTrue="1" operator="containsText" text="Nivel II: Riesgo Importante">
      <formula>NOT(ISERROR(SEARCH("Nivel II: Riesgo Importante",Z405)))</formula>
    </cfRule>
    <cfRule type="containsText" dxfId="38" priority="558" stopIfTrue="1" operator="containsText" text="Nivel III: Riesgo Moderado (Aceptable)">
      <formula>NOT(ISERROR(SEARCH("Nivel III: Riesgo Moderado (Aceptable)",Z405)))</formula>
    </cfRule>
    <cfRule type="containsText" dxfId="37" priority="560" stopIfTrue="1" operator="containsText" text="Nivel I: Riesgo Inaceptable">
      <formula>NOT(ISERROR(SEARCH("Nivel I: Riesgo Inaceptable",Z405)))</formula>
    </cfRule>
    <cfRule type="containsText" dxfId="36" priority="561" stopIfTrue="1" operator="containsText" text="Nivel IV: Riesgo Tolerable (Aceptable)">
      <formula>NOT(ISERROR(SEARCH("Nivel IV: Riesgo Tolerable (Aceptable)",Z405)))</formula>
    </cfRule>
  </conditionalFormatting>
  <conditionalFormatting sqref="Z406">
    <cfRule type="containsText" dxfId="35" priority="423" stopIfTrue="1" operator="containsText" text="Nivel I: Riesgo Inaceptable">
      <formula>NOT(ISERROR(SEARCH("Nivel I: Riesgo Inaceptable",Z406)))</formula>
    </cfRule>
    <cfRule type="containsText" dxfId="34" priority="421" stopIfTrue="1" operator="containsText" text="Nivel III: Riesgo Moderado (Aceptable)">
      <formula>NOT(ISERROR(SEARCH("Nivel III: Riesgo Moderado (Aceptable)",Z406)))</formula>
    </cfRule>
    <cfRule type="containsText" dxfId="33" priority="422" stopIfTrue="1" operator="containsText" text="Nivel II: Riesgo Importante">
      <formula>NOT(ISERROR(SEARCH("Nivel II: Riesgo Importante",Z406)))</formula>
    </cfRule>
    <cfRule type="containsText" dxfId="32" priority="424" stopIfTrue="1" operator="containsText" text="Nivel IV: Riesgo Tolerable (Aceptable)">
      <formula>NOT(ISERROR(SEARCH("Nivel IV: Riesgo Tolerable (Aceptable)",Z406)))</formula>
    </cfRule>
  </conditionalFormatting>
  <conditionalFormatting sqref="Z408">
    <cfRule type="containsText" dxfId="31" priority="241" stopIfTrue="1" operator="containsText" text="Nivel IV: Riesgo Tolerable (Aceptable)">
      <formula>NOT(ISERROR(SEARCH("Nivel IV: Riesgo Tolerable (Aceptable)",Z408)))</formula>
    </cfRule>
    <cfRule type="containsText" dxfId="30" priority="240" stopIfTrue="1" operator="containsText" text="Nivel I: Riesgo Inaceptable">
      <formula>NOT(ISERROR(SEARCH("Nivel I: Riesgo Inaceptable",Z408)))</formula>
    </cfRule>
    <cfRule type="containsText" dxfId="29" priority="239" stopIfTrue="1" operator="containsText" text="Nivel II: Riesgo Importante">
      <formula>NOT(ISERROR(SEARCH("Nivel II: Riesgo Importante",Z408)))</formula>
    </cfRule>
    <cfRule type="containsText" dxfId="28" priority="238" stopIfTrue="1" operator="containsText" text="Nivel III: Riesgo Moderado (Aceptable)">
      <formula>NOT(ISERROR(SEARCH("Nivel III: Riesgo Moderado (Aceptable)",Z408)))</formula>
    </cfRule>
  </conditionalFormatting>
  <conditionalFormatting sqref="Z409">
    <cfRule type="containsText" dxfId="27" priority="362" stopIfTrue="1" operator="containsText" text="Nivel IV: Riesgo Tolerable (Aceptable)">
      <formula>NOT(ISERROR(SEARCH("Nivel IV: Riesgo Tolerable (Aceptable)",Z409)))</formula>
    </cfRule>
    <cfRule type="containsText" dxfId="26" priority="359" stopIfTrue="1" operator="containsText" text="Nivel III: Riesgo Moderado (Aceptable)">
      <formula>NOT(ISERROR(SEARCH("Nivel III: Riesgo Moderado (Aceptable)",Z409)))</formula>
    </cfRule>
    <cfRule type="containsText" dxfId="25" priority="360" stopIfTrue="1" operator="containsText" text="Nivel II: Riesgo Importante">
      <formula>NOT(ISERROR(SEARCH("Nivel II: Riesgo Importante",Z409)))</formula>
    </cfRule>
    <cfRule type="containsText" dxfId="24" priority="361" stopIfTrue="1" operator="containsText" text="Nivel I: Riesgo Inaceptable">
      <formula>NOT(ISERROR(SEARCH("Nivel I: Riesgo Inaceptable",Z409)))</formula>
    </cfRule>
  </conditionalFormatting>
  <conditionalFormatting sqref="Z410">
    <cfRule type="containsText" dxfId="23" priority="307" stopIfTrue="1" operator="containsText" text="Nivel III: Riesgo Moderado (Aceptable)">
      <formula>NOT(ISERROR(SEARCH("Nivel III: Riesgo Moderado (Aceptable)",Z410)))</formula>
    </cfRule>
    <cfRule type="containsText" dxfId="22" priority="310" stopIfTrue="1" operator="containsText" text="Nivel IV: Riesgo Tolerable (Aceptable)">
      <formula>NOT(ISERROR(SEARCH("Nivel IV: Riesgo Tolerable (Aceptable)",Z410)))</formula>
    </cfRule>
    <cfRule type="containsText" dxfId="21" priority="309" stopIfTrue="1" operator="containsText" text="Nivel I: Riesgo Inaceptable">
      <formula>NOT(ISERROR(SEARCH("Nivel I: Riesgo Inaceptable",Z410)))</formula>
    </cfRule>
    <cfRule type="containsText" dxfId="20" priority="308" stopIfTrue="1" operator="containsText" text="Nivel II: Riesgo Importante">
      <formula>NOT(ISERROR(SEARCH("Nivel II: Riesgo Importante",Z410)))</formula>
    </cfRule>
  </conditionalFormatting>
  <conditionalFormatting sqref="Z411">
    <cfRule type="containsText" dxfId="19" priority="393" stopIfTrue="1" operator="containsText" text="Nivel III: Riesgo Moderado (Aceptable)">
      <formula>NOT(ISERROR(SEARCH("Nivel III: Riesgo Moderado (Aceptable)",Z411)))</formula>
    </cfRule>
    <cfRule type="containsText" dxfId="18" priority="395" stopIfTrue="1" operator="containsText" text="Nivel I: Riesgo Inaceptable">
      <formula>NOT(ISERROR(SEARCH("Nivel I: Riesgo Inaceptable",Z411)))</formula>
    </cfRule>
    <cfRule type="containsText" dxfId="17" priority="396" stopIfTrue="1" operator="containsText" text="Nivel IV: Riesgo Tolerable (Aceptable)">
      <formula>NOT(ISERROR(SEARCH("Nivel IV: Riesgo Tolerable (Aceptable)",Z411)))</formula>
    </cfRule>
    <cfRule type="containsText" dxfId="16" priority="394" stopIfTrue="1" operator="containsText" text="Nivel II: Riesgo Importante">
      <formula>NOT(ISERROR(SEARCH("Nivel II: Riesgo Importante",Z411)))</formula>
    </cfRule>
  </conditionalFormatting>
  <conditionalFormatting sqref="Z412">
    <cfRule type="containsText" dxfId="15" priority="208" stopIfTrue="1" operator="containsText" text="Nivel I: Riesgo Inaceptable">
      <formula>NOT(ISERROR(SEARCH("Nivel I: Riesgo Inaceptable",Z412)))</formula>
    </cfRule>
    <cfRule type="containsText" dxfId="14" priority="207" stopIfTrue="1" operator="containsText" text="Nivel II: Riesgo Importante">
      <formula>NOT(ISERROR(SEARCH("Nivel II: Riesgo Importante",Z412)))</formula>
    </cfRule>
    <cfRule type="containsText" dxfId="13" priority="206" stopIfTrue="1" operator="containsText" text="Nivel III: Riesgo Moderado (Aceptable)">
      <formula>NOT(ISERROR(SEARCH("Nivel III: Riesgo Moderado (Aceptable)",Z412)))</formula>
    </cfRule>
    <cfRule type="containsText" dxfId="12" priority="210" stopIfTrue="1" operator="containsText" text="Nivel III: Riesgo Moderado (Aceptable)">
      <formula>NOT(ISERROR(SEARCH("Nivel III: Riesgo Moderado (Aceptable)",Z412)))</formula>
    </cfRule>
    <cfRule type="containsText" dxfId="11" priority="213" stopIfTrue="1" operator="containsText" text="Nivel IV: Riesgo Tolerable (Aceptable)">
      <formula>NOT(ISERROR(SEARCH("Nivel IV: Riesgo Tolerable (Aceptable)",Z412)))</formula>
    </cfRule>
    <cfRule type="containsText" dxfId="10" priority="212" stopIfTrue="1" operator="containsText" text="Nivel I: Riesgo Inaceptable">
      <formula>NOT(ISERROR(SEARCH("Nivel I: Riesgo Inaceptable",Z412)))</formula>
    </cfRule>
    <cfRule type="containsText" dxfId="9" priority="209" stopIfTrue="1" operator="containsText" text="Nivel IV: Riesgo Tolerable (Aceptable)">
      <formula>NOT(ISERROR(SEARCH("Nivel IV: Riesgo Tolerable (Aceptable)",Z412)))</formula>
    </cfRule>
    <cfRule type="containsText" dxfId="8" priority="211" stopIfTrue="1" operator="containsText" text="Nivel II: Riesgo Importante">
      <formula>NOT(ISERROR(SEARCH("Nivel II: Riesgo Importante",Z412)))</formula>
    </cfRule>
  </conditionalFormatting>
  <conditionalFormatting sqref="Z413:Z415">
    <cfRule type="containsText" dxfId="7" priority="102" stopIfTrue="1" operator="containsText" text="Nivel I: Riesgo Inaceptable">
      <formula>NOT(ISERROR(SEARCH("Nivel I: Riesgo Inaceptable",Z413)))</formula>
    </cfRule>
    <cfRule type="containsText" dxfId="6" priority="105" stopIfTrue="1" operator="containsText" text="Nivel II: Riesgo Importante">
      <formula>NOT(ISERROR(SEARCH("Nivel II: Riesgo Importante",Z413)))</formula>
    </cfRule>
    <cfRule type="containsText" dxfId="5" priority="101" stopIfTrue="1" operator="containsText" text="Nivel II: Riesgo Importante">
      <formula>NOT(ISERROR(SEARCH("Nivel II: Riesgo Importante",Z413)))</formula>
    </cfRule>
    <cfRule type="containsText" dxfId="4" priority="100" stopIfTrue="1" operator="containsText" text="Nivel III: Riesgo Moderado (Aceptable)">
      <formula>NOT(ISERROR(SEARCH("Nivel III: Riesgo Moderado (Aceptable)",Z413)))</formula>
    </cfRule>
    <cfRule type="containsText" dxfId="3" priority="104" stopIfTrue="1" operator="containsText" text="Nivel III: Riesgo Moderado (Aceptable)">
      <formula>NOT(ISERROR(SEARCH("Nivel III: Riesgo Moderado (Aceptable)",Z413)))</formula>
    </cfRule>
    <cfRule type="containsText" dxfId="2" priority="103" stopIfTrue="1" operator="containsText" text="Nivel IV: Riesgo Tolerable (Aceptable)">
      <formula>NOT(ISERROR(SEARCH("Nivel IV: Riesgo Tolerable (Aceptable)",Z413)))</formula>
    </cfRule>
    <cfRule type="containsText" dxfId="1" priority="107" stopIfTrue="1" operator="containsText" text="Nivel IV: Riesgo Tolerable (Aceptable)">
      <formula>NOT(ISERROR(SEARCH("Nivel IV: Riesgo Tolerable (Aceptable)",Z413)))</formula>
    </cfRule>
    <cfRule type="containsText" dxfId="0" priority="106" stopIfTrue="1" operator="containsText" text="Nivel I: Riesgo Inaceptable">
      <formula>NOT(ISERROR(SEARCH("Nivel I: Riesgo Inaceptable",Z413)))</formula>
    </cfRule>
  </conditionalFormatting>
  <dataValidations count="20">
    <dataValidation type="list" allowBlank="1" showInputMessage="1" showErrorMessage="1" sqref="J51:J68 J109 J27:J46 J129 J111:J126 J146 J166 J148:J163 J184 J168:J181 J7:J22 J131:J143 J436:J439 J73:J106 J186:J431" xr:uid="{00000000-0002-0000-0400-000000000000}">
      <formula1>"Rutinaria,No rutinaria"</formula1>
    </dataValidation>
    <dataValidation type="list" allowBlank="1" showInputMessage="1" showErrorMessage="1" sqref="L174:L178 L78:L85 L119:L123 L156:L160 L99:L103 L137:L140" xr:uid="{00000000-0002-0000-0400-000001000000}">
      <formula1>$QB$6:$QB$91</formula1>
    </dataValidation>
    <dataValidation type="list" allowBlank="1" showInputMessage="1" showErrorMessage="1" sqref="K174:K178 K78:K85 K119:K123 K156:K160 K99:K103 K137:K140" xr:uid="{00000000-0002-0000-0400-000002000000}">
      <formula1>$QA$6:$QA$91</formula1>
    </dataValidation>
    <dataValidation type="list" allowBlank="1" showInputMessage="1" showErrorMessage="1" sqref="L168:L172 L51:L68 L7:L22 L186:L198 L32:L46 L111:L115 L104:L105 L95:L97 L117 L124:L125 L148:L152 L141:L142 L131:L135 L161:L162 L154 L179:L180 L27:L30 L73:L77" xr:uid="{00000000-0002-0000-0400-000003000000}">
      <formula1>$QB$6:$QB$90</formula1>
    </dataValidation>
    <dataValidation type="list" allowBlank="1" showInputMessage="1" showErrorMessage="1" sqref="K168:K172 K51:K68 K7:K22 K186:K198 K87 K32:K46 K111:K115 K104:K105 K95:K97 K117 K124:K125 K148:K152 K141:K142 K131:K135 K161:K162 K154 K179:K180 K27:K30 K73:K77" xr:uid="{00000000-0002-0000-0400-000004000000}">
      <formula1>$QA$6:$QA$90</formula1>
    </dataValidation>
    <dataValidation type="list" allowBlank="1" showInputMessage="1" showErrorMessage="1" sqref="L31 L98 L118 L136 L155 L173" xr:uid="{00000000-0002-0000-0400-000005000000}">
      <formula1>$QB$6:$QB$29</formula1>
    </dataValidation>
    <dataValidation type="list" allowBlank="1" showInputMessage="1" showErrorMessage="1" sqref="K31 K98 K118 K136 K155 K173" xr:uid="{00000000-0002-0000-0400-000006000000}">
      <formula1>$QA$6:$QA$29</formula1>
    </dataValidation>
    <dataValidation type="list" showInputMessage="1" showErrorMessage="1" sqref="F97 F117 F135 F154 F172" xr:uid="{00000000-0002-0000-0400-000007000000}">
      <formula1>$B$79:$B$126</formula1>
    </dataValidation>
    <dataValidation type="list" allowBlank="1" showInputMessage="1" showErrorMessage="1" sqref="L203:L208 L362:L366 L404:L408 L391:L395 L397:L401 L385:L388 L380:L383 L369:L373 L375:L377 L356:L359 L216:L221 L341:L346 L348:L353 L327:L332 L334:L338 L315:L319 L321:L324 L308:L312 L301:L306 L294:L298 L287:L292 L273:L278 L280:L284 L261:L265 L267:L270 L247:L252 L254:L258 L232:L237 L239:L244 L410:L413 L224:L229 L199:L200 L210:L213" xr:uid="{A668458E-FEBB-467F-AC0B-34AC7B30FCA4}">
      <formula1>$QB$6:$QB$18</formula1>
    </dataValidation>
    <dataValidation type="list" allowBlank="1" showInputMessage="1" showErrorMessage="1" sqref="K203:K208 K362:K366 K404:K408 K391:K395 K397:K401 K385:K388 K380:K383 K369:K373 K375:K377 K356:K359 K216:K221 K341:K346 K348:K353 K327:K332 K334:K338 K315:K319 K321:K324 K308:K312 K301:K306 K294:K298 K287:K292 K273:K278 K280:K284 K261:K265 K267:K270 K247:K252 K254:K258 K232:K237 K239:K244 K410:K413 K224:K229 K199:K200 K210:K213" xr:uid="{397CEC0E-2EF0-4875-BD3C-2E18AC3CEFF4}">
      <formula1>$QA$6:$QA$18</formula1>
    </dataValidation>
    <dataValidation type="list" allowBlank="1" showInputMessage="1" showErrorMessage="1" sqref="L436:L439 L414:L431" xr:uid="{203D6559-4E93-44DF-A44F-BE7BD9102FEE}">
      <formula1>$QB$6:$QB$94</formula1>
    </dataValidation>
    <dataValidation type="list" allowBlank="1" showInputMessage="1" showErrorMessage="1" sqref="K436:K439 K414:K431" xr:uid="{36FF5BAB-2D46-498E-9BE9-31F2BCF6219F}">
      <formula1>$QA$6:$QA$94</formula1>
    </dataValidation>
    <dataValidation type="list" allowBlank="1" showInputMessage="1" showErrorMessage="1" sqref="L431" xr:uid="{5C717323-D93F-4776-93F2-081E363AC55F}">
      <formula1>$QC$96:$QC$96</formula1>
    </dataValidation>
    <dataValidation type="list" allowBlank="1" showInputMessage="1" showErrorMessage="1" sqref="K431" xr:uid="{EC5C2008-1E2D-43DD-8951-9A78CE6BAD74}">
      <formula1>$QB$96:$QB$96</formula1>
    </dataValidation>
    <dataValidation type="list" allowBlank="1" showInputMessage="1" showErrorMessage="1" sqref="F436:F437 F430:F431 F417" xr:uid="{A15CFF70-0651-4EAD-B662-C09DBDED9BF9}">
      <formula1>Factores</formula1>
    </dataValidation>
    <dataValidation type="list" allowBlank="1" showInputMessage="1" showErrorMessage="1" sqref="I7:I439" xr:uid="{00000000-0002-0000-0400-000008000000}">
      <formula1>"Expresado,Potencial"</formula1>
    </dataValidation>
    <dataValidation type="list" allowBlank="1" showInputMessage="1" showErrorMessage="1" sqref="R7:R439" xr:uid="{00000000-0002-0000-0400-000009000000}">
      <formula1>"Continua, Frecuente, Ocasional, Esporádica"</formula1>
    </dataValidation>
    <dataValidation type="list" allowBlank="1" showInputMessage="1" showErrorMessage="1" sqref="V7:V439" xr:uid="{00000000-0002-0000-0400-00000A000000}">
      <formula1>"Mortal o catastrófico, Muy grave, Grave, Leve"</formula1>
    </dataValidation>
    <dataValidation type="list" allowBlank="1" showInputMessage="1" showErrorMessage="1" sqref="P7:P439" xr:uid="{00000000-0002-0000-0400-00000B000000}">
      <formula1>"Muy alto, Alto, Medio, Bajo"</formula1>
    </dataValidation>
    <dataValidation type="list" allowBlank="1" showInputMessage="1" showErrorMessage="1" sqref="E7:E439" xr:uid="{00000000-0002-0000-0400-00000C000000}">
      <formula1>Clasificación</formula1>
    </dataValidation>
  </dataValidations>
  <pageMargins left="0.7" right="0.7" top="0.75" bottom="0.75" header="0.3" footer="0.3"/>
  <pageSetup orientation="portrait" r:id="rId1"/>
  <drawing r:id="rId2"/>
  <legacyDrawing r:id="rId3"/>
  <extLst>
    <ext xmlns:x14="http://schemas.microsoft.com/office/spreadsheetml/2009/9/main" uri="{CCE6A557-97BC-4b89-ADB6-D9C93CAAB3DF}">
      <x14:dataValidations xmlns:xm="http://schemas.microsoft.com/office/excel/2006/main" count="5">
        <x14:dataValidation type="list" allowBlank="1" showInputMessage="1" showErrorMessage="1" xr:uid="{00000000-0002-0000-0400-00000D000000}">
          <x14:formula1>
            <xm:f>'Factores de riesgo'!$B$83:$B$131</xm:f>
          </x14:formula1>
          <xm:sqref>F27:F46 F422:F429 F418:F420 F186:F198 F7:F22 F173:F177 F155:F159 F136:F139 F120:F122 F118 F98 F79:F83 F100:F102 F179:F180 F73:F75 F161:F162 F111:F116 F77 F124:F125 F51:F68 F168:F171 F104:F105 F89 F148:F153 F131:F134 F93 F95:F96 F86 F141:F142</xm:sqref>
        </x14:dataValidation>
        <x14:dataValidation type="list" showInputMessage="1" showErrorMessage="1" xr:uid="{00000000-0002-0000-0400-00000F000000}">
          <x14:formula1>
            <xm:f>'Factores de riesgo'!$B$83:$B$131</xm:f>
          </x14:formula1>
          <xm:sqref>F76 F199:F416</xm:sqref>
        </x14:dataValidation>
        <x14:dataValidation type="list" allowBlank="1" showInputMessage="1" showErrorMessage="1" xr:uid="{2B1C4EB9-9A15-478B-AFEA-11FA09B858A9}">
          <x14:formula1>
            <xm:f>'Factores de riesgo'!$B$83:$B$222</xm:f>
          </x14:formula1>
          <xm:sqref>F421</xm:sqref>
        </x14:dataValidation>
        <x14:dataValidation type="list" allowBlank="1" showInputMessage="1" showErrorMessage="1" xr:uid="{00000000-0002-0000-0400-00000E000000}">
          <x14:formula1>
            <xm:f>'Factores de riesgo'!$B$4:$B$80</xm:f>
          </x14:formula1>
          <xm:sqref>F178 F84:F85 F140 F103 F123 F119 F99 F160 F87:F88 F163 F166 F184 F143 F146 F126 F129 F94 F106 F109 F181 F90:F92 F78</xm:sqref>
        </x14:dataValidation>
        <x14:dataValidation type="list" allowBlank="1" showInputMessage="1" showErrorMessage="1" xr:uid="{4AEEAE1D-47BD-4B36-A429-53B9118B9D74}">
          <x14:formula1>
            <xm:f>'Factores de riesgo'!$B$5:$B$80</xm:f>
          </x14:formula1>
          <xm:sqref>F438:F439</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tabColor rgb="FF00B0F0"/>
  </sheetPr>
  <dimension ref="A1:EES178"/>
  <sheetViews>
    <sheetView tabSelected="1" topLeftCell="A4" zoomScale="84" zoomScaleNormal="84" zoomScalePageLayoutView="125" workbookViewId="0">
      <pane xSplit="1" ySplit="3" topLeftCell="B11" activePane="bottomRight" state="frozen"/>
      <selection activeCell="A4" sqref="A4"/>
      <selection pane="topRight" activeCell="B4" sqref="B4"/>
      <selection pane="bottomLeft" activeCell="A7" sqref="A7"/>
      <selection pane="bottomRight" activeCell="B12" sqref="B12"/>
    </sheetView>
  </sheetViews>
  <sheetFormatPr baseColWidth="10" defaultRowHeight="16.5" x14ac:dyDescent="0.3"/>
  <cols>
    <col min="1" max="1" width="24.75" style="233" customWidth="1"/>
    <col min="2" max="2" width="23.75" style="233" customWidth="1"/>
    <col min="3" max="3" width="27.625" style="234" customWidth="1"/>
    <col min="4" max="4" width="38.625" style="234" customWidth="1"/>
    <col min="5" max="5" width="28.125" style="234" customWidth="1"/>
    <col min="6" max="6" width="25" style="234" customWidth="1"/>
    <col min="7" max="7" width="87.875" style="234" customWidth="1"/>
    <col min="8" max="8" width="29.375" style="235" customWidth="1"/>
    <col min="9" max="9" width="63.75" style="235" bestFit="1" customWidth="1"/>
    <col min="10" max="10" width="33.75" style="236" customWidth="1"/>
    <col min="11" max="11" width="48.25" style="237" customWidth="1"/>
    <col min="12" max="12" width="16.625" style="238" customWidth="1"/>
    <col min="13" max="13" width="21" style="238" customWidth="1"/>
    <col min="14" max="14" width="20.25" style="238" customWidth="1"/>
    <col min="15" max="15" width="34.125" style="233" customWidth="1"/>
    <col min="16" max="16" width="43.75" style="233" customWidth="1"/>
    <col min="17" max="17" width="32.875" style="235" customWidth="1"/>
    <col min="18" max="19" width="14.375" style="238" customWidth="1"/>
    <col min="20" max="21" width="13" style="238" customWidth="1"/>
    <col min="22" max="23" width="10.125" style="238" customWidth="1"/>
    <col min="24" max="24" width="11.625" style="238" customWidth="1"/>
    <col min="25" max="25" width="7" style="238" customWidth="1"/>
    <col min="26" max="26" width="25.375" style="238" customWidth="1"/>
    <col min="27" max="27" width="23.75" style="238" customWidth="1"/>
    <col min="28" max="28" width="8.875" style="239" customWidth="1"/>
    <col min="29" max="32" width="8.875" style="233" bestFit="1" customWidth="1"/>
    <col min="33" max="33" width="18.25" style="233" customWidth="1"/>
    <col min="34" max="35" width="19.25" style="238" customWidth="1"/>
    <col min="36" max="36" width="29.5" style="239" customWidth="1"/>
    <col min="37" max="37" width="52.75" style="240" customWidth="1"/>
    <col min="38" max="38" width="27.5" style="235" bestFit="1" customWidth="1"/>
    <col min="39" max="3528" width="11" style="233"/>
    <col min="3529" max="3529" width="21" style="233" customWidth="1"/>
    <col min="3530" max="16384" width="11" style="233"/>
  </cols>
  <sheetData>
    <row r="1" spans="1:449 3529:3529" s="223" customFormat="1" ht="88.5" customHeight="1" x14ac:dyDescent="0.25">
      <c r="A1" s="372"/>
      <c r="B1" s="372"/>
      <c r="C1" s="373" t="s">
        <v>525</v>
      </c>
      <c r="D1" s="373"/>
      <c r="E1" s="373"/>
      <c r="F1" s="373"/>
      <c r="G1" s="373"/>
      <c r="H1" s="373"/>
      <c r="I1" s="373"/>
      <c r="J1" s="373"/>
      <c r="K1" s="373"/>
      <c r="L1" s="373"/>
      <c r="M1" s="373"/>
      <c r="N1" s="373"/>
      <c r="O1" s="373"/>
      <c r="P1" s="373"/>
      <c r="Q1" s="373"/>
      <c r="R1" s="373"/>
      <c r="S1" s="373"/>
      <c r="T1" s="373"/>
      <c r="U1" s="373"/>
      <c r="V1" s="373"/>
      <c r="W1" s="373"/>
      <c r="X1" s="373"/>
      <c r="Y1" s="373"/>
      <c r="Z1" s="373"/>
      <c r="AA1" s="373"/>
      <c r="AB1" s="373"/>
      <c r="AC1" s="373"/>
      <c r="AD1" s="373"/>
      <c r="AE1" s="373"/>
      <c r="AF1" s="373"/>
      <c r="AG1" s="373"/>
      <c r="AH1" s="373"/>
      <c r="AI1" s="373"/>
      <c r="AJ1" s="373"/>
      <c r="AK1" s="373"/>
      <c r="AL1" s="222" t="s">
        <v>1486</v>
      </c>
    </row>
    <row r="2" spans="1:449 3529:3529" s="223" customFormat="1" ht="34.5" customHeight="1" x14ac:dyDescent="0.25">
      <c r="A2" s="376" t="s">
        <v>521</v>
      </c>
      <c r="B2" s="377"/>
      <c r="C2" s="377"/>
      <c r="D2" s="377"/>
      <c r="E2" s="378"/>
      <c r="F2" s="375" t="s">
        <v>522</v>
      </c>
      <c r="G2" s="375"/>
      <c r="H2" s="376" t="s">
        <v>454</v>
      </c>
      <c r="I2" s="377"/>
      <c r="J2" s="377"/>
      <c r="K2" s="378"/>
      <c r="L2" s="375">
        <v>45782</v>
      </c>
      <c r="M2" s="375"/>
      <c r="N2" s="375"/>
      <c r="O2" s="375"/>
      <c r="P2" s="390" t="s">
        <v>420</v>
      </c>
      <c r="Q2" s="390"/>
      <c r="R2" s="390"/>
      <c r="S2" s="396" t="s">
        <v>524</v>
      </c>
      <c r="T2" s="397"/>
      <c r="U2" s="397"/>
      <c r="V2" s="397"/>
      <c r="W2" s="397"/>
      <c r="X2" s="398"/>
      <c r="Y2" s="376" t="s">
        <v>432</v>
      </c>
      <c r="Z2" s="377"/>
      <c r="AA2" s="378"/>
      <c r="AB2" s="374" t="s">
        <v>900</v>
      </c>
      <c r="AC2" s="374"/>
      <c r="AD2" s="374"/>
      <c r="AE2" s="374"/>
      <c r="AF2" s="374"/>
      <c r="AG2" s="374"/>
      <c r="AH2" s="374"/>
      <c r="AI2" s="374"/>
      <c r="AJ2" s="374"/>
      <c r="AK2" s="374"/>
      <c r="AL2" s="374"/>
    </row>
    <row r="3" spans="1:449 3529:3529" s="223" customFormat="1" ht="34.5" customHeight="1" x14ac:dyDescent="0.25">
      <c r="A3" s="379"/>
      <c r="B3" s="402"/>
      <c r="C3" s="402"/>
      <c r="D3" s="402"/>
      <c r="E3" s="381"/>
      <c r="F3" s="375" t="s">
        <v>523</v>
      </c>
      <c r="G3" s="375"/>
      <c r="H3" s="379"/>
      <c r="I3" s="380"/>
      <c r="J3" s="380"/>
      <c r="K3" s="381"/>
      <c r="L3" s="375"/>
      <c r="M3" s="375"/>
      <c r="N3" s="375"/>
      <c r="O3" s="375"/>
      <c r="P3" s="390"/>
      <c r="Q3" s="390"/>
      <c r="R3" s="390"/>
      <c r="S3" s="399"/>
      <c r="T3" s="400"/>
      <c r="U3" s="400"/>
      <c r="V3" s="400"/>
      <c r="W3" s="400"/>
      <c r="X3" s="401"/>
      <c r="Y3" s="391"/>
      <c r="Z3" s="380"/>
      <c r="AA3" s="392"/>
      <c r="AB3" s="374"/>
      <c r="AC3" s="374"/>
      <c r="AD3" s="374"/>
      <c r="AE3" s="374"/>
      <c r="AF3" s="374"/>
      <c r="AG3" s="374"/>
      <c r="AH3" s="374"/>
      <c r="AI3" s="374"/>
      <c r="AJ3" s="374"/>
      <c r="AK3" s="374"/>
      <c r="AL3" s="374"/>
    </row>
    <row r="4" spans="1:449 3529:3529" s="224" customFormat="1" ht="15" customHeight="1" thickBot="1" x14ac:dyDescent="0.25">
      <c r="C4" s="225"/>
      <c r="D4" s="225"/>
      <c r="E4" s="225"/>
      <c r="F4" s="225"/>
      <c r="G4" s="225"/>
      <c r="H4" s="226"/>
      <c r="I4" s="226"/>
      <c r="J4" s="227"/>
      <c r="K4" s="228"/>
      <c r="L4" s="229"/>
      <c r="M4" s="229"/>
      <c r="N4" s="229"/>
      <c r="Q4" s="226"/>
      <c r="R4" s="229"/>
      <c r="S4" s="229"/>
      <c r="T4" s="229"/>
      <c r="U4" s="229"/>
      <c r="V4" s="230"/>
      <c r="W4" s="229"/>
      <c r="X4" s="229"/>
      <c r="Y4" s="229"/>
      <c r="Z4" s="229"/>
      <c r="AA4" s="229"/>
      <c r="AB4" s="231"/>
      <c r="AH4" s="229"/>
      <c r="AI4" s="229"/>
      <c r="AJ4" s="231"/>
      <c r="AK4" s="232"/>
      <c r="AL4" s="226"/>
    </row>
    <row r="5" spans="1:449 3529:3529" s="241" customFormat="1" ht="50.25" customHeight="1" thickBot="1" x14ac:dyDescent="0.3">
      <c r="A5" s="393" t="s">
        <v>302</v>
      </c>
      <c r="B5" s="394"/>
      <c r="C5" s="394"/>
      <c r="D5" s="394"/>
      <c r="E5" s="394"/>
      <c r="F5" s="394"/>
      <c r="G5" s="394"/>
      <c r="H5" s="394"/>
      <c r="I5" s="394"/>
      <c r="J5" s="394"/>
      <c r="K5" s="394"/>
      <c r="L5" s="394"/>
      <c r="M5" s="394"/>
      <c r="N5" s="395"/>
      <c r="O5" s="383" t="s">
        <v>0</v>
      </c>
      <c r="P5" s="383"/>
      <c r="Q5" s="383"/>
      <c r="R5" s="382" t="s">
        <v>6</v>
      </c>
      <c r="S5" s="383"/>
      <c r="T5" s="383"/>
      <c r="U5" s="383"/>
      <c r="V5" s="383"/>
      <c r="W5" s="383"/>
      <c r="X5" s="383"/>
      <c r="Y5" s="383"/>
      <c r="Z5" s="384"/>
      <c r="AA5" s="278" t="s">
        <v>1</v>
      </c>
      <c r="AB5" s="382" t="s">
        <v>245</v>
      </c>
      <c r="AC5" s="383"/>
      <c r="AD5" s="383"/>
      <c r="AE5" s="383"/>
      <c r="AF5" s="384"/>
      <c r="AG5" s="385" t="s">
        <v>279</v>
      </c>
      <c r="AH5" s="383" t="s">
        <v>204</v>
      </c>
      <c r="AI5" s="383"/>
      <c r="AJ5" s="383"/>
      <c r="AK5" s="383"/>
      <c r="AL5" s="384"/>
    </row>
    <row r="6" spans="1:449 3529:3529" s="241" customFormat="1" ht="77.099999999999994" customHeight="1" thickBot="1" x14ac:dyDescent="0.3">
      <c r="A6" s="272" t="s">
        <v>1444</v>
      </c>
      <c r="B6" s="273" t="s">
        <v>1445</v>
      </c>
      <c r="C6" s="273" t="s">
        <v>202</v>
      </c>
      <c r="D6" s="273" t="s">
        <v>1577</v>
      </c>
      <c r="E6" s="273" t="s">
        <v>1578</v>
      </c>
      <c r="F6" s="273" t="s">
        <v>415</v>
      </c>
      <c r="G6" s="273" t="s">
        <v>1446</v>
      </c>
      <c r="H6" s="273" t="s">
        <v>280</v>
      </c>
      <c r="I6" s="273" t="s">
        <v>1447</v>
      </c>
      <c r="J6" s="273" t="s">
        <v>281</v>
      </c>
      <c r="K6" s="273" t="s">
        <v>303</v>
      </c>
      <c r="L6" s="273" t="s">
        <v>403</v>
      </c>
      <c r="M6" s="273" t="s">
        <v>464</v>
      </c>
      <c r="N6" s="274" t="s">
        <v>468</v>
      </c>
      <c r="O6" s="275" t="s">
        <v>192</v>
      </c>
      <c r="P6" s="276" t="s">
        <v>185</v>
      </c>
      <c r="Q6" s="277" t="s">
        <v>193</v>
      </c>
      <c r="R6" s="388" t="s">
        <v>237</v>
      </c>
      <c r="S6" s="389"/>
      <c r="T6" s="387" t="s">
        <v>35</v>
      </c>
      <c r="U6" s="387"/>
      <c r="V6" s="388" t="s">
        <v>417</v>
      </c>
      <c r="W6" s="389"/>
      <c r="X6" s="387" t="s">
        <v>238</v>
      </c>
      <c r="Y6" s="387"/>
      <c r="Z6" s="276" t="s">
        <v>239</v>
      </c>
      <c r="AA6" s="279" t="s">
        <v>240</v>
      </c>
      <c r="AB6" s="282" t="s">
        <v>188</v>
      </c>
      <c r="AC6" s="282" t="s">
        <v>190</v>
      </c>
      <c r="AD6" s="282" t="s">
        <v>418</v>
      </c>
      <c r="AE6" s="282" t="s">
        <v>419</v>
      </c>
      <c r="AF6" s="283" t="s">
        <v>189</v>
      </c>
      <c r="AG6" s="386"/>
      <c r="AH6" s="276" t="s">
        <v>241</v>
      </c>
      <c r="AI6" s="277" t="s">
        <v>242</v>
      </c>
      <c r="AJ6" s="276" t="s">
        <v>243</v>
      </c>
      <c r="AK6" s="281" t="s">
        <v>244</v>
      </c>
      <c r="AL6" s="280" t="s">
        <v>205</v>
      </c>
      <c r="QF6" s="242" t="s">
        <v>459</v>
      </c>
      <c r="QG6" s="241" t="s">
        <v>469</v>
      </c>
      <c r="EES6" s="243" t="s">
        <v>455</v>
      </c>
    </row>
    <row r="7" spans="1:449 3529:3529" s="235" customFormat="1" ht="77.099999999999994" customHeight="1" x14ac:dyDescent="0.3">
      <c r="A7" s="270" t="s">
        <v>1474</v>
      </c>
      <c r="B7" s="247" t="s">
        <v>1475</v>
      </c>
      <c r="C7" s="247" t="s">
        <v>1461</v>
      </c>
      <c r="D7" s="247" t="s">
        <v>1586</v>
      </c>
      <c r="E7" s="247" t="s">
        <v>1587</v>
      </c>
      <c r="F7" s="247" t="s">
        <v>422</v>
      </c>
      <c r="G7" s="247" t="s">
        <v>1462</v>
      </c>
      <c r="H7" s="248" t="s">
        <v>397</v>
      </c>
      <c r="I7" s="247" t="s">
        <v>367</v>
      </c>
      <c r="J7" s="247" t="s">
        <v>836</v>
      </c>
      <c r="K7" s="247" t="s">
        <v>798</v>
      </c>
      <c r="L7" s="247" t="s">
        <v>529</v>
      </c>
      <c r="M7" s="247" t="s">
        <v>460</v>
      </c>
      <c r="N7" s="247" t="s">
        <v>469</v>
      </c>
      <c r="O7" s="248" t="s">
        <v>902</v>
      </c>
      <c r="P7" s="248" t="s">
        <v>903</v>
      </c>
      <c r="Q7" s="247" t="s">
        <v>893</v>
      </c>
      <c r="R7" s="247" t="s">
        <v>185</v>
      </c>
      <c r="S7" s="254">
        <f t="shared" ref="S7:S25" si="0">IF(R7="Muy Alto",10,IF(R7="Alto",6,IF(R7="Medio",2,IF(R7="Bajo",1,))))</f>
        <v>2</v>
      </c>
      <c r="T7" s="247" t="s">
        <v>186</v>
      </c>
      <c r="U7" s="255">
        <f t="shared" ref="U7" si="1">IF(T7="Continua",4,IF(T7="Frecuente",3,IF(T7="Ocasional",2,IF(T7="Esporádica",1,))))</f>
        <v>4</v>
      </c>
      <c r="V7" s="256">
        <f t="shared" ref="V7" si="2">S7*U7</f>
        <v>8</v>
      </c>
      <c r="W7" s="247" t="str">
        <f t="shared" ref="W7" si="3">IF(AND(V7&gt;=0,V7&lt;=4),"Bajo",IF(AND(V7&gt;=6,V7&lt;=8),"Medio",IF(AND(V7&gt;=10,V7&lt;=20),"Alto",IF(AND(V7&gt;=20,V7&lt;=40),"Muy Alto",))))</f>
        <v>Medio</v>
      </c>
      <c r="X7" s="247" t="s">
        <v>187</v>
      </c>
      <c r="Y7" s="255">
        <f t="shared" ref="Y7" si="4">IF(X7="Mortal o catastrófico",100,IF(X7="Muy grave",60,IF(X7="Grave",25,IF(X7="Leve",10,))))</f>
        <v>25</v>
      </c>
      <c r="Z7" s="256">
        <f t="shared" ref="Z7" si="5">V7*Y7</f>
        <v>200</v>
      </c>
      <c r="AA7" s="247" t="str">
        <f t="shared" ref="AA7" si="6">IF(AND(Z7&gt;=600,Z7&lt;=4000),"Nivel I: Riesgo Inaceptable",IF(AND(Z7&gt;=150,Z7&lt;=500),"Nivel II: Riesgo Importante",IF(AND(Z7&gt;=40,Z7&lt;=120),"Nivel III: Riesgo Moderado (Aceptable)","Nivel IV: Riesgo Tolerable (Aceptable)")))</f>
        <v>Nivel II: Riesgo Importante</v>
      </c>
      <c r="AB7" s="247">
        <v>13</v>
      </c>
      <c r="AC7" s="271"/>
      <c r="AD7" s="271"/>
      <c r="AE7" s="271"/>
      <c r="AF7" s="271"/>
      <c r="AG7" s="254"/>
      <c r="AH7" s="248" t="s">
        <v>424</v>
      </c>
      <c r="AI7" s="248" t="s">
        <v>424</v>
      </c>
      <c r="AJ7" s="248" t="s">
        <v>424</v>
      </c>
      <c r="AK7" s="248" t="s">
        <v>904</v>
      </c>
      <c r="AL7" s="249" t="s">
        <v>600</v>
      </c>
      <c r="QF7" s="250"/>
    </row>
    <row r="8" spans="1:449 3529:3529" s="235" customFormat="1" ht="77.099999999999994" customHeight="1" x14ac:dyDescent="0.3">
      <c r="A8" s="259" t="s">
        <v>1474</v>
      </c>
      <c r="B8" s="244" t="s">
        <v>1475</v>
      </c>
      <c r="C8" s="244" t="s">
        <v>1461</v>
      </c>
      <c r="D8" s="247" t="s">
        <v>1586</v>
      </c>
      <c r="E8" s="247" t="s">
        <v>1587</v>
      </c>
      <c r="F8" s="244" t="s">
        <v>422</v>
      </c>
      <c r="G8" s="244" t="s">
        <v>1462</v>
      </c>
      <c r="H8" s="245" t="s">
        <v>397</v>
      </c>
      <c r="I8" s="244" t="s">
        <v>178</v>
      </c>
      <c r="J8" s="244" t="s">
        <v>836</v>
      </c>
      <c r="K8" s="244" t="s">
        <v>559</v>
      </c>
      <c r="L8" s="244" t="s">
        <v>421</v>
      </c>
      <c r="M8" s="244" t="s">
        <v>460</v>
      </c>
      <c r="N8" s="244" t="s">
        <v>469</v>
      </c>
      <c r="O8" s="245" t="s">
        <v>606</v>
      </c>
      <c r="P8" s="245" t="s">
        <v>606</v>
      </c>
      <c r="Q8" s="244" t="s">
        <v>892</v>
      </c>
      <c r="R8" s="244" t="s">
        <v>185</v>
      </c>
      <c r="S8" s="252">
        <f t="shared" si="0"/>
        <v>2</v>
      </c>
      <c r="T8" s="244" t="s">
        <v>186</v>
      </c>
      <c r="U8" s="253">
        <f t="shared" ref="U8" si="7">IF(T8="Continua",4,IF(T8="Frecuente",3,IF(T8="Ocasional",2,IF(T8="Esporádica",1,))))</f>
        <v>4</v>
      </c>
      <c r="V8" s="251">
        <f t="shared" ref="V8" si="8">S8*U8</f>
        <v>8</v>
      </c>
      <c r="W8" s="244" t="str">
        <f t="shared" ref="W8" si="9">IF(AND(V8&gt;=0,V8&lt;=4),"Bajo",IF(AND(V8&gt;=6,V8&lt;=8),"Medio",IF(AND(V8&gt;=10,V8&lt;=20),"Alto",IF(AND(V8&gt;=20,V8&lt;=40),"Muy Alto",))))</f>
        <v>Medio</v>
      </c>
      <c r="X8" s="244" t="s">
        <v>187</v>
      </c>
      <c r="Y8" s="253">
        <f t="shared" ref="Y8" si="10">IF(X8="Mortal o catastrófico",100,IF(X8="Muy grave",60,IF(X8="Grave",25,IF(X8="Leve",10,))))</f>
        <v>25</v>
      </c>
      <c r="Z8" s="251">
        <f t="shared" ref="Z8" si="11">V8*Y8</f>
        <v>200</v>
      </c>
      <c r="AA8" s="244" t="str">
        <f t="shared" ref="AA8" si="12">IF(AND(Z8&gt;=600,Z8&lt;=4000),"Nivel I: Riesgo Inaceptable",IF(AND(Z8&gt;=150,Z8&lt;=500),"Nivel II: Riesgo Importante",IF(AND(Z8&gt;=40,Z8&lt;=120),"Nivel III: Riesgo Moderado (Aceptable)","Nivel IV: Riesgo Tolerable (Aceptable)")))</f>
        <v>Nivel II: Riesgo Importante</v>
      </c>
      <c r="AB8" s="244">
        <v>13</v>
      </c>
      <c r="AC8" s="257"/>
      <c r="AD8" s="257"/>
      <c r="AE8" s="257"/>
      <c r="AF8" s="257"/>
      <c r="AG8" s="252"/>
      <c r="AH8" s="245" t="s">
        <v>424</v>
      </c>
      <c r="AI8" s="245" t="s">
        <v>424</v>
      </c>
      <c r="AJ8" s="245" t="s">
        <v>424</v>
      </c>
      <c r="AK8" s="245" t="s">
        <v>801</v>
      </c>
      <c r="AL8" s="260" t="s">
        <v>600</v>
      </c>
      <c r="QF8" s="250"/>
    </row>
    <row r="9" spans="1:449 3529:3529" s="235" customFormat="1" ht="108" customHeight="1" x14ac:dyDescent="0.3">
      <c r="A9" s="259" t="s">
        <v>1474</v>
      </c>
      <c r="B9" s="244" t="s">
        <v>1475</v>
      </c>
      <c r="C9" s="244" t="s">
        <v>1461</v>
      </c>
      <c r="D9" s="247" t="s">
        <v>1586</v>
      </c>
      <c r="E9" s="247" t="s">
        <v>1587</v>
      </c>
      <c r="F9" s="244" t="s">
        <v>461</v>
      </c>
      <c r="G9" s="244" t="s">
        <v>1462</v>
      </c>
      <c r="H9" s="245" t="s">
        <v>397</v>
      </c>
      <c r="I9" s="244" t="s">
        <v>371</v>
      </c>
      <c r="J9" s="244" t="s">
        <v>1480</v>
      </c>
      <c r="K9" s="244" t="s">
        <v>802</v>
      </c>
      <c r="L9" s="244" t="s">
        <v>529</v>
      </c>
      <c r="M9" s="244" t="s">
        <v>460</v>
      </c>
      <c r="N9" s="244" t="s">
        <v>469</v>
      </c>
      <c r="O9" s="245" t="s">
        <v>606</v>
      </c>
      <c r="P9" s="245" t="s">
        <v>606</v>
      </c>
      <c r="Q9" s="244" t="s">
        <v>917</v>
      </c>
      <c r="R9" s="244" t="s">
        <v>184</v>
      </c>
      <c r="S9" s="252">
        <f t="shared" si="0"/>
        <v>1</v>
      </c>
      <c r="T9" s="244" t="s">
        <v>485</v>
      </c>
      <c r="U9" s="253">
        <f t="shared" ref="U9" si="13">IF(T9="Continua",4,IF(T9="Frecuente",3,IF(T9="Ocasional",2,IF(T9="Esporádica",1,))))</f>
        <v>1</v>
      </c>
      <c r="V9" s="251">
        <f t="shared" ref="V9" si="14">S9*U9</f>
        <v>1</v>
      </c>
      <c r="W9" s="244" t="str">
        <f t="shared" ref="W9" si="15">IF(AND(V9&gt;=0,V9&lt;=4),"Bajo",IF(AND(V9&gt;=6,V9&lt;=8),"Medio",IF(AND(V9&gt;=10,V9&lt;=20),"Alto",IF(AND(V9&gt;=20,V9&lt;=40),"Muy Alto",))))</f>
        <v>Bajo</v>
      </c>
      <c r="X9" s="244" t="s">
        <v>428</v>
      </c>
      <c r="Y9" s="253">
        <f t="shared" ref="Y9" si="16">IF(X9="Mortal o catastrófico",100,IF(X9="Muy grave",60,IF(X9="Grave",25,IF(X9="Leve",10,))))</f>
        <v>10</v>
      </c>
      <c r="Z9" s="251">
        <f t="shared" ref="Z9:Z10" si="17">V9*Y9</f>
        <v>10</v>
      </c>
      <c r="AA9" s="244" t="str">
        <f t="shared" ref="AA9" si="18">IF(AND(Z9&gt;=600,Z9&lt;=4000),"Nivel I: Riesgo Inaceptable",IF(AND(Z9&gt;=150,Z9&lt;=500),"Nivel II: Riesgo Importante",IF(AND(Z9&gt;=40,Z9&lt;=120),"Nivel III: Riesgo Moderado (Aceptable)","Nivel IV: Riesgo Tolerable (Aceptable)")))</f>
        <v>Nivel IV: Riesgo Tolerable (Aceptable)</v>
      </c>
      <c r="AB9" s="244">
        <v>13</v>
      </c>
      <c r="AC9" s="257"/>
      <c r="AD9" s="257"/>
      <c r="AE9" s="257"/>
      <c r="AF9" s="257"/>
      <c r="AG9" s="252"/>
      <c r="AH9" s="245" t="s">
        <v>424</v>
      </c>
      <c r="AI9" s="245" t="s">
        <v>424</v>
      </c>
      <c r="AJ9" s="245" t="s">
        <v>424</v>
      </c>
      <c r="AK9" s="245" t="s">
        <v>804</v>
      </c>
      <c r="AL9" s="260" t="s">
        <v>600</v>
      </c>
      <c r="QF9" s="250"/>
    </row>
    <row r="10" spans="1:449 3529:3529" s="235" customFormat="1" ht="176.25" customHeight="1" x14ac:dyDescent="0.3">
      <c r="A10" s="259" t="s">
        <v>1474</v>
      </c>
      <c r="B10" s="244" t="s">
        <v>1475</v>
      </c>
      <c r="C10" s="244" t="s">
        <v>1461</v>
      </c>
      <c r="D10" s="247" t="s">
        <v>1586</v>
      </c>
      <c r="E10" s="247" t="s">
        <v>1587</v>
      </c>
      <c r="F10" s="244" t="s">
        <v>422</v>
      </c>
      <c r="G10" s="244" t="s">
        <v>1462</v>
      </c>
      <c r="H10" s="245" t="s">
        <v>407</v>
      </c>
      <c r="I10" s="244" t="s">
        <v>292</v>
      </c>
      <c r="J10" s="244" t="s">
        <v>1592</v>
      </c>
      <c r="K10" s="244" t="s">
        <v>1593</v>
      </c>
      <c r="L10" s="244" t="s">
        <v>529</v>
      </c>
      <c r="M10" s="244" t="s">
        <v>460</v>
      </c>
      <c r="N10" s="244" t="s">
        <v>469</v>
      </c>
      <c r="O10" s="245" t="s">
        <v>1594</v>
      </c>
      <c r="P10" s="245" t="s">
        <v>1595</v>
      </c>
      <c r="Q10" s="244" t="s">
        <v>1596</v>
      </c>
      <c r="R10" s="244" t="s">
        <v>185</v>
      </c>
      <c r="S10" s="252">
        <f t="shared" si="0"/>
        <v>2</v>
      </c>
      <c r="T10" s="244" t="s">
        <v>416</v>
      </c>
      <c r="U10" s="253">
        <f t="shared" ref="U10" si="19">IF(T10="Continua",4,IF(T10="Frecuente",3,IF(T10="Ocasional",2,IF(T10="Esporádica",1,))))</f>
        <v>3</v>
      </c>
      <c r="V10" s="251">
        <f t="shared" ref="V10" si="20">S10*U10</f>
        <v>6</v>
      </c>
      <c r="W10" s="244" t="str">
        <f t="shared" ref="W10:W25" si="21">IF(AND(V10&gt;=0,V10&lt;=4),"Bajo",IF(AND(V10&gt;=6,V10&lt;=8),"Medio",IF(AND(V10&gt;=10,V10&lt;=20),"Alto",IF(AND(V10&gt;=20,V10&lt;=40),"Muy Alto",))))</f>
        <v>Medio</v>
      </c>
      <c r="X10" s="244" t="s">
        <v>428</v>
      </c>
      <c r="Y10" s="253">
        <f t="shared" ref="Y10" si="22">IF(X10="Mortal o catastrófico",100,IF(X10="Muy grave",60,IF(X10="Grave",25,IF(X10="Leve",10,))))</f>
        <v>10</v>
      </c>
      <c r="Z10" s="251">
        <f t="shared" si="17"/>
        <v>60</v>
      </c>
      <c r="AA10" s="244" t="str">
        <f t="shared" ref="AA10" si="23">IF(AND(Z10&gt;=600,Z10&lt;=4000),"Nivel I: Riesgo Inaceptable",IF(AND(Z10&gt;=150,Z10&lt;=500),"Nivel II: Riesgo Importante",IF(AND(Z10&gt;=40,Z10&lt;=120),"Nivel III: Riesgo Moderado (Aceptable)","Nivel IV: Riesgo Tolerable (Aceptable)")))</f>
        <v>Nivel III: Riesgo Moderado (Aceptable)</v>
      </c>
      <c r="AB10" s="244">
        <v>13</v>
      </c>
      <c r="AC10" s="257"/>
      <c r="AD10" s="257"/>
      <c r="AE10" s="257"/>
      <c r="AF10" s="257"/>
      <c r="AG10" s="252"/>
      <c r="AH10" s="245" t="s">
        <v>424</v>
      </c>
      <c r="AI10" s="245" t="s">
        <v>424</v>
      </c>
      <c r="AJ10" s="245" t="s">
        <v>1597</v>
      </c>
      <c r="AK10" s="245" t="s">
        <v>1598</v>
      </c>
      <c r="AL10" s="261" t="s">
        <v>609</v>
      </c>
      <c r="QF10" s="250"/>
    </row>
    <row r="11" spans="1:449 3529:3529" s="235" customFormat="1" ht="77.099999999999994" customHeight="1" x14ac:dyDescent="0.3">
      <c r="A11" s="259" t="s">
        <v>1474</v>
      </c>
      <c r="B11" s="244" t="s">
        <v>1475</v>
      </c>
      <c r="C11" s="244" t="s">
        <v>1461</v>
      </c>
      <c r="D11" s="247" t="s">
        <v>1586</v>
      </c>
      <c r="E11" s="247" t="s">
        <v>1587</v>
      </c>
      <c r="F11" s="244" t="s">
        <v>461</v>
      </c>
      <c r="G11" s="244" t="s">
        <v>1462</v>
      </c>
      <c r="H11" s="245" t="s">
        <v>407</v>
      </c>
      <c r="I11" s="244" t="s">
        <v>285</v>
      </c>
      <c r="J11" s="244" t="s">
        <v>807</v>
      </c>
      <c r="K11" s="244" t="s">
        <v>808</v>
      </c>
      <c r="L11" s="244" t="s">
        <v>421</v>
      </c>
      <c r="M11" s="244" t="s">
        <v>460</v>
      </c>
      <c r="N11" s="244" t="s">
        <v>469</v>
      </c>
      <c r="O11" s="245" t="s">
        <v>809</v>
      </c>
      <c r="P11" s="245" t="s">
        <v>606</v>
      </c>
      <c r="Q11" s="244" t="s">
        <v>891</v>
      </c>
      <c r="R11" s="244" t="s">
        <v>184</v>
      </c>
      <c r="S11" s="252">
        <f t="shared" si="0"/>
        <v>1</v>
      </c>
      <c r="T11" s="244" t="s">
        <v>416</v>
      </c>
      <c r="U11" s="253">
        <f t="shared" ref="U11" si="24">IF(T11="Continua",4,IF(T11="Frecuente",3,IF(T11="Ocasional",2,IF(T11="Esporádica",1,))))</f>
        <v>3</v>
      </c>
      <c r="V11" s="251">
        <f t="shared" ref="V11" si="25">S11*U11</f>
        <v>3</v>
      </c>
      <c r="W11" s="244" t="str">
        <f t="shared" si="21"/>
        <v>Bajo</v>
      </c>
      <c r="X11" s="244" t="s">
        <v>428</v>
      </c>
      <c r="Y11" s="253">
        <f t="shared" ref="Y11" si="26">IF(X11="Mortal o catastrófico",100,IF(X11="Muy grave",60,IF(X11="Grave",25,IF(X11="Leve",10,))))</f>
        <v>10</v>
      </c>
      <c r="Z11" s="251">
        <f t="shared" ref="Z11" si="27">V11*Y11</f>
        <v>30</v>
      </c>
      <c r="AA11" s="244" t="str">
        <f t="shared" ref="AA11" si="28">IF(AND(Z11&gt;=600,Z11&lt;=4000),"Nivel I: Riesgo Inaceptable",IF(AND(Z11&gt;=150,Z11&lt;=500),"Nivel II: Riesgo Importante",IF(AND(Z11&gt;=40,Z11&lt;=120),"Nivel III: Riesgo Moderado (Aceptable)","Nivel IV: Riesgo Tolerable (Aceptable)")))</f>
        <v>Nivel IV: Riesgo Tolerable (Aceptable)</v>
      </c>
      <c r="AB11" s="244">
        <v>13</v>
      </c>
      <c r="AC11" s="257"/>
      <c r="AD11" s="257"/>
      <c r="AE11" s="257"/>
      <c r="AF11" s="257"/>
      <c r="AG11" s="252"/>
      <c r="AH11" s="245" t="s">
        <v>424</v>
      </c>
      <c r="AI11" s="245" t="s">
        <v>424</v>
      </c>
      <c r="AJ11" s="245" t="s">
        <v>424</v>
      </c>
      <c r="AK11" s="245" t="s">
        <v>611</v>
      </c>
      <c r="AL11" s="262" t="s">
        <v>1575</v>
      </c>
      <c r="QF11" s="250"/>
    </row>
    <row r="12" spans="1:449 3529:3529" s="235" customFormat="1" ht="77.099999999999994" customHeight="1" x14ac:dyDescent="0.3">
      <c r="A12" s="259" t="s">
        <v>1474</v>
      </c>
      <c r="B12" s="244" t="s">
        <v>1475</v>
      </c>
      <c r="C12" s="244" t="s">
        <v>1461</v>
      </c>
      <c r="D12" s="247" t="s">
        <v>1586</v>
      </c>
      <c r="E12" s="247" t="s">
        <v>1587</v>
      </c>
      <c r="F12" s="244" t="s">
        <v>422</v>
      </c>
      <c r="G12" s="244" t="s">
        <v>1462</v>
      </c>
      <c r="H12" s="245" t="s">
        <v>407</v>
      </c>
      <c r="I12" s="244" t="s">
        <v>811</v>
      </c>
      <c r="J12" s="244" t="s">
        <v>612</v>
      </c>
      <c r="K12" s="244" t="s">
        <v>614</v>
      </c>
      <c r="L12" s="244" t="s">
        <v>529</v>
      </c>
      <c r="M12" s="244" t="s">
        <v>460</v>
      </c>
      <c r="N12" s="244" t="s">
        <v>469</v>
      </c>
      <c r="O12" s="245" t="s">
        <v>812</v>
      </c>
      <c r="P12" s="245" t="s">
        <v>606</v>
      </c>
      <c r="Q12" s="244" t="s">
        <v>891</v>
      </c>
      <c r="R12" s="244" t="s">
        <v>184</v>
      </c>
      <c r="S12" s="252">
        <f t="shared" si="0"/>
        <v>1</v>
      </c>
      <c r="T12" s="244" t="s">
        <v>186</v>
      </c>
      <c r="U12" s="253">
        <f t="shared" ref="U12" si="29">IF(T12="Continua",4,IF(T12="Frecuente",3,IF(T12="Ocasional",2,IF(T12="Esporádica",1,))))</f>
        <v>4</v>
      </c>
      <c r="V12" s="251">
        <f t="shared" ref="V12" si="30">S12*U12</f>
        <v>4</v>
      </c>
      <c r="W12" s="244" t="str">
        <f t="shared" si="21"/>
        <v>Bajo</v>
      </c>
      <c r="X12" s="244" t="s">
        <v>428</v>
      </c>
      <c r="Y12" s="253">
        <f t="shared" ref="Y12" si="31">IF(X12="Mortal o catastrófico",100,IF(X12="Muy grave",60,IF(X12="Grave",25,IF(X12="Leve",10,))))</f>
        <v>10</v>
      </c>
      <c r="Z12" s="251">
        <f t="shared" ref="Z12" si="32">V12*Y12</f>
        <v>40</v>
      </c>
      <c r="AA12" s="244" t="str">
        <f t="shared" ref="AA12" si="33">IF(AND(Z12&gt;=600,Z12&lt;=4000),"Nivel I: Riesgo Inaceptable",IF(AND(Z12&gt;=150,Z12&lt;=500),"Nivel II: Riesgo Importante",IF(AND(Z12&gt;=40,Z12&lt;=120),"Nivel III: Riesgo Moderado (Aceptable)","Nivel IV: Riesgo Tolerable (Aceptable)")))</f>
        <v>Nivel III: Riesgo Moderado (Aceptable)</v>
      </c>
      <c r="AB12" s="244">
        <v>13</v>
      </c>
      <c r="AC12" s="257"/>
      <c r="AD12" s="257"/>
      <c r="AE12" s="257"/>
      <c r="AF12" s="257"/>
      <c r="AG12" s="252"/>
      <c r="AH12" s="245" t="s">
        <v>424</v>
      </c>
      <c r="AI12" s="245" t="s">
        <v>424</v>
      </c>
      <c r="AJ12" s="245" t="s">
        <v>424</v>
      </c>
      <c r="AK12" s="245" t="s">
        <v>613</v>
      </c>
      <c r="AL12" s="261" t="s">
        <v>609</v>
      </c>
      <c r="QF12" s="250"/>
    </row>
    <row r="13" spans="1:449 3529:3529" s="235" customFormat="1" ht="77.099999999999994" customHeight="1" x14ac:dyDescent="0.3">
      <c r="A13" s="259" t="s">
        <v>1474</v>
      </c>
      <c r="B13" s="244" t="s">
        <v>1475</v>
      </c>
      <c r="C13" s="244" t="s">
        <v>1461</v>
      </c>
      <c r="D13" s="247" t="s">
        <v>1586</v>
      </c>
      <c r="E13" s="247" t="s">
        <v>1587</v>
      </c>
      <c r="F13" s="244" t="s">
        <v>422</v>
      </c>
      <c r="G13" s="244" t="s">
        <v>1462</v>
      </c>
      <c r="H13" s="245" t="s">
        <v>407</v>
      </c>
      <c r="I13" s="244" t="s">
        <v>355</v>
      </c>
      <c r="J13" s="244" t="s">
        <v>837</v>
      </c>
      <c r="K13" s="244" t="s">
        <v>472</v>
      </c>
      <c r="L13" s="244" t="s">
        <v>421</v>
      </c>
      <c r="M13" s="244" t="s">
        <v>460</v>
      </c>
      <c r="N13" s="244" t="s">
        <v>469</v>
      </c>
      <c r="O13" s="245" t="s">
        <v>606</v>
      </c>
      <c r="P13" s="245" t="s">
        <v>606</v>
      </c>
      <c r="Q13" s="244" t="s">
        <v>615</v>
      </c>
      <c r="R13" s="244" t="s">
        <v>184</v>
      </c>
      <c r="S13" s="252">
        <f t="shared" si="0"/>
        <v>1</v>
      </c>
      <c r="T13" s="244" t="s">
        <v>186</v>
      </c>
      <c r="U13" s="253">
        <f t="shared" ref="U13:U14" si="34">IF(T13="Continua",4,IF(T13="Frecuente",3,IF(T13="Ocasional",2,IF(T13="Esporádica",1,))))</f>
        <v>4</v>
      </c>
      <c r="V13" s="251">
        <f t="shared" ref="V13" si="35">S13*U13</f>
        <v>4</v>
      </c>
      <c r="W13" s="244" t="str">
        <f t="shared" si="21"/>
        <v>Bajo</v>
      </c>
      <c r="X13" s="244" t="s">
        <v>428</v>
      </c>
      <c r="Y13" s="253">
        <f t="shared" ref="Y13" si="36">IF(X13="Mortal o catastrófico",100,IF(X13="Muy grave",60,IF(X13="Grave",25,IF(X13="Leve",10,))))</f>
        <v>10</v>
      </c>
      <c r="Z13" s="251">
        <f t="shared" ref="Z13" si="37">V13*Y13</f>
        <v>40</v>
      </c>
      <c r="AA13" s="244" t="str">
        <f t="shared" ref="AA13" si="38">IF(AND(Z13&gt;=600,Z13&lt;=4000),"Nivel I: Riesgo Inaceptable",IF(AND(Z13&gt;=150,Z13&lt;=500),"Nivel II: Riesgo Importante",IF(AND(Z13&gt;=40,Z13&lt;=120),"Nivel III: Riesgo Moderado (Aceptable)","Nivel IV: Riesgo Tolerable (Aceptable)")))</f>
        <v>Nivel III: Riesgo Moderado (Aceptable)</v>
      </c>
      <c r="AB13" s="244">
        <v>13</v>
      </c>
      <c r="AC13" s="257"/>
      <c r="AD13" s="257"/>
      <c r="AE13" s="257"/>
      <c r="AF13" s="257"/>
      <c r="AG13" s="252"/>
      <c r="AH13" s="245" t="s">
        <v>424</v>
      </c>
      <c r="AI13" s="245" t="s">
        <v>424</v>
      </c>
      <c r="AJ13" s="245" t="s">
        <v>424</v>
      </c>
      <c r="AK13" s="245" t="s">
        <v>620</v>
      </c>
      <c r="AL13" s="261" t="s">
        <v>616</v>
      </c>
      <c r="QF13" s="250"/>
    </row>
    <row r="14" spans="1:449 3529:3529" s="235" customFormat="1" ht="125.25" customHeight="1" x14ac:dyDescent="0.3">
      <c r="A14" s="259" t="s">
        <v>1474</v>
      </c>
      <c r="B14" s="244" t="s">
        <v>1475</v>
      </c>
      <c r="C14" s="244" t="s">
        <v>1461</v>
      </c>
      <c r="D14" s="247" t="s">
        <v>1586</v>
      </c>
      <c r="E14" s="247" t="s">
        <v>1587</v>
      </c>
      <c r="F14" s="244" t="s">
        <v>422</v>
      </c>
      <c r="G14" s="244" t="s">
        <v>1462</v>
      </c>
      <c r="H14" s="245" t="s">
        <v>407</v>
      </c>
      <c r="I14" s="244" t="s">
        <v>299</v>
      </c>
      <c r="J14" s="244" t="s">
        <v>837</v>
      </c>
      <c r="K14" s="244" t="s">
        <v>472</v>
      </c>
      <c r="L14" s="244" t="s">
        <v>529</v>
      </c>
      <c r="M14" s="244" t="s">
        <v>460</v>
      </c>
      <c r="N14" s="244" t="s">
        <v>469</v>
      </c>
      <c r="O14" s="245" t="s">
        <v>423</v>
      </c>
      <c r="P14" s="245" t="s">
        <v>1482</v>
      </c>
      <c r="Q14" s="244" t="s">
        <v>1483</v>
      </c>
      <c r="R14" s="244" t="s">
        <v>184</v>
      </c>
      <c r="S14" s="252">
        <f t="shared" si="0"/>
        <v>1</v>
      </c>
      <c r="T14" s="244" t="s">
        <v>186</v>
      </c>
      <c r="U14" s="253">
        <f t="shared" si="34"/>
        <v>4</v>
      </c>
      <c r="V14" s="251">
        <f t="shared" ref="V14" si="39">S14*U14</f>
        <v>4</v>
      </c>
      <c r="W14" s="244" t="str">
        <f t="shared" si="21"/>
        <v>Bajo</v>
      </c>
      <c r="X14" s="244" t="s">
        <v>428</v>
      </c>
      <c r="Y14" s="253">
        <f t="shared" ref="Y14" si="40">IF(X14="Mortal o catastrófico",100,IF(X14="Muy grave",60,IF(X14="Grave",25,IF(X14="Leve",10,))))</f>
        <v>10</v>
      </c>
      <c r="Z14" s="251">
        <f t="shared" ref="Z14" si="41">V14*Y14</f>
        <v>40</v>
      </c>
      <c r="AA14" s="244" t="str">
        <f t="shared" ref="AA14" si="42">IF(AND(Z14&gt;=600,Z14&lt;=4000),"Nivel I: Riesgo Inaceptable",IF(AND(Z14&gt;=150,Z14&lt;=500),"Nivel II: Riesgo Importante",IF(AND(Z14&gt;=40,Z14&lt;=120),"Nivel III: Riesgo Moderado (Aceptable)","Nivel IV: Riesgo Tolerable (Aceptable)")))</f>
        <v>Nivel III: Riesgo Moderado (Aceptable)</v>
      </c>
      <c r="AB14" s="244">
        <v>13</v>
      </c>
      <c r="AC14" s="257"/>
      <c r="AD14" s="257"/>
      <c r="AE14" s="257"/>
      <c r="AF14" s="257"/>
      <c r="AG14" s="252"/>
      <c r="AH14" s="245" t="s">
        <v>424</v>
      </c>
      <c r="AI14" s="245" t="s">
        <v>424</v>
      </c>
      <c r="AJ14" s="245" t="s">
        <v>424</v>
      </c>
      <c r="AK14" s="244" t="s">
        <v>1484</v>
      </c>
      <c r="AL14" s="261" t="s">
        <v>1485</v>
      </c>
      <c r="QF14" s="250"/>
    </row>
    <row r="15" spans="1:449 3529:3529" s="235" customFormat="1" ht="77.099999999999994" customHeight="1" x14ac:dyDescent="0.3">
      <c r="A15" s="259" t="s">
        <v>1474</v>
      </c>
      <c r="B15" s="244" t="s">
        <v>1475</v>
      </c>
      <c r="C15" s="244" t="s">
        <v>1461</v>
      </c>
      <c r="D15" s="247" t="s">
        <v>1586</v>
      </c>
      <c r="E15" s="247" t="s">
        <v>1587</v>
      </c>
      <c r="F15" s="244" t="s">
        <v>461</v>
      </c>
      <c r="G15" s="244" t="s">
        <v>1462</v>
      </c>
      <c r="H15" s="245" t="s">
        <v>407</v>
      </c>
      <c r="I15" s="244" t="s">
        <v>452</v>
      </c>
      <c r="J15" s="244" t="s">
        <v>838</v>
      </c>
      <c r="K15" s="244" t="s">
        <v>478</v>
      </c>
      <c r="L15" s="244" t="s">
        <v>421</v>
      </c>
      <c r="M15" s="244" t="s">
        <v>460</v>
      </c>
      <c r="N15" s="244" t="s">
        <v>469</v>
      </c>
      <c r="O15" s="245" t="s">
        <v>606</v>
      </c>
      <c r="P15" s="245" t="s">
        <v>606</v>
      </c>
      <c r="Q15" s="244" t="s">
        <v>895</v>
      </c>
      <c r="R15" s="244" t="s">
        <v>184</v>
      </c>
      <c r="S15" s="252">
        <f t="shared" si="0"/>
        <v>1</v>
      </c>
      <c r="T15" s="244" t="s">
        <v>485</v>
      </c>
      <c r="U15" s="253">
        <f t="shared" ref="U15" si="43">IF(T15="Continua",4,IF(T15="Frecuente",3,IF(T15="Ocasional",2,IF(T15="Esporádica",1,))))</f>
        <v>1</v>
      </c>
      <c r="V15" s="251">
        <f t="shared" ref="V15" si="44">S15*U15</f>
        <v>1</v>
      </c>
      <c r="W15" s="244" t="str">
        <f t="shared" si="21"/>
        <v>Bajo</v>
      </c>
      <c r="X15" s="244" t="s">
        <v>428</v>
      </c>
      <c r="Y15" s="253">
        <f t="shared" ref="Y15" si="45">IF(X15="Mortal o catastrófico",100,IF(X15="Muy grave",60,IF(X15="Grave",25,IF(X15="Leve",10,))))</f>
        <v>10</v>
      </c>
      <c r="Z15" s="251">
        <f t="shared" ref="Z15" si="46">V15*Y15</f>
        <v>10</v>
      </c>
      <c r="AA15" s="244" t="str">
        <f t="shared" ref="AA15" si="47">IF(AND(Z15&gt;=600,Z15&lt;=4000),"Nivel I: Riesgo Inaceptable",IF(AND(Z15&gt;=150,Z15&lt;=500),"Nivel II: Riesgo Importante",IF(AND(Z15&gt;=40,Z15&lt;=120),"Nivel III: Riesgo Moderado (Aceptable)","Nivel IV: Riesgo Tolerable (Aceptable)")))</f>
        <v>Nivel IV: Riesgo Tolerable (Aceptable)</v>
      </c>
      <c r="AB15" s="244">
        <v>13</v>
      </c>
      <c r="AC15" s="257"/>
      <c r="AD15" s="257"/>
      <c r="AE15" s="257"/>
      <c r="AF15" s="257"/>
      <c r="AG15" s="252"/>
      <c r="AH15" s="245" t="s">
        <v>424</v>
      </c>
      <c r="AI15" s="245" t="s">
        <v>424</v>
      </c>
      <c r="AJ15" s="245" t="s">
        <v>424</v>
      </c>
      <c r="AK15" s="245" t="s">
        <v>817</v>
      </c>
      <c r="AL15" s="261" t="s">
        <v>618</v>
      </c>
      <c r="QF15" s="250"/>
    </row>
    <row r="16" spans="1:449 3529:3529" s="235" customFormat="1" ht="77.099999999999994" customHeight="1" x14ac:dyDescent="0.3">
      <c r="A16" s="259" t="s">
        <v>1474</v>
      </c>
      <c r="B16" s="244" t="s">
        <v>1475</v>
      </c>
      <c r="C16" s="244" t="s">
        <v>1461</v>
      </c>
      <c r="D16" s="247" t="s">
        <v>1586</v>
      </c>
      <c r="E16" s="247" t="s">
        <v>1587</v>
      </c>
      <c r="F16" s="244" t="s">
        <v>422</v>
      </c>
      <c r="G16" s="244" t="s">
        <v>1462</v>
      </c>
      <c r="H16" s="245" t="s">
        <v>408</v>
      </c>
      <c r="I16" s="244" t="s">
        <v>289</v>
      </c>
      <c r="J16" s="244" t="s">
        <v>839</v>
      </c>
      <c r="K16" s="244" t="s">
        <v>622</v>
      </c>
      <c r="L16" s="244" t="s">
        <v>421</v>
      </c>
      <c r="M16" s="244" t="s">
        <v>460</v>
      </c>
      <c r="N16" s="244" t="s">
        <v>469</v>
      </c>
      <c r="O16" s="245" t="s">
        <v>423</v>
      </c>
      <c r="P16" s="245" t="s">
        <v>423</v>
      </c>
      <c r="Q16" s="244" t="s">
        <v>896</v>
      </c>
      <c r="R16" s="244" t="s">
        <v>184</v>
      </c>
      <c r="S16" s="252">
        <f t="shared" si="0"/>
        <v>1</v>
      </c>
      <c r="T16" s="244" t="s">
        <v>186</v>
      </c>
      <c r="U16" s="253">
        <f t="shared" ref="U16" si="48">IF(T16="Continua",4,IF(T16="Frecuente",3,IF(T16="Ocasional",2,IF(T16="Esporádica",1,))))</f>
        <v>4</v>
      </c>
      <c r="V16" s="251">
        <f t="shared" ref="V16" si="49">S16*U16</f>
        <v>4</v>
      </c>
      <c r="W16" s="244" t="str">
        <f t="shared" si="21"/>
        <v>Bajo</v>
      </c>
      <c r="X16" s="244" t="s">
        <v>428</v>
      </c>
      <c r="Y16" s="253">
        <f t="shared" ref="Y16" si="50">IF(X16="Mortal o catastrófico",100,IF(X16="Muy grave",60,IF(X16="Grave",25,IF(X16="Leve",10,))))</f>
        <v>10</v>
      </c>
      <c r="Z16" s="251">
        <f t="shared" ref="Z16" si="51">V16*Y16</f>
        <v>40</v>
      </c>
      <c r="AA16" s="244" t="str">
        <f t="shared" ref="AA16" si="52">IF(AND(Z16&gt;=600,Z16&lt;=4000),"Nivel I: Riesgo Inaceptable",IF(AND(Z16&gt;=150,Z16&lt;=500),"Nivel II: Riesgo Importante",IF(AND(Z16&gt;=40,Z16&lt;=120),"Nivel III: Riesgo Moderado (Aceptable)","Nivel IV: Riesgo Tolerable (Aceptable)")))</f>
        <v>Nivel III: Riesgo Moderado (Aceptable)</v>
      </c>
      <c r="AB16" s="244">
        <v>13</v>
      </c>
      <c r="AC16" s="257"/>
      <c r="AD16" s="257"/>
      <c r="AE16" s="257"/>
      <c r="AF16" s="257"/>
      <c r="AG16" s="252"/>
      <c r="AH16" s="245" t="s">
        <v>424</v>
      </c>
      <c r="AI16" s="245" t="s">
        <v>424</v>
      </c>
      <c r="AJ16" s="245" t="s">
        <v>424</v>
      </c>
      <c r="AK16" s="245" t="s">
        <v>484</v>
      </c>
      <c r="AL16" s="260" t="s">
        <v>491</v>
      </c>
      <c r="QF16" s="250"/>
    </row>
    <row r="17" spans="1:449 3529:3529" s="235" customFormat="1" ht="77.099999999999994" customHeight="1" x14ac:dyDescent="0.3">
      <c r="A17" s="259" t="s">
        <v>1474</v>
      </c>
      <c r="B17" s="244" t="s">
        <v>1475</v>
      </c>
      <c r="C17" s="244" t="s">
        <v>1461</v>
      </c>
      <c r="D17" s="247" t="s">
        <v>1586</v>
      </c>
      <c r="E17" s="247" t="s">
        <v>1587</v>
      </c>
      <c r="F17" s="244" t="s">
        <v>422</v>
      </c>
      <c r="G17" s="244" t="s">
        <v>1462</v>
      </c>
      <c r="H17" s="245" t="s">
        <v>434</v>
      </c>
      <c r="I17" s="244" t="s">
        <v>283</v>
      </c>
      <c r="J17" s="244" t="s">
        <v>840</v>
      </c>
      <c r="K17" s="244" t="s">
        <v>570</v>
      </c>
      <c r="L17" s="244" t="s">
        <v>421</v>
      </c>
      <c r="M17" s="244" t="s">
        <v>460</v>
      </c>
      <c r="N17" s="244" t="s">
        <v>469</v>
      </c>
      <c r="O17" s="245" t="s">
        <v>423</v>
      </c>
      <c r="P17" s="245" t="s">
        <v>423</v>
      </c>
      <c r="Q17" s="244" t="s">
        <v>897</v>
      </c>
      <c r="R17" s="244" t="s">
        <v>184</v>
      </c>
      <c r="S17" s="252">
        <f t="shared" si="0"/>
        <v>1</v>
      </c>
      <c r="T17" s="244" t="s">
        <v>186</v>
      </c>
      <c r="U17" s="253">
        <f t="shared" ref="U17" si="53">IF(T17="Continua",4,IF(T17="Frecuente",3,IF(T17="Ocasional",2,IF(T17="Esporádica",1,))))</f>
        <v>4</v>
      </c>
      <c r="V17" s="251">
        <f t="shared" ref="V17" si="54">S17*U17</f>
        <v>4</v>
      </c>
      <c r="W17" s="244" t="str">
        <f t="shared" si="21"/>
        <v>Bajo</v>
      </c>
      <c r="X17" s="244" t="s">
        <v>428</v>
      </c>
      <c r="Y17" s="253">
        <f t="shared" ref="Y17" si="55">IF(X17="Mortal o catastrófico",100,IF(X17="Muy grave",60,IF(X17="Grave",25,IF(X17="Leve",10,))))</f>
        <v>10</v>
      </c>
      <c r="Z17" s="251">
        <f t="shared" ref="Z17" si="56">V17*Y17</f>
        <v>40</v>
      </c>
      <c r="AA17" s="244" t="str">
        <f t="shared" ref="AA17" si="57">IF(AND(Z17&gt;=600,Z17&lt;=4000),"Nivel I: Riesgo Inaceptable",IF(AND(Z17&gt;=150,Z17&lt;=500),"Nivel II: Riesgo Importante",IF(AND(Z17&gt;=40,Z17&lt;=120),"Nivel III: Riesgo Moderado (Aceptable)","Nivel IV: Riesgo Tolerable (Aceptable)")))</f>
        <v>Nivel III: Riesgo Moderado (Aceptable)</v>
      </c>
      <c r="AB17" s="244">
        <v>15</v>
      </c>
      <c r="AC17" s="257"/>
      <c r="AD17" s="257"/>
      <c r="AE17" s="257"/>
      <c r="AF17" s="257"/>
      <c r="AG17" s="252"/>
      <c r="AH17" s="245" t="s">
        <v>424</v>
      </c>
      <c r="AI17" s="245" t="s">
        <v>424</v>
      </c>
      <c r="AJ17" s="245" t="s">
        <v>424</v>
      </c>
      <c r="AK17" s="245" t="s">
        <v>585</v>
      </c>
      <c r="AL17" s="260" t="s">
        <v>600</v>
      </c>
      <c r="QF17" s="250"/>
    </row>
    <row r="18" spans="1:449 3529:3529" s="235" customFormat="1" ht="96" customHeight="1" x14ac:dyDescent="0.3">
      <c r="A18" s="259" t="s">
        <v>1474</v>
      </c>
      <c r="B18" s="244" t="s">
        <v>1475</v>
      </c>
      <c r="C18" s="244" t="s">
        <v>1461</v>
      </c>
      <c r="D18" s="247" t="s">
        <v>1586</v>
      </c>
      <c r="E18" s="247" t="s">
        <v>1587</v>
      </c>
      <c r="F18" s="244" t="s">
        <v>422</v>
      </c>
      <c r="G18" s="244" t="s">
        <v>1462</v>
      </c>
      <c r="H18" s="245" t="s">
        <v>434</v>
      </c>
      <c r="I18" s="244" t="s">
        <v>430</v>
      </c>
      <c r="J18" s="244" t="s">
        <v>841</v>
      </c>
      <c r="K18" s="244" t="s">
        <v>623</v>
      </c>
      <c r="L18" s="244" t="s">
        <v>421</v>
      </c>
      <c r="M18" s="244" t="s">
        <v>460</v>
      </c>
      <c r="N18" s="244" t="s">
        <v>469</v>
      </c>
      <c r="O18" s="245" t="s">
        <v>423</v>
      </c>
      <c r="P18" s="245" t="s">
        <v>423</v>
      </c>
      <c r="Q18" s="244" t="s">
        <v>894</v>
      </c>
      <c r="R18" s="244" t="s">
        <v>184</v>
      </c>
      <c r="S18" s="252">
        <f t="shared" si="0"/>
        <v>1</v>
      </c>
      <c r="T18" s="244" t="s">
        <v>186</v>
      </c>
      <c r="U18" s="253">
        <f t="shared" ref="U18" si="58">IF(T18="Continua",4,IF(T18="Frecuente",3,IF(T18="Ocasional",2,IF(T18="Esporádica",1,))))</f>
        <v>4</v>
      </c>
      <c r="V18" s="251">
        <f t="shared" ref="V18" si="59">S18*U18</f>
        <v>4</v>
      </c>
      <c r="W18" s="244" t="str">
        <f t="shared" si="21"/>
        <v>Bajo</v>
      </c>
      <c r="X18" s="244" t="s">
        <v>428</v>
      </c>
      <c r="Y18" s="253">
        <f t="shared" ref="Y18" si="60">IF(X18="Mortal o catastrófico",100,IF(X18="Muy grave",60,IF(X18="Grave",25,IF(X18="Leve",10,))))</f>
        <v>10</v>
      </c>
      <c r="Z18" s="251">
        <f t="shared" ref="Z18" si="61">V18*Y18</f>
        <v>40</v>
      </c>
      <c r="AA18" s="244" t="str">
        <f t="shared" ref="AA18" si="62">IF(AND(Z18&gt;=600,Z18&lt;=4000),"Nivel I: Riesgo Inaceptable",IF(AND(Z18&gt;=150,Z18&lt;=500),"Nivel II: Riesgo Importante",IF(AND(Z18&gt;=40,Z18&lt;=120),"Nivel III: Riesgo Moderado (Aceptable)","Nivel IV: Riesgo Tolerable (Aceptable)")))</f>
        <v>Nivel III: Riesgo Moderado (Aceptable)</v>
      </c>
      <c r="AB18" s="244">
        <v>13</v>
      </c>
      <c r="AC18" s="257"/>
      <c r="AD18" s="257"/>
      <c r="AE18" s="257"/>
      <c r="AF18" s="257"/>
      <c r="AG18" s="252"/>
      <c r="AH18" s="245" t="s">
        <v>424</v>
      </c>
      <c r="AI18" s="245" t="s">
        <v>424</v>
      </c>
      <c r="AJ18" s="245" t="s">
        <v>424</v>
      </c>
      <c r="AK18" s="245" t="s">
        <v>842</v>
      </c>
      <c r="AL18" s="260" t="s">
        <v>600</v>
      </c>
      <c r="QF18" s="250"/>
    </row>
    <row r="19" spans="1:449 3529:3529" s="235" customFormat="1" ht="77.099999999999994" customHeight="1" x14ac:dyDescent="0.3">
      <c r="A19" s="259" t="s">
        <v>1474</v>
      </c>
      <c r="B19" s="244" t="s">
        <v>1475</v>
      </c>
      <c r="C19" s="244" t="s">
        <v>1461</v>
      </c>
      <c r="D19" s="247" t="s">
        <v>1586</v>
      </c>
      <c r="E19" s="247" t="s">
        <v>1587</v>
      </c>
      <c r="F19" s="244" t="s">
        <v>422</v>
      </c>
      <c r="G19" s="244" t="s">
        <v>1462</v>
      </c>
      <c r="H19" s="245" t="s">
        <v>409</v>
      </c>
      <c r="I19" s="244" t="s">
        <v>294</v>
      </c>
      <c r="J19" s="244" t="s">
        <v>843</v>
      </c>
      <c r="K19" s="244" t="s">
        <v>572</v>
      </c>
      <c r="L19" s="244" t="s">
        <v>421</v>
      </c>
      <c r="M19" s="244" t="s">
        <v>460</v>
      </c>
      <c r="N19" s="244" t="s">
        <v>469</v>
      </c>
      <c r="O19" s="245" t="s">
        <v>423</v>
      </c>
      <c r="P19" s="245" t="s">
        <v>423</v>
      </c>
      <c r="Q19" s="244" t="s">
        <v>894</v>
      </c>
      <c r="R19" s="244" t="s">
        <v>184</v>
      </c>
      <c r="S19" s="252">
        <f t="shared" si="0"/>
        <v>1</v>
      </c>
      <c r="T19" s="244" t="s">
        <v>429</v>
      </c>
      <c r="U19" s="253">
        <f t="shared" ref="U19" si="63">IF(T19="Continua",4,IF(T19="Frecuente",3,IF(T19="Ocasional",2,IF(T19="Esporádica",1,))))</f>
        <v>2</v>
      </c>
      <c r="V19" s="251">
        <f t="shared" ref="V19" si="64">S19*U19</f>
        <v>2</v>
      </c>
      <c r="W19" s="244" t="str">
        <f t="shared" si="21"/>
        <v>Bajo</v>
      </c>
      <c r="X19" s="244" t="s">
        <v>428</v>
      </c>
      <c r="Y19" s="253">
        <f t="shared" ref="Y19" si="65">IF(X19="Mortal o catastrófico",100,IF(X19="Muy grave",60,IF(X19="Grave",25,IF(X19="Leve",10,))))</f>
        <v>10</v>
      </c>
      <c r="Z19" s="251">
        <f t="shared" ref="Z19" si="66">V19*Y19</f>
        <v>20</v>
      </c>
      <c r="AA19" s="244" t="str">
        <f t="shared" ref="AA19" si="67">IF(AND(Z19&gt;=600,Z19&lt;=4000),"Nivel I: Riesgo Inaceptable",IF(AND(Z19&gt;=150,Z19&lt;=500),"Nivel II: Riesgo Importante",IF(AND(Z19&gt;=40,Z19&lt;=120),"Nivel III: Riesgo Moderado (Aceptable)","Nivel IV: Riesgo Tolerable (Aceptable)")))</f>
        <v>Nivel IV: Riesgo Tolerable (Aceptable)</v>
      </c>
      <c r="AB19" s="244">
        <v>13</v>
      </c>
      <c r="AC19" s="257"/>
      <c r="AD19" s="257"/>
      <c r="AE19" s="257"/>
      <c r="AF19" s="257"/>
      <c r="AG19" s="252"/>
      <c r="AH19" s="245" t="s">
        <v>424</v>
      </c>
      <c r="AI19" s="245" t="s">
        <v>424</v>
      </c>
      <c r="AJ19" s="245" t="s">
        <v>424</v>
      </c>
      <c r="AK19" s="245" t="s">
        <v>844</v>
      </c>
      <c r="AL19" s="260" t="s">
        <v>600</v>
      </c>
      <c r="QF19" s="250"/>
    </row>
    <row r="20" spans="1:449 3529:3529" s="235" customFormat="1" ht="77.099999999999994" customHeight="1" x14ac:dyDescent="0.3">
      <c r="A20" s="259" t="s">
        <v>1474</v>
      </c>
      <c r="B20" s="244" t="s">
        <v>1475</v>
      </c>
      <c r="C20" s="244" t="s">
        <v>1461</v>
      </c>
      <c r="D20" s="247" t="s">
        <v>1586</v>
      </c>
      <c r="E20" s="247" t="s">
        <v>1587</v>
      </c>
      <c r="F20" s="244" t="s">
        <v>422</v>
      </c>
      <c r="G20" s="244" t="s">
        <v>1462</v>
      </c>
      <c r="H20" s="245" t="s">
        <v>410</v>
      </c>
      <c r="I20" s="244" t="s">
        <v>347</v>
      </c>
      <c r="J20" s="244" t="s">
        <v>845</v>
      </c>
      <c r="K20" s="244" t="s">
        <v>588</v>
      </c>
      <c r="L20" s="244" t="s">
        <v>421</v>
      </c>
      <c r="M20" s="244" t="s">
        <v>459</v>
      </c>
      <c r="N20" s="244" t="s">
        <v>469</v>
      </c>
      <c r="O20" s="245" t="s">
        <v>624</v>
      </c>
      <c r="P20" s="245" t="s">
        <v>489</v>
      </c>
      <c r="Q20" s="244" t="s">
        <v>894</v>
      </c>
      <c r="R20" s="244" t="s">
        <v>184</v>
      </c>
      <c r="S20" s="252">
        <f t="shared" si="0"/>
        <v>1</v>
      </c>
      <c r="T20" s="244" t="s">
        <v>186</v>
      </c>
      <c r="U20" s="253">
        <f t="shared" ref="U20" si="68">IF(T20="Continua",4,IF(T20="Frecuente",3,IF(T20="Ocasional",2,IF(T20="Esporádica",1,))))</f>
        <v>4</v>
      </c>
      <c r="V20" s="251">
        <f t="shared" ref="V20" si="69">S20*U20</f>
        <v>4</v>
      </c>
      <c r="W20" s="244" t="str">
        <f t="shared" si="21"/>
        <v>Bajo</v>
      </c>
      <c r="X20" s="244" t="s">
        <v>187</v>
      </c>
      <c r="Y20" s="253">
        <f t="shared" ref="Y20" si="70">IF(X20="Mortal o catastrófico",100,IF(X20="Muy grave",60,IF(X20="Grave",25,IF(X20="Leve",10,))))</f>
        <v>25</v>
      </c>
      <c r="Z20" s="251">
        <f t="shared" ref="Z20" si="71">V20*Y20</f>
        <v>100</v>
      </c>
      <c r="AA20" s="244" t="str">
        <f t="shared" ref="AA20" si="72">IF(AND(Z20&gt;=600,Z20&lt;=4000),"Nivel I: Riesgo Inaceptable",IF(AND(Z20&gt;=150,Z20&lt;=500),"Nivel II: Riesgo Importante",IF(AND(Z20&gt;=40,Z20&lt;=120),"Nivel III: Riesgo Moderado (Aceptable)","Nivel IV: Riesgo Tolerable (Aceptable)")))</f>
        <v>Nivel III: Riesgo Moderado (Aceptable)</v>
      </c>
      <c r="AB20" s="244">
        <v>13</v>
      </c>
      <c r="AC20" s="257"/>
      <c r="AD20" s="257"/>
      <c r="AE20" s="257"/>
      <c r="AF20" s="257"/>
      <c r="AG20" s="252"/>
      <c r="AH20" s="245" t="s">
        <v>424</v>
      </c>
      <c r="AI20" s="245" t="s">
        <v>424</v>
      </c>
      <c r="AJ20" s="245" t="s">
        <v>424</v>
      </c>
      <c r="AK20" s="245" t="s">
        <v>589</v>
      </c>
      <c r="AL20" s="260" t="s">
        <v>446</v>
      </c>
      <c r="QF20" s="250"/>
    </row>
    <row r="21" spans="1:449 3529:3529" s="235" customFormat="1" ht="77.099999999999994" customHeight="1" x14ac:dyDescent="0.3">
      <c r="A21" s="259" t="s">
        <v>1474</v>
      </c>
      <c r="B21" s="244" t="s">
        <v>1475</v>
      </c>
      <c r="C21" s="244" t="s">
        <v>1461</v>
      </c>
      <c r="D21" s="247" t="s">
        <v>1586</v>
      </c>
      <c r="E21" s="247" t="s">
        <v>1587</v>
      </c>
      <c r="F21" s="244" t="s">
        <v>422</v>
      </c>
      <c r="G21" s="244" t="s">
        <v>1462</v>
      </c>
      <c r="H21" s="245" t="s">
        <v>414</v>
      </c>
      <c r="I21" s="244" t="s">
        <v>578</v>
      </c>
      <c r="J21" s="244" t="s">
        <v>846</v>
      </c>
      <c r="K21" s="244" t="s">
        <v>431</v>
      </c>
      <c r="L21" s="244" t="s">
        <v>421</v>
      </c>
      <c r="M21" s="244" t="s">
        <v>459</v>
      </c>
      <c r="N21" s="244" t="s">
        <v>469</v>
      </c>
      <c r="O21" s="245" t="s">
        <v>624</v>
      </c>
      <c r="P21" s="245" t="s">
        <v>423</v>
      </c>
      <c r="Q21" s="244" t="s">
        <v>889</v>
      </c>
      <c r="R21" s="244" t="s">
        <v>184</v>
      </c>
      <c r="S21" s="252">
        <f t="shared" si="0"/>
        <v>1</v>
      </c>
      <c r="T21" s="244" t="s">
        <v>186</v>
      </c>
      <c r="U21" s="253">
        <f t="shared" ref="U21" si="73">IF(T21="Continua",4,IF(T21="Frecuente",3,IF(T21="Ocasional",2,IF(T21="Esporádica",1,))))</f>
        <v>4</v>
      </c>
      <c r="V21" s="251">
        <f t="shared" ref="V21" si="74">S21*U21</f>
        <v>4</v>
      </c>
      <c r="W21" s="244" t="str">
        <f t="shared" si="21"/>
        <v>Bajo</v>
      </c>
      <c r="X21" s="244" t="s">
        <v>187</v>
      </c>
      <c r="Y21" s="253">
        <f t="shared" ref="Y21" si="75">IF(X21="Mortal o catastrófico",100,IF(X21="Muy grave",60,IF(X21="Grave",25,IF(X21="Leve",10,))))</f>
        <v>25</v>
      </c>
      <c r="Z21" s="251">
        <f t="shared" ref="Z21" si="76">V21*Y21</f>
        <v>100</v>
      </c>
      <c r="AA21" s="244" t="str">
        <f t="shared" ref="AA21" si="77">IF(AND(Z21&gt;=600,Z21&lt;=4000),"Nivel I: Riesgo Inaceptable",IF(AND(Z21&gt;=150,Z21&lt;=500),"Nivel II: Riesgo Importante",IF(AND(Z21&gt;=40,Z21&lt;=120),"Nivel III: Riesgo Moderado (Aceptable)","Nivel IV: Riesgo Tolerable (Aceptable)")))</f>
        <v>Nivel III: Riesgo Moderado (Aceptable)</v>
      </c>
      <c r="AB21" s="244">
        <v>13</v>
      </c>
      <c r="AC21" s="257"/>
      <c r="AD21" s="257"/>
      <c r="AE21" s="257"/>
      <c r="AF21" s="257"/>
      <c r="AG21" s="252"/>
      <c r="AH21" s="245" t="s">
        <v>424</v>
      </c>
      <c r="AI21" s="245" t="s">
        <v>424</v>
      </c>
      <c r="AJ21" s="245" t="s">
        <v>424</v>
      </c>
      <c r="AK21" s="245" t="s">
        <v>847</v>
      </c>
      <c r="AL21" s="260" t="s">
        <v>446</v>
      </c>
      <c r="QF21" s="250"/>
    </row>
    <row r="22" spans="1:449 3529:3529" s="235" customFormat="1" ht="77.099999999999994" customHeight="1" x14ac:dyDescent="0.3">
      <c r="A22" s="259" t="s">
        <v>1474</v>
      </c>
      <c r="B22" s="244" t="s">
        <v>1475</v>
      </c>
      <c r="C22" s="244" t="s">
        <v>1461</v>
      </c>
      <c r="D22" s="247" t="s">
        <v>1586</v>
      </c>
      <c r="E22" s="247" t="s">
        <v>1587</v>
      </c>
      <c r="F22" s="244" t="s">
        <v>422</v>
      </c>
      <c r="G22" s="244" t="s">
        <v>1462</v>
      </c>
      <c r="H22" s="245" t="s">
        <v>414</v>
      </c>
      <c r="I22" s="244" t="s">
        <v>359</v>
      </c>
      <c r="J22" s="244" t="s">
        <v>846</v>
      </c>
      <c r="K22" s="244" t="s">
        <v>446</v>
      </c>
      <c r="L22" s="244" t="s">
        <v>421</v>
      </c>
      <c r="M22" s="244" t="s">
        <v>460</v>
      </c>
      <c r="N22" s="244" t="s">
        <v>469</v>
      </c>
      <c r="O22" s="245" t="s">
        <v>423</v>
      </c>
      <c r="P22" s="245" t="s">
        <v>423</v>
      </c>
      <c r="Q22" s="244" t="s">
        <v>889</v>
      </c>
      <c r="R22" s="244" t="s">
        <v>184</v>
      </c>
      <c r="S22" s="252">
        <f t="shared" si="0"/>
        <v>1</v>
      </c>
      <c r="T22" s="244" t="s">
        <v>186</v>
      </c>
      <c r="U22" s="253">
        <f t="shared" ref="U22" si="78">IF(T22="Continua",4,IF(T22="Frecuente",3,IF(T22="Ocasional",2,IF(T22="Esporádica",1,))))</f>
        <v>4</v>
      </c>
      <c r="V22" s="251">
        <f t="shared" ref="V22" si="79">S22*U22</f>
        <v>4</v>
      </c>
      <c r="W22" s="244" t="str">
        <f t="shared" si="21"/>
        <v>Bajo</v>
      </c>
      <c r="X22" s="244" t="s">
        <v>187</v>
      </c>
      <c r="Y22" s="253">
        <f t="shared" ref="Y22" si="80">IF(X22="Mortal o catastrófico",100,IF(X22="Muy grave",60,IF(X22="Grave",25,IF(X22="Leve",10,))))</f>
        <v>25</v>
      </c>
      <c r="Z22" s="251">
        <f t="shared" ref="Z22" si="81">V22*Y22</f>
        <v>100</v>
      </c>
      <c r="AA22" s="244" t="str">
        <f t="shared" ref="AA22" si="82">IF(AND(Z22&gt;=600,Z22&lt;=4000),"Nivel I: Riesgo Inaceptable",IF(AND(Z22&gt;=150,Z22&lt;=500),"Nivel II: Riesgo Importante",IF(AND(Z22&gt;=40,Z22&lt;=120),"Nivel III: Riesgo Moderado (Aceptable)","Nivel IV: Riesgo Tolerable (Aceptable)")))</f>
        <v>Nivel III: Riesgo Moderado (Aceptable)</v>
      </c>
      <c r="AB22" s="244">
        <v>13</v>
      </c>
      <c r="AC22" s="257"/>
      <c r="AD22" s="257"/>
      <c r="AE22" s="257"/>
      <c r="AF22" s="257"/>
      <c r="AG22" s="252"/>
      <c r="AH22" s="245" t="s">
        <v>424</v>
      </c>
      <c r="AI22" s="245" t="s">
        <v>424</v>
      </c>
      <c r="AJ22" s="245" t="s">
        <v>424</v>
      </c>
      <c r="AK22" s="245" t="s">
        <v>848</v>
      </c>
      <c r="AL22" s="260" t="s">
        <v>446</v>
      </c>
      <c r="QF22" s="250"/>
    </row>
    <row r="23" spans="1:449 3529:3529" s="235" customFormat="1" ht="77.099999999999994" customHeight="1" x14ac:dyDescent="0.3">
      <c r="A23" s="259" t="s">
        <v>1474</v>
      </c>
      <c r="B23" s="244" t="s">
        <v>1475</v>
      </c>
      <c r="C23" s="244" t="s">
        <v>1461</v>
      </c>
      <c r="D23" s="247" t="s">
        <v>1586</v>
      </c>
      <c r="E23" s="247" t="s">
        <v>1587</v>
      </c>
      <c r="F23" s="244" t="s">
        <v>422</v>
      </c>
      <c r="G23" s="244" t="s">
        <v>1462</v>
      </c>
      <c r="H23" s="245" t="s">
        <v>412</v>
      </c>
      <c r="I23" s="244" t="s">
        <v>714</v>
      </c>
      <c r="J23" s="244" t="s">
        <v>626</v>
      </c>
      <c r="K23" s="244" t="s">
        <v>625</v>
      </c>
      <c r="L23" s="244" t="s">
        <v>421</v>
      </c>
      <c r="M23" s="244" t="s">
        <v>460</v>
      </c>
      <c r="N23" s="244" t="s">
        <v>469</v>
      </c>
      <c r="O23" s="245" t="s">
        <v>423</v>
      </c>
      <c r="P23" s="245" t="s">
        <v>423</v>
      </c>
      <c r="Q23" s="244" t="s">
        <v>898</v>
      </c>
      <c r="R23" s="244" t="s">
        <v>184</v>
      </c>
      <c r="S23" s="252">
        <f t="shared" si="0"/>
        <v>1</v>
      </c>
      <c r="T23" s="244" t="s">
        <v>186</v>
      </c>
      <c r="U23" s="253">
        <f t="shared" ref="U23" si="83">IF(T23="Continua",4,IF(T23="Frecuente",3,IF(T23="Ocasional",2,IF(T23="Esporádica",1,))))</f>
        <v>4</v>
      </c>
      <c r="V23" s="251">
        <f t="shared" ref="V23" si="84">S23*U23</f>
        <v>4</v>
      </c>
      <c r="W23" s="244" t="str">
        <f t="shared" si="21"/>
        <v>Bajo</v>
      </c>
      <c r="X23" s="244" t="s">
        <v>187</v>
      </c>
      <c r="Y23" s="253">
        <f t="shared" ref="Y23" si="85">IF(X23="Mortal o catastrófico",100,IF(X23="Muy grave",60,IF(X23="Grave",25,IF(X23="Leve",10,))))</f>
        <v>25</v>
      </c>
      <c r="Z23" s="251">
        <f t="shared" ref="Z23" si="86">V23*Y23</f>
        <v>100</v>
      </c>
      <c r="AA23" s="244" t="str">
        <f t="shared" ref="AA23" si="87">IF(AND(Z23&gt;=600,Z23&lt;=4000),"Nivel I: Riesgo Inaceptable",IF(AND(Z23&gt;=150,Z23&lt;=500),"Nivel II: Riesgo Importante",IF(AND(Z23&gt;=40,Z23&lt;=120),"Nivel III: Riesgo Moderado (Aceptable)","Nivel IV: Riesgo Tolerable (Aceptable)")))</f>
        <v>Nivel III: Riesgo Moderado (Aceptable)</v>
      </c>
      <c r="AB23" s="244">
        <v>13</v>
      </c>
      <c r="AC23" s="257"/>
      <c r="AD23" s="257"/>
      <c r="AE23" s="257"/>
      <c r="AF23" s="257"/>
      <c r="AG23" s="252"/>
      <c r="AH23" s="245" t="s">
        <v>424</v>
      </c>
      <c r="AI23" s="245" t="s">
        <v>424</v>
      </c>
      <c r="AJ23" s="245" t="s">
        <v>691</v>
      </c>
      <c r="AK23" s="245" t="s">
        <v>825</v>
      </c>
      <c r="AL23" s="260" t="s">
        <v>515</v>
      </c>
      <c r="QF23" s="250"/>
    </row>
    <row r="24" spans="1:449 3529:3529" s="235" customFormat="1" ht="77.099999999999994" customHeight="1" x14ac:dyDescent="0.3">
      <c r="A24" s="259" t="s">
        <v>1474</v>
      </c>
      <c r="B24" s="244" t="s">
        <v>1475</v>
      </c>
      <c r="C24" s="244" t="s">
        <v>1461</v>
      </c>
      <c r="D24" s="247" t="s">
        <v>1586</v>
      </c>
      <c r="E24" s="247" t="s">
        <v>1587</v>
      </c>
      <c r="F24" s="244" t="s">
        <v>461</v>
      </c>
      <c r="G24" s="244" t="s">
        <v>1462</v>
      </c>
      <c r="H24" s="245" t="s">
        <v>1452</v>
      </c>
      <c r="I24" s="244" t="s">
        <v>1380</v>
      </c>
      <c r="J24" s="244" t="s">
        <v>1442</v>
      </c>
      <c r="K24" s="244" t="s">
        <v>602</v>
      </c>
      <c r="L24" s="244" t="s">
        <v>421</v>
      </c>
      <c r="M24" s="244" t="s">
        <v>460</v>
      </c>
      <c r="N24" s="244" t="s">
        <v>469</v>
      </c>
      <c r="O24" s="245" t="s">
        <v>423</v>
      </c>
      <c r="P24" s="245" t="s">
        <v>423</v>
      </c>
      <c r="Q24" s="244" t="s">
        <v>885</v>
      </c>
      <c r="R24" s="244" t="s">
        <v>184</v>
      </c>
      <c r="S24" s="252">
        <f t="shared" si="0"/>
        <v>1</v>
      </c>
      <c r="T24" s="244" t="s">
        <v>485</v>
      </c>
      <c r="U24" s="253">
        <f t="shared" ref="U24" si="88">IF(T24="Continua",4,IF(T24="Frecuente",3,IF(T24="Ocasional",2,IF(T24="Esporádica",1,))))</f>
        <v>1</v>
      </c>
      <c r="V24" s="251">
        <f t="shared" ref="V24" si="89">S24*U24</f>
        <v>1</v>
      </c>
      <c r="W24" s="244" t="str">
        <f t="shared" si="21"/>
        <v>Bajo</v>
      </c>
      <c r="X24" s="244" t="s">
        <v>428</v>
      </c>
      <c r="Y24" s="253">
        <f t="shared" ref="Y24" si="90">IF(X24="Mortal o catastrófico",100,IF(X24="Muy grave",60,IF(X24="Grave",25,IF(X24="Leve",10,))))</f>
        <v>10</v>
      </c>
      <c r="Z24" s="251">
        <f t="shared" ref="Z24" si="91">V24*Y24</f>
        <v>10</v>
      </c>
      <c r="AA24" s="244" t="str">
        <f t="shared" ref="AA24" si="92">IF(AND(Z24&gt;=600,Z24&lt;=4000),"Nivel I: Riesgo Inaceptable",IF(AND(Z24&gt;=150,Z24&lt;=500),"Nivel II: Riesgo Importante",IF(AND(Z24&gt;=40,Z24&lt;=120),"Nivel III: Riesgo Moderado (Aceptable)","Nivel IV: Riesgo Tolerable (Aceptable)")))</f>
        <v>Nivel IV: Riesgo Tolerable (Aceptable)</v>
      </c>
      <c r="AB24" s="244">
        <v>13</v>
      </c>
      <c r="AC24" s="257"/>
      <c r="AD24" s="257"/>
      <c r="AE24" s="257"/>
      <c r="AF24" s="257"/>
      <c r="AG24" s="252"/>
      <c r="AH24" s="245" t="s">
        <v>424</v>
      </c>
      <c r="AI24" s="245" t="s">
        <v>424</v>
      </c>
      <c r="AJ24" s="245" t="s">
        <v>424</v>
      </c>
      <c r="AK24" s="245" t="s">
        <v>826</v>
      </c>
      <c r="AL24" s="260" t="s">
        <v>600</v>
      </c>
      <c r="QF24" s="250"/>
    </row>
    <row r="25" spans="1:449 3529:3529" s="235" customFormat="1" ht="77.099999999999994" customHeight="1" x14ac:dyDescent="0.3">
      <c r="A25" s="259" t="s">
        <v>1474</v>
      </c>
      <c r="B25" s="244" t="s">
        <v>1475</v>
      </c>
      <c r="C25" s="244" t="s">
        <v>1461</v>
      </c>
      <c r="D25" s="247" t="s">
        <v>1586</v>
      </c>
      <c r="E25" s="247" t="s">
        <v>1587</v>
      </c>
      <c r="F25" s="244" t="s">
        <v>422</v>
      </c>
      <c r="G25" s="244" t="s">
        <v>1462</v>
      </c>
      <c r="H25" s="245" t="s">
        <v>413</v>
      </c>
      <c r="I25" s="244" t="s">
        <v>1378</v>
      </c>
      <c r="J25" s="244" t="s">
        <v>1463</v>
      </c>
      <c r="K25" s="244" t="s">
        <v>602</v>
      </c>
      <c r="L25" s="244" t="s">
        <v>421</v>
      </c>
      <c r="M25" s="244" t="s">
        <v>460</v>
      </c>
      <c r="N25" s="244" t="s">
        <v>469</v>
      </c>
      <c r="O25" s="245" t="s">
        <v>423</v>
      </c>
      <c r="P25" s="245" t="s">
        <v>423</v>
      </c>
      <c r="Q25" s="244" t="s">
        <v>885</v>
      </c>
      <c r="R25" s="244" t="s">
        <v>184</v>
      </c>
      <c r="S25" s="252">
        <f t="shared" si="0"/>
        <v>1</v>
      </c>
      <c r="T25" s="244" t="s">
        <v>485</v>
      </c>
      <c r="U25" s="253">
        <f t="shared" ref="U25" si="93">IF(T25="Continua",4,IF(T25="Frecuente",3,IF(T25="Ocasional",2,IF(T25="Esporádica",1,))))</f>
        <v>1</v>
      </c>
      <c r="V25" s="251">
        <f t="shared" ref="V25" si="94">S25*U25</f>
        <v>1</v>
      </c>
      <c r="W25" s="244" t="str">
        <f t="shared" si="21"/>
        <v>Bajo</v>
      </c>
      <c r="X25" s="244" t="s">
        <v>428</v>
      </c>
      <c r="Y25" s="253">
        <f t="shared" ref="Y25" si="95">IF(X25="Mortal o catastrófico",100,IF(X25="Muy grave",60,IF(X25="Grave",25,IF(X25="Leve",10,))))</f>
        <v>10</v>
      </c>
      <c r="Z25" s="251">
        <f t="shared" ref="Z25" si="96">V25*Y25</f>
        <v>10</v>
      </c>
      <c r="AA25" s="244" t="str">
        <f t="shared" ref="AA25" si="97">IF(AND(Z25&gt;=600,Z25&lt;=4000),"Nivel I: Riesgo Inaceptable",IF(AND(Z25&gt;=150,Z25&lt;=500),"Nivel II: Riesgo Importante",IF(AND(Z25&gt;=40,Z25&lt;=120),"Nivel III: Riesgo Moderado (Aceptable)","Nivel IV: Riesgo Tolerable (Aceptable)")))</f>
        <v>Nivel IV: Riesgo Tolerable (Aceptable)</v>
      </c>
      <c r="AB25" s="244">
        <v>13</v>
      </c>
      <c r="AC25" s="257"/>
      <c r="AD25" s="257"/>
      <c r="AE25" s="257"/>
      <c r="AF25" s="257"/>
      <c r="AG25" s="252"/>
      <c r="AH25" s="245" t="s">
        <v>424</v>
      </c>
      <c r="AI25" s="245" t="s">
        <v>424</v>
      </c>
      <c r="AJ25" s="245" t="s">
        <v>424</v>
      </c>
      <c r="AK25" s="245" t="s">
        <v>826</v>
      </c>
      <c r="AL25" s="260" t="s">
        <v>600</v>
      </c>
      <c r="QF25" s="250"/>
    </row>
    <row r="26" spans="1:449 3529:3529" s="235" customFormat="1" ht="66" hidden="1" customHeight="1" x14ac:dyDescent="0.3">
      <c r="A26" s="259" t="s">
        <v>1465</v>
      </c>
      <c r="B26" s="244" t="s">
        <v>1466</v>
      </c>
      <c r="C26" s="244" t="s">
        <v>1467</v>
      </c>
      <c r="D26" s="301" t="s">
        <v>1588</v>
      </c>
      <c r="E26" s="299" t="s">
        <v>1587</v>
      </c>
      <c r="F26" s="244" t="s">
        <v>422</v>
      </c>
      <c r="G26" s="244" t="s">
        <v>1464</v>
      </c>
      <c r="H26" s="245" t="s">
        <v>397</v>
      </c>
      <c r="I26" s="244" t="s">
        <v>367</v>
      </c>
      <c r="J26" s="244" t="s">
        <v>556</v>
      </c>
      <c r="K26" s="244" t="s">
        <v>557</v>
      </c>
      <c r="L26" s="244" t="s">
        <v>421</v>
      </c>
      <c r="M26" s="244" t="s">
        <v>460</v>
      </c>
      <c r="N26" s="244" t="s">
        <v>469</v>
      </c>
      <c r="O26" s="245" t="s">
        <v>905</v>
      </c>
      <c r="P26" s="245" t="s">
        <v>906</v>
      </c>
      <c r="Q26" s="244" t="s">
        <v>907</v>
      </c>
      <c r="R26" s="244" t="s">
        <v>185</v>
      </c>
      <c r="S26" s="252">
        <f>IF(R26="Muy Alto",10,IF(R26="Alto",6,IF(R26="Medio",2,IF(R26="Bajo",1,))))</f>
        <v>2</v>
      </c>
      <c r="T26" s="244" t="s">
        <v>186</v>
      </c>
      <c r="U26" s="253">
        <f t="shared" ref="U26:U27" si="98">IF(T26="Continua",4,IF(T26="Frecuente",3,IF(T26="Ocasional",2,IF(T26="Esporádica",1,))))</f>
        <v>4</v>
      </c>
      <c r="V26" s="251">
        <f t="shared" ref="V26:V27" si="99">S26*U26</f>
        <v>8</v>
      </c>
      <c r="W26" s="244" t="str">
        <f t="shared" ref="W26:W27" si="100">IF(AND(V26&gt;=0,V26&lt;=4),"Bajo",IF(AND(V26&gt;=6,V26&lt;=8),"Medio",IF(AND(V26&gt;=10,V26&lt;=20),"Alto",IF(AND(V26&gt;=20,V26&lt;=40),"Muy Alto",))))</f>
        <v>Medio</v>
      </c>
      <c r="X26" s="244" t="s">
        <v>187</v>
      </c>
      <c r="Y26" s="253">
        <f t="shared" ref="Y26:Y27" si="101">IF(X26="Mortal o catastrófico",100,IF(X26="Muy grave",60,IF(X26="Grave",25,IF(X26="Leve",10,))))</f>
        <v>25</v>
      </c>
      <c r="Z26" s="251">
        <f t="shared" ref="Z26:Z27" si="102">V26*Y26</f>
        <v>200</v>
      </c>
      <c r="AA26" s="244" t="str">
        <f t="shared" ref="AA26:AA27" si="103">IF(AND(Z26&gt;=600,Z26&lt;=4000),"Nivel I: Riesgo Inaceptable",IF(AND(Z26&gt;=150,Z26&lt;=500),"Nivel II: Riesgo Importante",IF(AND(Z26&gt;=40,Z26&lt;=120),"Nivel III: Riesgo Moderado (Aceptable)","Nivel IV: Riesgo Tolerable (Aceptable)")))</f>
        <v>Nivel II: Riesgo Importante</v>
      </c>
      <c r="AB26" s="244">
        <v>1</v>
      </c>
      <c r="AC26" s="244"/>
      <c r="AD26" s="244"/>
      <c r="AE26" s="244"/>
      <c r="AF26" s="251"/>
      <c r="AG26" s="251"/>
      <c r="AH26" s="245" t="s">
        <v>424</v>
      </c>
      <c r="AI26" s="245" t="s">
        <v>424</v>
      </c>
      <c r="AJ26" s="245" t="s">
        <v>424</v>
      </c>
      <c r="AK26" s="245" t="s">
        <v>558</v>
      </c>
      <c r="AL26" s="260" t="s">
        <v>600</v>
      </c>
      <c r="QF26" s="250" t="s">
        <v>460</v>
      </c>
      <c r="QG26" s="235" t="s">
        <v>470</v>
      </c>
      <c r="EES26" s="235" t="s">
        <v>456</v>
      </c>
    </row>
    <row r="27" spans="1:449 3529:3529" s="235" customFormat="1" ht="99" hidden="1" customHeight="1" x14ac:dyDescent="0.3">
      <c r="A27" s="259" t="s">
        <v>1465</v>
      </c>
      <c r="B27" s="244" t="s">
        <v>1466</v>
      </c>
      <c r="C27" s="244" t="s">
        <v>1467</v>
      </c>
      <c r="D27" s="300" t="s">
        <v>1588</v>
      </c>
      <c r="E27" s="244" t="s">
        <v>1587</v>
      </c>
      <c r="F27" s="244" t="s">
        <v>422</v>
      </c>
      <c r="G27" s="244" t="s">
        <v>1464</v>
      </c>
      <c r="H27" s="245" t="s">
        <v>397</v>
      </c>
      <c r="I27" s="244" t="s">
        <v>178</v>
      </c>
      <c r="J27" s="244" t="s">
        <v>908</v>
      </c>
      <c r="K27" s="244" t="s">
        <v>559</v>
      </c>
      <c r="L27" s="244" t="s">
        <v>421</v>
      </c>
      <c r="M27" s="244" t="s">
        <v>460</v>
      </c>
      <c r="N27" s="244" t="s">
        <v>469</v>
      </c>
      <c r="O27" s="245" t="s">
        <v>423</v>
      </c>
      <c r="P27" s="245" t="s">
        <v>423</v>
      </c>
      <c r="Q27" s="244" t="s">
        <v>465</v>
      </c>
      <c r="R27" s="244" t="s">
        <v>185</v>
      </c>
      <c r="S27" s="252">
        <v>0</v>
      </c>
      <c r="T27" s="244" t="s">
        <v>186</v>
      </c>
      <c r="U27" s="253">
        <f t="shared" si="98"/>
        <v>4</v>
      </c>
      <c r="V27" s="251">
        <f t="shared" si="99"/>
        <v>0</v>
      </c>
      <c r="W27" s="244" t="str">
        <f t="shared" si="100"/>
        <v>Bajo</v>
      </c>
      <c r="X27" s="244" t="s">
        <v>187</v>
      </c>
      <c r="Y27" s="253">
        <f t="shared" si="101"/>
        <v>25</v>
      </c>
      <c r="Z27" s="251">
        <f t="shared" si="102"/>
        <v>0</v>
      </c>
      <c r="AA27" s="244" t="str">
        <f t="shared" si="103"/>
        <v>Nivel IV: Riesgo Tolerable (Aceptable)</v>
      </c>
      <c r="AB27" s="244">
        <v>1</v>
      </c>
      <c r="AC27" s="244"/>
      <c r="AD27" s="244"/>
      <c r="AE27" s="244"/>
      <c r="AF27" s="251"/>
      <c r="AG27" s="251"/>
      <c r="AH27" s="245" t="s">
        <v>424</v>
      </c>
      <c r="AI27" s="245" t="s">
        <v>424</v>
      </c>
      <c r="AJ27" s="245" t="s">
        <v>424</v>
      </c>
      <c r="AK27" s="245" t="s">
        <v>558</v>
      </c>
      <c r="AL27" s="260" t="s">
        <v>600</v>
      </c>
      <c r="EES27" s="235" t="s">
        <v>457</v>
      </c>
    </row>
    <row r="28" spans="1:449 3529:3529" s="235" customFormat="1" ht="62.1" hidden="1" customHeight="1" x14ac:dyDescent="0.3">
      <c r="A28" s="259" t="s">
        <v>1465</v>
      </c>
      <c r="B28" s="244" t="s">
        <v>1466</v>
      </c>
      <c r="C28" s="244" t="s">
        <v>1467</v>
      </c>
      <c r="D28" s="300" t="s">
        <v>1588</v>
      </c>
      <c r="E28" s="244" t="s">
        <v>1587</v>
      </c>
      <c r="F28" s="244" t="s">
        <v>461</v>
      </c>
      <c r="G28" s="244" t="s">
        <v>1464</v>
      </c>
      <c r="H28" s="245" t="s">
        <v>397</v>
      </c>
      <c r="I28" s="244" t="s">
        <v>371</v>
      </c>
      <c r="J28" s="244" t="s">
        <v>466</v>
      </c>
      <c r="K28" s="244" t="s">
        <v>560</v>
      </c>
      <c r="L28" s="244" t="s">
        <v>421</v>
      </c>
      <c r="M28" s="244" t="s">
        <v>460</v>
      </c>
      <c r="N28" s="244" t="s">
        <v>469</v>
      </c>
      <c r="O28" s="245" t="s">
        <v>423</v>
      </c>
      <c r="P28" s="245" t="s">
        <v>467</v>
      </c>
      <c r="Q28" s="244" t="s">
        <v>465</v>
      </c>
      <c r="R28" s="244" t="s">
        <v>184</v>
      </c>
      <c r="S28" s="252">
        <f t="shared" ref="S28:S43" si="104">IF(R28="Muy Alto",10,IF(R28="Alto",6,IF(R28="Medio",2,IF(R28="Bajo",1,))))</f>
        <v>1</v>
      </c>
      <c r="T28" s="244" t="s">
        <v>485</v>
      </c>
      <c r="U28" s="253">
        <f t="shared" ref="U28" si="105">IF(T28="Continua",4,IF(T28="Frecuente",3,IF(T28="Ocasional",2,IF(T28="Esporádica",1,))))</f>
        <v>1</v>
      </c>
      <c r="V28" s="251">
        <f t="shared" ref="V28:V44" si="106">S28*U28</f>
        <v>1</v>
      </c>
      <c r="W28" s="244" t="str">
        <f t="shared" ref="W28:W44" si="107">IF(AND(V28&gt;=0,V28&lt;=4),"Bajo",IF(AND(V28&gt;=6,V28&lt;=8),"Medio",IF(AND(V28&gt;=10,V28&lt;=20),"Alto",IF(AND(V28&gt;=20,V28&lt;=40),"Muy Alto",))))</f>
        <v>Bajo</v>
      </c>
      <c r="X28" s="244" t="s">
        <v>187</v>
      </c>
      <c r="Y28" s="253">
        <f t="shared" ref="Y28:Y44" si="108">IF(X28="Mortal o catastrófico",100,IF(X28="Muy grave",60,IF(X28="Grave",25,IF(X28="Leve",10,))))</f>
        <v>25</v>
      </c>
      <c r="Z28" s="251">
        <f t="shared" ref="Z28:Z44" si="109">V28*Y28</f>
        <v>25</v>
      </c>
      <c r="AA28" s="244" t="str">
        <f t="shared" ref="AA28:AA44" si="110">IF(AND(Z28&gt;=600,Z28&lt;=4000),"Nivel I: Riesgo Inaceptable",IF(AND(Z28&gt;=150,Z28&lt;=500),"Nivel II: Riesgo Importante",IF(AND(Z28&gt;=40,Z28&lt;=120),"Nivel III: Riesgo Moderado (Aceptable)","Nivel IV: Riesgo Tolerable (Aceptable)")))</f>
        <v>Nivel IV: Riesgo Tolerable (Aceptable)</v>
      </c>
      <c r="AB28" s="244">
        <v>1</v>
      </c>
      <c r="AC28" s="244"/>
      <c r="AD28" s="244"/>
      <c r="AE28" s="244"/>
      <c r="AF28" s="251"/>
      <c r="AG28" s="251"/>
      <c r="AH28" s="245" t="s">
        <v>424</v>
      </c>
      <c r="AI28" s="245" t="s">
        <v>424</v>
      </c>
      <c r="AJ28" s="245" t="s">
        <v>424</v>
      </c>
      <c r="AK28" s="245" t="s">
        <v>561</v>
      </c>
      <c r="AL28" s="260" t="s">
        <v>600</v>
      </c>
    </row>
    <row r="29" spans="1:449 3529:3529" s="235" customFormat="1" ht="62.1" hidden="1" customHeight="1" x14ac:dyDescent="0.3">
      <c r="A29" s="259" t="s">
        <v>1465</v>
      </c>
      <c r="B29" s="244" t="s">
        <v>1466</v>
      </c>
      <c r="C29" s="244" t="s">
        <v>1467</v>
      </c>
      <c r="D29" s="300" t="s">
        <v>1588</v>
      </c>
      <c r="E29" s="244" t="s">
        <v>1587</v>
      </c>
      <c r="F29" s="244" t="s">
        <v>461</v>
      </c>
      <c r="G29" s="244" t="s">
        <v>1464</v>
      </c>
      <c r="H29" s="244" t="s">
        <v>407</v>
      </c>
      <c r="I29" s="244" t="s">
        <v>292</v>
      </c>
      <c r="J29" s="244" t="s">
        <v>471</v>
      </c>
      <c r="K29" s="244" t="s">
        <v>472</v>
      </c>
      <c r="L29" s="244" t="s">
        <v>421</v>
      </c>
      <c r="M29" s="244" t="s">
        <v>460</v>
      </c>
      <c r="N29" s="244" t="s">
        <v>469</v>
      </c>
      <c r="O29" s="244" t="s">
        <v>423</v>
      </c>
      <c r="P29" s="244" t="s">
        <v>423</v>
      </c>
      <c r="Q29" s="244" t="s">
        <v>423</v>
      </c>
      <c r="R29" s="244" t="s">
        <v>184</v>
      </c>
      <c r="S29" s="252">
        <f t="shared" si="104"/>
        <v>1</v>
      </c>
      <c r="T29" s="244" t="s">
        <v>416</v>
      </c>
      <c r="U29" s="253">
        <f>IF(T29="Continua",4,IF(T29="Frecuente",3,IF(T29="Ocasional",2,IF(T29="Esporádica",1,))))</f>
        <v>3</v>
      </c>
      <c r="V29" s="251">
        <f t="shared" si="106"/>
        <v>3</v>
      </c>
      <c r="W29" s="244" t="str">
        <f t="shared" si="107"/>
        <v>Bajo</v>
      </c>
      <c r="X29" s="244" t="s">
        <v>428</v>
      </c>
      <c r="Y29" s="253">
        <f t="shared" si="108"/>
        <v>10</v>
      </c>
      <c r="Z29" s="251">
        <f t="shared" si="109"/>
        <v>30</v>
      </c>
      <c r="AA29" s="244" t="str">
        <f t="shared" si="110"/>
        <v>Nivel IV: Riesgo Tolerable (Aceptable)</v>
      </c>
      <c r="AB29" s="244">
        <v>1</v>
      </c>
      <c r="AC29" s="244"/>
      <c r="AD29" s="244"/>
      <c r="AE29" s="244"/>
      <c r="AF29" s="251"/>
      <c r="AG29" s="251"/>
      <c r="AH29" s="245" t="s">
        <v>424</v>
      </c>
      <c r="AI29" s="245" t="s">
        <v>424</v>
      </c>
      <c r="AJ29" s="245" t="s">
        <v>424</v>
      </c>
      <c r="AK29" s="244" t="s">
        <v>537</v>
      </c>
      <c r="AL29" s="260" t="s">
        <v>600</v>
      </c>
    </row>
    <row r="30" spans="1:449 3529:3529" s="235" customFormat="1" ht="62.1" hidden="1" customHeight="1" x14ac:dyDescent="0.3">
      <c r="A30" s="259" t="s">
        <v>1465</v>
      </c>
      <c r="B30" s="244" t="s">
        <v>1466</v>
      </c>
      <c r="C30" s="244" t="s">
        <v>1467</v>
      </c>
      <c r="D30" s="300" t="s">
        <v>1588</v>
      </c>
      <c r="E30" s="244" t="s">
        <v>1587</v>
      </c>
      <c r="F30" s="244" t="s">
        <v>461</v>
      </c>
      <c r="G30" s="244" t="s">
        <v>1464</v>
      </c>
      <c r="H30" s="244" t="s">
        <v>407</v>
      </c>
      <c r="I30" s="244" t="s">
        <v>355</v>
      </c>
      <c r="J30" s="244" t="s">
        <v>473</v>
      </c>
      <c r="K30" s="244" t="s">
        <v>472</v>
      </c>
      <c r="L30" s="244" t="s">
        <v>421</v>
      </c>
      <c r="M30" s="244" t="s">
        <v>460</v>
      </c>
      <c r="N30" s="244" t="s">
        <v>469</v>
      </c>
      <c r="O30" s="244" t="s">
        <v>474</v>
      </c>
      <c r="P30" s="244" t="s">
        <v>475</v>
      </c>
      <c r="Q30" s="244" t="s">
        <v>453</v>
      </c>
      <c r="R30" s="244" t="s">
        <v>185</v>
      </c>
      <c r="S30" s="252">
        <f t="shared" si="104"/>
        <v>2</v>
      </c>
      <c r="T30" s="244" t="s">
        <v>186</v>
      </c>
      <c r="U30" s="253">
        <f t="shared" ref="U30" si="111">IF(T30="Continua",4,IF(T30="Frecuente",3,IF(T30="Ocasional",2,IF(T30="Esporádica",1,))))</f>
        <v>4</v>
      </c>
      <c r="V30" s="251">
        <f t="shared" si="106"/>
        <v>8</v>
      </c>
      <c r="W30" s="244" t="str">
        <f t="shared" si="107"/>
        <v>Medio</v>
      </c>
      <c r="X30" s="244" t="s">
        <v>428</v>
      </c>
      <c r="Y30" s="253">
        <f t="shared" si="108"/>
        <v>10</v>
      </c>
      <c r="Z30" s="251">
        <f t="shared" si="109"/>
        <v>80</v>
      </c>
      <c r="AA30" s="244" t="str">
        <f t="shared" si="110"/>
        <v>Nivel III: Riesgo Moderado (Aceptable)</v>
      </c>
      <c r="AB30" s="244">
        <v>1</v>
      </c>
      <c r="AC30" s="244"/>
      <c r="AD30" s="244"/>
      <c r="AE30" s="244"/>
      <c r="AF30" s="251"/>
      <c r="AG30" s="251"/>
      <c r="AH30" s="245" t="s">
        <v>424</v>
      </c>
      <c r="AI30" s="245" t="s">
        <v>424</v>
      </c>
      <c r="AJ30" s="245" t="s">
        <v>424</v>
      </c>
      <c r="AK30" s="244" t="s">
        <v>538</v>
      </c>
      <c r="AL30" s="260" t="s">
        <v>600</v>
      </c>
    </row>
    <row r="31" spans="1:449 3529:3529" s="235" customFormat="1" ht="62.1" hidden="1" customHeight="1" x14ac:dyDescent="0.3">
      <c r="A31" s="259" t="s">
        <v>1465</v>
      </c>
      <c r="B31" s="244" t="s">
        <v>1466</v>
      </c>
      <c r="C31" s="244" t="s">
        <v>1467</v>
      </c>
      <c r="D31" s="300" t="s">
        <v>1588</v>
      </c>
      <c r="E31" s="244" t="s">
        <v>1587</v>
      </c>
      <c r="F31" s="244" t="s">
        <v>461</v>
      </c>
      <c r="G31" s="244" t="s">
        <v>1464</v>
      </c>
      <c r="H31" s="245" t="s">
        <v>407</v>
      </c>
      <c r="I31" s="244" t="s">
        <v>562</v>
      </c>
      <c r="J31" s="244" t="s">
        <v>488</v>
      </c>
      <c r="K31" s="244" t="s">
        <v>472</v>
      </c>
      <c r="L31" s="244" t="s">
        <v>421</v>
      </c>
      <c r="M31" s="244" t="s">
        <v>460</v>
      </c>
      <c r="N31" s="244" t="s">
        <v>469</v>
      </c>
      <c r="O31" s="245" t="s">
        <v>476</v>
      </c>
      <c r="P31" s="245" t="s">
        <v>423</v>
      </c>
      <c r="Q31" s="244" t="s">
        <v>453</v>
      </c>
      <c r="R31" s="244" t="s">
        <v>184</v>
      </c>
      <c r="S31" s="252">
        <f t="shared" si="104"/>
        <v>1</v>
      </c>
      <c r="T31" s="244" t="s">
        <v>429</v>
      </c>
      <c r="U31" s="253">
        <f>IF(T31="Continua",4,IF(T31="Frecuente",3,IF(T31="Ocasional",2,IF(T31="Esporádica",1,))))</f>
        <v>2</v>
      </c>
      <c r="V31" s="251">
        <f t="shared" si="106"/>
        <v>2</v>
      </c>
      <c r="W31" s="244" t="str">
        <f t="shared" si="107"/>
        <v>Bajo</v>
      </c>
      <c r="X31" s="244" t="s">
        <v>187</v>
      </c>
      <c r="Y31" s="253">
        <f t="shared" si="108"/>
        <v>25</v>
      </c>
      <c r="Z31" s="251">
        <f t="shared" si="109"/>
        <v>50</v>
      </c>
      <c r="AA31" s="244" t="str">
        <f t="shared" si="110"/>
        <v>Nivel III: Riesgo Moderado (Aceptable)</v>
      </c>
      <c r="AB31" s="244">
        <v>1</v>
      </c>
      <c r="AC31" s="244"/>
      <c r="AD31" s="244"/>
      <c r="AE31" s="244"/>
      <c r="AF31" s="251"/>
      <c r="AG31" s="251"/>
      <c r="AH31" s="245" t="s">
        <v>424</v>
      </c>
      <c r="AI31" s="245" t="s">
        <v>424</v>
      </c>
      <c r="AJ31" s="245" t="s">
        <v>424</v>
      </c>
      <c r="AK31" s="244" t="s">
        <v>563</v>
      </c>
      <c r="AL31" s="260" t="s">
        <v>600</v>
      </c>
    </row>
    <row r="32" spans="1:449 3529:3529" s="235" customFormat="1" ht="62.1" hidden="1" customHeight="1" x14ac:dyDescent="0.3">
      <c r="A32" s="259" t="s">
        <v>1465</v>
      </c>
      <c r="B32" s="244" t="s">
        <v>1466</v>
      </c>
      <c r="C32" s="244" t="s">
        <v>1467</v>
      </c>
      <c r="D32" s="300" t="s">
        <v>1588</v>
      </c>
      <c r="E32" s="244" t="s">
        <v>1587</v>
      </c>
      <c r="F32" s="244" t="s">
        <v>422</v>
      </c>
      <c r="G32" s="244" t="s">
        <v>1464</v>
      </c>
      <c r="H32" s="245" t="s">
        <v>407</v>
      </c>
      <c r="I32" s="244" t="s">
        <v>198</v>
      </c>
      <c r="J32" s="244" t="s">
        <v>564</v>
      </c>
      <c r="K32" s="244" t="s">
        <v>477</v>
      </c>
      <c r="L32" s="244" t="s">
        <v>421</v>
      </c>
      <c r="M32" s="244" t="s">
        <v>460</v>
      </c>
      <c r="N32" s="244" t="s">
        <v>469</v>
      </c>
      <c r="O32" s="245" t="s">
        <v>423</v>
      </c>
      <c r="P32" s="245" t="s">
        <v>423</v>
      </c>
      <c r="Q32" s="244" t="s">
        <v>423</v>
      </c>
      <c r="R32" s="244" t="s">
        <v>184</v>
      </c>
      <c r="S32" s="252">
        <f>IF(R32="Muy Alto",10,IF(R32="Alto",6,IF(R32="Medio",2,IF(R32="Bajo",1,))))</f>
        <v>1</v>
      </c>
      <c r="T32" s="244" t="s">
        <v>429</v>
      </c>
      <c r="U32" s="253">
        <f>IF(T32="Continua",4,IF(T32="Frecuente",3,IF(T32="Ocasional",2,IF(T32="Esporádica",1,))))</f>
        <v>2</v>
      </c>
      <c r="V32" s="251">
        <f>S32*U32</f>
        <v>2</v>
      </c>
      <c r="W32" s="244" t="str">
        <f>IF(AND(V32&gt;=0,V32&lt;=4),"Bajo",IF(AND(V32&gt;=6,V32&lt;=8),"Medio",IF(AND(V32&gt;=10,V32&lt;=20),"Alto",IF(AND(V32&gt;=20,V32&lt;=40),"Muy Alto",))))</f>
        <v>Bajo</v>
      </c>
      <c r="X32" s="244" t="s">
        <v>428</v>
      </c>
      <c r="Y32" s="253">
        <f>IF(X32="Mortal o catastrófico",100,IF(X32="Muy grave",60,IF(X32="Grave",25,IF(X32="Leve",10,))))</f>
        <v>10</v>
      </c>
      <c r="Z32" s="251">
        <f>V32*Y32</f>
        <v>20</v>
      </c>
      <c r="AA32" s="244" t="str">
        <f t="shared" si="110"/>
        <v>Nivel IV: Riesgo Tolerable (Aceptable)</v>
      </c>
      <c r="AB32" s="244">
        <v>1</v>
      </c>
      <c r="AC32" s="244"/>
      <c r="AD32" s="244"/>
      <c r="AE32" s="244"/>
      <c r="AF32" s="251"/>
      <c r="AG32" s="251"/>
      <c r="AH32" s="245" t="s">
        <v>424</v>
      </c>
      <c r="AI32" s="245" t="s">
        <v>424</v>
      </c>
      <c r="AJ32" s="245" t="s">
        <v>424</v>
      </c>
      <c r="AK32" s="245" t="s">
        <v>565</v>
      </c>
      <c r="AL32" s="260" t="s">
        <v>481</v>
      </c>
    </row>
    <row r="33" spans="1:38" s="235" customFormat="1" ht="62.1" hidden="1" customHeight="1" x14ac:dyDescent="0.3">
      <c r="A33" s="259" t="s">
        <v>1465</v>
      </c>
      <c r="B33" s="244" t="s">
        <v>1466</v>
      </c>
      <c r="C33" s="244" t="s">
        <v>1467</v>
      </c>
      <c r="D33" s="300" t="s">
        <v>1588</v>
      </c>
      <c r="E33" s="244" t="s">
        <v>1587</v>
      </c>
      <c r="F33" s="244" t="s">
        <v>461</v>
      </c>
      <c r="G33" s="244" t="s">
        <v>1464</v>
      </c>
      <c r="H33" s="245" t="s">
        <v>407</v>
      </c>
      <c r="I33" s="244" t="s">
        <v>452</v>
      </c>
      <c r="J33" s="244" t="s">
        <v>566</v>
      </c>
      <c r="K33" s="244" t="s">
        <v>478</v>
      </c>
      <c r="L33" s="244" t="s">
        <v>421</v>
      </c>
      <c r="M33" s="244" t="s">
        <v>460</v>
      </c>
      <c r="N33" s="244" t="s">
        <v>469</v>
      </c>
      <c r="O33" s="245" t="s">
        <v>423</v>
      </c>
      <c r="P33" s="245" t="s">
        <v>423</v>
      </c>
      <c r="Q33" s="245" t="s">
        <v>423</v>
      </c>
      <c r="R33" s="244" t="s">
        <v>185</v>
      </c>
      <c r="S33" s="252">
        <f t="shared" si="104"/>
        <v>2</v>
      </c>
      <c r="T33" s="244" t="s">
        <v>485</v>
      </c>
      <c r="U33" s="253">
        <f t="shared" ref="U33:U44" si="112">IF(T33="Continua",4,IF(T33="Frecuente",3,IF(T33="Ocasional",2,IF(T33="Esporádica",1,))))</f>
        <v>1</v>
      </c>
      <c r="V33" s="251">
        <f t="shared" si="106"/>
        <v>2</v>
      </c>
      <c r="W33" s="244" t="str">
        <f t="shared" si="107"/>
        <v>Bajo</v>
      </c>
      <c r="X33" s="244" t="s">
        <v>428</v>
      </c>
      <c r="Y33" s="253">
        <f t="shared" si="108"/>
        <v>10</v>
      </c>
      <c r="Z33" s="251">
        <f t="shared" si="109"/>
        <v>20</v>
      </c>
      <c r="AA33" s="244" t="str">
        <f t="shared" si="110"/>
        <v>Nivel IV: Riesgo Tolerable (Aceptable)</v>
      </c>
      <c r="AB33" s="244">
        <v>1</v>
      </c>
      <c r="AC33" s="244"/>
      <c r="AD33" s="244"/>
      <c r="AE33" s="244"/>
      <c r="AF33" s="251"/>
      <c r="AG33" s="251"/>
      <c r="AH33" s="245" t="s">
        <v>424</v>
      </c>
      <c r="AI33" s="245" t="s">
        <v>424</v>
      </c>
      <c r="AJ33" s="245" t="s">
        <v>424</v>
      </c>
      <c r="AK33" s="245" t="s">
        <v>565</v>
      </c>
      <c r="AL33" s="260" t="s">
        <v>481</v>
      </c>
    </row>
    <row r="34" spans="1:38" s="235" customFormat="1" ht="62.1" hidden="1" customHeight="1" x14ac:dyDescent="0.3">
      <c r="A34" s="259" t="s">
        <v>1465</v>
      </c>
      <c r="B34" s="244" t="s">
        <v>1466</v>
      </c>
      <c r="C34" s="244" t="s">
        <v>1467</v>
      </c>
      <c r="D34" s="300" t="s">
        <v>1588</v>
      </c>
      <c r="E34" s="244" t="s">
        <v>1587</v>
      </c>
      <c r="F34" s="244" t="s">
        <v>461</v>
      </c>
      <c r="G34" s="244" t="s">
        <v>1464</v>
      </c>
      <c r="H34" s="245" t="s">
        <v>407</v>
      </c>
      <c r="I34" s="244" t="s">
        <v>287</v>
      </c>
      <c r="J34" s="244" t="s">
        <v>482</v>
      </c>
      <c r="K34" s="244" t="s">
        <v>479</v>
      </c>
      <c r="L34" s="244" t="s">
        <v>421</v>
      </c>
      <c r="M34" s="244" t="s">
        <v>460</v>
      </c>
      <c r="N34" s="244" t="s">
        <v>469</v>
      </c>
      <c r="O34" s="245" t="s">
        <v>423</v>
      </c>
      <c r="P34" s="245" t="s">
        <v>423</v>
      </c>
      <c r="Q34" s="244" t="s">
        <v>423</v>
      </c>
      <c r="R34" s="244" t="s">
        <v>185</v>
      </c>
      <c r="S34" s="252">
        <f t="shared" si="104"/>
        <v>2</v>
      </c>
      <c r="T34" s="244" t="s">
        <v>429</v>
      </c>
      <c r="U34" s="253">
        <f t="shared" si="112"/>
        <v>2</v>
      </c>
      <c r="V34" s="251">
        <f t="shared" si="106"/>
        <v>4</v>
      </c>
      <c r="W34" s="244" t="str">
        <f t="shared" si="107"/>
        <v>Bajo</v>
      </c>
      <c r="X34" s="244" t="s">
        <v>187</v>
      </c>
      <c r="Y34" s="253">
        <f t="shared" si="108"/>
        <v>25</v>
      </c>
      <c r="Z34" s="251">
        <f t="shared" si="109"/>
        <v>100</v>
      </c>
      <c r="AA34" s="244" t="str">
        <f t="shared" si="110"/>
        <v>Nivel III: Riesgo Moderado (Aceptable)</v>
      </c>
      <c r="AB34" s="244">
        <v>1</v>
      </c>
      <c r="AC34" s="244"/>
      <c r="AD34" s="244"/>
      <c r="AE34" s="244"/>
      <c r="AF34" s="251"/>
      <c r="AG34" s="251"/>
      <c r="AH34" s="245" t="s">
        <v>424</v>
      </c>
      <c r="AI34" s="245" t="s">
        <v>424</v>
      </c>
      <c r="AJ34" s="245" t="s">
        <v>424</v>
      </c>
      <c r="AK34" s="245" t="s">
        <v>480</v>
      </c>
      <c r="AL34" s="260" t="s">
        <v>481</v>
      </c>
    </row>
    <row r="35" spans="1:38" s="235" customFormat="1" ht="62.1" hidden="1" customHeight="1" x14ac:dyDescent="0.3">
      <c r="A35" s="259" t="s">
        <v>1465</v>
      </c>
      <c r="B35" s="244" t="s">
        <v>1466</v>
      </c>
      <c r="C35" s="244" t="s">
        <v>1467</v>
      </c>
      <c r="D35" s="300" t="s">
        <v>1588</v>
      </c>
      <c r="E35" s="244" t="s">
        <v>1587</v>
      </c>
      <c r="F35" s="244" t="s">
        <v>422</v>
      </c>
      <c r="G35" s="244" t="s">
        <v>1464</v>
      </c>
      <c r="H35" s="245" t="s">
        <v>408</v>
      </c>
      <c r="I35" s="244" t="s">
        <v>289</v>
      </c>
      <c r="J35" s="244" t="s">
        <v>567</v>
      </c>
      <c r="K35" s="244" t="s">
        <v>568</v>
      </c>
      <c r="L35" s="244" t="s">
        <v>421</v>
      </c>
      <c r="M35" s="244" t="s">
        <v>460</v>
      </c>
      <c r="N35" s="244" t="s">
        <v>469</v>
      </c>
      <c r="O35" s="245" t="s">
        <v>483</v>
      </c>
      <c r="P35" s="245" t="s">
        <v>423</v>
      </c>
      <c r="Q35" s="245" t="s">
        <v>423</v>
      </c>
      <c r="R35" s="244" t="s">
        <v>184</v>
      </c>
      <c r="S35" s="252">
        <f t="shared" si="104"/>
        <v>1</v>
      </c>
      <c r="T35" s="244" t="s">
        <v>186</v>
      </c>
      <c r="U35" s="253">
        <f t="shared" si="112"/>
        <v>4</v>
      </c>
      <c r="V35" s="251">
        <f t="shared" si="106"/>
        <v>4</v>
      </c>
      <c r="W35" s="244" t="str">
        <f t="shared" si="107"/>
        <v>Bajo</v>
      </c>
      <c r="X35" s="244" t="s">
        <v>428</v>
      </c>
      <c r="Y35" s="253">
        <f t="shared" si="108"/>
        <v>10</v>
      </c>
      <c r="Z35" s="251">
        <f t="shared" si="109"/>
        <v>40</v>
      </c>
      <c r="AA35" s="244" t="str">
        <f t="shared" si="110"/>
        <v>Nivel III: Riesgo Moderado (Aceptable)</v>
      </c>
      <c r="AB35" s="244">
        <v>1</v>
      </c>
      <c r="AC35" s="244"/>
      <c r="AD35" s="244"/>
      <c r="AE35" s="244"/>
      <c r="AF35" s="251"/>
      <c r="AG35" s="251"/>
      <c r="AH35" s="245" t="s">
        <v>424</v>
      </c>
      <c r="AI35" s="245" t="s">
        <v>424</v>
      </c>
      <c r="AJ35" s="245" t="s">
        <v>424</v>
      </c>
      <c r="AK35" s="245" t="s">
        <v>579</v>
      </c>
      <c r="AL35" s="260" t="s">
        <v>600</v>
      </c>
    </row>
    <row r="36" spans="1:38" s="235" customFormat="1" ht="62.1" hidden="1" customHeight="1" x14ac:dyDescent="0.3">
      <c r="A36" s="259" t="s">
        <v>1465</v>
      </c>
      <c r="B36" s="244" t="s">
        <v>1466</v>
      </c>
      <c r="C36" s="244" t="s">
        <v>1467</v>
      </c>
      <c r="D36" s="300" t="s">
        <v>1588</v>
      </c>
      <c r="E36" s="244" t="s">
        <v>1587</v>
      </c>
      <c r="F36" s="244" t="s">
        <v>422</v>
      </c>
      <c r="G36" s="244" t="s">
        <v>1464</v>
      </c>
      <c r="H36" s="245" t="s">
        <v>408</v>
      </c>
      <c r="I36" s="244" t="s">
        <v>405</v>
      </c>
      <c r="J36" s="244" t="s">
        <v>569</v>
      </c>
      <c r="K36" s="244" t="s">
        <v>568</v>
      </c>
      <c r="L36" s="244" t="s">
        <v>421</v>
      </c>
      <c r="M36" s="244" t="s">
        <v>460</v>
      </c>
      <c r="N36" s="244" t="s">
        <v>469</v>
      </c>
      <c r="O36" s="245" t="s">
        <v>483</v>
      </c>
      <c r="P36" s="245" t="s">
        <v>423</v>
      </c>
      <c r="Q36" s="245" t="s">
        <v>423</v>
      </c>
      <c r="R36" s="244" t="s">
        <v>185</v>
      </c>
      <c r="S36" s="252">
        <f t="shared" si="104"/>
        <v>2</v>
      </c>
      <c r="T36" s="244" t="s">
        <v>186</v>
      </c>
      <c r="U36" s="253">
        <f t="shared" si="112"/>
        <v>4</v>
      </c>
      <c r="V36" s="251">
        <f t="shared" si="106"/>
        <v>8</v>
      </c>
      <c r="W36" s="244" t="str">
        <f t="shared" si="107"/>
        <v>Medio</v>
      </c>
      <c r="X36" s="244" t="s">
        <v>428</v>
      </c>
      <c r="Y36" s="253">
        <f t="shared" si="108"/>
        <v>10</v>
      </c>
      <c r="Z36" s="251">
        <f t="shared" si="109"/>
        <v>80</v>
      </c>
      <c r="AA36" s="244" t="str">
        <f t="shared" si="110"/>
        <v>Nivel III: Riesgo Moderado (Aceptable)</v>
      </c>
      <c r="AB36" s="244">
        <v>1</v>
      </c>
      <c r="AC36" s="244"/>
      <c r="AD36" s="244"/>
      <c r="AE36" s="244"/>
      <c r="AF36" s="251"/>
      <c r="AG36" s="251"/>
      <c r="AH36" s="245" t="s">
        <v>424</v>
      </c>
      <c r="AI36" s="245" t="s">
        <v>424</v>
      </c>
      <c r="AJ36" s="245" t="s">
        <v>424</v>
      </c>
      <c r="AK36" s="245" t="s">
        <v>579</v>
      </c>
      <c r="AL36" s="260" t="s">
        <v>600</v>
      </c>
    </row>
    <row r="37" spans="1:38" s="235" customFormat="1" ht="62.1" hidden="1" customHeight="1" x14ac:dyDescent="0.3">
      <c r="A37" s="259" t="s">
        <v>1465</v>
      </c>
      <c r="B37" s="244" t="s">
        <v>1466</v>
      </c>
      <c r="C37" s="244" t="s">
        <v>1467</v>
      </c>
      <c r="D37" s="300" t="s">
        <v>1588</v>
      </c>
      <c r="E37" s="244" t="s">
        <v>1587</v>
      </c>
      <c r="F37" s="244" t="s">
        <v>422</v>
      </c>
      <c r="G37" s="244" t="s">
        <v>1464</v>
      </c>
      <c r="H37" s="245" t="s">
        <v>434</v>
      </c>
      <c r="I37" s="244" t="s">
        <v>430</v>
      </c>
      <c r="J37" s="244" t="s">
        <v>486</v>
      </c>
      <c r="K37" s="244" t="s">
        <v>570</v>
      </c>
      <c r="L37" s="244" t="s">
        <v>421</v>
      </c>
      <c r="M37" s="244" t="s">
        <v>460</v>
      </c>
      <c r="N37" s="244" t="s">
        <v>469</v>
      </c>
      <c r="O37" s="245" t="s">
        <v>423</v>
      </c>
      <c r="P37" s="245" t="s">
        <v>423</v>
      </c>
      <c r="Q37" s="245" t="s">
        <v>423</v>
      </c>
      <c r="R37" s="244" t="s">
        <v>184</v>
      </c>
      <c r="S37" s="252">
        <f t="shared" si="104"/>
        <v>1</v>
      </c>
      <c r="T37" s="244" t="s">
        <v>186</v>
      </c>
      <c r="U37" s="253">
        <f t="shared" si="112"/>
        <v>4</v>
      </c>
      <c r="V37" s="251">
        <f t="shared" si="106"/>
        <v>4</v>
      </c>
      <c r="W37" s="244" t="str">
        <f t="shared" si="107"/>
        <v>Bajo</v>
      </c>
      <c r="X37" s="244" t="s">
        <v>428</v>
      </c>
      <c r="Y37" s="253">
        <f t="shared" si="108"/>
        <v>10</v>
      </c>
      <c r="Z37" s="251">
        <f t="shared" si="109"/>
        <v>40</v>
      </c>
      <c r="AA37" s="244" t="str">
        <f t="shared" si="110"/>
        <v>Nivel III: Riesgo Moderado (Aceptable)</v>
      </c>
      <c r="AB37" s="244">
        <v>1</v>
      </c>
      <c r="AC37" s="244"/>
      <c r="AD37" s="244"/>
      <c r="AE37" s="244"/>
      <c r="AF37" s="251"/>
      <c r="AG37" s="251"/>
      <c r="AH37" s="245" t="s">
        <v>424</v>
      </c>
      <c r="AI37" s="245" t="s">
        <v>424</v>
      </c>
      <c r="AJ37" s="245" t="s">
        <v>424</v>
      </c>
      <c r="AK37" s="245" t="s">
        <v>539</v>
      </c>
      <c r="AL37" s="260" t="s">
        <v>446</v>
      </c>
    </row>
    <row r="38" spans="1:38" s="235" customFormat="1" ht="62.1" hidden="1" customHeight="1" x14ac:dyDescent="0.3">
      <c r="A38" s="259" t="s">
        <v>1465</v>
      </c>
      <c r="B38" s="244" t="s">
        <v>1466</v>
      </c>
      <c r="C38" s="244" t="s">
        <v>1467</v>
      </c>
      <c r="D38" s="300" t="s">
        <v>1588</v>
      </c>
      <c r="E38" s="244" t="s">
        <v>1587</v>
      </c>
      <c r="F38" s="244" t="s">
        <v>422</v>
      </c>
      <c r="G38" s="244" t="s">
        <v>1464</v>
      </c>
      <c r="H38" s="245" t="s">
        <v>409</v>
      </c>
      <c r="I38" s="244" t="s">
        <v>294</v>
      </c>
      <c r="J38" s="244" t="s">
        <v>571</v>
      </c>
      <c r="K38" s="244" t="s">
        <v>572</v>
      </c>
      <c r="L38" s="244" t="s">
        <v>421</v>
      </c>
      <c r="M38" s="244" t="s">
        <v>460</v>
      </c>
      <c r="N38" s="244" t="s">
        <v>469</v>
      </c>
      <c r="O38" s="245" t="s">
        <v>423</v>
      </c>
      <c r="P38" s="245" t="s">
        <v>423</v>
      </c>
      <c r="Q38" s="245" t="s">
        <v>423</v>
      </c>
      <c r="R38" s="244" t="s">
        <v>184</v>
      </c>
      <c r="S38" s="252">
        <f t="shared" si="104"/>
        <v>1</v>
      </c>
      <c r="T38" s="244" t="s">
        <v>429</v>
      </c>
      <c r="U38" s="253">
        <f t="shared" si="112"/>
        <v>2</v>
      </c>
      <c r="V38" s="251">
        <f t="shared" si="106"/>
        <v>2</v>
      </c>
      <c r="W38" s="244" t="str">
        <f t="shared" si="107"/>
        <v>Bajo</v>
      </c>
      <c r="X38" s="244" t="s">
        <v>428</v>
      </c>
      <c r="Y38" s="253">
        <f t="shared" si="108"/>
        <v>10</v>
      </c>
      <c r="Z38" s="251">
        <f t="shared" si="109"/>
        <v>20</v>
      </c>
      <c r="AA38" s="244" t="str">
        <f t="shared" si="110"/>
        <v>Nivel IV: Riesgo Tolerable (Aceptable)</v>
      </c>
      <c r="AB38" s="244">
        <v>1</v>
      </c>
      <c r="AC38" s="244"/>
      <c r="AD38" s="244"/>
      <c r="AE38" s="244"/>
      <c r="AF38" s="251"/>
      <c r="AG38" s="251"/>
      <c r="AH38" s="245" t="s">
        <v>424</v>
      </c>
      <c r="AI38" s="245" t="s">
        <v>424</v>
      </c>
      <c r="AJ38" s="245" t="s">
        <v>424</v>
      </c>
      <c r="AK38" s="245" t="s">
        <v>540</v>
      </c>
      <c r="AL38" s="260" t="s">
        <v>600</v>
      </c>
    </row>
    <row r="39" spans="1:38" s="235" customFormat="1" ht="63" hidden="1" customHeight="1" x14ac:dyDescent="0.3">
      <c r="A39" s="259" t="s">
        <v>1465</v>
      </c>
      <c r="B39" s="244" t="s">
        <v>1466</v>
      </c>
      <c r="C39" s="244" t="s">
        <v>1467</v>
      </c>
      <c r="D39" s="300" t="s">
        <v>1588</v>
      </c>
      <c r="E39" s="244" t="s">
        <v>1587</v>
      </c>
      <c r="F39" s="244" t="s">
        <v>422</v>
      </c>
      <c r="G39" s="244" t="s">
        <v>1464</v>
      </c>
      <c r="H39" s="245" t="s">
        <v>410</v>
      </c>
      <c r="I39" s="244" t="s">
        <v>344</v>
      </c>
      <c r="J39" s="244" t="s">
        <v>574</v>
      </c>
      <c r="K39" s="244" t="s">
        <v>575</v>
      </c>
      <c r="L39" s="244" t="s">
        <v>421</v>
      </c>
      <c r="M39" s="244" t="s">
        <v>459</v>
      </c>
      <c r="N39" s="244" t="s">
        <v>469</v>
      </c>
      <c r="O39" s="245" t="s">
        <v>423</v>
      </c>
      <c r="P39" s="245" t="s">
        <v>489</v>
      </c>
      <c r="Q39" s="245" t="s">
        <v>423</v>
      </c>
      <c r="R39" s="244" t="s">
        <v>185</v>
      </c>
      <c r="S39" s="252">
        <f t="shared" si="104"/>
        <v>2</v>
      </c>
      <c r="T39" s="244" t="s">
        <v>186</v>
      </c>
      <c r="U39" s="253">
        <f t="shared" si="112"/>
        <v>4</v>
      </c>
      <c r="V39" s="251">
        <f t="shared" si="106"/>
        <v>8</v>
      </c>
      <c r="W39" s="244" t="str">
        <f t="shared" si="107"/>
        <v>Medio</v>
      </c>
      <c r="X39" s="244" t="s">
        <v>428</v>
      </c>
      <c r="Y39" s="253">
        <f t="shared" si="108"/>
        <v>10</v>
      </c>
      <c r="Z39" s="251">
        <f t="shared" si="109"/>
        <v>80</v>
      </c>
      <c r="AA39" s="244" t="str">
        <f t="shared" si="110"/>
        <v>Nivel III: Riesgo Moderado (Aceptable)</v>
      </c>
      <c r="AB39" s="244">
        <v>1</v>
      </c>
      <c r="AC39" s="244"/>
      <c r="AD39" s="244"/>
      <c r="AE39" s="244"/>
      <c r="AF39" s="251"/>
      <c r="AG39" s="251"/>
      <c r="AH39" s="245" t="s">
        <v>424</v>
      </c>
      <c r="AI39" s="245" t="s">
        <v>424</v>
      </c>
      <c r="AJ39" s="245" t="s">
        <v>424</v>
      </c>
      <c r="AK39" s="245" t="s">
        <v>576</v>
      </c>
      <c r="AL39" s="260" t="s">
        <v>446</v>
      </c>
    </row>
    <row r="40" spans="1:38" s="235" customFormat="1" ht="63" hidden="1" customHeight="1" x14ac:dyDescent="0.3">
      <c r="A40" s="259" t="s">
        <v>1465</v>
      </c>
      <c r="B40" s="244" t="s">
        <v>1466</v>
      </c>
      <c r="C40" s="244" t="s">
        <v>1467</v>
      </c>
      <c r="D40" s="300" t="s">
        <v>1588</v>
      </c>
      <c r="E40" s="244" t="s">
        <v>1587</v>
      </c>
      <c r="F40" s="244" t="s">
        <v>422</v>
      </c>
      <c r="G40" s="244" t="s">
        <v>1464</v>
      </c>
      <c r="H40" s="245" t="s">
        <v>410</v>
      </c>
      <c r="I40" s="244" t="s">
        <v>347</v>
      </c>
      <c r="J40" s="244" t="s">
        <v>577</v>
      </c>
      <c r="K40" s="244" t="s">
        <v>575</v>
      </c>
      <c r="L40" s="244" t="s">
        <v>421</v>
      </c>
      <c r="M40" s="244" t="s">
        <v>459</v>
      </c>
      <c r="N40" s="244" t="s">
        <v>469</v>
      </c>
      <c r="O40" s="245" t="s">
        <v>423</v>
      </c>
      <c r="P40" s="245" t="s">
        <v>489</v>
      </c>
      <c r="Q40" s="245" t="s">
        <v>423</v>
      </c>
      <c r="R40" s="244" t="s">
        <v>185</v>
      </c>
      <c r="S40" s="252">
        <f t="shared" si="104"/>
        <v>2</v>
      </c>
      <c r="T40" s="244" t="s">
        <v>186</v>
      </c>
      <c r="U40" s="253">
        <f t="shared" si="112"/>
        <v>4</v>
      </c>
      <c r="V40" s="251">
        <f t="shared" si="106"/>
        <v>8</v>
      </c>
      <c r="W40" s="244" t="str">
        <f t="shared" si="107"/>
        <v>Medio</v>
      </c>
      <c r="X40" s="244" t="s">
        <v>428</v>
      </c>
      <c r="Y40" s="253">
        <f t="shared" si="108"/>
        <v>10</v>
      </c>
      <c r="Z40" s="251">
        <f t="shared" si="109"/>
        <v>80</v>
      </c>
      <c r="AA40" s="244" t="str">
        <f t="shared" si="110"/>
        <v>Nivel III: Riesgo Moderado (Aceptable)</v>
      </c>
      <c r="AB40" s="244">
        <v>1</v>
      </c>
      <c r="AC40" s="244"/>
      <c r="AD40" s="244"/>
      <c r="AE40" s="244"/>
      <c r="AF40" s="251"/>
      <c r="AG40" s="251"/>
      <c r="AH40" s="245" t="s">
        <v>424</v>
      </c>
      <c r="AI40" s="245" t="s">
        <v>424</v>
      </c>
      <c r="AJ40" s="245" t="s">
        <v>424</v>
      </c>
      <c r="AK40" s="245" t="s">
        <v>576</v>
      </c>
      <c r="AL40" s="260" t="s">
        <v>600</v>
      </c>
    </row>
    <row r="41" spans="1:38" s="235" customFormat="1" ht="62.1" hidden="1" customHeight="1" x14ac:dyDescent="0.3">
      <c r="A41" s="259" t="s">
        <v>1465</v>
      </c>
      <c r="B41" s="244" t="s">
        <v>1466</v>
      </c>
      <c r="C41" s="244" t="s">
        <v>1467</v>
      </c>
      <c r="D41" s="300" t="s">
        <v>1588</v>
      </c>
      <c r="E41" s="244" t="s">
        <v>1587</v>
      </c>
      <c r="F41" s="244" t="s">
        <v>422</v>
      </c>
      <c r="G41" s="244" t="s">
        <v>1464</v>
      </c>
      <c r="H41" s="245" t="s">
        <v>413</v>
      </c>
      <c r="I41" s="246" t="s">
        <v>1380</v>
      </c>
      <c r="J41" s="246" t="s">
        <v>1442</v>
      </c>
      <c r="K41" s="244" t="s">
        <v>602</v>
      </c>
      <c r="L41" s="244" t="s">
        <v>421</v>
      </c>
      <c r="M41" s="244" t="s">
        <v>460</v>
      </c>
      <c r="N41" s="244" t="s">
        <v>469</v>
      </c>
      <c r="O41" s="245" t="s">
        <v>423</v>
      </c>
      <c r="P41" s="245" t="s">
        <v>423</v>
      </c>
      <c r="Q41" s="244" t="s">
        <v>601</v>
      </c>
      <c r="R41" s="244" t="s">
        <v>184</v>
      </c>
      <c r="S41" s="252">
        <f t="shared" ref="S41:S42" si="113">IF(R41="Muy Alto",10,IF(R41="Alto",6,IF(R41="Medio",2,IF(R41="Bajo",1,))))</f>
        <v>1</v>
      </c>
      <c r="T41" s="244" t="s">
        <v>485</v>
      </c>
      <c r="U41" s="253">
        <f>IF(T41="Continua",4,IF(T41="Frecuente",3,IF(T41="Ocasional",2,IF(T41="Esporádica",1,))))</f>
        <v>1</v>
      </c>
      <c r="V41" s="251">
        <f>S41*U41</f>
        <v>1</v>
      </c>
      <c r="W41" s="244" t="str">
        <f>IF(AND(V41&gt;=0,V41&lt;=4),"Bajo",IF(AND(V41&gt;=6,V41&lt;=8),"Medio",IF(AND(V41&gt;=10,V41&lt;=20),"Alto",IF(AND(V41&gt;=20,V41&lt;=40),"Muy Alto",))))</f>
        <v>Bajo</v>
      </c>
      <c r="X41" s="244" t="s">
        <v>428</v>
      </c>
      <c r="Y41" s="253">
        <f>IF(X41="Mortal o catastrófico",100,IF(X41="Muy grave",60,IF(X41="Grave",25,IF(X41="Leve",10,))))</f>
        <v>10</v>
      </c>
      <c r="Z41" s="251">
        <f>V41*Y41</f>
        <v>10</v>
      </c>
      <c r="AA41" s="244" t="str">
        <f>IF(AND(Z41&gt;=600,Z41&lt;=4000),"Nivel I: Riesgo Inaceptable",IF(AND(Z41&gt;=150,Z41&lt;=500),"Nivel II: Riesgo Importante",IF(AND(Z41&gt;=40,Z41&lt;=120),"Nivel III: Riesgo Moderado (Aceptable)","Nivel IV: Riesgo Tolerable (Aceptable)")))</f>
        <v>Nivel IV: Riesgo Tolerable (Aceptable)</v>
      </c>
      <c r="AB41" s="244">
        <v>1</v>
      </c>
      <c r="AC41" s="244"/>
      <c r="AD41" s="244"/>
      <c r="AE41" s="244"/>
      <c r="AF41" s="251"/>
      <c r="AG41" s="251"/>
      <c r="AH41" s="245" t="s">
        <v>424</v>
      </c>
      <c r="AI41" s="245" t="s">
        <v>424</v>
      </c>
      <c r="AJ41" s="245" t="s">
        <v>424</v>
      </c>
      <c r="AK41" s="245" t="s">
        <v>849</v>
      </c>
      <c r="AL41" s="260" t="s">
        <v>600</v>
      </c>
    </row>
    <row r="42" spans="1:38" s="235" customFormat="1" ht="62.1" hidden="1" customHeight="1" x14ac:dyDescent="0.3">
      <c r="A42" s="259" t="s">
        <v>1465</v>
      </c>
      <c r="B42" s="244" t="s">
        <v>1466</v>
      </c>
      <c r="C42" s="244" t="s">
        <v>1467</v>
      </c>
      <c r="D42" s="300" t="s">
        <v>1588</v>
      </c>
      <c r="E42" s="244" t="s">
        <v>1587</v>
      </c>
      <c r="F42" s="244" t="s">
        <v>422</v>
      </c>
      <c r="G42" s="244" t="s">
        <v>1464</v>
      </c>
      <c r="H42" s="245" t="s">
        <v>413</v>
      </c>
      <c r="I42" s="246" t="s">
        <v>1378</v>
      </c>
      <c r="J42" s="246" t="s">
        <v>1463</v>
      </c>
      <c r="K42" s="244" t="s">
        <v>602</v>
      </c>
      <c r="L42" s="244" t="s">
        <v>421</v>
      </c>
      <c r="M42" s="244" t="s">
        <v>460</v>
      </c>
      <c r="N42" s="244" t="s">
        <v>469</v>
      </c>
      <c r="O42" s="245" t="s">
        <v>423</v>
      </c>
      <c r="P42" s="245" t="s">
        <v>423</v>
      </c>
      <c r="Q42" s="244" t="s">
        <v>601</v>
      </c>
      <c r="R42" s="244" t="s">
        <v>184</v>
      </c>
      <c r="S42" s="252">
        <f t="shared" si="113"/>
        <v>1</v>
      </c>
      <c r="T42" s="244" t="s">
        <v>485</v>
      </c>
      <c r="U42" s="253">
        <f>IF(T42="Continua",4,IF(T42="Frecuente",3,IF(T42="Ocasional",2,IF(T42="Esporádica",1,))))</f>
        <v>1</v>
      </c>
      <c r="V42" s="251">
        <f>S42*U42</f>
        <v>1</v>
      </c>
      <c r="W42" s="244" t="str">
        <f>IF(AND(V42&gt;=0,V42&lt;=4),"Bajo",IF(AND(V42&gt;=6,V42&lt;=8),"Medio",IF(AND(V42&gt;=10,V42&lt;=20),"Alto",IF(AND(V42&gt;=20,V42&lt;=40),"Muy Alto",))))</f>
        <v>Bajo</v>
      </c>
      <c r="X42" s="244" t="s">
        <v>428</v>
      </c>
      <c r="Y42" s="253">
        <f>IF(X42="Mortal o catastrófico",100,IF(X42="Muy grave",60,IF(X42="Grave",25,IF(X42="Leve",10,))))</f>
        <v>10</v>
      </c>
      <c r="Z42" s="251">
        <f>V42*Y42</f>
        <v>10</v>
      </c>
      <c r="AA42" s="244" t="str">
        <f>IF(AND(Z42&gt;=600,Z42&lt;=4000),"Nivel I: Riesgo Inaceptable",IF(AND(Z42&gt;=150,Z42&lt;=500),"Nivel II: Riesgo Importante",IF(AND(Z42&gt;=40,Z42&lt;=120),"Nivel III: Riesgo Moderado (Aceptable)","Nivel IV: Riesgo Tolerable (Aceptable)")))</f>
        <v>Nivel IV: Riesgo Tolerable (Aceptable)</v>
      </c>
      <c r="AB42" s="244">
        <v>1</v>
      </c>
      <c r="AC42" s="244"/>
      <c r="AD42" s="244"/>
      <c r="AE42" s="244"/>
      <c r="AF42" s="251"/>
      <c r="AG42" s="251"/>
      <c r="AH42" s="245" t="s">
        <v>424</v>
      </c>
      <c r="AI42" s="245" t="s">
        <v>424</v>
      </c>
      <c r="AJ42" s="245" t="s">
        <v>424</v>
      </c>
      <c r="AK42" s="245" t="s">
        <v>826</v>
      </c>
      <c r="AL42" s="260" t="s">
        <v>600</v>
      </c>
    </row>
    <row r="43" spans="1:38" s="235" customFormat="1" ht="62.1" hidden="1" customHeight="1" x14ac:dyDescent="0.3">
      <c r="A43" s="259" t="s">
        <v>1465</v>
      </c>
      <c r="B43" s="244" t="s">
        <v>1466</v>
      </c>
      <c r="C43" s="244" t="s">
        <v>1467</v>
      </c>
      <c r="D43" s="300" t="s">
        <v>1588</v>
      </c>
      <c r="E43" s="244" t="s">
        <v>1587</v>
      </c>
      <c r="F43" s="244" t="s">
        <v>422</v>
      </c>
      <c r="G43" s="244" t="s">
        <v>1464</v>
      </c>
      <c r="H43" s="245" t="s">
        <v>414</v>
      </c>
      <c r="I43" s="244" t="s">
        <v>578</v>
      </c>
      <c r="J43" s="244" t="s">
        <v>780</v>
      </c>
      <c r="K43" s="244" t="s">
        <v>431</v>
      </c>
      <c r="L43" s="244" t="s">
        <v>421</v>
      </c>
      <c r="M43" s="244" t="s">
        <v>460</v>
      </c>
      <c r="N43" s="244" t="s">
        <v>469</v>
      </c>
      <c r="O43" s="245" t="s">
        <v>423</v>
      </c>
      <c r="P43" s="245" t="s">
        <v>462</v>
      </c>
      <c r="Q43" s="244" t="s">
        <v>490</v>
      </c>
      <c r="R43" s="244" t="s">
        <v>184</v>
      </c>
      <c r="S43" s="252">
        <f t="shared" si="104"/>
        <v>1</v>
      </c>
      <c r="T43" s="244" t="s">
        <v>186</v>
      </c>
      <c r="U43" s="253">
        <f t="shared" si="112"/>
        <v>4</v>
      </c>
      <c r="V43" s="251">
        <f t="shared" si="106"/>
        <v>4</v>
      </c>
      <c r="W43" s="244" t="str">
        <f t="shared" si="107"/>
        <v>Bajo</v>
      </c>
      <c r="X43" s="244" t="s">
        <v>187</v>
      </c>
      <c r="Y43" s="253">
        <f t="shared" si="108"/>
        <v>25</v>
      </c>
      <c r="Z43" s="251">
        <f t="shared" si="109"/>
        <v>100</v>
      </c>
      <c r="AA43" s="244" t="str">
        <f t="shared" si="110"/>
        <v>Nivel III: Riesgo Moderado (Aceptable)</v>
      </c>
      <c r="AB43" s="244">
        <v>1</v>
      </c>
      <c r="AC43" s="244"/>
      <c r="AD43" s="244"/>
      <c r="AE43" s="244"/>
      <c r="AF43" s="251"/>
      <c r="AG43" s="251"/>
      <c r="AH43" s="245" t="s">
        <v>424</v>
      </c>
      <c r="AI43" s="245" t="s">
        <v>424</v>
      </c>
      <c r="AJ43" s="245" t="s">
        <v>424</v>
      </c>
      <c r="AK43" s="245" t="s">
        <v>487</v>
      </c>
      <c r="AL43" s="260" t="s">
        <v>600</v>
      </c>
    </row>
    <row r="44" spans="1:38" s="235" customFormat="1" ht="62.1" hidden="1" customHeight="1" x14ac:dyDescent="0.3">
      <c r="A44" s="259" t="s">
        <v>1465</v>
      </c>
      <c r="B44" s="244" t="s">
        <v>1466</v>
      </c>
      <c r="C44" s="244" t="s">
        <v>1467</v>
      </c>
      <c r="D44" s="300" t="s">
        <v>1588</v>
      </c>
      <c r="E44" s="244" t="s">
        <v>1587</v>
      </c>
      <c r="F44" s="244" t="s">
        <v>422</v>
      </c>
      <c r="G44" s="244" t="s">
        <v>1464</v>
      </c>
      <c r="H44" s="245" t="s">
        <v>414</v>
      </c>
      <c r="I44" s="244" t="s">
        <v>359</v>
      </c>
      <c r="J44" s="244" t="s">
        <v>850</v>
      </c>
      <c r="K44" s="244" t="s">
        <v>431</v>
      </c>
      <c r="L44" s="244" t="s">
        <v>421</v>
      </c>
      <c r="M44" s="244" t="s">
        <v>460</v>
      </c>
      <c r="N44" s="244" t="s">
        <v>469</v>
      </c>
      <c r="O44" s="245" t="s">
        <v>423</v>
      </c>
      <c r="P44" s="245" t="s">
        <v>423</v>
      </c>
      <c r="Q44" s="244" t="s">
        <v>490</v>
      </c>
      <c r="R44" s="244" t="s">
        <v>185</v>
      </c>
      <c r="S44" s="252">
        <f>IF(R44="Muy Alto",10,IF(R44="Alto",6,IF(R44="Medio",2,IF(R44="Bajo",1,))))</f>
        <v>2</v>
      </c>
      <c r="T44" s="244" t="s">
        <v>429</v>
      </c>
      <c r="U44" s="253">
        <f t="shared" si="112"/>
        <v>2</v>
      </c>
      <c r="V44" s="251">
        <f t="shared" si="106"/>
        <v>4</v>
      </c>
      <c r="W44" s="244" t="str">
        <f t="shared" si="107"/>
        <v>Bajo</v>
      </c>
      <c r="X44" s="244" t="s">
        <v>187</v>
      </c>
      <c r="Y44" s="253">
        <f t="shared" si="108"/>
        <v>25</v>
      </c>
      <c r="Z44" s="251">
        <f t="shared" si="109"/>
        <v>100</v>
      </c>
      <c r="AA44" s="244" t="str">
        <f t="shared" si="110"/>
        <v>Nivel III: Riesgo Moderado (Aceptable)</v>
      </c>
      <c r="AB44" s="244">
        <v>1</v>
      </c>
      <c r="AC44" s="244"/>
      <c r="AD44" s="244"/>
      <c r="AE44" s="244"/>
      <c r="AF44" s="251"/>
      <c r="AG44" s="251"/>
      <c r="AH44" s="245" t="s">
        <v>424</v>
      </c>
      <c r="AI44" s="245" t="s">
        <v>424</v>
      </c>
      <c r="AJ44" s="245" t="s">
        <v>424</v>
      </c>
      <c r="AK44" s="245" t="s">
        <v>541</v>
      </c>
      <c r="AL44" s="260" t="s">
        <v>600</v>
      </c>
    </row>
    <row r="45" spans="1:38" s="235" customFormat="1" ht="71.25" hidden="1" customHeight="1" x14ac:dyDescent="0.3">
      <c r="A45" s="259" t="s">
        <v>1453</v>
      </c>
      <c r="B45" s="244" t="s">
        <v>1456</v>
      </c>
      <c r="C45" s="244" t="s">
        <v>1459</v>
      </c>
      <c r="D45" s="300" t="s">
        <v>1588</v>
      </c>
      <c r="E45" s="244" t="s">
        <v>1587</v>
      </c>
      <c r="F45" s="244" t="s">
        <v>422</v>
      </c>
      <c r="G45" s="244" t="s">
        <v>1460</v>
      </c>
      <c r="H45" s="245" t="s">
        <v>397</v>
      </c>
      <c r="I45" s="244" t="s">
        <v>365</v>
      </c>
      <c r="J45" s="244" t="s">
        <v>924</v>
      </c>
      <c r="K45" s="244" t="s">
        <v>557</v>
      </c>
      <c r="L45" s="244" t="s">
        <v>421</v>
      </c>
      <c r="M45" s="244" t="s">
        <v>460</v>
      </c>
      <c r="N45" s="244" t="s">
        <v>469</v>
      </c>
      <c r="O45" s="245" t="s">
        <v>423</v>
      </c>
      <c r="P45" s="245" t="s">
        <v>423</v>
      </c>
      <c r="Q45" s="244" t="s">
        <v>929</v>
      </c>
      <c r="R45" s="244" t="s">
        <v>184</v>
      </c>
      <c r="S45" s="252">
        <f t="shared" ref="S45:S66" si="114">IF(R45="Muy Alto",10,IF(R45="Alto",6,IF(R45="Medio",2,IF(R45="Bajo",1,))))</f>
        <v>1</v>
      </c>
      <c r="T45" s="244" t="s">
        <v>186</v>
      </c>
      <c r="U45" s="253">
        <f t="shared" ref="U45:U66" si="115">IF(T45="Continua",4,IF(T45="Frecuente",3,IF(T45="Ocasional",2,IF(T45="Esporádica",1,))))</f>
        <v>4</v>
      </c>
      <c r="V45" s="251">
        <f t="shared" ref="V45:V66" si="116">S45*U45</f>
        <v>4</v>
      </c>
      <c r="W45" s="244" t="str">
        <f t="shared" ref="W45:W66" si="117">IF(AND(V45&gt;=0,V45&lt;=4),"Bajo",IF(AND(V45&gt;=6,V45&lt;=8),"Medio",IF(AND(V45&gt;=10,V45&lt;=20),"Alto",IF(AND(V45&gt;=20,V45&lt;=40),"Muy Alto",))))</f>
        <v>Bajo</v>
      </c>
      <c r="X45" s="244" t="s">
        <v>187</v>
      </c>
      <c r="Y45" s="253">
        <f t="shared" ref="Y45:Y66" si="118">IF(X45="Mortal o catastrófico",100,IF(X45="Muy grave",60,IF(X45="Grave",25,IF(X45="Leve",10,))))</f>
        <v>25</v>
      </c>
      <c r="Z45" s="251">
        <f>V45*Y45</f>
        <v>100</v>
      </c>
      <c r="AA45" s="244" t="str">
        <f>IF(AND(Z45&gt;=600,Z45&lt;=4000),"Nivel I: Riesgo Inaceptable",IF(AND(Z45&gt;=150,Z45&lt;=500),"Nivel II: Riesgo Importante",IF(AND(Z45&gt;=40,Z45&lt;=120),"Nivel III: Riesgo Moderado (Aceptable)","Nivel IV: Riesgo Tolerable (Aceptable)")))</f>
        <v>Nivel III: Riesgo Moderado (Aceptable)</v>
      </c>
      <c r="AB45" s="244">
        <v>1</v>
      </c>
      <c r="AC45" s="244"/>
      <c r="AD45" s="244"/>
      <c r="AE45" s="244"/>
      <c r="AF45" s="251"/>
      <c r="AG45" s="244" t="s">
        <v>926</v>
      </c>
      <c r="AH45" s="245" t="s">
        <v>424</v>
      </c>
      <c r="AI45" s="245" t="s">
        <v>424</v>
      </c>
      <c r="AJ45" s="245" t="s">
        <v>424</v>
      </c>
      <c r="AK45" s="245" t="s">
        <v>944</v>
      </c>
      <c r="AL45" s="260" t="s">
        <v>600</v>
      </c>
    </row>
    <row r="46" spans="1:38" s="235" customFormat="1" ht="90" hidden="1" customHeight="1" x14ac:dyDescent="0.3">
      <c r="A46" s="259" t="s">
        <v>1453</v>
      </c>
      <c r="B46" s="244" t="s">
        <v>1456</v>
      </c>
      <c r="C46" s="244" t="s">
        <v>1459</v>
      </c>
      <c r="D46" s="300" t="s">
        <v>1588</v>
      </c>
      <c r="E46" s="244" t="s">
        <v>1587</v>
      </c>
      <c r="F46" s="244" t="s">
        <v>422</v>
      </c>
      <c r="G46" s="244" t="s">
        <v>1460</v>
      </c>
      <c r="H46" s="245" t="s">
        <v>397</v>
      </c>
      <c r="I46" s="244" t="s">
        <v>178</v>
      </c>
      <c r="J46" s="244" t="s">
        <v>942</v>
      </c>
      <c r="K46" s="244" t="s">
        <v>693</v>
      </c>
      <c r="L46" s="244" t="s">
        <v>421</v>
      </c>
      <c r="M46" s="244" t="s">
        <v>460</v>
      </c>
      <c r="N46" s="244" t="s">
        <v>469</v>
      </c>
      <c r="O46" s="245" t="s">
        <v>423</v>
      </c>
      <c r="P46" s="245" t="s">
        <v>423</v>
      </c>
      <c r="Q46" s="244" t="s">
        <v>940</v>
      </c>
      <c r="R46" s="244" t="s">
        <v>185</v>
      </c>
      <c r="S46" s="252">
        <f t="shared" si="114"/>
        <v>2</v>
      </c>
      <c r="T46" s="244" t="s">
        <v>416</v>
      </c>
      <c r="U46" s="253">
        <f t="shared" si="115"/>
        <v>3</v>
      </c>
      <c r="V46" s="251">
        <f t="shared" si="116"/>
        <v>6</v>
      </c>
      <c r="W46" s="244" t="str">
        <f t="shared" si="117"/>
        <v>Medio</v>
      </c>
      <c r="X46" s="244" t="s">
        <v>187</v>
      </c>
      <c r="Y46" s="253">
        <f t="shared" si="118"/>
        <v>25</v>
      </c>
      <c r="Z46" s="251">
        <f t="shared" ref="Z46:Z66" si="119">V46*Y46</f>
        <v>150</v>
      </c>
      <c r="AA46" s="244" t="str">
        <f t="shared" ref="AA46:AA66" si="120">IF(AND(Z46&gt;=600,Z46&lt;=4000),"Nivel I: Riesgo Inaceptable",IF(AND(Z46&gt;=150,Z46&lt;=500),"Nivel II: Riesgo Importante",IF(AND(Z46&gt;=40,Z46&lt;=120),"Nivel III: Riesgo Moderado (Aceptable)","Nivel IV: Riesgo Tolerable (Aceptable)")))</f>
        <v>Nivel II: Riesgo Importante</v>
      </c>
      <c r="AB46" s="244">
        <v>1</v>
      </c>
      <c r="AC46" s="244"/>
      <c r="AD46" s="244"/>
      <c r="AE46" s="244"/>
      <c r="AF46" s="251"/>
      <c r="AG46" s="244" t="s">
        <v>926</v>
      </c>
      <c r="AH46" s="245" t="s">
        <v>424</v>
      </c>
      <c r="AI46" s="245" t="s">
        <v>424</v>
      </c>
      <c r="AJ46" s="245" t="s">
        <v>692</v>
      </c>
      <c r="AK46" s="245" t="s">
        <v>941</v>
      </c>
      <c r="AL46" s="260" t="s">
        <v>600</v>
      </c>
    </row>
    <row r="47" spans="1:38" s="235" customFormat="1" ht="102.75" hidden="1" customHeight="1" x14ac:dyDescent="0.3">
      <c r="A47" s="259" t="s">
        <v>1453</v>
      </c>
      <c r="B47" s="244" t="s">
        <v>1456</v>
      </c>
      <c r="C47" s="244" t="s">
        <v>1459</v>
      </c>
      <c r="D47" s="300" t="s">
        <v>1588</v>
      </c>
      <c r="E47" s="244" t="s">
        <v>1587</v>
      </c>
      <c r="F47" s="244" t="s">
        <v>422</v>
      </c>
      <c r="G47" s="244" t="s">
        <v>1460</v>
      </c>
      <c r="H47" s="245" t="s">
        <v>397</v>
      </c>
      <c r="I47" s="244" t="s">
        <v>371</v>
      </c>
      <c r="J47" s="244" t="s">
        <v>927</v>
      </c>
      <c r="K47" s="244" t="s">
        <v>694</v>
      </c>
      <c r="L47" s="244" t="s">
        <v>421</v>
      </c>
      <c r="M47" s="244" t="s">
        <v>460</v>
      </c>
      <c r="N47" s="244" t="s">
        <v>469</v>
      </c>
      <c r="O47" s="245" t="s">
        <v>945</v>
      </c>
      <c r="P47" s="245" t="s">
        <v>725</v>
      </c>
      <c r="Q47" s="244" t="s">
        <v>929</v>
      </c>
      <c r="R47" s="244" t="s">
        <v>185</v>
      </c>
      <c r="S47" s="252">
        <f t="shared" si="114"/>
        <v>2</v>
      </c>
      <c r="T47" s="244" t="s">
        <v>416</v>
      </c>
      <c r="U47" s="253">
        <f t="shared" si="115"/>
        <v>3</v>
      </c>
      <c r="V47" s="251">
        <f t="shared" si="116"/>
        <v>6</v>
      </c>
      <c r="W47" s="244" t="str">
        <f>IF(AND(V47&gt;=0,V47&lt;=4),"Bajo",IF(AND(V47&gt;=6,V47&lt;=8),"Medio",IF(AND(V47&gt;=10,V47&lt;=20),"Alto",IF(AND(V47&gt;=20,V47&lt;=40),"Muy Alto",))))</f>
        <v>Medio</v>
      </c>
      <c r="X47" s="244" t="s">
        <v>187</v>
      </c>
      <c r="Y47" s="253">
        <f t="shared" si="118"/>
        <v>25</v>
      </c>
      <c r="Z47" s="251">
        <f t="shared" si="119"/>
        <v>150</v>
      </c>
      <c r="AA47" s="244" t="str">
        <f t="shared" si="120"/>
        <v>Nivel II: Riesgo Importante</v>
      </c>
      <c r="AB47" s="244">
        <v>1</v>
      </c>
      <c r="AC47" s="244"/>
      <c r="AD47" s="244"/>
      <c r="AE47" s="244"/>
      <c r="AF47" s="251"/>
      <c r="AG47" s="244" t="s">
        <v>926</v>
      </c>
      <c r="AH47" s="245" t="s">
        <v>424</v>
      </c>
      <c r="AI47" s="245" t="s">
        <v>424</v>
      </c>
      <c r="AJ47" s="245" t="s">
        <v>581</v>
      </c>
      <c r="AK47" s="245" t="s">
        <v>947</v>
      </c>
      <c r="AL47" s="260" t="s">
        <v>600</v>
      </c>
    </row>
    <row r="48" spans="1:38" s="235" customFormat="1" ht="80.25" hidden="1" customHeight="1" x14ac:dyDescent="0.3">
      <c r="A48" s="259" t="s">
        <v>1453</v>
      </c>
      <c r="B48" s="244" t="s">
        <v>1456</v>
      </c>
      <c r="C48" s="244" t="s">
        <v>1459</v>
      </c>
      <c r="D48" s="300" t="s">
        <v>1588</v>
      </c>
      <c r="E48" s="244" t="s">
        <v>1587</v>
      </c>
      <c r="F48" s="244" t="s">
        <v>422</v>
      </c>
      <c r="G48" s="244" t="s">
        <v>1460</v>
      </c>
      <c r="H48" s="245" t="s">
        <v>407</v>
      </c>
      <c r="I48" s="244" t="s">
        <v>957</v>
      </c>
      <c r="J48" s="244" t="s">
        <v>936</v>
      </c>
      <c r="K48" s="244" t="s">
        <v>851</v>
      </c>
      <c r="L48" s="244" t="s">
        <v>421</v>
      </c>
      <c r="M48" s="244" t="s">
        <v>460</v>
      </c>
      <c r="N48" s="244" t="s">
        <v>469</v>
      </c>
      <c r="O48" s="245" t="s">
        <v>928</v>
      </c>
      <c r="P48" s="245" t="s">
        <v>695</v>
      </c>
      <c r="Q48" s="244" t="s">
        <v>932</v>
      </c>
      <c r="R48" s="244" t="s">
        <v>185</v>
      </c>
      <c r="S48" s="252">
        <f t="shared" si="114"/>
        <v>2</v>
      </c>
      <c r="T48" s="244" t="s">
        <v>416</v>
      </c>
      <c r="U48" s="253">
        <f t="shared" si="115"/>
        <v>3</v>
      </c>
      <c r="V48" s="251">
        <f t="shared" si="116"/>
        <v>6</v>
      </c>
      <c r="W48" s="244" t="str">
        <f t="shared" si="117"/>
        <v>Medio</v>
      </c>
      <c r="X48" s="244" t="s">
        <v>187</v>
      </c>
      <c r="Y48" s="253">
        <f t="shared" si="118"/>
        <v>25</v>
      </c>
      <c r="Z48" s="251">
        <f t="shared" si="119"/>
        <v>150</v>
      </c>
      <c r="AA48" s="244" t="str">
        <f t="shared" si="120"/>
        <v>Nivel II: Riesgo Importante</v>
      </c>
      <c r="AB48" s="244">
        <v>1</v>
      </c>
      <c r="AC48" s="244"/>
      <c r="AD48" s="244"/>
      <c r="AE48" s="244"/>
      <c r="AF48" s="251"/>
      <c r="AG48" s="244" t="s">
        <v>926</v>
      </c>
      <c r="AH48" s="245" t="s">
        <v>424</v>
      </c>
      <c r="AI48" s="245" t="s">
        <v>424</v>
      </c>
      <c r="AJ48" s="245" t="s">
        <v>424</v>
      </c>
      <c r="AK48" s="245" t="s">
        <v>930</v>
      </c>
      <c r="AL48" s="260" t="s">
        <v>696</v>
      </c>
    </row>
    <row r="49" spans="1:38" s="235" customFormat="1" ht="63" hidden="1" customHeight="1" x14ac:dyDescent="0.3">
      <c r="A49" s="259" t="s">
        <v>1453</v>
      </c>
      <c r="B49" s="244" t="s">
        <v>1456</v>
      </c>
      <c r="C49" s="244" t="s">
        <v>1459</v>
      </c>
      <c r="D49" s="300" t="s">
        <v>1588</v>
      </c>
      <c r="E49" s="244" t="s">
        <v>1587</v>
      </c>
      <c r="F49" s="244" t="s">
        <v>422</v>
      </c>
      <c r="G49" s="244" t="s">
        <v>1460</v>
      </c>
      <c r="H49" s="245" t="s">
        <v>407</v>
      </c>
      <c r="I49" s="244" t="s">
        <v>299</v>
      </c>
      <c r="J49" s="244" t="s">
        <v>697</v>
      </c>
      <c r="K49" s="244" t="s">
        <v>472</v>
      </c>
      <c r="L49" s="244" t="s">
        <v>421</v>
      </c>
      <c r="M49" s="244" t="s">
        <v>460</v>
      </c>
      <c r="N49" s="244" t="s">
        <v>469</v>
      </c>
      <c r="O49" s="245" t="s">
        <v>423</v>
      </c>
      <c r="P49" s="245" t="s">
        <v>423</v>
      </c>
      <c r="Q49" s="244" t="s">
        <v>932</v>
      </c>
      <c r="R49" s="244" t="s">
        <v>185</v>
      </c>
      <c r="S49" s="252">
        <f t="shared" si="114"/>
        <v>2</v>
      </c>
      <c r="T49" s="244" t="s">
        <v>416</v>
      </c>
      <c r="U49" s="253">
        <f t="shared" si="115"/>
        <v>3</v>
      </c>
      <c r="V49" s="251">
        <f t="shared" si="116"/>
        <v>6</v>
      </c>
      <c r="W49" s="244" t="str">
        <f t="shared" si="117"/>
        <v>Medio</v>
      </c>
      <c r="X49" s="244" t="s">
        <v>187</v>
      </c>
      <c r="Y49" s="253">
        <f t="shared" si="118"/>
        <v>25</v>
      </c>
      <c r="Z49" s="251">
        <f t="shared" si="119"/>
        <v>150</v>
      </c>
      <c r="AA49" s="244" t="str">
        <f t="shared" si="120"/>
        <v>Nivel II: Riesgo Importante</v>
      </c>
      <c r="AB49" s="244">
        <v>1</v>
      </c>
      <c r="AC49" s="244"/>
      <c r="AD49" s="244"/>
      <c r="AE49" s="244"/>
      <c r="AF49" s="251"/>
      <c r="AG49" s="244" t="s">
        <v>926</v>
      </c>
      <c r="AH49" s="245" t="s">
        <v>424</v>
      </c>
      <c r="AI49" s="245" t="s">
        <v>424</v>
      </c>
      <c r="AJ49" s="245" t="s">
        <v>424</v>
      </c>
      <c r="AK49" s="244" t="s">
        <v>954</v>
      </c>
      <c r="AL49" s="261" t="s">
        <v>955</v>
      </c>
    </row>
    <row r="50" spans="1:38" s="235" customFormat="1" ht="75.75" hidden="1" customHeight="1" x14ac:dyDescent="0.3">
      <c r="A50" s="259" t="s">
        <v>1453</v>
      </c>
      <c r="B50" s="244" t="s">
        <v>1456</v>
      </c>
      <c r="C50" s="244" t="s">
        <v>1459</v>
      </c>
      <c r="D50" s="300" t="s">
        <v>1588</v>
      </c>
      <c r="E50" s="244" t="s">
        <v>1587</v>
      </c>
      <c r="F50" s="244" t="s">
        <v>461</v>
      </c>
      <c r="G50" s="244" t="s">
        <v>1460</v>
      </c>
      <c r="H50" s="245" t="s">
        <v>407</v>
      </c>
      <c r="I50" s="244" t="s">
        <v>286</v>
      </c>
      <c r="J50" s="244" t="s">
        <v>699</v>
      </c>
      <c r="K50" s="244" t="s">
        <v>700</v>
      </c>
      <c r="L50" s="244" t="s">
        <v>421</v>
      </c>
      <c r="M50" s="244" t="s">
        <v>460</v>
      </c>
      <c r="N50" s="244" t="s">
        <v>469</v>
      </c>
      <c r="O50" s="245" t="s">
        <v>423</v>
      </c>
      <c r="P50" s="245" t="s">
        <v>423</v>
      </c>
      <c r="Q50" s="244" t="s">
        <v>951</v>
      </c>
      <c r="R50" s="244" t="s">
        <v>184</v>
      </c>
      <c r="S50" s="252">
        <f>IF(R50="Muy Alto",10,IF(R50="Alto",6,IF(R50="Medio",2,IF(R50="Bajo",1,))))</f>
        <v>1</v>
      </c>
      <c r="T50" s="244" t="s">
        <v>429</v>
      </c>
      <c r="U50" s="253">
        <f>IF(T50="Continua",4,IF(T50="Frecuente",3,IF(T50="Ocasional",2,IF(T50="Esporádica",1,))))</f>
        <v>2</v>
      </c>
      <c r="V50" s="251">
        <f>S50*U50</f>
        <v>2</v>
      </c>
      <c r="W50" s="244" t="str">
        <f>IF(AND(V50&gt;=0,V50&lt;=4),"Bajo",IF(AND(V50&gt;=6,V50&lt;=8),"Medio",IF(AND(V50&gt;=10,V50&lt;=20),"Alto",IF(AND(V50&gt;=20,V50&lt;=40),"Muy Alto",))))</f>
        <v>Bajo</v>
      </c>
      <c r="X50" s="244" t="s">
        <v>187</v>
      </c>
      <c r="Y50" s="253">
        <f>IF(X50="Mortal o catastrófico",100,IF(X50="Muy grave",60,IF(X50="Grave",25,IF(X50="Leve",10,))))</f>
        <v>25</v>
      </c>
      <c r="Z50" s="251">
        <f>V50*Y50</f>
        <v>50</v>
      </c>
      <c r="AA50" s="244" t="str">
        <f>IF(AND(Z50&gt;=600,Z50&lt;=4000),"Nivel I: Riesgo Inaceptable",IF(AND(Z50&gt;=150,Z50&lt;=500),"Nivel II: Riesgo Importante",IF(AND(Z50&gt;=40,Z50&lt;=120),"Nivel III: Riesgo Moderado (Aceptable)","Nivel IV: Riesgo Tolerable (Aceptable)")))</f>
        <v>Nivel III: Riesgo Moderado (Aceptable)</v>
      </c>
      <c r="AB50" s="244">
        <v>1</v>
      </c>
      <c r="AC50" s="244"/>
      <c r="AD50" s="244"/>
      <c r="AE50" s="244"/>
      <c r="AF50" s="251"/>
      <c r="AG50" s="251"/>
      <c r="AH50" s="245" t="s">
        <v>424</v>
      </c>
      <c r="AI50" s="245" t="s">
        <v>424</v>
      </c>
      <c r="AJ50" s="245" t="s">
        <v>424</v>
      </c>
      <c r="AK50" s="245" t="s">
        <v>949</v>
      </c>
      <c r="AL50" s="260" t="s">
        <v>950</v>
      </c>
    </row>
    <row r="51" spans="1:38" s="235" customFormat="1" ht="47.25" hidden="1" customHeight="1" x14ac:dyDescent="0.3">
      <c r="A51" s="259" t="s">
        <v>1453</v>
      </c>
      <c r="B51" s="244" t="s">
        <v>1456</v>
      </c>
      <c r="C51" s="244" t="s">
        <v>1459</v>
      </c>
      <c r="D51" s="300" t="s">
        <v>1588</v>
      </c>
      <c r="E51" s="244" t="s">
        <v>1587</v>
      </c>
      <c r="F51" s="244" t="s">
        <v>422</v>
      </c>
      <c r="G51" s="244" t="s">
        <v>1460</v>
      </c>
      <c r="H51" s="245" t="s">
        <v>408</v>
      </c>
      <c r="I51" s="244" t="s">
        <v>355</v>
      </c>
      <c r="J51" s="244" t="s">
        <v>701</v>
      </c>
      <c r="K51" s="244" t="s">
        <v>507</v>
      </c>
      <c r="L51" s="244" t="s">
        <v>421</v>
      </c>
      <c r="M51" s="244" t="s">
        <v>460</v>
      </c>
      <c r="N51" s="244" t="s">
        <v>469</v>
      </c>
      <c r="O51" s="245" t="s">
        <v>423</v>
      </c>
      <c r="P51" s="245" t="s">
        <v>953</v>
      </c>
      <c r="Q51" s="244" t="s">
        <v>933</v>
      </c>
      <c r="R51" s="244" t="s">
        <v>185</v>
      </c>
      <c r="S51" s="252">
        <f t="shared" ref="S51:S52" si="121">IF(R51="Muy Alto",10,IF(R51="Alto",6,IF(R51="Medio",2,IF(R51="Bajo",1,))))</f>
        <v>2</v>
      </c>
      <c r="T51" s="244" t="s">
        <v>186</v>
      </c>
      <c r="U51" s="253">
        <f t="shared" ref="U51:U52" si="122">IF(T51="Continua",4,IF(T51="Frecuente",3,IF(T51="Ocasional",2,IF(T51="Esporádica",1,))))</f>
        <v>4</v>
      </c>
      <c r="V51" s="251">
        <f t="shared" ref="V51:V52" si="123">S51*U51</f>
        <v>8</v>
      </c>
      <c r="W51" s="244" t="str">
        <f t="shared" ref="W51:W52" si="124">IF(AND(V51&gt;=0,V51&lt;=4),"Bajo",IF(AND(V51&gt;=6,V51&lt;=8),"Medio",IF(AND(V51&gt;=10,V51&lt;=20),"Alto",IF(AND(V51&gt;=20,V51&lt;=40),"Muy Alto",))))</f>
        <v>Medio</v>
      </c>
      <c r="X51" s="244" t="s">
        <v>187</v>
      </c>
      <c r="Y51" s="253">
        <f t="shared" ref="Y51:Y52" si="125">IF(X51="Mortal o catastrófico",100,IF(X51="Muy grave",60,IF(X51="Grave",25,IF(X51="Leve",10,))))</f>
        <v>25</v>
      </c>
      <c r="Z51" s="251">
        <f t="shared" ref="Z51:Z52" si="126">V51*Y51</f>
        <v>200</v>
      </c>
      <c r="AA51" s="244" t="str">
        <f t="shared" ref="AA51:AA52" si="127">IF(AND(Z51&gt;=600,Z51&lt;=4000),"Nivel I: Riesgo Inaceptable",IF(AND(Z51&gt;=150,Z51&lt;=500),"Nivel II: Riesgo Importante",IF(AND(Z51&gt;=40,Z51&lt;=120),"Nivel III: Riesgo Moderado (Aceptable)","Nivel IV: Riesgo Tolerable (Aceptable)")))</f>
        <v>Nivel II: Riesgo Importante</v>
      </c>
      <c r="AB51" s="244">
        <v>1</v>
      </c>
      <c r="AC51" s="244"/>
      <c r="AD51" s="244"/>
      <c r="AE51" s="244"/>
      <c r="AF51" s="251"/>
      <c r="AG51" s="244" t="s">
        <v>926</v>
      </c>
      <c r="AH51" s="245" t="s">
        <v>424</v>
      </c>
      <c r="AI51" s="245" t="s">
        <v>424</v>
      </c>
      <c r="AJ51" s="245" t="s">
        <v>424</v>
      </c>
      <c r="AK51" s="244" t="s">
        <v>952</v>
      </c>
      <c r="AL51" s="260" t="s">
        <v>528</v>
      </c>
    </row>
    <row r="52" spans="1:38" s="235" customFormat="1" ht="47.25" hidden="1" customHeight="1" x14ac:dyDescent="0.3">
      <c r="A52" s="259" t="s">
        <v>1453</v>
      </c>
      <c r="B52" s="244" t="s">
        <v>1456</v>
      </c>
      <c r="C52" s="244" t="s">
        <v>1459</v>
      </c>
      <c r="D52" s="300" t="s">
        <v>1588</v>
      </c>
      <c r="E52" s="244" t="s">
        <v>1587</v>
      </c>
      <c r="F52" s="244" t="s">
        <v>422</v>
      </c>
      <c r="G52" s="244" t="s">
        <v>1460</v>
      </c>
      <c r="H52" s="245" t="s">
        <v>408</v>
      </c>
      <c r="I52" s="244" t="s">
        <v>562</v>
      </c>
      <c r="J52" s="244" t="s">
        <v>852</v>
      </c>
      <c r="K52" s="244" t="s">
        <v>508</v>
      </c>
      <c r="L52" s="244" t="s">
        <v>421</v>
      </c>
      <c r="M52" s="244" t="s">
        <v>460</v>
      </c>
      <c r="N52" s="244" t="s">
        <v>469</v>
      </c>
      <c r="O52" s="245" t="s">
        <v>423</v>
      </c>
      <c r="P52" s="245" t="s">
        <v>423</v>
      </c>
      <c r="Q52" s="244" t="s">
        <v>956</v>
      </c>
      <c r="R52" s="244" t="s">
        <v>185</v>
      </c>
      <c r="S52" s="252">
        <f t="shared" si="121"/>
        <v>2</v>
      </c>
      <c r="T52" s="244" t="s">
        <v>416</v>
      </c>
      <c r="U52" s="253">
        <f t="shared" si="122"/>
        <v>3</v>
      </c>
      <c r="V52" s="251">
        <f t="shared" si="123"/>
        <v>6</v>
      </c>
      <c r="W52" s="244" t="str">
        <f t="shared" si="124"/>
        <v>Medio</v>
      </c>
      <c r="X52" s="244" t="s">
        <v>187</v>
      </c>
      <c r="Y52" s="253">
        <f t="shared" si="125"/>
        <v>25</v>
      </c>
      <c r="Z52" s="251">
        <f t="shared" si="126"/>
        <v>150</v>
      </c>
      <c r="AA52" s="244" t="str">
        <f t="shared" si="127"/>
        <v>Nivel II: Riesgo Importante</v>
      </c>
      <c r="AB52" s="244">
        <v>1</v>
      </c>
      <c r="AC52" s="244"/>
      <c r="AD52" s="244"/>
      <c r="AE52" s="244"/>
      <c r="AF52" s="251"/>
      <c r="AG52" s="244" t="s">
        <v>926</v>
      </c>
      <c r="AH52" s="245" t="s">
        <v>424</v>
      </c>
      <c r="AI52" s="245" t="s">
        <v>424</v>
      </c>
      <c r="AJ52" s="245" t="s">
        <v>698</v>
      </c>
      <c r="AK52" s="245" t="s">
        <v>582</v>
      </c>
      <c r="AL52" s="260" t="s">
        <v>528</v>
      </c>
    </row>
    <row r="53" spans="1:38" s="235" customFormat="1" ht="65.25" hidden="1" customHeight="1" x14ac:dyDescent="0.3">
      <c r="A53" s="259" t="s">
        <v>1453</v>
      </c>
      <c r="B53" s="244" t="s">
        <v>1456</v>
      </c>
      <c r="C53" s="244" t="s">
        <v>1459</v>
      </c>
      <c r="D53" s="300" t="s">
        <v>1588</v>
      </c>
      <c r="E53" s="244" t="s">
        <v>1587</v>
      </c>
      <c r="F53" s="244" t="s">
        <v>422</v>
      </c>
      <c r="G53" s="244" t="s">
        <v>1460</v>
      </c>
      <c r="H53" s="245" t="s">
        <v>433</v>
      </c>
      <c r="I53" s="244" t="s">
        <v>177</v>
      </c>
      <c r="J53" s="244" t="s">
        <v>937</v>
      </c>
      <c r="K53" s="244" t="s">
        <v>938</v>
      </c>
      <c r="L53" s="244" t="s">
        <v>421</v>
      </c>
      <c r="M53" s="244" t="s">
        <v>460</v>
      </c>
      <c r="N53" s="244" t="s">
        <v>469</v>
      </c>
      <c r="O53" s="245" t="s">
        <v>423</v>
      </c>
      <c r="P53" s="245" t="s">
        <v>423</v>
      </c>
      <c r="Q53" s="244" t="s">
        <v>932</v>
      </c>
      <c r="R53" s="244" t="s">
        <v>185</v>
      </c>
      <c r="S53" s="252">
        <f>IF(R53="Muy Alto",10,IF(R53="Alto",6,IF(R53="Medio",2,IF(R53="Bajo",1,))))</f>
        <v>2</v>
      </c>
      <c r="T53" s="244" t="s">
        <v>429</v>
      </c>
      <c r="U53" s="253">
        <f>IF(T53="Continua",4,IF(T53="Frecuente",3,IF(T53="Ocasional",2,IF(T53="Esporádica",1,))))</f>
        <v>2</v>
      </c>
      <c r="V53" s="251">
        <f>S53*U53</f>
        <v>4</v>
      </c>
      <c r="W53" s="244" t="str">
        <f>IF(AND(V53&gt;=0,V53&lt;=4),"Bajo",IF(AND(V53&gt;=6,V53&lt;=8),"Medio",IF(AND(V53&gt;=10,V53&lt;=20),"Alto",IF(AND(V53&gt;=20,V53&lt;=40),"Muy Alto",))))</f>
        <v>Bajo</v>
      </c>
      <c r="X53" s="244" t="s">
        <v>187</v>
      </c>
      <c r="Y53" s="253">
        <f>IF(X53="Mortal o catastrófico",100,IF(X53="Muy grave",60,IF(X53="Grave",25,IF(X53="Leve",10,))))</f>
        <v>25</v>
      </c>
      <c r="Z53" s="251">
        <f>V53*Y53</f>
        <v>100</v>
      </c>
      <c r="AA53" s="244" t="str">
        <f>IF(AND(Z53&gt;=600,Z53&lt;=4000),"Nivel I: Riesgo Inaceptable",IF(AND(Z53&gt;=150,Z53&lt;=500),"Nivel II: Riesgo Importante",IF(AND(Z53&gt;=40,Z53&lt;=120),"Nivel III: Riesgo Moderado (Aceptable)","Nivel IV: Riesgo Tolerable (Aceptable)")))</f>
        <v>Nivel III: Riesgo Moderado (Aceptable)</v>
      </c>
      <c r="AB53" s="244">
        <v>1</v>
      </c>
      <c r="AC53" s="244"/>
      <c r="AD53" s="244"/>
      <c r="AE53" s="244"/>
      <c r="AF53" s="251"/>
      <c r="AG53" s="244" t="s">
        <v>926</v>
      </c>
      <c r="AH53" s="245" t="s">
        <v>424</v>
      </c>
      <c r="AI53" s="245" t="s">
        <v>424</v>
      </c>
      <c r="AJ53" s="245" t="s">
        <v>424</v>
      </c>
      <c r="AK53" s="244" t="s">
        <v>934</v>
      </c>
      <c r="AL53" s="260" t="s">
        <v>931</v>
      </c>
    </row>
    <row r="54" spans="1:38" s="235" customFormat="1" ht="42.75" hidden="1" customHeight="1" x14ac:dyDescent="0.3">
      <c r="A54" s="259" t="s">
        <v>1453</v>
      </c>
      <c r="B54" s="244" t="s">
        <v>1456</v>
      </c>
      <c r="C54" s="244" t="s">
        <v>1459</v>
      </c>
      <c r="D54" s="300" t="s">
        <v>1588</v>
      </c>
      <c r="E54" s="244" t="s">
        <v>1587</v>
      </c>
      <c r="F54" s="244" t="s">
        <v>461</v>
      </c>
      <c r="G54" s="244" t="s">
        <v>1460</v>
      </c>
      <c r="H54" s="245" t="s">
        <v>433</v>
      </c>
      <c r="I54" s="244" t="s">
        <v>176</v>
      </c>
      <c r="J54" s="244" t="s">
        <v>958</v>
      </c>
      <c r="K54" s="244" t="s">
        <v>959</v>
      </c>
      <c r="L54" s="244" t="s">
        <v>421</v>
      </c>
      <c r="M54" s="244" t="s">
        <v>460</v>
      </c>
      <c r="N54" s="244" t="s">
        <v>469</v>
      </c>
      <c r="O54" s="245" t="s">
        <v>423</v>
      </c>
      <c r="P54" s="245" t="s">
        <v>544</v>
      </c>
      <c r="Q54" s="244" t="s">
        <v>960</v>
      </c>
      <c r="R54" s="244" t="s">
        <v>184</v>
      </c>
      <c r="S54" s="252">
        <f t="shared" si="114"/>
        <v>1</v>
      </c>
      <c r="T54" s="244" t="s">
        <v>429</v>
      </c>
      <c r="U54" s="253">
        <f t="shared" si="115"/>
        <v>2</v>
      </c>
      <c r="V54" s="251">
        <f t="shared" si="116"/>
        <v>2</v>
      </c>
      <c r="W54" s="244" t="s">
        <v>184</v>
      </c>
      <c r="X54" s="244" t="s">
        <v>428</v>
      </c>
      <c r="Y54" s="253">
        <f t="shared" si="118"/>
        <v>10</v>
      </c>
      <c r="Z54" s="251">
        <f t="shared" si="119"/>
        <v>20</v>
      </c>
      <c r="AA54" s="244" t="str">
        <f t="shared" si="120"/>
        <v>Nivel IV: Riesgo Tolerable (Aceptable)</v>
      </c>
      <c r="AB54" s="244">
        <v>1</v>
      </c>
      <c r="AC54" s="244"/>
      <c r="AD54" s="244"/>
      <c r="AE54" s="244"/>
      <c r="AF54" s="251"/>
      <c r="AG54" s="251"/>
      <c r="AH54" s="245" t="s">
        <v>424</v>
      </c>
      <c r="AI54" s="245" t="s">
        <v>424</v>
      </c>
      <c r="AJ54" s="245" t="s">
        <v>424</v>
      </c>
      <c r="AK54" s="244" t="s">
        <v>962</v>
      </c>
      <c r="AL54" s="260" t="s">
        <v>961</v>
      </c>
    </row>
    <row r="55" spans="1:38" s="235" customFormat="1" ht="47.25" hidden="1" customHeight="1" x14ac:dyDescent="0.3">
      <c r="A55" s="259" t="s">
        <v>1453</v>
      </c>
      <c r="B55" s="244" t="s">
        <v>1456</v>
      </c>
      <c r="C55" s="244" t="s">
        <v>1459</v>
      </c>
      <c r="D55" s="300" t="s">
        <v>1588</v>
      </c>
      <c r="E55" s="244" t="s">
        <v>1587</v>
      </c>
      <c r="F55" s="244" t="s">
        <v>422</v>
      </c>
      <c r="G55" s="244" t="s">
        <v>1460</v>
      </c>
      <c r="H55" s="245" t="s">
        <v>434</v>
      </c>
      <c r="I55" s="244" t="s">
        <v>283</v>
      </c>
      <c r="J55" s="244" t="s">
        <v>939</v>
      </c>
      <c r="K55" s="244" t="s">
        <v>963</v>
      </c>
      <c r="L55" s="244" t="s">
        <v>421</v>
      </c>
      <c r="M55" s="244" t="s">
        <v>460</v>
      </c>
      <c r="N55" s="244" t="s">
        <v>469</v>
      </c>
      <c r="O55" s="245" t="s">
        <v>423</v>
      </c>
      <c r="P55" s="245" t="s">
        <v>423</v>
      </c>
      <c r="Q55" s="244" t="s">
        <v>964</v>
      </c>
      <c r="R55" s="244" t="s">
        <v>184</v>
      </c>
      <c r="S55" s="252">
        <f>IF(R55="Muy Alto",10,IF(R55="Alto",6,IF(R55="Medio",2,IF(R55="Bajo",1,))))</f>
        <v>1</v>
      </c>
      <c r="T55" s="244" t="s">
        <v>429</v>
      </c>
      <c r="U55" s="253">
        <f>IF(T55="Continua",4,IF(T55="Frecuente",3,IF(T55="Ocasional",2,IF(T55="Esporádica",1,))))</f>
        <v>2</v>
      </c>
      <c r="V55" s="251">
        <f>S55*U55</f>
        <v>2</v>
      </c>
      <c r="W55" s="244" t="str">
        <f>IF(AND(V55&gt;=0,V55&lt;=4),"Bajo",IF(AND(V55&gt;=6,V55&lt;=8),"Medio",IF(AND(V55&gt;=10,V55&lt;=20),"Alto",IF(AND(V55&gt;=20,V55&lt;=40),"Muy Alto",))))</f>
        <v>Bajo</v>
      </c>
      <c r="X55" s="244" t="s">
        <v>428</v>
      </c>
      <c r="Y55" s="253">
        <f>IF(X55="Mortal o catastrófico",100,IF(X55="Muy grave",60,IF(X55="Grave",25,IF(X55="Leve",10,))))</f>
        <v>10</v>
      </c>
      <c r="Z55" s="251">
        <f t="shared" ref="Z55:Z58" si="128">V55*Y55</f>
        <v>20</v>
      </c>
      <c r="AA55" s="244" t="str">
        <f>IF(AND(Z55&gt;=600,Z55&lt;=4000),"Nivel I: Riesgo Inaceptable",IF(AND(Z55&gt;=150,Z55&lt;=500),"Nivel II: Riesgo Importante",IF(AND(Z55&gt;=40,Z55&lt;=120),"Nivel III: Riesgo Moderado (Aceptable)","Nivel IV: Riesgo Tolerable (Aceptable)")))</f>
        <v>Nivel IV: Riesgo Tolerable (Aceptable)</v>
      </c>
      <c r="AB55" s="244">
        <v>1</v>
      </c>
      <c r="AC55" s="244"/>
      <c r="AD55" s="244"/>
      <c r="AE55" s="244"/>
      <c r="AF55" s="251"/>
      <c r="AG55" s="244" t="s">
        <v>926</v>
      </c>
      <c r="AH55" s="245" t="s">
        <v>424</v>
      </c>
      <c r="AI55" s="245" t="s">
        <v>424</v>
      </c>
      <c r="AJ55" s="245" t="s">
        <v>424</v>
      </c>
      <c r="AK55" s="245" t="s">
        <v>965</v>
      </c>
      <c r="AL55" s="260" t="s">
        <v>586</v>
      </c>
    </row>
    <row r="56" spans="1:38" s="235" customFormat="1" ht="47.25" hidden="1" customHeight="1" x14ac:dyDescent="0.3">
      <c r="A56" s="259" t="s">
        <v>1453</v>
      </c>
      <c r="B56" s="244" t="s">
        <v>1456</v>
      </c>
      <c r="C56" s="244" t="s">
        <v>1459</v>
      </c>
      <c r="D56" s="300" t="s">
        <v>1588</v>
      </c>
      <c r="E56" s="244" t="s">
        <v>1587</v>
      </c>
      <c r="F56" s="244" t="s">
        <v>422</v>
      </c>
      <c r="G56" s="244" t="s">
        <v>1460</v>
      </c>
      <c r="H56" s="245" t="s">
        <v>409</v>
      </c>
      <c r="I56" s="244" t="s">
        <v>294</v>
      </c>
      <c r="J56" s="244" t="s">
        <v>707</v>
      </c>
      <c r="K56" s="244" t="s">
        <v>966</v>
      </c>
      <c r="L56" s="244" t="s">
        <v>421</v>
      </c>
      <c r="M56" s="244" t="s">
        <v>460</v>
      </c>
      <c r="N56" s="244" t="s">
        <v>469</v>
      </c>
      <c r="O56" s="245" t="s">
        <v>423</v>
      </c>
      <c r="P56" s="245" t="s">
        <v>969</v>
      </c>
      <c r="Q56" s="244" t="s">
        <v>967</v>
      </c>
      <c r="R56" s="244" t="s">
        <v>184</v>
      </c>
      <c r="S56" s="252">
        <f>IF(R56="Muy Alto",10,IF(R56="Alto",6,IF(R56="Medio",2,IF(R56="Bajo",1,))))</f>
        <v>1</v>
      </c>
      <c r="T56" s="244" t="s">
        <v>416</v>
      </c>
      <c r="U56" s="253">
        <f>IF(T56="Continua",4,IF(T56="Frecuente",3,IF(T56="Ocasional",2,IF(T56="Esporádica",1,))))</f>
        <v>3</v>
      </c>
      <c r="V56" s="251">
        <f>S56*U56</f>
        <v>3</v>
      </c>
      <c r="W56" s="244" t="str">
        <f>IF(AND(V56&gt;=0,V56&lt;=4),"Bajo",IF(AND(V56&gt;=6,V56&lt;=8),"Medio",IF(AND(V56&gt;=10,V56&lt;=20),"Alto",IF(AND(V56&gt;=20,V56&lt;=40),"Muy Alto",))))</f>
        <v>Bajo</v>
      </c>
      <c r="X56" s="244" t="s">
        <v>187</v>
      </c>
      <c r="Y56" s="253">
        <f>IF(X56="Mortal o catastrófico",100,IF(X56="Muy grave",60,IF(X56="Grave",25,IF(X56="Leve",10,))))</f>
        <v>25</v>
      </c>
      <c r="Z56" s="251">
        <f t="shared" si="128"/>
        <v>75</v>
      </c>
      <c r="AA56" s="244" t="str">
        <f>IF(AND(Z56&gt;=600,Z56&lt;=4000),"Nivel I: Riesgo Inaceptable",IF(AND(Z56&gt;=150,Z56&lt;=500),"Nivel II: Riesgo Importante",IF(AND(Z56&gt;=40,Z56&lt;=120),"Nivel III: Riesgo Moderado (Aceptable)","Nivel IV: Riesgo Tolerable (Aceptable)")))</f>
        <v>Nivel III: Riesgo Moderado (Aceptable)</v>
      </c>
      <c r="AB56" s="244">
        <v>1</v>
      </c>
      <c r="AC56" s="244"/>
      <c r="AD56" s="244"/>
      <c r="AE56" s="244"/>
      <c r="AF56" s="251"/>
      <c r="AG56" s="244" t="s">
        <v>926</v>
      </c>
      <c r="AH56" s="245" t="s">
        <v>424</v>
      </c>
      <c r="AI56" s="245" t="s">
        <v>424</v>
      </c>
      <c r="AJ56" s="245" t="s">
        <v>424</v>
      </c>
      <c r="AK56" s="258" t="s">
        <v>968</v>
      </c>
      <c r="AL56" s="260" t="s">
        <v>600</v>
      </c>
    </row>
    <row r="57" spans="1:38" s="235" customFormat="1" ht="47.25" hidden="1" customHeight="1" x14ac:dyDescent="0.3">
      <c r="A57" s="259" t="s">
        <v>1453</v>
      </c>
      <c r="B57" s="244" t="s">
        <v>1456</v>
      </c>
      <c r="C57" s="244" t="s">
        <v>1459</v>
      </c>
      <c r="D57" s="300" t="s">
        <v>1588</v>
      </c>
      <c r="E57" s="244" t="s">
        <v>1587</v>
      </c>
      <c r="F57" s="244" t="s">
        <v>422</v>
      </c>
      <c r="G57" s="244" t="s">
        <v>1460</v>
      </c>
      <c r="H57" s="245" t="s">
        <v>410</v>
      </c>
      <c r="I57" s="244" t="s">
        <v>347</v>
      </c>
      <c r="J57" s="244" t="s">
        <v>587</v>
      </c>
      <c r="K57" s="244" t="s">
        <v>588</v>
      </c>
      <c r="L57" s="244" t="s">
        <v>421</v>
      </c>
      <c r="M57" s="244" t="s">
        <v>460</v>
      </c>
      <c r="N57" s="244" t="s">
        <v>469</v>
      </c>
      <c r="O57" s="245" t="s">
        <v>423</v>
      </c>
      <c r="P57" s="245" t="s">
        <v>489</v>
      </c>
      <c r="Q57" s="244" t="s">
        <v>970</v>
      </c>
      <c r="R57" s="244" t="s">
        <v>184</v>
      </c>
      <c r="S57" s="252">
        <f>IF(R57="Muy Alto",10,IF(R57="Alto",6,IF(R57="Medio",2,IF(R57="Bajo",1,))))</f>
        <v>1</v>
      </c>
      <c r="T57" s="244" t="s">
        <v>186</v>
      </c>
      <c r="U57" s="253">
        <f>IF(T57="Continua",4,IF(T57="Frecuente",3,IF(T57="Ocasional",2,IF(T57="Esporádica",1,))))</f>
        <v>4</v>
      </c>
      <c r="V57" s="251">
        <f>S57*U57</f>
        <v>4</v>
      </c>
      <c r="W57" s="244" t="str">
        <f>IF(AND(V57&gt;=0,V57&lt;=4),"Bajo",IF(AND(V57&gt;=6,V57&lt;=8),"Medio",IF(AND(V57&gt;=10,V57&lt;=20),"Alto",IF(AND(V57&gt;=20,V57&lt;=40),"Muy Alto",))))</f>
        <v>Bajo</v>
      </c>
      <c r="X57" s="244" t="s">
        <v>971</v>
      </c>
      <c r="Y57" s="253">
        <f>IF(X57="Mortal o catastrófico",100,IF(X57="Muy grave",60,IF(X57="Grave",25,IF(X57="Leve",10,))))</f>
        <v>100</v>
      </c>
      <c r="Z57" s="251">
        <f t="shared" si="128"/>
        <v>400</v>
      </c>
      <c r="AA57" s="244" t="str">
        <f>IF(AND(Z57&gt;=600,Z57&lt;=4000),"Nivel I: Riesgo Inaceptable",IF(AND(Z57&gt;=150,Z57&lt;=500),"Nivel II: Riesgo Importante",IF(AND(Z57&gt;=40,Z57&lt;=120),"Nivel III: Riesgo Moderado (Aceptable)","Nivel IV: Riesgo Tolerable (Aceptable)")))</f>
        <v>Nivel II: Riesgo Importante</v>
      </c>
      <c r="AB57" s="244">
        <v>1</v>
      </c>
      <c r="AC57" s="244"/>
      <c r="AD57" s="244"/>
      <c r="AE57" s="244"/>
      <c r="AF57" s="251"/>
      <c r="AG57" s="244" t="s">
        <v>926</v>
      </c>
      <c r="AH57" s="245" t="s">
        <v>424</v>
      </c>
      <c r="AI57" s="245" t="s">
        <v>424</v>
      </c>
      <c r="AJ57" s="245" t="s">
        <v>424</v>
      </c>
      <c r="AK57" s="245" t="s">
        <v>972</v>
      </c>
      <c r="AL57" s="260" t="s">
        <v>600</v>
      </c>
    </row>
    <row r="58" spans="1:38" s="235" customFormat="1" ht="47.25" hidden="1" customHeight="1" x14ac:dyDescent="0.3">
      <c r="A58" s="259" t="s">
        <v>1453</v>
      </c>
      <c r="B58" s="244" t="s">
        <v>1456</v>
      </c>
      <c r="C58" s="244" t="s">
        <v>1459</v>
      </c>
      <c r="D58" s="300" t="s">
        <v>1588</v>
      </c>
      <c r="E58" s="244" t="s">
        <v>1587</v>
      </c>
      <c r="F58" s="244" t="s">
        <v>461</v>
      </c>
      <c r="G58" s="244" t="s">
        <v>1460</v>
      </c>
      <c r="H58" s="245" t="s">
        <v>411</v>
      </c>
      <c r="I58" s="244" t="s">
        <v>398</v>
      </c>
      <c r="J58" s="244" t="s">
        <v>708</v>
      </c>
      <c r="K58" s="244" t="s">
        <v>823</v>
      </c>
      <c r="L58" s="244" t="s">
        <v>421</v>
      </c>
      <c r="M58" s="244" t="s">
        <v>460</v>
      </c>
      <c r="N58" s="244" t="s">
        <v>469</v>
      </c>
      <c r="O58" s="245" t="s">
        <v>423</v>
      </c>
      <c r="P58" s="245" t="s">
        <v>489</v>
      </c>
      <c r="Q58" s="244" t="s">
        <v>970</v>
      </c>
      <c r="R58" s="244" t="s">
        <v>184</v>
      </c>
      <c r="S58" s="252">
        <v>1</v>
      </c>
      <c r="T58" s="244" t="s">
        <v>429</v>
      </c>
      <c r="U58" s="253">
        <v>2</v>
      </c>
      <c r="V58" s="251">
        <v>2</v>
      </c>
      <c r="W58" s="244" t="s">
        <v>184</v>
      </c>
      <c r="X58" s="244" t="s">
        <v>428</v>
      </c>
      <c r="Y58" s="253">
        <v>10</v>
      </c>
      <c r="Z58" s="251">
        <f t="shared" si="128"/>
        <v>20</v>
      </c>
      <c r="AA58" s="244" t="s">
        <v>709</v>
      </c>
      <c r="AB58" s="244">
        <v>1</v>
      </c>
      <c r="AC58" s="244"/>
      <c r="AD58" s="244"/>
      <c r="AE58" s="244"/>
      <c r="AF58" s="251"/>
      <c r="AG58" s="251"/>
      <c r="AH58" s="245" t="s">
        <v>424</v>
      </c>
      <c r="AI58" s="245" t="s">
        <v>424</v>
      </c>
      <c r="AJ58" s="245" t="s">
        <v>424</v>
      </c>
      <c r="AK58" s="245" t="s">
        <v>854</v>
      </c>
      <c r="AL58" s="260" t="s">
        <v>855</v>
      </c>
    </row>
    <row r="59" spans="1:38" s="235" customFormat="1" ht="82.5" hidden="1" x14ac:dyDescent="0.3">
      <c r="A59" s="259" t="s">
        <v>1453</v>
      </c>
      <c r="B59" s="244" t="s">
        <v>1456</v>
      </c>
      <c r="C59" s="244" t="s">
        <v>1459</v>
      </c>
      <c r="D59" s="300" t="s">
        <v>1588</v>
      </c>
      <c r="E59" s="244" t="s">
        <v>1587</v>
      </c>
      <c r="F59" s="244" t="s">
        <v>422</v>
      </c>
      <c r="G59" s="244" t="s">
        <v>1460</v>
      </c>
      <c r="H59" s="245" t="s">
        <v>412</v>
      </c>
      <c r="I59" s="244" t="s">
        <v>714</v>
      </c>
      <c r="J59" s="244" t="s">
        <v>512</v>
      </c>
      <c r="K59" s="244" t="s">
        <v>625</v>
      </c>
      <c r="L59" s="244" t="s">
        <v>529</v>
      </c>
      <c r="M59" s="244" t="s">
        <v>460</v>
      </c>
      <c r="N59" s="244" t="s">
        <v>469</v>
      </c>
      <c r="O59" s="245" t="s">
        <v>423</v>
      </c>
      <c r="P59" s="245" t="s">
        <v>974</v>
      </c>
      <c r="Q59" s="244" t="s">
        <v>536</v>
      </c>
      <c r="R59" s="244" t="s">
        <v>184</v>
      </c>
      <c r="S59" s="252">
        <v>1</v>
      </c>
      <c r="T59" s="244" t="s">
        <v>186</v>
      </c>
      <c r="U59" s="253">
        <v>2</v>
      </c>
      <c r="V59" s="251">
        <v>2</v>
      </c>
      <c r="W59" s="244" t="s">
        <v>184</v>
      </c>
      <c r="X59" s="244" t="s">
        <v>187</v>
      </c>
      <c r="Y59" s="253">
        <f>IF(X59="Mortal o catastrófico",100,IF(X59="Muy grave",60,IF(X59="Grave",25,IF(X59="Leve",10,))))</f>
        <v>25</v>
      </c>
      <c r="Z59" s="251">
        <f t="shared" ref="Z59" si="129">V59*Y59</f>
        <v>50</v>
      </c>
      <c r="AA59" s="244" t="str">
        <f>IF(AND(Z59&gt;=600,Z59&lt;=4000),"Nivel I: Riesgo Inaceptable",IF(AND(Z59&gt;=150,Z59&lt;=500),"Nivel II: Riesgo Importante",IF(AND(Z59&gt;=40,Z59&lt;=120),"Nivel III: Riesgo Moderado (Aceptable)","Nivel IV: Riesgo Tolerable (Aceptable)")))</f>
        <v>Nivel III: Riesgo Moderado (Aceptable)</v>
      </c>
      <c r="AB59" s="244">
        <v>1</v>
      </c>
      <c r="AC59" s="244"/>
      <c r="AD59" s="244"/>
      <c r="AE59" s="244"/>
      <c r="AF59" s="251"/>
      <c r="AG59" s="244" t="s">
        <v>926</v>
      </c>
      <c r="AH59" s="245" t="s">
        <v>424</v>
      </c>
      <c r="AI59" s="245" t="s">
        <v>424</v>
      </c>
      <c r="AJ59" s="245" t="s">
        <v>514</v>
      </c>
      <c r="AK59" s="245" t="s">
        <v>975</v>
      </c>
      <c r="AL59" s="260" t="s">
        <v>515</v>
      </c>
    </row>
    <row r="60" spans="1:38" s="235" customFormat="1" ht="99" hidden="1" x14ac:dyDescent="0.3">
      <c r="A60" s="259" t="s">
        <v>1453</v>
      </c>
      <c r="B60" s="244" t="s">
        <v>1456</v>
      </c>
      <c r="C60" s="244" t="s">
        <v>1459</v>
      </c>
      <c r="D60" s="300" t="s">
        <v>1588</v>
      </c>
      <c r="E60" s="244" t="s">
        <v>1587</v>
      </c>
      <c r="F60" s="244" t="s">
        <v>422</v>
      </c>
      <c r="G60" s="244" t="s">
        <v>1460</v>
      </c>
      <c r="H60" s="245" t="s">
        <v>412</v>
      </c>
      <c r="I60" s="244" t="s">
        <v>719</v>
      </c>
      <c r="J60" s="244" t="s">
        <v>976</v>
      </c>
      <c r="K60" s="244" t="s">
        <v>722</v>
      </c>
      <c r="L60" s="244" t="s">
        <v>421</v>
      </c>
      <c r="M60" s="244" t="s">
        <v>460</v>
      </c>
      <c r="N60" s="244" t="s">
        <v>469</v>
      </c>
      <c r="O60" s="245" t="s">
        <v>423</v>
      </c>
      <c r="P60" s="245" t="s">
        <v>423</v>
      </c>
      <c r="Q60" s="244" t="s">
        <v>977</v>
      </c>
      <c r="R60" s="244" t="s">
        <v>184</v>
      </c>
      <c r="S60" s="252">
        <v>1</v>
      </c>
      <c r="T60" s="244" t="s">
        <v>186</v>
      </c>
      <c r="U60" s="253">
        <v>2</v>
      </c>
      <c r="V60" s="251">
        <v>2</v>
      </c>
      <c r="W60" s="244" t="s">
        <v>184</v>
      </c>
      <c r="X60" s="244" t="s">
        <v>187</v>
      </c>
      <c r="Y60" s="253">
        <f>IF(X60="Mortal o catastrófico",100,IF(X60="Muy grave",60,IF(X60="Grave",25,IF(X60="Leve",10,))))</f>
        <v>25</v>
      </c>
      <c r="Z60" s="251">
        <f t="shared" ref="Z60" si="130">V60*Y60</f>
        <v>50</v>
      </c>
      <c r="AA60" s="244" t="str">
        <f>IF(AND(Z60&gt;=600,Z60&lt;=4000),"Nivel I: Riesgo Inaceptable",IF(AND(Z60&gt;=150,Z60&lt;=500),"Nivel II: Riesgo Importante",IF(AND(Z60&gt;=40,Z60&lt;=120),"Nivel III: Riesgo Moderado (Aceptable)","Nivel IV: Riesgo Tolerable (Aceptable)")))</f>
        <v>Nivel III: Riesgo Moderado (Aceptable)</v>
      </c>
      <c r="AB60" s="244">
        <v>1</v>
      </c>
      <c r="AC60" s="244"/>
      <c r="AD60" s="244"/>
      <c r="AE60" s="244"/>
      <c r="AF60" s="251"/>
      <c r="AG60" s="244" t="s">
        <v>926</v>
      </c>
      <c r="AH60" s="245" t="s">
        <v>424</v>
      </c>
      <c r="AI60" s="245" t="s">
        <v>424</v>
      </c>
      <c r="AJ60" s="245" t="s">
        <v>514</v>
      </c>
      <c r="AK60" s="245" t="s">
        <v>723</v>
      </c>
      <c r="AL60" s="260" t="s">
        <v>600</v>
      </c>
    </row>
    <row r="61" spans="1:38" s="235" customFormat="1" ht="115.5" hidden="1" x14ac:dyDescent="0.3">
      <c r="A61" s="259" t="s">
        <v>1453</v>
      </c>
      <c r="B61" s="244" t="s">
        <v>1456</v>
      </c>
      <c r="C61" s="244" t="s">
        <v>1459</v>
      </c>
      <c r="D61" s="300" t="s">
        <v>1588</v>
      </c>
      <c r="E61" s="244" t="s">
        <v>1587</v>
      </c>
      <c r="F61" s="244" t="s">
        <v>422</v>
      </c>
      <c r="G61" s="244" t="s">
        <v>1460</v>
      </c>
      <c r="H61" s="245" t="s">
        <v>412</v>
      </c>
      <c r="I61" s="244" t="s">
        <v>720</v>
      </c>
      <c r="J61" s="244" t="s">
        <v>857</v>
      </c>
      <c r="K61" s="244" t="s">
        <v>724</v>
      </c>
      <c r="L61" s="244" t="s">
        <v>421</v>
      </c>
      <c r="M61" s="244" t="s">
        <v>460</v>
      </c>
      <c r="N61" s="244" t="s">
        <v>469</v>
      </c>
      <c r="O61" s="245" t="s">
        <v>423</v>
      </c>
      <c r="P61" s="245" t="s">
        <v>423</v>
      </c>
      <c r="Q61" s="244" t="s">
        <v>856</v>
      </c>
      <c r="R61" s="244" t="s">
        <v>184</v>
      </c>
      <c r="S61" s="252">
        <v>1</v>
      </c>
      <c r="T61" s="244" t="s">
        <v>485</v>
      </c>
      <c r="U61" s="253">
        <v>2</v>
      </c>
      <c r="V61" s="251">
        <v>2</v>
      </c>
      <c r="W61" s="244" t="s">
        <v>184</v>
      </c>
      <c r="X61" s="244" t="s">
        <v>187</v>
      </c>
      <c r="Y61" s="253">
        <v>25</v>
      </c>
      <c r="Z61" s="251">
        <v>50</v>
      </c>
      <c r="AA61" s="244" t="s">
        <v>702</v>
      </c>
      <c r="AB61" s="244">
        <v>1</v>
      </c>
      <c r="AC61" s="244"/>
      <c r="AD61" s="244"/>
      <c r="AE61" s="244"/>
      <c r="AF61" s="251"/>
      <c r="AG61" s="244" t="s">
        <v>926</v>
      </c>
      <c r="AH61" s="245" t="s">
        <v>424</v>
      </c>
      <c r="AI61" s="245" t="s">
        <v>424</v>
      </c>
      <c r="AJ61" s="245" t="s">
        <v>424</v>
      </c>
      <c r="AK61" s="245" t="s">
        <v>973</v>
      </c>
      <c r="AL61" s="260" t="s">
        <v>600</v>
      </c>
    </row>
    <row r="62" spans="1:38" s="235" customFormat="1" ht="247.5" hidden="1" x14ac:dyDescent="0.3">
      <c r="A62" s="259" t="s">
        <v>1453</v>
      </c>
      <c r="B62" s="244" t="s">
        <v>1456</v>
      </c>
      <c r="C62" s="244" t="s">
        <v>1459</v>
      </c>
      <c r="D62" s="300" t="s">
        <v>1588</v>
      </c>
      <c r="E62" s="244" t="s">
        <v>1587</v>
      </c>
      <c r="F62" s="244" t="s">
        <v>422</v>
      </c>
      <c r="G62" s="244" t="s">
        <v>1460</v>
      </c>
      <c r="H62" s="245" t="s">
        <v>413</v>
      </c>
      <c r="I62" s="244" t="s">
        <v>592</v>
      </c>
      <c r="J62" s="244" t="s">
        <v>593</v>
      </c>
      <c r="K62" s="244" t="s">
        <v>602</v>
      </c>
      <c r="L62" s="244" t="s">
        <v>421</v>
      </c>
      <c r="M62" s="244" t="s">
        <v>460</v>
      </c>
      <c r="N62" s="244" t="s">
        <v>469</v>
      </c>
      <c r="O62" s="245" t="s">
        <v>423</v>
      </c>
      <c r="P62" s="245" t="s">
        <v>423</v>
      </c>
      <c r="Q62" s="244" t="s">
        <v>978</v>
      </c>
      <c r="R62" s="244" t="s">
        <v>184</v>
      </c>
      <c r="S62" s="252">
        <f>IF(R62="Muy Alto",10,IF(R62="Alto",6,IF(R62="Medio",2,IF(R62="Bajo",1,))))</f>
        <v>1</v>
      </c>
      <c r="T62" s="244" t="s">
        <v>485</v>
      </c>
      <c r="U62" s="253">
        <f>IF(T62="Continua",4,IF(T62="Frecuente",3,IF(T62="Ocasional",2,IF(T62="Esporádica",1,))))</f>
        <v>1</v>
      </c>
      <c r="V62" s="251">
        <f>S62*U62</f>
        <v>1</v>
      </c>
      <c r="W62" s="244" t="str">
        <f>IF(AND(V62&gt;=0,V62&lt;=4),"Bajo",IF(AND(V62&gt;=6,V62&lt;=8),"Medio",IF(AND(V62&gt;=10,V62&lt;=20),"Alto",IF(AND(V62&gt;=20,V62&lt;=40),"Muy Alto",))))</f>
        <v>Bajo</v>
      </c>
      <c r="X62" s="244" t="s">
        <v>428</v>
      </c>
      <c r="Y62" s="253">
        <f>IF(X62="Mortal o catastrófico",100,IF(X62="Muy grave",60,IF(X62="Grave",25,IF(X62="Leve",10,))))</f>
        <v>10</v>
      </c>
      <c r="Z62" s="251">
        <f>V62*Y62</f>
        <v>10</v>
      </c>
      <c r="AA62" s="244" t="str">
        <f>IF(AND(Z62&gt;=600,Z62&lt;=4000),"Nivel I: Riesgo Inaceptable",IF(AND(Z62&gt;=150,Z62&lt;=500),"Nivel II: Riesgo Importante",IF(AND(Z62&gt;=40,Z62&lt;=120),"Nivel III: Riesgo Moderado (Aceptable)","Nivel IV: Riesgo Tolerable (Aceptable)")))</f>
        <v>Nivel IV: Riesgo Tolerable (Aceptable)</v>
      </c>
      <c r="AB62" s="244">
        <v>2</v>
      </c>
      <c r="AC62" s="244"/>
      <c r="AD62" s="244"/>
      <c r="AE62" s="244"/>
      <c r="AF62" s="251"/>
      <c r="AG62" s="244" t="s">
        <v>926</v>
      </c>
      <c r="AH62" s="245" t="s">
        <v>424</v>
      </c>
      <c r="AI62" s="245" t="s">
        <v>424</v>
      </c>
      <c r="AJ62" s="245" t="s">
        <v>424</v>
      </c>
      <c r="AK62" s="245" t="s">
        <v>826</v>
      </c>
      <c r="AL62" s="260" t="s">
        <v>600</v>
      </c>
    </row>
    <row r="63" spans="1:38" s="235" customFormat="1" ht="47.25" hidden="1" customHeight="1" x14ac:dyDescent="0.3">
      <c r="A63" s="259" t="s">
        <v>1453</v>
      </c>
      <c r="B63" s="244" t="s">
        <v>1456</v>
      </c>
      <c r="C63" s="244" t="s">
        <v>1459</v>
      </c>
      <c r="D63" s="300" t="s">
        <v>1588</v>
      </c>
      <c r="E63" s="244" t="s">
        <v>1587</v>
      </c>
      <c r="F63" s="244" t="s">
        <v>422</v>
      </c>
      <c r="G63" s="244" t="s">
        <v>1460</v>
      </c>
      <c r="H63" s="245" t="s">
        <v>413</v>
      </c>
      <c r="I63" s="244" t="s">
        <v>594</v>
      </c>
      <c r="J63" s="244" t="s">
        <v>595</v>
      </c>
      <c r="K63" s="244" t="s">
        <v>602</v>
      </c>
      <c r="L63" s="244" t="s">
        <v>421</v>
      </c>
      <c r="M63" s="244" t="s">
        <v>460</v>
      </c>
      <c r="N63" s="244" t="s">
        <v>469</v>
      </c>
      <c r="O63" s="245" t="s">
        <v>423</v>
      </c>
      <c r="P63" s="245" t="s">
        <v>423</v>
      </c>
      <c r="Q63" s="244" t="s">
        <v>978</v>
      </c>
      <c r="R63" s="244" t="s">
        <v>184</v>
      </c>
      <c r="S63" s="252">
        <f t="shared" ref="S63:S65" si="131">IF(R63="Muy Alto",10,IF(R63="Alto",6,IF(R63="Medio",2,IF(R63="Bajo",1,))))</f>
        <v>1</v>
      </c>
      <c r="T63" s="244" t="s">
        <v>485</v>
      </c>
      <c r="U63" s="253">
        <f t="shared" si="115"/>
        <v>1</v>
      </c>
      <c r="V63" s="251">
        <f t="shared" si="116"/>
        <v>1</v>
      </c>
      <c r="W63" s="244" t="str">
        <f t="shared" si="117"/>
        <v>Bajo</v>
      </c>
      <c r="X63" s="244" t="s">
        <v>428</v>
      </c>
      <c r="Y63" s="253">
        <f t="shared" si="118"/>
        <v>10</v>
      </c>
      <c r="Z63" s="251">
        <f t="shared" si="119"/>
        <v>10</v>
      </c>
      <c r="AA63" s="244" t="str">
        <f t="shared" si="120"/>
        <v>Nivel IV: Riesgo Tolerable (Aceptable)</v>
      </c>
      <c r="AB63" s="244">
        <v>1</v>
      </c>
      <c r="AC63" s="244"/>
      <c r="AD63" s="244"/>
      <c r="AE63" s="244"/>
      <c r="AF63" s="251"/>
      <c r="AG63" s="244" t="s">
        <v>926</v>
      </c>
      <c r="AH63" s="245" t="s">
        <v>424</v>
      </c>
      <c r="AI63" s="245" t="s">
        <v>424</v>
      </c>
      <c r="AJ63" s="245" t="s">
        <v>424</v>
      </c>
      <c r="AK63" s="245" t="s">
        <v>826</v>
      </c>
      <c r="AL63" s="260" t="s">
        <v>600</v>
      </c>
    </row>
    <row r="64" spans="1:38" s="235" customFormat="1" ht="47.25" hidden="1" customHeight="1" x14ac:dyDescent="0.3">
      <c r="A64" s="259" t="s">
        <v>1453</v>
      </c>
      <c r="B64" s="244" t="s">
        <v>1456</v>
      </c>
      <c r="C64" s="244" t="s">
        <v>1459</v>
      </c>
      <c r="D64" s="300" t="s">
        <v>1588</v>
      </c>
      <c r="E64" s="244" t="s">
        <v>1587</v>
      </c>
      <c r="F64" s="244" t="s">
        <v>422</v>
      </c>
      <c r="G64" s="244" t="s">
        <v>1460</v>
      </c>
      <c r="H64" s="245" t="s">
        <v>413</v>
      </c>
      <c r="I64" s="244" t="s">
        <v>596</v>
      </c>
      <c r="J64" s="244" t="s">
        <v>599</v>
      </c>
      <c r="K64" s="244" t="s">
        <v>602</v>
      </c>
      <c r="L64" s="244" t="s">
        <v>421</v>
      </c>
      <c r="M64" s="244" t="s">
        <v>460</v>
      </c>
      <c r="N64" s="244" t="s">
        <v>469</v>
      </c>
      <c r="O64" s="245" t="s">
        <v>423</v>
      </c>
      <c r="P64" s="245" t="s">
        <v>423</v>
      </c>
      <c r="Q64" s="244" t="s">
        <v>978</v>
      </c>
      <c r="R64" s="244" t="s">
        <v>184</v>
      </c>
      <c r="S64" s="252">
        <f t="shared" si="131"/>
        <v>1</v>
      </c>
      <c r="T64" s="244" t="s">
        <v>485</v>
      </c>
      <c r="U64" s="253">
        <f t="shared" si="115"/>
        <v>1</v>
      </c>
      <c r="V64" s="251">
        <f t="shared" si="116"/>
        <v>1</v>
      </c>
      <c r="W64" s="244" t="str">
        <f t="shared" si="117"/>
        <v>Bajo</v>
      </c>
      <c r="X64" s="244" t="s">
        <v>428</v>
      </c>
      <c r="Y64" s="253">
        <f t="shared" si="118"/>
        <v>10</v>
      </c>
      <c r="Z64" s="251">
        <f t="shared" si="119"/>
        <v>10</v>
      </c>
      <c r="AA64" s="244" t="str">
        <f t="shared" si="120"/>
        <v>Nivel IV: Riesgo Tolerable (Aceptable)</v>
      </c>
      <c r="AB64" s="244">
        <v>1</v>
      </c>
      <c r="AC64" s="244"/>
      <c r="AD64" s="244"/>
      <c r="AE64" s="244"/>
      <c r="AF64" s="251"/>
      <c r="AG64" s="244" t="s">
        <v>926</v>
      </c>
      <c r="AH64" s="245" t="s">
        <v>424</v>
      </c>
      <c r="AI64" s="245" t="s">
        <v>424</v>
      </c>
      <c r="AJ64" s="245" t="s">
        <v>424</v>
      </c>
      <c r="AK64" s="245" t="s">
        <v>826</v>
      </c>
      <c r="AL64" s="260" t="s">
        <v>600</v>
      </c>
    </row>
    <row r="65" spans="1:38" s="235" customFormat="1" ht="57.75" hidden="1" customHeight="1" x14ac:dyDescent="0.3">
      <c r="A65" s="259" t="s">
        <v>1453</v>
      </c>
      <c r="B65" s="244" t="s">
        <v>1456</v>
      </c>
      <c r="C65" s="244" t="s">
        <v>1459</v>
      </c>
      <c r="D65" s="300" t="s">
        <v>1588</v>
      </c>
      <c r="E65" s="244" t="s">
        <v>1587</v>
      </c>
      <c r="F65" s="244" t="s">
        <v>422</v>
      </c>
      <c r="G65" s="244" t="s">
        <v>1460</v>
      </c>
      <c r="H65" s="245" t="s">
        <v>413</v>
      </c>
      <c r="I65" s="244" t="s">
        <v>597</v>
      </c>
      <c r="J65" s="244" t="s">
        <v>598</v>
      </c>
      <c r="K65" s="244" t="s">
        <v>602</v>
      </c>
      <c r="L65" s="244" t="s">
        <v>421</v>
      </c>
      <c r="M65" s="244" t="s">
        <v>460</v>
      </c>
      <c r="N65" s="244" t="s">
        <v>469</v>
      </c>
      <c r="O65" s="245" t="s">
        <v>423</v>
      </c>
      <c r="P65" s="245" t="s">
        <v>423</v>
      </c>
      <c r="Q65" s="244" t="s">
        <v>978</v>
      </c>
      <c r="R65" s="244" t="s">
        <v>184</v>
      </c>
      <c r="S65" s="252">
        <f t="shared" si="131"/>
        <v>1</v>
      </c>
      <c r="T65" s="244" t="s">
        <v>485</v>
      </c>
      <c r="U65" s="253">
        <f t="shared" si="115"/>
        <v>1</v>
      </c>
      <c r="V65" s="251">
        <f t="shared" si="116"/>
        <v>1</v>
      </c>
      <c r="W65" s="244" t="str">
        <f t="shared" si="117"/>
        <v>Bajo</v>
      </c>
      <c r="X65" s="244" t="s">
        <v>428</v>
      </c>
      <c r="Y65" s="253">
        <f t="shared" si="118"/>
        <v>10</v>
      </c>
      <c r="Z65" s="251">
        <f t="shared" si="119"/>
        <v>10</v>
      </c>
      <c r="AA65" s="244" t="str">
        <f t="shared" si="120"/>
        <v>Nivel IV: Riesgo Tolerable (Aceptable)</v>
      </c>
      <c r="AB65" s="244">
        <v>2</v>
      </c>
      <c r="AC65" s="244"/>
      <c r="AD65" s="244"/>
      <c r="AE65" s="244"/>
      <c r="AF65" s="251"/>
      <c r="AG65" s="244" t="s">
        <v>926</v>
      </c>
      <c r="AH65" s="245" t="s">
        <v>424</v>
      </c>
      <c r="AI65" s="245" t="s">
        <v>424</v>
      </c>
      <c r="AJ65" s="245" t="s">
        <v>424</v>
      </c>
      <c r="AK65" s="245" t="s">
        <v>827</v>
      </c>
      <c r="AL65" s="260" t="s">
        <v>600</v>
      </c>
    </row>
    <row r="66" spans="1:38" s="235" customFormat="1" ht="47.25" hidden="1" customHeight="1" x14ac:dyDescent="0.3">
      <c r="A66" s="259" t="s">
        <v>1453</v>
      </c>
      <c r="B66" s="244" t="s">
        <v>1456</v>
      </c>
      <c r="C66" s="244" t="s">
        <v>1459</v>
      </c>
      <c r="D66" s="300" t="s">
        <v>1588</v>
      </c>
      <c r="E66" s="244" t="s">
        <v>1587</v>
      </c>
      <c r="F66" s="244" t="s">
        <v>461</v>
      </c>
      <c r="G66" s="244" t="s">
        <v>1460</v>
      </c>
      <c r="H66" s="245" t="s">
        <v>414</v>
      </c>
      <c r="I66" s="244" t="s">
        <v>578</v>
      </c>
      <c r="J66" s="244" t="s">
        <v>781</v>
      </c>
      <c r="K66" s="244" t="s">
        <v>979</v>
      </c>
      <c r="L66" s="244" t="s">
        <v>421</v>
      </c>
      <c r="M66" s="244" t="s">
        <v>460</v>
      </c>
      <c r="N66" s="244" t="s">
        <v>469</v>
      </c>
      <c r="O66" s="245" t="s">
        <v>423</v>
      </c>
      <c r="P66" s="245" t="s">
        <v>423</v>
      </c>
      <c r="Q66" s="244" t="s">
        <v>713</v>
      </c>
      <c r="R66" s="244" t="s">
        <v>184</v>
      </c>
      <c r="S66" s="252">
        <f t="shared" si="114"/>
        <v>1</v>
      </c>
      <c r="T66" s="244" t="s">
        <v>485</v>
      </c>
      <c r="U66" s="253">
        <f t="shared" si="115"/>
        <v>1</v>
      </c>
      <c r="V66" s="251">
        <f t="shared" si="116"/>
        <v>1</v>
      </c>
      <c r="W66" s="244" t="str">
        <f t="shared" si="117"/>
        <v>Bajo</v>
      </c>
      <c r="X66" s="244" t="s">
        <v>187</v>
      </c>
      <c r="Y66" s="253">
        <f t="shared" si="118"/>
        <v>25</v>
      </c>
      <c r="Z66" s="251">
        <f t="shared" si="119"/>
        <v>25</v>
      </c>
      <c r="AA66" s="244" t="str">
        <f t="shared" si="120"/>
        <v>Nivel IV: Riesgo Tolerable (Aceptable)</v>
      </c>
      <c r="AB66" s="244">
        <v>1</v>
      </c>
      <c r="AC66" s="244"/>
      <c r="AD66" s="244"/>
      <c r="AE66" s="244"/>
      <c r="AF66" s="251"/>
      <c r="AG66" s="251"/>
      <c r="AH66" s="245" t="s">
        <v>424</v>
      </c>
      <c r="AI66" s="245" t="s">
        <v>424</v>
      </c>
      <c r="AJ66" s="245" t="s">
        <v>424</v>
      </c>
      <c r="AK66" s="245" t="s">
        <v>980</v>
      </c>
      <c r="AL66" s="260" t="s">
        <v>600</v>
      </c>
    </row>
    <row r="67" spans="1:38" s="235" customFormat="1" ht="47.25" hidden="1" customHeight="1" x14ac:dyDescent="0.3">
      <c r="A67" s="259" t="s">
        <v>1453</v>
      </c>
      <c r="B67" s="244" t="s">
        <v>1456</v>
      </c>
      <c r="C67" s="244" t="s">
        <v>1459</v>
      </c>
      <c r="D67" s="300" t="s">
        <v>1588</v>
      </c>
      <c r="E67" s="244" t="s">
        <v>1587</v>
      </c>
      <c r="F67" s="244" t="s">
        <v>461</v>
      </c>
      <c r="G67" s="244" t="s">
        <v>1460</v>
      </c>
      <c r="H67" s="245" t="s">
        <v>414</v>
      </c>
      <c r="I67" s="244" t="s">
        <v>359</v>
      </c>
      <c r="J67" s="244" t="s">
        <v>858</v>
      </c>
      <c r="K67" s="244" t="s">
        <v>979</v>
      </c>
      <c r="L67" s="244" t="s">
        <v>421</v>
      </c>
      <c r="M67" s="244" t="s">
        <v>460</v>
      </c>
      <c r="N67" s="244" t="s">
        <v>469</v>
      </c>
      <c r="O67" s="245" t="s">
        <v>423</v>
      </c>
      <c r="P67" s="245" t="s">
        <v>423</v>
      </c>
      <c r="Q67" s="244" t="s">
        <v>712</v>
      </c>
      <c r="R67" s="244" t="s">
        <v>184</v>
      </c>
      <c r="S67" s="252">
        <f t="shared" ref="S67:S68" si="132">IF(R67="Muy Alto",10,IF(R67="Alto",6,IF(R67="Medio",2,IF(R67="Bajo",1,))))</f>
        <v>1</v>
      </c>
      <c r="T67" s="244" t="s">
        <v>485</v>
      </c>
      <c r="U67" s="253">
        <f t="shared" ref="U67:U78" si="133">IF(T67="Continua",4,IF(T67="Frecuente",3,IF(T67="Ocasional",2,IF(T67="Esporádica",1,))))</f>
        <v>1</v>
      </c>
      <c r="V67" s="251">
        <f t="shared" ref="V67:V78" si="134">S67*U67</f>
        <v>1</v>
      </c>
      <c r="W67" s="244" t="str">
        <f t="shared" ref="W67:W70" si="135">IF(AND(V67&gt;=0,V67&lt;=4),"Bajo",IF(AND(V67&gt;=6,V67&lt;=8),"Medio",IF(AND(V67&gt;=10,V67&lt;=20),"Alto",IF(AND(V67&gt;=20,V67&lt;=40),"Muy Alto",))))</f>
        <v>Bajo</v>
      </c>
      <c r="X67" s="244" t="s">
        <v>187</v>
      </c>
      <c r="Y67" s="253">
        <f t="shared" ref="Y67:Y78" si="136">IF(X67="Mortal o catastrófico",100,IF(X67="Muy grave",60,IF(X67="Grave",25,IF(X67="Leve",10,))))</f>
        <v>25</v>
      </c>
      <c r="Z67" s="251">
        <f t="shared" ref="Z67:Z68" si="137">V67*Y67</f>
        <v>25</v>
      </c>
      <c r="AA67" s="244" t="str">
        <f t="shared" ref="AA67:AA68" si="138">IF(AND(Z67&gt;=600,Z67&lt;=4000),"Nivel I: Riesgo Inaceptable",IF(AND(Z67&gt;=150,Z67&lt;=500),"Nivel II: Riesgo Importante",IF(AND(Z67&gt;=40,Z67&lt;=120),"Nivel III: Riesgo Moderado (Aceptable)","Nivel IV: Riesgo Tolerable (Aceptable)")))</f>
        <v>Nivel IV: Riesgo Tolerable (Aceptable)</v>
      </c>
      <c r="AB67" s="244">
        <v>1</v>
      </c>
      <c r="AC67" s="244"/>
      <c r="AD67" s="244"/>
      <c r="AE67" s="244"/>
      <c r="AF67" s="251"/>
      <c r="AG67" s="251"/>
      <c r="AH67" s="245" t="s">
        <v>424</v>
      </c>
      <c r="AI67" s="245" t="s">
        <v>424</v>
      </c>
      <c r="AJ67" s="245" t="s">
        <v>424</v>
      </c>
      <c r="AK67" s="245" t="s">
        <v>980</v>
      </c>
      <c r="AL67" s="260" t="s">
        <v>528</v>
      </c>
    </row>
    <row r="68" spans="1:38" s="235" customFormat="1" ht="47.25" hidden="1" customHeight="1" x14ac:dyDescent="0.3">
      <c r="A68" s="259" t="s">
        <v>1453</v>
      </c>
      <c r="B68" s="244" t="s">
        <v>1456</v>
      </c>
      <c r="C68" s="244" t="s">
        <v>1459</v>
      </c>
      <c r="D68" s="300" t="s">
        <v>1588</v>
      </c>
      <c r="E68" s="244" t="s">
        <v>1587</v>
      </c>
      <c r="F68" s="244" t="s">
        <v>422</v>
      </c>
      <c r="G68" s="244" t="s">
        <v>1460</v>
      </c>
      <c r="H68" s="245" t="s">
        <v>449</v>
      </c>
      <c r="I68" s="244" t="s">
        <v>591</v>
      </c>
      <c r="J68" s="244" t="s">
        <v>981</v>
      </c>
      <c r="K68" s="244" t="s">
        <v>553</v>
      </c>
      <c r="L68" s="244" t="s">
        <v>421</v>
      </c>
      <c r="M68" s="244" t="s">
        <v>460</v>
      </c>
      <c r="N68" s="244" t="s">
        <v>469</v>
      </c>
      <c r="O68" s="245" t="s">
        <v>423</v>
      </c>
      <c r="P68" s="245" t="s">
        <v>982</v>
      </c>
      <c r="Q68" s="244" t="s">
        <v>983</v>
      </c>
      <c r="R68" s="244" t="s">
        <v>184</v>
      </c>
      <c r="S68" s="252">
        <f t="shared" si="132"/>
        <v>1</v>
      </c>
      <c r="T68" s="244" t="s">
        <v>485</v>
      </c>
      <c r="U68" s="253">
        <f t="shared" si="133"/>
        <v>1</v>
      </c>
      <c r="V68" s="251">
        <f t="shared" si="134"/>
        <v>1</v>
      </c>
      <c r="W68" s="244" t="str">
        <f t="shared" si="135"/>
        <v>Bajo</v>
      </c>
      <c r="X68" s="244" t="s">
        <v>187</v>
      </c>
      <c r="Y68" s="253">
        <f t="shared" si="136"/>
        <v>25</v>
      </c>
      <c r="Z68" s="251">
        <f t="shared" si="137"/>
        <v>25</v>
      </c>
      <c r="AA68" s="244" t="str">
        <f t="shared" si="138"/>
        <v>Nivel IV: Riesgo Tolerable (Aceptable)</v>
      </c>
      <c r="AB68" s="244">
        <v>1</v>
      </c>
      <c r="AC68" s="244"/>
      <c r="AD68" s="244"/>
      <c r="AE68" s="244"/>
      <c r="AF68" s="251"/>
      <c r="AG68" s="244" t="s">
        <v>926</v>
      </c>
      <c r="AH68" s="245" t="s">
        <v>424</v>
      </c>
      <c r="AI68" s="245" t="s">
        <v>424</v>
      </c>
      <c r="AJ68" s="245" t="s">
        <v>424</v>
      </c>
      <c r="AK68" s="245" t="s">
        <v>984</v>
      </c>
      <c r="AL68" s="260" t="s">
        <v>600</v>
      </c>
    </row>
    <row r="69" spans="1:38" s="235" customFormat="1" ht="37.5" hidden="1" customHeight="1" x14ac:dyDescent="0.3">
      <c r="A69" s="259" t="s">
        <v>1453</v>
      </c>
      <c r="B69" s="244" t="s">
        <v>1456</v>
      </c>
      <c r="C69" s="244" t="s">
        <v>1457</v>
      </c>
      <c r="D69" s="301" t="s">
        <v>1589</v>
      </c>
      <c r="E69" s="299" t="s">
        <v>1587</v>
      </c>
      <c r="F69" s="244" t="s">
        <v>422</v>
      </c>
      <c r="G69" s="244" t="s">
        <v>1458</v>
      </c>
      <c r="H69" s="245" t="s">
        <v>397</v>
      </c>
      <c r="I69" s="244" t="s">
        <v>365</v>
      </c>
      <c r="J69" s="244" t="s">
        <v>924</v>
      </c>
      <c r="K69" s="244" t="s">
        <v>557</v>
      </c>
      <c r="L69" s="244" t="s">
        <v>421</v>
      </c>
      <c r="M69" s="244" t="s">
        <v>460</v>
      </c>
      <c r="N69" s="244" t="s">
        <v>469</v>
      </c>
      <c r="O69" s="245" t="s">
        <v>423</v>
      </c>
      <c r="P69" s="245" t="s">
        <v>423</v>
      </c>
      <c r="Q69" s="244" t="s">
        <v>929</v>
      </c>
      <c r="R69" s="244" t="s">
        <v>184</v>
      </c>
      <c r="S69" s="252">
        <f>IF(R69="Muy Alto",10,IF(R69="Alto",6,IF(R69="Medio",2,IF(R69="Bajo",1,))))</f>
        <v>1</v>
      </c>
      <c r="T69" s="244" t="s">
        <v>186</v>
      </c>
      <c r="U69" s="253">
        <f t="shared" si="133"/>
        <v>4</v>
      </c>
      <c r="V69" s="251">
        <f t="shared" si="134"/>
        <v>4</v>
      </c>
      <c r="W69" s="244" t="str">
        <f t="shared" si="135"/>
        <v>Bajo</v>
      </c>
      <c r="X69" s="244" t="s">
        <v>187</v>
      </c>
      <c r="Y69" s="253">
        <f t="shared" si="136"/>
        <v>25</v>
      </c>
      <c r="Z69" s="251">
        <f>V69*Y69</f>
        <v>100</v>
      </c>
      <c r="AA69" s="244" t="str">
        <f>IF(AND(Z69&gt;=600,Z69&lt;=4000),"Nivel I: Riesgo Inaceptable",IF(AND(Z69&gt;=150,Z69&lt;=500),"Nivel II: Riesgo Importante",IF(AND(Z69&gt;=40,Z69&lt;=120),"Nivel III: Riesgo Moderado (Aceptable)","Nivel IV: Riesgo Tolerable (Aceptable)")))</f>
        <v>Nivel III: Riesgo Moderado (Aceptable)</v>
      </c>
      <c r="AB69" s="244">
        <v>2</v>
      </c>
      <c r="AC69" s="244"/>
      <c r="AD69" s="244"/>
      <c r="AE69" s="244"/>
      <c r="AF69" s="251"/>
      <c r="AG69" s="244" t="s">
        <v>926</v>
      </c>
      <c r="AH69" s="245" t="s">
        <v>424</v>
      </c>
      <c r="AI69" s="245" t="s">
        <v>424</v>
      </c>
      <c r="AJ69" s="245" t="s">
        <v>424</v>
      </c>
      <c r="AK69" s="245" t="s">
        <v>944</v>
      </c>
      <c r="AL69" s="260" t="s">
        <v>600</v>
      </c>
    </row>
    <row r="70" spans="1:38" s="235" customFormat="1" ht="61.5" hidden="1" customHeight="1" x14ac:dyDescent="0.3">
      <c r="A70" s="259" t="s">
        <v>1453</v>
      </c>
      <c r="B70" s="244" t="s">
        <v>1456</v>
      </c>
      <c r="C70" s="244" t="s">
        <v>1457</v>
      </c>
      <c r="D70" s="300" t="s">
        <v>1589</v>
      </c>
      <c r="E70" s="244" t="s">
        <v>1587</v>
      </c>
      <c r="F70" s="244" t="s">
        <v>422</v>
      </c>
      <c r="G70" s="244" t="s">
        <v>1458</v>
      </c>
      <c r="H70" s="245" t="s">
        <v>397</v>
      </c>
      <c r="I70" s="244" t="s">
        <v>178</v>
      </c>
      <c r="J70" s="244" t="s">
        <v>942</v>
      </c>
      <c r="K70" s="244" t="s">
        <v>693</v>
      </c>
      <c r="L70" s="244" t="s">
        <v>421</v>
      </c>
      <c r="M70" s="244" t="s">
        <v>460</v>
      </c>
      <c r="N70" s="244" t="s">
        <v>469</v>
      </c>
      <c r="O70" s="245" t="s">
        <v>423</v>
      </c>
      <c r="P70" s="245" t="s">
        <v>423</v>
      </c>
      <c r="Q70" s="244" t="s">
        <v>940</v>
      </c>
      <c r="R70" s="244" t="s">
        <v>185</v>
      </c>
      <c r="S70" s="252">
        <f t="shared" ref="S70" si="139">IF(R70="Muy Alto",10,IF(R70="Alto",6,IF(R70="Medio",2,IF(R70="Bajo",1,))))</f>
        <v>2</v>
      </c>
      <c r="T70" s="244" t="s">
        <v>416</v>
      </c>
      <c r="U70" s="253">
        <f t="shared" si="133"/>
        <v>3</v>
      </c>
      <c r="V70" s="251">
        <f t="shared" si="134"/>
        <v>6</v>
      </c>
      <c r="W70" s="244" t="str">
        <f t="shared" si="135"/>
        <v>Medio</v>
      </c>
      <c r="X70" s="244" t="s">
        <v>187</v>
      </c>
      <c r="Y70" s="253">
        <f t="shared" si="136"/>
        <v>25</v>
      </c>
      <c r="Z70" s="251">
        <f t="shared" ref="Z70" si="140">V70*Y70</f>
        <v>150</v>
      </c>
      <c r="AA70" s="244" t="str">
        <f t="shared" ref="AA70" si="141">IF(AND(Z70&gt;=600,Z70&lt;=4000),"Nivel I: Riesgo Inaceptable",IF(AND(Z70&gt;=150,Z70&lt;=500),"Nivel II: Riesgo Importante",IF(AND(Z70&gt;=40,Z70&lt;=120),"Nivel III: Riesgo Moderado (Aceptable)","Nivel IV: Riesgo Tolerable (Aceptable)")))</f>
        <v>Nivel II: Riesgo Importante</v>
      </c>
      <c r="AB70" s="244">
        <v>2</v>
      </c>
      <c r="AC70" s="244"/>
      <c r="AD70" s="244"/>
      <c r="AE70" s="244"/>
      <c r="AF70" s="251"/>
      <c r="AG70" s="244" t="s">
        <v>926</v>
      </c>
      <c r="AH70" s="245" t="s">
        <v>424</v>
      </c>
      <c r="AI70" s="245" t="s">
        <v>424</v>
      </c>
      <c r="AJ70" s="245" t="s">
        <v>692</v>
      </c>
      <c r="AK70" s="245" t="s">
        <v>941</v>
      </c>
      <c r="AL70" s="260" t="s">
        <v>600</v>
      </c>
    </row>
    <row r="71" spans="1:38" s="235" customFormat="1" ht="28.5" hidden="1" customHeight="1" x14ac:dyDescent="0.3">
      <c r="A71" s="259" t="s">
        <v>1453</v>
      </c>
      <c r="B71" s="244" t="s">
        <v>1456</v>
      </c>
      <c r="C71" s="244" t="s">
        <v>1457</v>
      </c>
      <c r="D71" s="300" t="s">
        <v>1589</v>
      </c>
      <c r="E71" s="244" t="s">
        <v>1587</v>
      </c>
      <c r="F71" s="244" t="s">
        <v>422</v>
      </c>
      <c r="G71" s="244" t="s">
        <v>1458</v>
      </c>
      <c r="H71" s="245" t="s">
        <v>397</v>
      </c>
      <c r="I71" s="244" t="s">
        <v>371</v>
      </c>
      <c r="J71" s="244" t="s">
        <v>927</v>
      </c>
      <c r="K71" s="244" t="s">
        <v>694</v>
      </c>
      <c r="L71" s="244" t="s">
        <v>421</v>
      </c>
      <c r="M71" s="244" t="s">
        <v>460</v>
      </c>
      <c r="N71" s="244" t="s">
        <v>469</v>
      </c>
      <c r="O71" s="245" t="s">
        <v>945</v>
      </c>
      <c r="P71" s="245" t="s">
        <v>946</v>
      </c>
      <c r="Q71" s="244" t="s">
        <v>929</v>
      </c>
      <c r="R71" s="244" t="s">
        <v>185</v>
      </c>
      <c r="S71" s="252">
        <f t="shared" ref="S71:S78" si="142">IF(R71="Muy Alto",10,IF(R71="Alto",6,IF(R71="Medio",2,IF(R71="Bajo",1,))))</f>
        <v>2</v>
      </c>
      <c r="T71" s="244" t="s">
        <v>416</v>
      </c>
      <c r="U71" s="253">
        <f t="shared" si="133"/>
        <v>3</v>
      </c>
      <c r="V71" s="251">
        <f t="shared" si="134"/>
        <v>6</v>
      </c>
      <c r="W71" s="244" t="str">
        <f>IF(AND(V71&gt;=0,V71&lt;=4),"Bajo",IF(AND(V71&gt;=6,V71&lt;=8),"Medio",IF(AND(V71&gt;=10,V71&lt;=20),"Alto",IF(AND(V71&gt;=20,V71&lt;=40),"Muy Alto",))))</f>
        <v>Medio</v>
      </c>
      <c r="X71" s="244" t="s">
        <v>187</v>
      </c>
      <c r="Y71" s="253">
        <f t="shared" si="136"/>
        <v>25</v>
      </c>
      <c r="Z71" s="251">
        <f t="shared" ref="Z71:Z78" si="143">V71*Y71</f>
        <v>150</v>
      </c>
      <c r="AA71" s="244" t="str">
        <f t="shared" ref="AA71:AA78" si="144">IF(AND(Z71&gt;=600,Z71&lt;=4000),"Nivel I: Riesgo Inaceptable",IF(AND(Z71&gt;=150,Z71&lt;=500),"Nivel II: Riesgo Importante",IF(AND(Z71&gt;=40,Z71&lt;=120),"Nivel III: Riesgo Moderado (Aceptable)","Nivel IV: Riesgo Tolerable (Aceptable)")))</f>
        <v>Nivel II: Riesgo Importante</v>
      </c>
      <c r="AB71" s="244">
        <v>2</v>
      </c>
      <c r="AC71" s="244"/>
      <c r="AD71" s="244"/>
      <c r="AE71" s="244"/>
      <c r="AF71" s="251"/>
      <c r="AG71" s="244" t="s">
        <v>926</v>
      </c>
      <c r="AH71" s="245" t="s">
        <v>424</v>
      </c>
      <c r="AI71" s="245" t="s">
        <v>424</v>
      </c>
      <c r="AJ71" s="245" t="s">
        <v>581</v>
      </c>
      <c r="AK71" s="245" t="s">
        <v>947</v>
      </c>
      <c r="AL71" s="260" t="s">
        <v>600</v>
      </c>
    </row>
    <row r="72" spans="1:38" s="235" customFormat="1" ht="148.5" hidden="1" x14ac:dyDescent="0.3">
      <c r="A72" s="259" t="s">
        <v>1453</v>
      </c>
      <c r="B72" s="244" t="s">
        <v>1456</v>
      </c>
      <c r="C72" s="244" t="s">
        <v>1457</v>
      </c>
      <c r="D72" s="300" t="s">
        <v>1589</v>
      </c>
      <c r="E72" s="244" t="s">
        <v>1587</v>
      </c>
      <c r="F72" s="244" t="s">
        <v>422</v>
      </c>
      <c r="G72" s="244" t="s">
        <v>1458</v>
      </c>
      <c r="H72" s="245" t="s">
        <v>407</v>
      </c>
      <c r="I72" s="244" t="s">
        <v>957</v>
      </c>
      <c r="J72" s="244" t="s">
        <v>935</v>
      </c>
      <c r="K72" s="244" t="s">
        <v>851</v>
      </c>
      <c r="L72" s="244" t="s">
        <v>421</v>
      </c>
      <c r="M72" s="244" t="s">
        <v>460</v>
      </c>
      <c r="N72" s="244" t="s">
        <v>469</v>
      </c>
      <c r="O72" s="245" t="s">
        <v>928</v>
      </c>
      <c r="P72" s="245" t="s">
        <v>695</v>
      </c>
      <c r="Q72" s="244" t="s">
        <v>932</v>
      </c>
      <c r="R72" s="244" t="s">
        <v>185</v>
      </c>
      <c r="S72" s="252">
        <f t="shared" si="142"/>
        <v>2</v>
      </c>
      <c r="T72" s="244" t="s">
        <v>416</v>
      </c>
      <c r="U72" s="253">
        <f t="shared" si="133"/>
        <v>3</v>
      </c>
      <c r="V72" s="251">
        <f t="shared" si="134"/>
        <v>6</v>
      </c>
      <c r="W72" s="244" t="str">
        <f t="shared" ref="W72:W76" si="145">IF(AND(V72&gt;=0,V72&lt;=4),"Bajo",IF(AND(V72&gt;=6,V72&lt;=8),"Medio",IF(AND(V72&gt;=10,V72&lt;=20),"Alto",IF(AND(V72&gt;=20,V72&lt;=40),"Muy Alto",))))</f>
        <v>Medio</v>
      </c>
      <c r="X72" s="244" t="s">
        <v>187</v>
      </c>
      <c r="Y72" s="253">
        <f t="shared" si="136"/>
        <v>25</v>
      </c>
      <c r="Z72" s="251">
        <f t="shared" si="143"/>
        <v>150</v>
      </c>
      <c r="AA72" s="244" t="str">
        <f t="shared" si="144"/>
        <v>Nivel II: Riesgo Importante</v>
      </c>
      <c r="AB72" s="244">
        <v>2</v>
      </c>
      <c r="AC72" s="244"/>
      <c r="AD72" s="244"/>
      <c r="AE72" s="244"/>
      <c r="AF72" s="251"/>
      <c r="AG72" s="244" t="s">
        <v>926</v>
      </c>
      <c r="AH72" s="245" t="s">
        <v>424</v>
      </c>
      <c r="AI72" s="245" t="s">
        <v>424</v>
      </c>
      <c r="AJ72" s="245" t="s">
        <v>424</v>
      </c>
      <c r="AK72" s="245" t="s">
        <v>930</v>
      </c>
      <c r="AL72" s="260" t="s">
        <v>696</v>
      </c>
    </row>
    <row r="73" spans="1:38" s="235" customFormat="1" ht="115.5" hidden="1" x14ac:dyDescent="0.3">
      <c r="A73" s="259" t="s">
        <v>1453</v>
      </c>
      <c r="B73" s="244" t="s">
        <v>1456</v>
      </c>
      <c r="C73" s="244" t="s">
        <v>1457</v>
      </c>
      <c r="D73" s="300" t="s">
        <v>1589</v>
      </c>
      <c r="E73" s="244" t="s">
        <v>1587</v>
      </c>
      <c r="F73" s="244" t="s">
        <v>422</v>
      </c>
      <c r="G73" s="244" t="s">
        <v>1458</v>
      </c>
      <c r="H73" s="245" t="s">
        <v>407</v>
      </c>
      <c r="I73" s="244" t="s">
        <v>299</v>
      </c>
      <c r="J73" s="244" t="s">
        <v>697</v>
      </c>
      <c r="K73" s="244" t="s">
        <v>472</v>
      </c>
      <c r="L73" s="244" t="s">
        <v>421</v>
      </c>
      <c r="M73" s="244" t="s">
        <v>460</v>
      </c>
      <c r="N73" s="244" t="s">
        <v>469</v>
      </c>
      <c r="O73" s="245" t="s">
        <v>423</v>
      </c>
      <c r="P73" s="245" t="s">
        <v>423</v>
      </c>
      <c r="Q73" s="244" t="s">
        <v>932</v>
      </c>
      <c r="R73" s="244" t="s">
        <v>185</v>
      </c>
      <c r="S73" s="252">
        <f t="shared" si="142"/>
        <v>2</v>
      </c>
      <c r="T73" s="244" t="s">
        <v>416</v>
      </c>
      <c r="U73" s="253">
        <f t="shared" si="133"/>
        <v>3</v>
      </c>
      <c r="V73" s="251">
        <f t="shared" si="134"/>
        <v>6</v>
      </c>
      <c r="W73" s="244" t="str">
        <f t="shared" si="145"/>
        <v>Medio</v>
      </c>
      <c r="X73" s="244" t="s">
        <v>187</v>
      </c>
      <c r="Y73" s="253">
        <f t="shared" si="136"/>
        <v>25</v>
      </c>
      <c r="Z73" s="251">
        <f t="shared" si="143"/>
        <v>150</v>
      </c>
      <c r="AA73" s="244" t="str">
        <f t="shared" si="144"/>
        <v>Nivel II: Riesgo Importante</v>
      </c>
      <c r="AB73" s="244">
        <v>2</v>
      </c>
      <c r="AC73" s="244"/>
      <c r="AD73" s="244"/>
      <c r="AE73" s="244"/>
      <c r="AF73" s="251"/>
      <c r="AG73" s="244" t="s">
        <v>926</v>
      </c>
      <c r="AH73" s="245" t="s">
        <v>424</v>
      </c>
      <c r="AI73" s="245" t="s">
        <v>424</v>
      </c>
      <c r="AJ73" s="245" t="s">
        <v>424</v>
      </c>
      <c r="AK73" s="244" t="s">
        <v>954</v>
      </c>
      <c r="AL73" s="261" t="s">
        <v>955</v>
      </c>
    </row>
    <row r="74" spans="1:38" s="235" customFormat="1" ht="132" hidden="1" x14ac:dyDescent="0.3">
      <c r="A74" s="259" t="s">
        <v>1453</v>
      </c>
      <c r="B74" s="244" t="s">
        <v>1456</v>
      </c>
      <c r="C74" s="244" t="s">
        <v>1457</v>
      </c>
      <c r="D74" s="300" t="s">
        <v>1589</v>
      </c>
      <c r="E74" s="244" t="s">
        <v>1587</v>
      </c>
      <c r="F74" s="244" t="s">
        <v>461</v>
      </c>
      <c r="G74" s="244" t="s">
        <v>1458</v>
      </c>
      <c r="H74" s="245" t="s">
        <v>407</v>
      </c>
      <c r="I74" s="244" t="s">
        <v>286</v>
      </c>
      <c r="J74" s="244" t="s">
        <v>699</v>
      </c>
      <c r="K74" s="244" t="s">
        <v>948</v>
      </c>
      <c r="L74" s="244" t="s">
        <v>421</v>
      </c>
      <c r="M74" s="244" t="s">
        <v>460</v>
      </c>
      <c r="N74" s="244" t="s">
        <v>469</v>
      </c>
      <c r="O74" s="245" t="s">
        <v>423</v>
      </c>
      <c r="P74" s="245" t="s">
        <v>423</v>
      </c>
      <c r="Q74" s="244" t="s">
        <v>951</v>
      </c>
      <c r="R74" s="244" t="s">
        <v>184</v>
      </c>
      <c r="S74" s="252">
        <f>IF(R74="Muy Alto",10,IF(R74="Alto",6,IF(R74="Medio",2,IF(R74="Bajo",1,))))</f>
        <v>1</v>
      </c>
      <c r="T74" s="244" t="s">
        <v>429</v>
      </c>
      <c r="U74" s="253">
        <f>IF(T74="Continua",4,IF(T74="Frecuente",3,IF(T74="Ocasional",2,IF(T74="Esporádica",1,))))</f>
        <v>2</v>
      </c>
      <c r="V74" s="251">
        <f>S74*U74</f>
        <v>2</v>
      </c>
      <c r="W74" s="244" t="str">
        <f>IF(AND(V74&gt;=0,V74&lt;=4),"Bajo",IF(AND(V74&gt;=6,V74&lt;=8),"Medio",IF(AND(V74&gt;=10,V74&lt;=20),"Alto",IF(AND(V74&gt;=20,V74&lt;=40),"Muy Alto",))))</f>
        <v>Bajo</v>
      </c>
      <c r="X74" s="244" t="s">
        <v>187</v>
      </c>
      <c r="Y74" s="253">
        <f>IF(X74="Mortal o catastrófico",100,IF(X74="Muy grave",60,IF(X74="Grave",25,IF(X74="Leve",10,))))</f>
        <v>25</v>
      </c>
      <c r="Z74" s="251">
        <f>V74*Y74</f>
        <v>50</v>
      </c>
      <c r="AA74" s="244" t="str">
        <f>IF(AND(Z74&gt;=600,Z74&lt;=4000),"Nivel I: Riesgo Inaceptable",IF(AND(Z74&gt;=150,Z74&lt;=500),"Nivel II: Riesgo Importante",IF(AND(Z74&gt;=40,Z74&lt;=120),"Nivel III: Riesgo Moderado (Aceptable)","Nivel IV: Riesgo Tolerable (Aceptable)")))</f>
        <v>Nivel III: Riesgo Moderado (Aceptable)</v>
      </c>
      <c r="AB74" s="244">
        <v>2</v>
      </c>
      <c r="AC74" s="244"/>
      <c r="AD74" s="244"/>
      <c r="AE74" s="244"/>
      <c r="AF74" s="251"/>
      <c r="AG74" s="251"/>
      <c r="AH74" s="245" t="s">
        <v>424</v>
      </c>
      <c r="AI74" s="245" t="s">
        <v>424</v>
      </c>
      <c r="AJ74" s="245" t="s">
        <v>424</v>
      </c>
      <c r="AK74" s="245" t="s">
        <v>949</v>
      </c>
      <c r="AL74" s="260" t="s">
        <v>950</v>
      </c>
    </row>
    <row r="75" spans="1:38" s="235" customFormat="1" ht="115.5" hidden="1" x14ac:dyDescent="0.3">
      <c r="A75" s="259" t="s">
        <v>1453</v>
      </c>
      <c r="B75" s="244" t="s">
        <v>1456</v>
      </c>
      <c r="C75" s="244" t="s">
        <v>1457</v>
      </c>
      <c r="D75" s="300" t="s">
        <v>1589</v>
      </c>
      <c r="E75" s="244" t="s">
        <v>1587</v>
      </c>
      <c r="F75" s="244" t="s">
        <v>422</v>
      </c>
      <c r="G75" s="244" t="s">
        <v>1458</v>
      </c>
      <c r="H75" s="245" t="s">
        <v>408</v>
      </c>
      <c r="I75" s="244" t="s">
        <v>355</v>
      </c>
      <c r="J75" s="244" t="s">
        <v>701</v>
      </c>
      <c r="K75" s="244" t="s">
        <v>507</v>
      </c>
      <c r="L75" s="244" t="s">
        <v>421</v>
      </c>
      <c r="M75" s="244" t="s">
        <v>460</v>
      </c>
      <c r="N75" s="244" t="s">
        <v>469</v>
      </c>
      <c r="O75" s="245" t="s">
        <v>423</v>
      </c>
      <c r="P75" s="245" t="s">
        <v>953</v>
      </c>
      <c r="Q75" s="244" t="s">
        <v>933</v>
      </c>
      <c r="R75" s="244" t="s">
        <v>185</v>
      </c>
      <c r="S75" s="252">
        <f t="shared" si="142"/>
        <v>2</v>
      </c>
      <c r="T75" s="244" t="s">
        <v>186</v>
      </c>
      <c r="U75" s="253">
        <f t="shared" si="133"/>
        <v>4</v>
      </c>
      <c r="V75" s="251">
        <f t="shared" si="134"/>
        <v>8</v>
      </c>
      <c r="W75" s="244" t="str">
        <f t="shared" si="145"/>
        <v>Medio</v>
      </c>
      <c r="X75" s="244" t="s">
        <v>187</v>
      </c>
      <c r="Y75" s="253">
        <f t="shared" si="136"/>
        <v>25</v>
      </c>
      <c r="Z75" s="251">
        <f t="shared" si="143"/>
        <v>200</v>
      </c>
      <c r="AA75" s="244" t="str">
        <f t="shared" si="144"/>
        <v>Nivel II: Riesgo Importante</v>
      </c>
      <c r="AB75" s="244">
        <v>2</v>
      </c>
      <c r="AC75" s="244"/>
      <c r="AD75" s="244"/>
      <c r="AE75" s="244"/>
      <c r="AF75" s="251"/>
      <c r="AG75" s="244" t="s">
        <v>926</v>
      </c>
      <c r="AH75" s="245" t="s">
        <v>424</v>
      </c>
      <c r="AI75" s="245" t="s">
        <v>424</v>
      </c>
      <c r="AJ75" s="245" t="s">
        <v>424</v>
      </c>
      <c r="AK75" s="244" t="s">
        <v>952</v>
      </c>
      <c r="AL75" s="260" t="s">
        <v>528</v>
      </c>
    </row>
    <row r="76" spans="1:38" s="235" customFormat="1" ht="82.5" hidden="1" x14ac:dyDescent="0.3">
      <c r="A76" s="259" t="s">
        <v>1453</v>
      </c>
      <c r="B76" s="244" t="s">
        <v>1456</v>
      </c>
      <c r="C76" s="244" t="s">
        <v>1457</v>
      </c>
      <c r="D76" s="300" t="s">
        <v>1589</v>
      </c>
      <c r="E76" s="244" t="s">
        <v>1587</v>
      </c>
      <c r="F76" s="244" t="s">
        <v>422</v>
      </c>
      <c r="G76" s="244" t="s">
        <v>1458</v>
      </c>
      <c r="H76" s="245" t="s">
        <v>408</v>
      </c>
      <c r="I76" s="244" t="s">
        <v>562</v>
      </c>
      <c r="J76" s="244" t="s">
        <v>852</v>
      </c>
      <c r="K76" s="244" t="s">
        <v>508</v>
      </c>
      <c r="L76" s="244" t="s">
        <v>421</v>
      </c>
      <c r="M76" s="244" t="s">
        <v>460</v>
      </c>
      <c r="N76" s="244" t="s">
        <v>469</v>
      </c>
      <c r="O76" s="245" t="s">
        <v>423</v>
      </c>
      <c r="P76" s="245" t="s">
        <v>423</v>
      </c>
      <c r="Q76" s="244" t="s">
        <v>956</v>
      </c>
      <c r="R76" s="244" t="s">
        <v>185</v>
      </c>
      <c r="S76" s="252">
        <f t="shared" si="142"/>
        <v>2</v>
      </c>
      <c r="T76" s="244" t="s">
        <v>416</v>
      </c>
      <c r="U76" s="253">
        <f t="shared" si="133"/>
        <v>3</v>
      </c>
      <c r="V76" s="251">
        <f t="shared" si="134"/>
        <v>6</v>
      </c>
      <c r="W76" s="244" t="str">
        <f t="shared" si="145"/>
        <v>Medio</v>
      </c>
      <c r="X76" s="244" t="s">
        <v>187</v>
      </c>
      <c r="Y76" s="253">
        <f t="shared" si="136"/>
        <v>25</v>
      </c>
      <c r="Z76" s="251">
        <f t="shared" si="143"/>
        <v>150</v>
      </c>
      <c r="AA76" s="244" t="str">
        <f t="shared" si="144"/>
        <v>Nivel II: Riesgo Importante</v>
      </c>
      <c r="AB76" s="244">
        <v>2</v>
      </c>
      <c r="AC76" s="244"/>
      <c r="AD76" s="244"/>
      <c r="AE76" s="244"/>
      <c r="AF76" s="251"/>
      <c r="AG76" s="244" t="s">
        <v>926</v>
      </c>
      <c r="AH76" s="245" t="s">
        <v>424</v>
      </c>
      <c r="AI76" s="245" t="s">
        <v>424</v>
      </c>
      <c r="AJ76" s="245" t="s">
        <v>698</v>
      </c>
      <c r="AK76" s="245" t="s">
        <v>582</v>
      </c>
      <c r="AL76" s="260" t="s">
        <v>528</v>
      </c>
    </row>
    <row r="77" spans="1:38" s="235" customFormat="1" ht="82.5" hidden="1" x14ac:dyDescent="0.3">
      <c r="A77" s="259" t="s">
        <v>1453</v>
      </c>
      <c r="B77" s="244" t="s">
        <v>1456</v>
      </c>
      <c r="C77" s="244" t="s">
        <v>1457</v>
      </c>
      <c r="D77" s="300" t="s">
        <v>1589</v>
      </c>
      <c r="E77" s="244" t="s">
        <v>1587</v>
      </c>
      <c r="F77" s="244" t="s">
        <v>461</v>
      </c>
      <c r="G77" s="244" t="s">
        <v>1458</v>
      </c>
      <c r="H77" s="245" t="s">
        <v>433</v>
      </c>
      <c r="I77" s="244" t="s">
        <v>177</v>
      </c>
      <c r="J77" s="244" t="s">
        <v>704</v>
      </c>
      <c r="K77" s="244" t="s">
        <v>703</v>
      </c>
      <c r="L77" s="244" t="s">
        <v>421</v>
      </c>
      <c r="M77" s="244" t="s">
        <v>460</v>
      </c>
      <c r="N77" s="244" t="s">
        <v>469</v>
      </c>
      <c r="O77" s="245" t="s">
        <v>423</v>
      </c>
      <c r="P77" s="245" t="s">
        <v>544</v>
      </c>
      <c r="Q77" s="244" t="s">
        <v>705</v>
      </c>
      <c r="R77" s="244" t="s">
        <v>184</v>
      </c>
      <c r="S77" s="252">
        <f t="shared" si="142"/>
        <v>1</v>
      </c>
      <c r="T77" s="244" t="s">
        <v>429</v>
      </c>
      <c r="U77" s="253">
        <f t="shared" si="133"/>
        <v>2</v>
      </c>
      <c r="V77" s="251">
        <f t="shared" si="134"/>
        <v>2</v>
      </c>
      <c r="W77" s="244" t="s">
        <v>184</v>
      </c>
      <c r="X77" s="244" t="s">
        <v>187</v>
      </c>
      <c r="Y77" s="253">
        <f t="shared" si="136"/>
        <v>25</v>
      </c>
      <c r="Z77" s="251">
        <f t="shared" si="143"/>
        <v>50</v>
      </c>
      <c r="AA77" s="244" t="str">
        <f t="shared" si="144"/>
        <v>Nivel III: Riesgo Moderado (Aceptable)</v>
      </c>
      <c r="AB77" s="244">
        <v>1</v>
      </c>
      <c r="AC77" s="244"/>
      <c r="AD77" s="244"/>
      <c r="AE77" s="244"/>
      <c r="AF77" s="251"/>
      <c r="AG77" s="251"/>
      <c r="AH77" s="245" t="s">
        <v>424</v>
      </c>
      <c r="AI77" s="245" t="s">
        <v>424</v>
      </c>
      <c r="AJ77" s="245" t="s">
        <v>424</v>
      </c>
      <c r="AK77" s="244" t="s">
        <v>706</v>
      </c>
      <c r="AL77" s="260" t="s">
        <v>446</v>
      </c>
    </row>
    <row r="78" spans="1:38" s="235" customFormat="1" ht="82.5" hidden="1" x14ac:dyDescent="0.3">
      <c r="A78" s="259" t="s">
        <v>1453</v>
      </c>
      <c r="B78" s="244" t="s">
        <v>1456</v>
      </c>
      <c r="C78" s="244" t="s">
        <v>1457</v>
      </c>
      <c r="D78" s="300" t="s">
        <v>1589</v>
      </c>
      <c r="E78" s="244" t="s">
        <v>1587</v>
      </c>
      <c r="F78" s="244" t="s">
        <v>461</v>
      </c>
      <c r="G78" s="244" t="s">
        <v>1458</v>
      </c>
      <c r="H78" s="245" t="s">
        <v>433</v>
      </c>
      <c r="I78" s="244" t="s">
        <v>176</v>
      </c>
      <c r="J78" s="244" t="s">
        <v>958</v>
      </c>
      <c r="K78" s="244" t="s">
        <v>959</v>
      </c>
      <c r="L78" s="244" t="s">
        <v>421</v>
      </c>
      <c r="M78" s="244" t="s">
        <v>460</v>
      </c>
      <c r="N78" s="244" t="s">
        <v>469</v>
      </c>
      <c r="O78" s="245" t="s">
        <v>423</v>
      </c>
      <c r="P78" s="245" t="s">
        <v>544</v>
      </c>
      <c r="Q78" s="244" t="s">
        <v>960</v>
      </c>
      <c r="R78" s="244" t="s">
        <v>184</v>
      </c>
      <c r="S78" s="252">
        <f t="shared" si="142"/>
        <v>1</v>
      </c>
      <c r="T78" s="244" t="s">
        <v>429</v>
      </c>
      <c r="U78" s="253">
        <f t="shared" si="133"/>
        <v>2</v>
      </c>
      <c r="V78" s="251">
        <f t="shared" si="134"/>
        <v>2</v>
      </c>
      <c r="W78" s="244" t="s">
        <v>184</v>
      </c>
      <c r="X78" s="244" t="s">
        <v>428</v>
      </c>
      <c r="Y78" s="253">
        <f t="shared" si="136"/>
        <v>10</v>
      </c>
      <c r="Z78" s="251">
        <f t="shared" si="143"/>
        <v>20</v>
      </c>
      <c r="AA78" s="244" t="str">
        <f t="shared" si="144"/>
        <v>Nivel IV: Riesgo Tolerable (Aceptable)</v>
      </c>
      <c r="AB78" s="244">
        <v>2</v>
      </c>
      <c r="AC78" s="244"/>
      <c r="AD78" s="244"/>
      <c r="AE78" s="244"/>
      <c r="AF78" s="251"/>
      <c r="AG78" s="251"/>
      <c r="AH78" s="245" t="s">
        <v>424</v>
      </c>
      <c r="AI78" s="245" t="s">
        <v>424</v>
      </c>
      <c r="AJ78" s="245" t="s">
        <v>424</v>
      </c>
      <c r="AK78" s="244" t="s">
        <v>962</v>
      </c>
      <c r="AL78" s="260" t="s">
        <v>961</v>
      </c>
    </row>
    <row r="79" spans="1:38" s="235" customFormat="1" ht="99" hidden="1" x14ac:dyDescent="0.3">
      <c r="A79" s="259" t="s">
        <v>1453</v>
      </c>
      <c r="B79" s="244" t="s">
        <v>1456</v>
      </c>
      <c r="C79" s="244" t="s">
        <v>1457</v>
      </c>
      <c r="D79" s="300" t="s">
        <v>1589</v>
      </c>
      <c r="E79" s="244" t="s">
        <v>1587</v>
      </c>
      <c r="F79" s="244" t="s">
        <v>461</v>
      </c>
      <c r="G79" s="244" t="s">
        <v>1458</v>
      </c>
      <c r="H79" s="245" t="s">
        <v>434</v>
      </c>
      <c r="I79" s="244" t="s">
        <v>283</v>
      </c>
      <c r="J79" s="244" t="s">
        <v>939</v>
      </c>
      <c r="K79" s="244" t="s">
        <v>963</v>
      </c>
      <c r="L79" s="244" t="s">
        <v>421</v>
      </c>
      <c r="M79" s="244" t="s">
        <v>460</v>
      </c>
      <c r="N79" s="244" t="s">
        <v>469</v>
      </c>
      <c r="O79" s="245" t="s">
        <v>423</v>
      </c>
      <c r="P79" s="245" t="s">
        <v>423</v>
      </c>
      <c r="Q79" s="244" t="s">
        <v>964</v>
      </c>
      <c r="R79" s="244" t="s">
        <v>184</v>
      </c>
      <c r="S79" s="252">
        <v>1</v>
      </c>
      <c r="T79" s="244" t="s">
        <v>429</v>
      </c>
      <c r="U79" s="253">
        <v>4</v>
      </c>
      <c r="V79" s="251">
        <v>4</v>
      </c>
      <c r="W79" s="244" t="s">
        <v>184</v>
      </c>
      <c r="X79" s="244" t="s">
        <v>428</v>
      </c>
      <c r="Y79" s="253">
        <f>IF(X79="Mortal o catastrófico",100,IF(X79="Muy grave",60,IF(X79="Grave",25,IF(X79="Leve",10,))))</f>
        <v>10</v>
      </c>
      <c r="Z79" s="251">
        <f t="shared" ref="Z79:Z84" si="146">V79*Y79</f>
        <v>40</v>
      </c>
      <c r="AA79" s="244" t="str">
        <f>IF(AND(Z79&gt;=600,Z79&lt;=4000),"Nivel I: Riesgo Inaceptable",IF(AND(Z79&gt;=150,Z79&lt;=500),"Nivel II: Riesgo Importante",IF(AND(Z79&gt;=40,Z79&lt;=120),"Nivel III: Riesgo Moderado (Aceptable)","Nivel IV: Riesgo Tolerable (Aceptable)")))</f>
        <v>Nivel III: Riesgo Moderado (Aceptable)</v>
      </c>
      <c r="AB79" s="244">
        <v>2</v>
      </c>
      <c r="AC79" s="244"/>
      <c r="AD79" s="244"/>
      <c r="AE79" s="244"/>
      <c r="AF79" s="251"/>
      <c r="AG79" s="251"/>
      <c r="AH79" s="245" t="s">
        <v>424</v>
      </c>
      <c r="AI79" s="245" t="s">
        <v>424</v>
      </c>
      <c r="AJ79" s="245" t="s">
        <v>424</v>
      </c>
      <c r="AK79" s="245" t="s">
        <v>965</v>
      </c>
      <c r="AL79" s="260" t="s">
        <v>586</v>
      </c>
    </row>
    <row r="80" spans="1:38" s="235" customFormat="1" ht="82.5" hidden="1" x14ac:dyDescent="0.3">
      <c r="A80" s="259" t="s">
        <v>1453</v>
      </c>
      <c r="B80" s="244" t="s">
        <v>1456</v>
      </c>
      <c r="C80" s="244" t="s">
        <v>1457</v>
      </c>
      <c r="D80" s="300" t="s">
        <v>1589</v>
      </c>
      <c r="E80" s="244" t="s">
        <v>1587</v>
      </c>
      <c r="F80" s="244" t="s">
        <v>422</v>
      </c>
      <c r="G80" s="244" t="s">
        <v>1458</v>
      </c>
      <c r="H80" s="245" t="s">
        <v>409</v>
      </c>
      <c r="I80" s="244" t="s">
        <v>294</v>
      </c>
      <c r="J80" s="244" t="s">
        <v>707</v>
      </c>
      <c r="K80" s="244" t="s">
        <v>966</v>
      </c>
      <c r="L80" s="244" t="s">
        <v>421</v>
      </c>
      <c r="M80" s="244" t="s">
        <v>460</v>
      </c>
      <c r="N80" s="244" t="s">
        <v>469</v>
      </c>
      <c r="O80" s="245" t="s">
        <v>423</v>
      </c>
      <c r="P80" s="245" t="s">
        <v>969</v>
      </c>
      <c r="Q80" s="244" t="s">
        <v>967</v>
      </c>
      <c r="R80" s="244" t="s">
        <v>184</v>
      </c>
      <c r="S80" s="252">
        <f>IF(R80="Muy Alto",10,IF(R80="Alto",6,IF(R80="Medio",2,IF(R80="Bajo",1,))))</f>
        <v>1</v>
      </c>
      <c r="T80" s="244" t="s">
        <v>416</v>
      </c>
      <c r="U80" s="253">
        <f>IF(T80="Continua",4,IF(T80="Frecuente",3,IF(T80="Ocasional",2,IF(T80="Esporádica",1,))))</f>
        <v>3</v>
      </c>
      <c r="V80" s="251">
        <f>S80*U80</f>
        <v>3</v>
      </c>
      <c r="W80" s="244" t="str">
        <f>IF(AND(V80&gt;=0,V80&lt;=4),"Bajo",IF(AND(V80&gt;=6,V80&lt;=8),"Medio",IF(AND(V80&gt;=10,V80&lt;=20),"Alto",IF(AND(V80&gt;=20,V80&lt;=40),"Muy Alto",))))</f>
        <v>Bajo</v>
      </c>
      <c r="X80" s="244" t="s">
        <v>187</v>
      </c>
      <c r="Y80" s="253">
        <f>IF(X80="Mortal o catastrófico",100,IF(X80="Muy grave",60,IF(X80="Grave",25,IF(X80="Leve",10,))))</f>
        <v>25</v>
      </c>
      <c r="Z80" s="251">
        <f t="shared" si="146"/>
        <v>75</v>
      </c>
      <c r="AA80" s="244" t="str">
        <f>IF(AND(Z80&gt;=600,Z80&lt;=4000),"Nivel I: Riesgo Inaceptable",IF(AND(Z80&gt;=150,Z80&lt;=500),"Nivel II: Riesgo Importante",IF(AND(Z80&gt;=40,Z80&lt;=120),"Nivel III: Riesgo Moderado (Aceptable)","Nivel IV: Riesgo Tolerable (Aceptable)")))</f>
        <v>Nivel III: Riesgo Moderado (Aceptable)</v>
      </c>
      <c r="AB80" s="244">
        <v>2</v>
      </c>
      <c r="AC80" s="244"/>
      <c r="AD80" s="244"/>
      <c r="AE80" s="244"/>
      <c r="AF80" s="251"/>
      <c r="AG80" s="244" t="s">
        <v>926</v>
      </c>
      <c r="AH80" s="245" t="s">
        <v>424</v>
      </c>
      <c r="AI80" s="245" t="s">
        <v>424</v>
      </c>
      <c r="AJ80" s="245" t="s">
        <v>424</v>
      </c>
      <c r="AK80" s="258" t="s">
        <v>968</v>
      </c>
      <c r="AL80" s="260" t="s">
        <v>600</v>
      </c>
    </row>
    <row r="81" spans="1:38" s="235" customFormat="1" ht="99" hidden="1" x14ac:dyDescent="0.3">
      <c r="A81" s="259" t="s">
        <v>1453</v>
      </c>
      <c r="B81" s="244" t="s">
        <v>1456</v>
      </c>
      <c r="C81" s="244" t="s">
        <v>1457</v>
      </c>
      <c r="D81" s="300" t="s">
        <v>1589</v>
      </c>
      <c r="E81" s="244" t="s">
        <v>1587</v>
      </c>
      <c r="F81" s="244" t="s">
        <v>422</v>
      </c>
      <c r="G81" s="244" t="s">
        <v>1458</v>
      </c>
      <c r="H81" s="245" t="s">
        <v>410</v>
      </c>
      <c r="I81" s="244" t="s">
        <v>347</v>
      </c>
      <c r="J81" s="244" t="s">
        <v>587</v>
      </c>
      <c r="K81" s="244" t="s">
        <v>588</v>
      </c>
      <c r="L81" s="244" t="s">
        <v>421</v>
      </c>
      <c r="M81" s="244" t="s">
        <v>460</v>
      </c>
      <c r="N81" s="244" t="s">
        <v>469</v>
      </c>
      <c r="O81" s="245" t="s">
        <v>423</v>
      </c>
      <c r="P81" s="245" t="s">
        <v>489</v>
      </c>
      <c r="Q81" s="244" t="s">
        <v>970</v>
      </c>
      <c r="R81" s="244" t="s">
        <v>184</v>
      </c>
      <c r="S81" s="252">
        <f>IF(R81="Muy Alto",10,IF(R81="Alto",6,IF(R81="Medio",2,IF(R81="Bajo",1,))))</f>
        <v>1</v>
      </c>
      <c r="T81" s="244" t="s">
        <v>186</v>
      </c>
      <c r="U81" s="253">
        <f>IF(T81="Continua",4,IF(T81="Frecuente",3,IF(T81="Ocasional",2,IF(T81="Esporádica",1,))))</f>
        <v>4</v>
      </c>
      <c r="V81" s="251">
        <f>S81*U81</f>
        <v>4</v>
      </c>
      <c r="W81" s="244" t="str">
        <f>IF(AND(V81&gt;=0,V81&lt;=4),"Bajo",IF(AND(V81&gt;=6,V81&lt;=8),"Medio",IF(AND(V81&gt;=10,V81&lt;=20),"Alto",IF(AND(V81&gt;=20,V81&lt;=40),"Muy Alto",))))</f>
        <v>Bajo</v>
      </c>
      <c r="X81" s="244" t="s">
        <v>971</v>
      </c>
      <c r="Y81" s="253">
        <f>IF(X81="Mortal o catastrófico",100,IF(X81="Muy grave",60,IF(X81="Grave",25,IF(X81="Leve",10,))))</f>
        <v>100</v>
      </c>
      <c r="Z81" s="251">
        <f t="shared" si="146"/>
        <v>400</v>
      </c>
      <c r="AA81" s="244" t="str">
        <f>IF(AND(Z81&gt;=600,Z81&lt;=4000),"Nivel I: Riesgo Inaceptable",IF(AND(Z81&gt;=150,Z81&lt;=500),"Nivel II: Riesgo Importante",IF(AND(Z81&gt;=40,Z81&lt;=120),"Nivel III: Riesgo Moderado (Aceptable)","Nivel IV: Riesgo Tolerable (Aceptable)")))</f>
        <v>Nivel II: Riesgo Importante</v>
      </c>
      <c r="AB81" s="244">
        <v>2</v>
      </c>
      <c r="AC81" s="244"/>
      <c r="AD81" s="244"/>
      <c r="AE81" s="244"/>
      <c r="AF81" s="251"/>
      <c r="AG81" s="244" t="s">
        <v>926</v>
      </c>
      <c r="AH81" s="245" t="s">
        <v>424</v>
      </c>
      <c r="AI81" s="245" t="s">
        <v>424</v>
      </c>
      <c r="AJ81" s="245" t="s">
        <v>424</v>
      </c>
      <c r="AK81" s="245" t="s">
        <v>972</v>
      </c>
      <c r="AL81" s="260" t="s">
        <v>600</v>
      </c>
    </row>
    <row r="82" spans="1:38" s="235" customFormat="1" ht="115.5" hidden="1" x14ac:dyDescent="0.3">
      <c r="A82" s="259" t="s">
        <v>1453</v>
      </c>
      <c r="B82" s="244" t="s">
        <v>1456</v>
      </c>
      <c r="C82" s="244" t="s">
        <v>1457</v>
      </c>
      <c r="D82" s="300" t="s">
        <v>1589</v>
      </c>
      <c r="E82" s="244" t="s">
        <v>1587</v>
      </c>
      <c r="F82" s="244" t="s">
        <v>461</v>
      </c>
      <c r="G82" s="244" t="s">
        <v>1458</v>
      </c>
      <c r="H82" s="245" t="s">
        <v>411</v>
      </c>
      <c r="I82" s="244" t="s">
        <v>398</v>
      </c>
      <c r="J82" s="244" t="s">
        <v>708</v>
      </c>
      <c r="K82" s="244" t="s">
        <v>823</v>
      </c>
      <c r="L82" s="244" t="s">
        <v>421</v>
      </c>
      <c r="M82" s="244" t="s">
        <v>460</v>
      </c>
      <c r="N82" s="244" t="s">
        <v>469</v>
      </c>
      <c r="O82" s="245" t="s">
        <v>423</v>
      </c>
      <c r="P82" s="245" t="s">
        <v>489</v>
      </c>
      <c r="Q82" s="244" t="s">
        <v>970</v>
      </c>
      <c r="R82" s="244" t="s">
        <v>184</v>
      </c>
      <c r="S82" s="252">
        <v>1</v>
      </c>
      <c r="T82" s="244" t="s">
        <v>429</v>
      </c>
      <c r="U82" s="253">
        <v>2</v>
      </c>
      <c r="V82" s="251">
        <v>2</v>
      </c>
      <c r="W82" s="244" t="s">
        <v>184</v>
      </c>
      <c r="X82" s="244" t="s">
        <v>428</v>
      </c>
      <c r="Y82" s="253">
        <v>10</v>
      </c>
      <c r="Z82" s="251">
        <f t="shared" si="146"/>
        <v>20</v>
      </c>
      <c r="AA82" s="244" t="s">
        <v>709</v>
      </c>
      <c r="AB82" s="244">
        <v>2</v>
      </c>
      <c r="AC82" s="244"/>
      <c r="AD82" s="244"/>
      <c r="AE82" s="244"/>
      <c r="AF82" s="251"/>
      <c r="AG82" s="251"/>
      <c r="AH82" s="245" t="s">
        <v>424</v>
      </c>
      <c r="AI82" s="245" t="s">
        <v>424</v>
      </c>
      <c r="AJ82" s="245" t="s">
        <v>424</v>
      </c>
      <c r="AK82" s="245" t="s">
        <v>854</v>
      </c>
      <c r="AL82" s="260" t="s">
        <v>855</v>
      </c>
    </row>
    <row r="83" spans="1:38" s="235" customFormat="1" ht="82.5" hidden="1" x14ac:dyDescent="0.3">
      <c r="A83" s="259" t="s">
        <v>1453</v>
      </c>
      <c r="B83" s="244" t="s">
        <v>1456</v>
      </c>
      <c r="C83" s="244" t="s">
        <v>1457</v>
      </c>
      <c r="D83" s="300" t="s">
        <v>1589</v>
      </c>
      <c r="E83" s="244" t="s">
        <v>1587</v>
      </c>
      <c r="F83" s="244" t="s">
        <v>422</v>
      </c>
      <c r="G83" s="244" t="s">
        <v>1458</v>
      </c>
      <c r="H83" s="245" t="s">
        <v>412</v>
      </c>
      <c r="I83" s="244" t="s">
        <v>714</v>
      </c>
      <c r="J83" s="244" t="s">
        <v>512</v>
      </c>
      <c r="K83" s="244" t="s">
        <v>625</v>
      </c>
      <c r="L83" s="244" t="s">
        <v>529</v>
      </c>
      <c r="M83" s="244" t="s">
        <v>460</v>
      </c>
      <c r="N83" s="244" t="s">
        <v>469</v>
      </c>
      <c r="O83" s="245" t="s">
        <v>423</v>
      </c>
      <c r="P83" s="245" t="s">
        <v>974</v>
      </c>
      <c r="Q83" s="244" t="s">
        <v>536</v>
      </c>
      <c r="R83" s="244" t="s">
        <v>184</v>
      </c>
      <c r="S83" s="252">
        <v>1</v>
      </c>
      <c r="T83" s="244" t="s">
        <v>186</v>
      </c>
      <c r="U83" s="253">
        <v>2</v>
      </c>
      <c r="V83" s="251">
        <v>2</v>
      </c>
      <c r="W83" s="244" t="s">
        <v>184</v>
      </c>
      <c r="X83" s="244" t="s">
        <v>187</v>
      </c>
      <c r="Y83" s="253">
        <f>IF(X83="Mortal o catastrófico",100,IF(X83="Muy grave",60,IF(X83="Grave",25,IF(X83="Leve",10,))))</f>
        <v>25</v>
      </c>
      <c r="Z83" s="251">
        <f t="shared" si="146"/>
        <v>50</v>
      </c>
      <c r="AA83" s="244" t="str">
        <f>IF(AND(Z83&gt;=600,Z83&lt;=4000),"Nivel I: Riesgo Inaceptable",IF(AND(Z83&gt;=150,Z83&lt;=500),"Nivel II: Riesgo Importante",IF(AND(Z83&gt;=40,Z83&lt;=120),"Nivel III: Riesgo Moderado (Aceptable)","Nivel IV: Riesgo Tolerable (Aceptable)")))</f>
        <v>Nivel III: Riesgo Moderado (Aceptable)</v>
      </c>
      <c r="AB83" s="244">
        <v>2</v>
      </c>
      <c r="AC83" s="244"/>
      <c r="AD83" s="244"/>
      <c r="AE83" s="244"/>
      <c r="AF83" s="251"/>
      <c r="AG83" s="244" t="s">
        <v>926</v>
      </c>
      <c r="AH83" s="245" t="s">
        <v>424</v>
      </c>
      <c r="AI83" s="245" t="s">
        <v>424</v>
      </c>
      <c r="AJ83" s="245" t="s">
        <v>514</v>
      </c>
      <c r="AK83" s="245" t="s">
        <v>975</v>
      </c>
      <c r="AL83" s="260" t="s">
        <v>515</v>
      </c>
    </row>
    <row r="84" spans="1:38" s="235" customFormat="1" ht="99" hidden="1" x14ac:dyDescent="0.3">
      <c r="A84" s="259" t="s">
        <v>1453</v>
      </c>
      <c r="B84" s="244" t="s">
        <v>1456</v>
      </c>
      <c r="C84" s="244" t="s">
        <v>1457</v>
      </c>
      <c r="D84" s="300" t="s">
        <v>1589</v>
      </c>
      <c r="E84" s="244" t="s">
        <v>1587</v>
      </c>
      <c r="F84" s="244" t="s">
        <v>422</v>
      </c>
      <c r="G84" s="244" t="s">
        <v>1458</v>
      </c>
      <c r="H84" s="245" t="s">
        <v>412</v>
      </c>
      <c r="I84" s="244" t="s">
        <v>719</v>
      </c>
      <c r="J84" s="244" t="s">
        <v>976</v>
      </c>
      <c r="K84" s="244" t="s">
        <v>722</v>
      </c>
      <c r="L84" s="244" t="s">
        <v>421</v>
      </c>
      <c r="M84" s="244" t="s">
        <v>460</v>
      </c>
      <c r="N84" s="244" t="s">
        <v>469</v>
      </c>
      <c r="O84" s="245" t="s">
        <v>423</v>
      </c>
      <c r="P84" s="245" t="s">
        <v>423</v>
      </c>
      <c r="Q84" s="244" t="s">
        <v>977</v>
      </c>
      <c r="R84" s="244" t="s">
        <v>184</v>
      </c>
      <c r="S84" s="252">
        <v>1</v>
      </c>
      <c r="T84" s="244" t="s">
        <v>186</v>
      </c>
      <c r="U84" s="253">
        <v>2</v>
      </c>
      <c r="V84" s="251">
        <v>2</v>
      </c>
      <c r="W84" s="244" t="s">
        <v>184</v>
      </c>
      <c r="X84" s="244" t="s">
        <v>187</v>
      </c>
      <c r="Y84" s="253">
        <f>IF(X84="Mortal o catastrófico",100,IF(X84="Muy grave",60,IF(X84="Grave",25,IF(X84="Leve",10,))))</f>
        <v>25</v>
      </c>
      <c r="Z84" s="251">
        <f t="shared" si="146"/>
        <v>50</v>
      </c>
      <c r="AA84" s="244" t="str">
        <f>IF(AND(Z84&gt;=600,Z84&lt;=4000),"Nivel I: Riesgo Inaceptable",IF(AND(Z84&gt;=150,Z84&lt;=500),"Nivel II: Riesgo Importante",IF(AND(Z84&gt;=40,Z84&lt;=120),"Nivel III: Riesgo Moderado (Aceptable)","Nivel IV: Riesgo Tolerable (Aceptable)")))</f>
        <v>Nivel III: Riesgo Moderado (Aceptable)</v>
      </c>
      <c r="AB84" s="244">
        <v>2</v>
      </c>
      <c r="AC84" s="244"/>
      <c r="AD84" s="244"/>
      <c r="AE84" s="244"/>
      <c r="AF84" s="251"/>
      <c r="AG84" s="244" t="s">
        <v>926</v>
      </c>
      <c r="AH84" s="245" t="s">
        <v>424</v>
      </c>
      <c r="AI84" s="245" t="s">
        <v>424</v>
      </c>
      <c r="AJ84" s="245" t="s">
        <v>514</v>
      </c>
      <c r="AK84" s="245" t="s">
        <v>723</v>
      </c>
      <c r="AL84" s="260" t="s">
        <v>600</v>
      </c>
    </row>
    <row r="85" spans="1:38" s="235" customFormat="1" ht="115.5" hidden="1" x14ac:dyDescent="0.3">
      <c r="A85" s="259" t="s">
        <v>1453</v>
      </c>
      <c r="B85" s="244" t="s">
        <v>1456</v>
      </c>
      <c r="C85" s="244" t="s">
        <v>1457</v>
      </c>
      <c r="D85" s="300" t="s">
        <v>1589</v>
      </c>
      <c r="E85" s="244" t="s">
        <v>1587</v>
      </c>
      <c r="F85" s="244" t="s">
        <v>422</v>
      </c>
      <c r="G85" s="244" t="s">
        <v>1458</v>
      </c>
      <c r="H85" s="245" t="s">
        <v>412</v>
      </c>
      <c r="I85" s="244" t="s">
        <v>720</v>
      </c>
      <c r="J85" s="244" t="s">
        <v>857</v>
      </c>
      <c r="K85" s="244" t="s">
        <v>724</v>
      </c>
      <c r="L85" s="244" t="s">
        <v>421</v>
      </c>
      <c r="M85" s="244" t="s">
        <v>460</v>
      </c>
      <c r="N85" s="244" t="s">
        <v>469</v>
      </c>
      <c r="O85" s="245" t="s">
        <v>423</v>
      </c>
      <c r="P85" s="245" t="s">
        <v>423</v>
      </c>
      <c r="Q85" s="244" t="s">
        <v>856</v>
      </c>
      <c r="R85" s="244" t="s">
        <v>184</v>
      </c>
      <c r="S85" s="252">
        <v>1</v>
      </c>
      <c r="T85" s="244" t="s">
        <v>485</v>
      </c>
      <c r="U85" s="253">
        <v>2</v>
      </c>
      <c r="V85" s="251">
        <v>2</v>
      </c>
      <c r="W85" s="244" t="s">
        <v>184</v>
      </c>
      <c r="X85" s="244" t="s">
        <v>187</v>
      </c>
      <c r="Y85" s="253">
        <v>25</v>
      </c>
      <c r="Z85" s="251">
        <v>50</v>
      </c>
      <c r="AA85" s="244" t="s">
        <v>702</v>
      </c>
      <c r="AB85" s="244">
        <v>2</v>
      </c>
      <c r="AC85" s="244"/>
      <c r="AD85" s="244"/>
      <c r="AE85" s="244"/>
      <c r="AF85" s="251"/>
      <c r="AG85" s="244" t="s">
        <v>926</v>
      </c>
      <c r="AH85" s="245" t="s">
        <v>424</v>
      </c>
      <c r="AI85" s="245" t="s">
        <v>424</v>
      </c>
      <c r="AJ85" s="245" t="s">
        <v>424</v>
      </c>
      <c r="AK85" s="245" t="s">
        <v>973</v>
      </c>
      <c r="AL85" s="260" t="s">
        <v>600</v>
      </c>
    </row>
    <row r="86" spans="1:38" s="235" customFormat="1" ht="247.5" hidden="1" x14ac:dyDescent="0.3">
      <c r="A86" s="259" t="s">
        <v>1453</v>
      </c>
      <c r="B86" s="244" t="s">
        <v>1456</v>
      </c>
      <c r="C86" s="244" t="s">
        <v>1457</v>
      </c>
      <c r="D86" s="300" t="s">
        <v>1589</v>
      </c>
      <c r="E86" s="244" t="s">
        <v>1587</v>
      </c>
      <c r="F86" s="244" t="s">
        <v>422</v>
      </c>
      <c r="G86" s="244" t="s">
        <v>1458</v>
      </c>
      <c r="H86" s="245" t="s">
        <v>413</v>
      </c>
      <c r="I86" s="244" t="s">
        <v>592</v>
      </c>
      <c r="J86" s="244" t="s">
        <v>593</v>
      </c>
      <c r="K86" s="244" t="s">
        <v>602</v>
      </c>
      <c r="L86" s="244" t="s">
        <v>421</v>
      </c>
      <c r="M86" s="244" t="s">
        <v>460</v>
      </c>
      <c r="N86" s="244" t="s">
        <v>469</v>
      </c>
      <c r="O86" s="245" t="s">
        <v>423</v>
      </c>
      <c r="P86" s="245" t="s">
        <v>423</v>
      </c>
      <c r="Q86" s="244" t="s">
        <v>978</v>
      </c>
      <c r="R86" s="244" t="s">
        <v>184</v>
      </c>
      <c r="S86" s="252">
        <f>IF(R86="Muy Alto",10,IF(R86="Alto",6,IF(R86="Medio",2,IF(R86="Bajo",1,))))</f>
        <v>1</v>
      </c>
      <c r="T86" s="244" t="s">
        <v>485</v>
      </c>
      <c r="U86" s="253">
        <f>IF(T86="Continua",4,IF(T86="Frecuente",3,IF(T86="Ocasional",2,IF(T86="Esporádica",1,))))</f>
        <v>1</v>
      </c>
      <c r="V86" s="251">
        <f>S86*U86</f>
        <v>1</v>
      </c>
      <c r="W86" s="244" t="str">
        <f>IF(AND(V86&gt;=0,V86&lt;=4),"Bajo",IF(AND(V86&gt;=6,V86&lt;=8),"Medio",IF(AND(V86&gt;=10,V86&lt;=20),"Alto",IF(AND(V86&gt;=20,V86&lt;=40),"Muy Alto",))))</f>
        <v>Bajo</v>
      </c>
      <c r="X86" s="244" t="s">
        <v>428</v>
      </c>
      <c r="Y86" s="253">
        <f>IF(X86="Mortal o catastrófico",100,IF(X86="Muy grave",60,IF(X86="Grave",25,IF(X86="Leve",10,))))</f>
        <v>10</v>
      </c>
      <c r="Z86" s="251">
        <f>V86*Y86</f>
        <v>10</v>
      </c>
      <c r="AA86" s="244" t="str">
        <f>IF(AND(Z86&gt;=600,Z86&lt;=4000),"Nivel I: Riesgo Inaceptable",IF(AND(Z86&gt;=150,Z86&lt;=500),"Nivel II: Riesgo Importante",IF(AND(Z86&gt;=40,Z86&lt;=120),"Nivel III: Riesgo Moderado (Aceptable)","Nivel IV: Riesgo Tolerable (Aceptable)")))</f>
        <v>Nivel IV: Riesgo Tolerable (Aceptable)</v>
      </c>
      <c r="AB86" s="244">
        <v>1</v>
      </c>
      <c r="AC86" s="244"/>
      <c r="AD86" s="244"/>
      <c r="AE86" s="244"/>
      <c r="AF86" s="251"/>
      <c r="AG86" s="244" t="s">
        <v>926</v>
      </c>
      <c r="AH86" s="245" t="s">
        <v>424</v>
      </c>
      <c r="AI86" s="245" t="s">
        <v>424</v>
      </c>
      <c r="AJ86" s="245" t="s">
        <v>424</v>
      </c>
      <c r="AK86" s="245" t="s">
        <v>826</v>
      </c>
      <c r="AL86" s="260" t="s">
        <v>600</v>
      </c>
    </row>
    <row r="87" spans="1:38" s="235" customFormat="1" ht="198" hidden="1" x14ac:dyDescent="0.3">
      <c r="A87" s="259" t="s">
        <v>1453</v>
      </c>
      <c r="B87" s="244" t="s">
        <v>1456</v>
      </c>
      <c r="C87" s="244" t="s">
        <v>1457</v>
      </c>
      <c r="D87" s="300" t="s">
        <v>1589</v>
      </c>
      <c r="E87" s="244" t="s">
        <v>1587</v>
      </c>
      <c r="F87" s="244" t="s">
        <v>422</v>
      </c>
      <c r="G87" s="244" t="s">
        <v>1458</v>
      </c>
      <c r="H87" s="245" t="s">
        <v>413</v>
      </c>
      <c r="I87" s="244" t="s">
        <v>594</v>
      </c>
      <c r="J87" s="244" t="s">
        <v>595</v>
      </c>
      <c r="K87" s="244" t="s">
        <v>602</v>
      </c>
      <c r="L87" s="244" t="s">
        <v>421</v>
      </c>
      <c r="M87" s="244" t="s">
        <v>460</v>
      </c>
      <c r="N87" s="244" t="s">
        <v>469</v>
      </c>
      <c r="O87" s="245" t="s">
        <v>423</v>
      </c>
      <c r="P87" s="245" t="s">
        <v>423</v>
      </c>
      <c r="Q87" s="244" t="s">
        <v>978</v>
      </c>
      <c r="R87" s="244" t="s">
        <v>184</v>
      </c>
      <c r="S87" s="252">
        <f t="shared" ref="S87:S92" si="147">IF(R87="Muy Alto",10,IF(R87="Alto",6,IF(R87="Medio",2,IF(R87="Bajo",1,))))</f>
        <v>1</v>
      </c>
      <c r="T87" s="244" t="s">
        <v>485</v>
      </c>
      <c r="U87" s="253">
        <f t="shared" ref="U87:U92" si="148">IF(T87="Continua",4,IF(T87="Frecuente",3,IF(T87="Ocasional",2,IF(T87="Esporádica",1,))))</f>
        <v>1</v>
      </c>
      <c r="V87" s="251">
        <f t="shared" ref="V87:V92" si="149">S87*U87</f>
        <v>1</v>
      </c>
      <c r="W87" s="244" t="str">
        <f t="shared" ref="W87:W92" si="150">IF(AND(V87&gt;=0,V87&lt;=4),"Bajo",IF(AND(V87&gt;=6,V87&lt;=8),"Medio",IF(AND(V87&gt;=10,V87&lt;=20),"Alto",IF(AND(V87&gt;=20,V87&lt;=40),"Muy Alto",))))</f>
        <v>Bajo</v>
      </c>
      <c r="X87" s="244" t="s">
        <v>428</v>
      </c>
      <c r="Y87" s="253">
        <f t="shared" ref="Y87:Y92" si="151">IF(X87="Mortal o catastrófico",100,IF(X87="Muy grave",60,IF(X87="Grave",25,IF(X87="Leve",10,))))</f>
        <v>10</v>
      </c>
      <c r="Z87" s="251">
        <f t="shared" ref="Z87:Z92" si="152">V87*Y87</f>
        <v>10</v>
      </c>
      <c r="AA87" s="244" t="str">
        <f t="shared" ref="AA87:AA92" si="153">IF(AND(Z87&gt;=600,Z87&lt;=4000),"Nivel I: Riesgo Inaceptable",IF(AND(Z87&gt;=150,Z87&lt;=500),"Nivel II: Riesgo Importante",IF(AND(Z87&gt;=40,Z87&lt;=120),"Nivel III: Riesgo Moderado (Aceptable)","Nivel IV: Riesgo Tolerable (Aceptable)")))</f>
        <v>Nivel IV: Riesgo Tolerable (Aceptable)</v>
      </c>
      <c r="AB87" s="244">
        <v>2</v>
      </c>
      <c r="AC87" s="244"/>
      <c r="AD87" s="244"/>
      <c r="AE87" s="244"/>
      <c r="AF87" s="251"/>
      <c r="AG87" s="244" t="s">
        <v>926</v>
      </c>
      <c r="AH87" s="245" t="s">
        <v>424</v>
      </c>
      <c r="AI87" s="245" t="s">
        <v>424</v>
      </c>
      <c r="AJ87" s="245" t="s">
        <v>424</v>
      </c>
      <c r="AK87" s="245" t="s">
        <v>826</v>
      </c>
      <c r="AL87" s="260" t="s">
        <v>600</v>
      </c>
    </row>
    <row r="88" spans="1:38" s="235" customFormat="1" ht="115.5" hidden="1" x14ac:dyDescent="0.3">
      <c r="A88" s="259" t="s">
        <v>1453</v>
      </c>
      <c r="B88" s="244" t="s">
        <v>1456</v>
      </c>
      <c r="C88" s="244" t="s">
        <v>1457</v>
      </c>
      <c r="D88" s="300" t="s">
        <v>1589</v>
      </c>
      <c r="E88" s="244" t="s">
        <v>1587</v>
      </c>
      <c r="F88" s="244" t="s">
        <v>422</v>
      </c>
      <c r="G88" s="244" t="s">
        <v>1458</v>
      </c>
      <c r="H88" s="245" t="s">
        <v>413</v>
      </c>
      <c r="I88" s="244" t="s">
        <v>596</v>
      </c>
      <c r="J88" s="244" t="s">
        <v>599</v>
      </c>
      <c r="K88" s="244" t="s">
        <v>602</v>
      </c>
      <c r="L88" s="244" t="s">
        <v>421</v>
      </c>
      <c r="M88" s="244" t="s">
        <v>460</v>
      </c>
      <c r="N88" s="244" t="s">
        <v>469</v>
      </c>
      <c r="O88" s="245" t="s">
        <v>423</v>
      </c>
      <c r="P88" s="245" t="s">
        <v>423</v>
      </c>
      <c r="Q88" s="244" t="s">
        <v>978</v>
      </c>
      <c r="R88" s="244" t="s">
        <v>184</v>
      </c>
      <c r="S88" s="252">
        <f t="shared" si="147"/>
        <v>1</v>
      </c>
      <c r="T88" s="244" t="s">
        <v>485</v>
      </c>
      <c r="U88" s="253">
        <f t="shared" si="148"/>
        <v>1</v>
      </c>
      <c r="V88" s="251">
        <f t="shared" si="149"/>
        <v>1</v>
      </c>
      <c r="W88" s="244" t="str">
        <f t="shared" si="150"/>
        <v>Bajo</v>
      </c>
      <c r="X88" s="244" t="s">
        <v>428</v>
      </c>
      <c r="Y88" s="253">
        <f t="shared" si="151"/>
        <v>10</v>
      </c>
      <c r="Z88" s="251">
        <f t="shared" si="152"/>
        <v>10</v>
      </c>
      <c r="AA88" s="244" t="str">
        <f t="shared" si="153"/>
        <v>Nivel IV: Riesgo Tolerable (Aceptable)</v>
      </c>
      <c r="AB88" s="244">
        <v>2</v>
      </c>
      <c r="AC88" s="244"/>
      <c r="AD88" s="244"/>
      <c r="AE88" s="244"/>
      <c r="AF88" s="251"/>
      <c r="AG88" s="244" t="s">
        <v>926</v>
      </c>
      <c r="AH88" s="245" t="s">
        <v>424</v>
      </c>
      <c r="AI88" s="245" t="s">
        <v>424</v>
      </c>
      <c r="AJ88" s="245" t="s">
        <v>424</v>
      </c>
      <c r="AK88" s="245" t="s">
        <v>826</v>
      </c>
      <c r="AL88" s="260" t="s">
        <v>600</v>
      </c>
    </row>
    <row r="89" spans="1:38" s="235" customFormat="1" ht="198" hidden="1" x14ac:dyDescent="0.3">
      <c r="A89" s="259" t="s">
        <v>1453</v>
      </c>
      <c r="B89" s="244" t="s">
        <v>1456</v>
      </c>
      <c r="C89" s="244" t="s">
        <v>1457</v>
      </c>
      <c r="D89" s="300" t="s">
        <v>1589</v>
      </c>
      <c r="E89" s="244" t="s">
        <v>1587</v>
      </c>
      <c r="F89" s="244" t="s">
        <v>422</v>
      </c>
      <c r="G89" s="244" t="s">
        <v>1458</v>
      </c>
      <c r="H89" s="245" t="s">
        <v>413</v>
      </c>
      <c r="I89" s="244" t="s">
        <v>597</v>
      </c>
      <c r="J89" s="244" t="s">
        <v>598</v>
      </c>
      <c r="K89" s="244" t="s">
        <v>602</v>
      </c>
      <c r="L89" s="244" t="s">
        <v>421</v>
      </c>
      <c r="M89" s="244" t="s">
        <v>460</v>
      </c>
      <c r="N89" s="244" t="s">
        <v>469</v>
      </c>
      <c r="O89" s="245" t="s">
        <v>423</v>
      </c>
      <c r="P89" s="245" t="s">
        <v>423</v>
      </c>
      <c r="Q89" s="244" t="s">
        <v>978</v>
      </c>
      <c r="R89" s="244" t="s">
        <v>184</v>
      </c>
      <c r="S89" s="252">
        <f t="shared" si="147"/>
        <v>1</v>
      </c>
      <c r="T89" s="244" t="s">
        <v>485</v>
      </c>
      <c r="U89" s="253">
        <f t="shared" si="148"/>
        <v>1</v>
      </c>
      <c r="V89" s="251">
        <f t="shared" si="149"/>
        <v>1</v>
      </c>
      <c r="W89" s="244" t="str">
        <f t="shared" si="150"/>
        <v>Bajo</v>
      </c>
      <c r="X89" s="244" t="s">
        <v>428</v>
      </c>
      <c r="Y89" s="253">
        <f t="shared" si="151"/>
        <v>10</v>
      </c>
      <c r="Z89" s="251">
        <f t="shared" si="152"/>
        <v>10</v>
      </c>
      <c r="AA89" s="244" t="str">
        <f t="shared" si="153"/>
        <v>Nivel IV: Riesgo Tolerable (Aceptable)</v>
      </c>
      <c r="AB89" s="244">
        <v>1</v>
      </c>
      <c r="AC89" s="244"/>
      <c r="AD89" s="244"/>
      <c r="AE89" s="244"/>
      <c r="AF89" s="251"/>
      <c r="AG89" s="244" t="s">
        <v>926</v>
      </c>
      <c r="AH89" s="245" t="s">
        <v>424</v>
      </c>
      <c r="AI89" s="245" t="s">
        <v>424</v>
      </c>
      <c r="AJ89" s="245" t="s">
        <v>424</v>
      </c>
      <c r="AK89" s="245" t="s">
        <v>827</v>
      </c>
      <c r="AL89" s="260" t="s">
        <v>600</v>
      </c>
    </row>
    <row r="90" spans="1:38" s="235" customFormat="1" ht="49.5" hidden="1" x14ac:dyDescent="0.3">
      <c r="A90" s="259" t="s">
        <v>1453</v>
      </c>
      <c r="B90" s="244" t="s">
        <v>1456</v>
      </c>
      <c r="C90" s="244" t="s">
        <v>1457</v>
      </c>
      <c r="D90" s="300" t="s">
        <v>1589</v>
      </c>
      <c r="E90" s="244" t="s">
        <v>1587</v>
      </c>
      <c r="F90" s="244" t="s">
        <v>461</v>
      </c>
      <c r="G90" s="244" t="s">
        <v>1458</v>
      </c>
      <c r="H90" s="245" t="s">
        <v>414</v>
      </c>
      <c r="I90" s="244" t="s">
        <v>578</v>
      </c>
      <c r="J90" s="244" t="s">
        <v>859</v>
      </c>
      <c r="K90" s="244" t="s">
        <v>979</v>
      </c>
      <c r="L90" s="244" t="s">
        <v>421</v>
      </c>
      <c r="M90" s="244" t="s">
        <v>460</v>
      </c>
      <c r="N90" s="244" t="s">
        <v>469</v>
      </c>
      <c r="O90" s="245" t="s">
        <v>423</v>
      </c>
      <c r="P90" s="245" t="s">
        <v>423</v>
      </c>
      <c r="Q90" s="244" t="s">
        <v>713</v>
      </c>
      <c r="R90" s="244" t="s">
        <v>184</v>
      </c>
      <c r="S90" s="252">
        <f t="shared" si="147"/>
        <v>1</v>
      </c>
      <c r="T90" s="244" t="s">
        <v>485</v>
      </c>
      <c r="U90" s="253">
        <f t="shared" si="148"/>
        <v>1</v>
      </c>
      <c r="V90" s="251">
        <f t="shared" si="149"/>
        <v>1</v>
      </c>
      <c r="W90" s="244" t="str">
        <f t="shared" si="150"/>
        <v>Bajo</v>
      </c>
      <c r="X90" s="244" t="s">
        <v>187</v>
      </c>
      <c r="Y90" s="253">
        <f t="shared" si="151"/>
        <v>25</v>
      </c>
      <c r="Z90" s="251">
        <f t="shared" si="152"/>
        <v>25</v>
      </c>
      <c r="AA90" s="244" t="str">
        <f t="shared" si="153"/>
        <v>Nivel IV: Riesgo Tolerable (Aceptable)</v>
      </c>
      <c r="AB90" s="244">
        <v>2</v>
      </c>
      <c r="AC90" s="244"/>
      <c r="AD90" s="244"/>
      <c r="AE90" s="244"/>
      <c r="AF90" s="251"/>
      <c r="AG90" s="251"/>
      <c r="AH90" s="245" t="s">
        <v>424</v>
      </c>
      <c r="AI90" s="245" t="s">
        <v>424</v>
      </c>
      <c r="AJ90" s="245" t="s">
        <v>424</v>
      </c>
      <c r="AK90" s="245" t="s">
        <v>980</v>
      </c>
      <c r="AL90" s="260" t="s">
        <v>600</v>
      </c>
    </row>
    <row r="91" spans="1:38" s="235" customFormat="1" ht="40.5" hidden="1" customHeight="1" x14ac:dyDescent="0.3">
      <c r="A91" s="259" t="s">
        <v>1453</v>
      </c>
      <c r="B91" s="244" t="s">
        <v>1456</v>
      </c>
      <c r="C91" s="244" t="s">
        <v>1457</v>
      </c>
      <c r="D91" s="300" t="s">
        <v>1589</v>
      </c>
      <c r="E91" s="244" t="s">
        <v>1587</v>
      </c>
      <c r="F91" s="244" t="s">
        <v>461</v>
      </c>
      <c r="G91" s="244" t="s">
        <v>1458</v>
      </c>
      <c r="H91" s="245" t="s">
        <v>414</v>
      </c>
      <c r="I91" s="244" t="s">
        <v>359</v>
      </c>
      <c r="J91" s="244" t="s">
        <v>782</v>
      </c>
      <c r="K91" s="244" t="s">
        <v>979</v>
      </c>
      <c r="L91" s="244" t="s">
        <v>421</v>
      </c>
      <c r="M91" s="244" t="s">
        <v>460</v>
      </c>
      <c r="N91" s="244" t="s">
        <v>469</v>
      </c>
      <c r="O91" s="245" t="s">
        <v>423</v>
      </c>
      <c r="P91" s="245" t="s">
        <v>423</v>
      </c>
      <c r="Q91" s="244" t="s">
        <v>712</v>
      </c>
      <c r="R91" s="244" t="s">
        <v>184</v>
      </c>
      <c r="S91" s="252">
        <f t="shared" si="147"/>
        <v>1</v>
      </c>
      <c r="T91" s="244" t="s">
        <v>485</v>
      </c>
      <c r="U91" s="253">
        <f t="shared" si="148"/>
        <v>1</v>
      </c>
      <c r="V91" s="251">
        <f t="shared" si="149"/>
        <v>1</v>
      </c>
      <c r="W91" s="244" t="str">
        <f t="shared" si="150"/>
        <v>Bajo</v>
      </c>
      <c r="X91" s="244" t="s">
        <v>187</v>
      </c>
      <c r="Y91" s="253">
        <f t="shared" si="151"/>
        <v>25</v>
      </c>
      <c r="Z91" s="251">
        <f t="shared" si="152"/>
        <v>25</v>
      </c>
      <c r="AA91" s="244" t="str">
        <f t="shared" si="153"/>
        <v>Nivel IV: Riesgo Tolerable (Aceptable)</v>
      </c>
      <c r="AB91" s="244">
        <v>2</v>
      </c>
      <c r="AC91" s="244"/>
      <c r="AD91" s="244"/>
      <c r="AE91" s="244"/>
      <c r="AF91" s="251"/>
      <c r="AG91" s="251"/>
      <c r="AH91" s="245" t="s">
        <v>424</v>
      </c>
      <c r="AI91" s="245" t="s">
        <v>424</v>
      </c>
      <c r="AJ91" s="245" t="s">
        <v>424</v>
      </c>
      <c r="AK91" s="245" t="s">
        <v>980</v>
      </c>
      <c r="AL91" s="260" t="s">
        <v>528</v>
      </c>
    </row>
    <row r="92" spans="1:38" s="235" customFormat="1" ht="66" hidden="1" x14ac:dyDescent="0.3">
      <c r="A92" s="259" t="s">
        <v>1453</v>
      </c>
      <c r="B92" s="244" t="s">
        <v>1456</v>
      </c>
      <c r="C92" s="244" t="s">
        <v>1457</v>
      </c>
      <c r="D92" s="300" t="s">
        <v>1589</v>
      </c>
      <c r="E92" s="244" t="s">
        <v>1587</v>
      </c>
      <c r="F92" s="244" t="s">
        <v>422</v>
      </c>
      <c r="G92" s="244" t="s">
        <v>1458</v>
      </c>
      <c r="H92" s="245" t="s">
        <v>449</v>
      </c>
      <c r="I92" s="244" t="s">
        <v>591</v>
      </c>
      <c r="J92" s="244" t="s">
        <v>981</v>
      </c>
      <c r="K92" s="244" t="s">
        <v>553</v>
      </c>
      <c r="L92" s="244" t="s">
        <v>421</v>
      </c>
      <c r="M92" s="244" t="s">
        <v>460</v>
      </c>
      <c r="N92" s="244" t="s">
        <v>469</v>
      </c>
      <c r="O92" s="245" t="s">
        <v>423</v>
      </c>
      <c r="P92" s="245" t="s">
        <v>982</v>
      </c>
      <c r="Q92" s="244" t="s">
        <v>983</v>
      </c>
      <c r="R92" s="244" t="s">
        <v>184</v>
      </c>
      <c r="S92" s="252">
        <f t="shared" si="147"/>
        <v>1</v>
      </c>
      <c r="T92" s="244" t="s">
        <v>485</v>
      </c>
      <c r="U92" s="253">
        <f t="shared" si="148"/>
        <v>1</v>
      </c>
      <c r="V92" s="251">
        <f t="shared" si="149"/>
        <v>1</v>
      </c>
      <c r="W92" s="244" t="str">
        <f t="shared" si="150"/>
        <v>Bajo</v>
      </c>
      <c r="X92" s="244" t="s">
        <v>187</v>
      </c>
      <c r="Y92" s="253">
        <f t="shared" si="151"/>
        <v>25</v>
      </c>
      <c r="Z92" s="251">
        <f t="shared" si="152"/>
        <v>25</v>
      </c>
      <c r="AA92" s="244" t="str">
        <f t="shared" si="153"/>
        <v>Nivel IV: Riesgo Tolerable (Aceptable)</v>
      </c>
      <c r="AB92" s="244">
        <v>2</v>
      </c>
      <c r="AC92" s="244"/>
      <c r="AD92" s="244"/>
      <c r="AE92" s="244"/>
      <c r="AF92" s="251"/>
      <c r="AG92" s="244" t="s">
        <v>926</v>
      </c>
      <c r="AH92" s="245" t="s">
        <v>424</v>
      </c>
      <c r="AI92" s="245" t="s">
        <v>424</v>
      </c>
      <c r="AJ92" s="245" t="s">
        <v>424</v>
      </c>
      <c r="AK92" s="245" t="s">
        <v>984</v>
      </c>
      <c r="AL92" s="260" t="s">
        <v>600</v>
      </c>
    </row>
    <row r="93" spans="1:38" s="235" customFormat="1" ht="105" hidden="1" customHeight="1" x14ac:dyDescent="0.3">
      <c r="A93" s="259" t="s">
        <v>1453</v>
      </c>
      <c r="B93" s="244" t="s">
        <v>1455</v>
      </c>
      <c r="C93" s="244" t="s">
        <v>1488</v>
      </c>
      <c r="D93" s="244" t="s">
        <v>1590</v>
      </c>
      <c r="E93" s="244" t="s">
        <v>1587</v>
      </c>
      <c r="F93" s="244" t="s">
        <v>461</v>
      </c>
      <c r="G93" s="371" t="s">
        <v>1487</v>
      </c>
      <c r="H93" s="245" t="s">
        <v>397</v>
      </c>
      <c r="I93" s="244" t="s">
        <v>365</v>
      </c>
      <c r="J93" s="244" t="s">
        <v>924</v>
      </c>
      <c r="K93" s="244" t="s">
        <v>557</v>
      </c>
      <c r="L93" s="244" t="s">
        <v>421</v>
      </c>
      <c r="M93" s="244" t="s">
        <v>460</v>
      </c>
      <c r="N93" s="244" t="s">
        <v>469</v>
      </c>
      <c r="O93" s="245" t="s">
        <v>1516</v>
      </c>
      <c r="P93" s="245" t="s">
        <v>1519</v>
      </c>
      <c r="Q93" s="244" t="s">
        <v>1517</v>
      </c>
      <c r="R93" s="244" t="s">
        <v>184</v>
      </c>
      <c r="S93" s="252">
        <f>IF(R93="Muy Alto",10,IF(R93="Alto",6,IF(R93="Medio",2,IF(R93="Bajo",1,))))</f>
        <v>1</v>
      </c>
      <c r="T93" s="244" t="s">
        <v>429</v>
      </c>
      <c r="U93" s="253">
        <f t="shared" ref="U93:U103" si="154">IF(T93="Continua",4,IF(T93="Frecuente",3,IF(T93="Ocasional",2,IF(T93="Esporádica",1,))))</f>
        <v>2</v>
      </c>
      <c r="V93" s="251">
        <f t="shared" ref="V93:V103" si="155">S93*U93</f>
        <v>2</v>
      </c>
      <c r="W93" s="244" t="str">
        <f t="shared" ref="W93:W94" si="156">IF(AND(V93&gt;=0,V93&lt;=4),"Bajo",IF(AND(V93&gt;=6,V93&lt;=8),"Medio",IF(AND(V93&gt;=10,V93&lt;=20),"Alto",IF(AND(V93&gt;=20,V93&lt;=40),"Muy Alto",))))</f>
        <v>Bajo</v>
      </c>
      <c r="X93" s="244" t="s">
        <v>428</v>
      </c>
      <c r="Y93" s="253">
        <f t="shared" ref="Y93:Y103" si="157">IF(X93="Mortal o catastrófico",100,IF(X93="Muy grave",60,IF(X93="Grave",25,IF(X93="Leve",10,))))</f>
        <v>10</v>
      </c>
      <c r="Z93" s="251">
        <f>V93*Y93</f>
        <v>20</v>
      </c>
      <c r="AA93" s="244" t="str">
        <f>IF(AND(Z93&gt;=600,Z93&lt;=4000),"Nivel I: Riesgo Inaceptable",IF(AND(Z93&gt;=150,Z93&lt;=500),"Nivel II: Riesgo Importante",IF(AND(Z93&gt;=40,Z93&lt;=120),"Nivel III: Riesgo Moderado (Aceptable)","Nivel IV: Riesgo Tolerable (Aceptable)")))</f>
        <v>Nivel IV: Riesgo Tolerable (Aceptable)</v>
      </c>
      <c r="AB93" s="244">
        <v>1</v>
      </c>
      <c r="AC93" s="244"/>
      <c r="AD93" s="244"/>
      <c r="AE93" s="244"/>
      <c r="AF93" s="251"/>
      <c r="AG93" s="244" t="s">
        <v>1515</v>
      </c>
      <c r="AH93" s="245" t="s">
        <v>1490</v>
      </c>
      <c r="AI93" s="245" t="s">
        <v>1490</v>
      </c>
      <c r="AJ93" s="245" t="s">
        <v>1490</v>
      </c>
      <c r="AK93" s="245" t="s">
        <v>1489</v>
      </c>
      <c r="AL93" s="260" t="s">
        <v>1491</v>
      </c>
    </row>
    <row r="94" spans="1:38" s="235" customFormat="1" ht="115.5" hidden="1" x14ac:dyDescent="0.3">
      <c r="A94" s="259" t="s">
        <v>1453</v>
      </c>
      <c r="B94" s="244" t="s">
        <v>1455</v>
      </c>
      <c r="C94" s="244" t="s">
        <v>1454</v>
      </c>
      <c r="D94" s="244" t="s">
        <v>1590</v>
      </c>
      <c r="E94" s="244" t="s">
        <v>1587</v>
      </c>
      <c r="F94" s="244" t="s">
        <v>461</v>
      </c>
      <c r="G94" s="371"/>
      <c r="H94" s="245" t="s">
        <v>397</v>
      </c>
      <c r="I94" s="244" t="s">
        <v>178</v>
      </c>
      <c r="J94" s="244" t="s">
        <v>942</v>
      </c>
      <c r="K94" s="244" t="s">
        <v>860</v>
      </c>
      <c r="L94" s="244" t="s">
        <v>421</v>
      </c>
      <c r="M94" s="244" t="s">
        <v>460</v>
      </c>
      <c r="N94" s="244" t="s">
        <v>469</v>
      </c>
      <c r="O94" s="245" t="s">
        <v>1516</v>
      </c>
      <c r="P94" s="245" t="s">
        <v>1516</v>
      </c>
      <c r="Q94" s="244" t="s">
        <v>1518</v>
      </c>
      <c r="R94" s="244" t="s">
        <v>185</v>
      </c>
      <c r="S94" s="252">
        <f t="shared" ref="S94" si="158">IF(R94="Muy Alto",10,IF(R94="Alto",6,IF(R94="Medio",2,IF(R94="Bajo",1,))))</f>
        <v>2</v>
      </c>
      <c r="T94" s="244" t="s">
        <v>429</v>
      </c>
      <c r="U94" s="253">
        <f t="shared" si="154"/>
        <v>2</v>
      </c>
      <c r="V94" s="251">
        <f t="shared" si="155"/>
        <v>4</v>
      </c>
      <c r="W94" s="244" t="str">
        <f t="shared" si="156"/>
        <v>Bajo</v>
      </c>
      <c r="X94" s="244" t="s">
        <v>428</v>
      </c>
      <c r="Y94" s="253">
        <f t="shared" si="157"/>
        <v>10</v>
      </c>
      <c r="Z94" s="251">
        <f t="shared" ref="Z94" si="159">V94*Y94</f>
        <v>40</v>
      </c>
      <c r="AA94" s="244" t="str">
        <f t="shared" ref="AA94" si="160">IF(AND(Z94&gt;=600,Z94&lt;=4000),"Nivel I: Riesgo Inaceptable",IF(AND(Z94&gt;=150,Z94&lt;=500),"Nivel II: Riesgo Importante",IF(AND(Z94&gt;=40,Z94&lt;=120),"Nivel III: Riesgo Moderado (Aceptable)","Nivel IV: Riesgo Tolerable (Aceptable)")))</f>
        <v>Nivel III: Riesgo Moderado (Aceptable)</v>
      </c>
      <c r="AB94" s="244">
        <v>1</v>
      </c>
      <c r="AC94" s="244"/>
      <c r="AD94" s="244"/>
      <c r="AE94" s="244"/>
      <c r="AF94" s="251"/>
      <c r="AG94" s="244" t="s">
        <v>1515</v>
      </c>
      <c r="AH94" s="245" t="s">
        <v>1490</v>
      </c>
      <c r="AI94" s="245" t="s">
        <v>1490</v>
      </c>
      <c r="AJ94" s="245" t="s">
        <v>1490</v>
      </c>
      <c r="AK94" s="245" t="s">
        <v>941</v>
      </c>
      <c r="AL94" s="260" t="s">
        <v>1491</v>
      </c>
    </row>
    <row r="95" spans="1:38" s="235" customFormat="1" ht="99" hidden="1" x14ac:dyDescent="0.3">
      <c r="A95" s="259" t="s">
        <v>1453</v>
      </c>
      <c r="B95" s="244" t="s">
        <v>1455</v>
      </c>
      <c r="C95" s="244" t="s">
        <v>1492</v>
      </c>
      <c r="D95" s="244" t="s">
        <v>1590</v>
      </c>
      <c r="E95" s="244" t="s">
        <v>1587</v>
      </c>
      <c r="F95" s="244" t="s">
        <v>422</v>
      </c>
      <c r="G95" s="244" t="s">
        <v>1505</v>
      </c>
      <c r="H95" s="245" t="s">
        <v>397</v>
      </c>
      <c r="I95" s="244" t="s">
        <v>371</v>
      </c>
      <c r="J95" s="244" t="s">
        <v>927</v>
      </c>
      <c r="K95" s="244" t="s">
        <v>1604</v>
      </c>
      <c r="L95" s="244" t="s">
        <v>421</v>
      </c>
      <c r="M95" s="244" t="s">
        <v>460</v>
      </c>
      <c r="N95" s="244" t="s">
        <v>469</v>
      </c>
      <c r="O95" s="245" t="s">
        <v>1493</v>
      </c>
      <c r="P95" s="245" t="s">
        <v>1494</v>
      </c>
      <c r="Q95" s="244" t="s">
        <v>1497</v>
      </c>
      <c r="R95" s="244" t="s">
        <v>184</v>
      </c>
      <c r="S95" s="252">
        <f t="shared" ref="S95:S103" si="161">IF(R95="Muy Alto",10,IF(R95="Alto",6,IF(R95="Medio",2,IF(R95="Bajo",1,))))</f>
        <v>1</v>
      </c>
      <c r="T95" s="244" t="s">
        <v>416</v>
      </c>
      <c r="U95" s="253">
        <f t="shared" si="154"/>
        <v>3</v>
      </c>
      <c r="V95" s="251">
        <f t="shared" si="155"/>
        <v>3</v>
      </c>
      <c r="W95" s="244" t="str">
        <f>IF(AND(V95&gt;=0,V95&lt;=4),"Bajo",IF(AND(V95&gt;=6,V95&lt;=8),"Medio",IF(AND(V95&gt;=10,V95&lt;=20),"Alto",IF(AND(V95&gt;=20,V95&lt;=40),"Muy Alto",))))</f>
        <v>Bajo</v>
      </c>
      <c r="X95" s="244" t="s">
        <v>428</v>
      </c>
      <c r="Y95" s="253">
        <f t="shared" si="157"/>
        <v>10</v>
      </c>
      <c r="Z95" s="251">
        <f t="shared" ref="Z95:Z103" si="162">V95*Y95</f>
        <v>30</v>
      </c>
      <c r="AA95" s="244" t="str">
        <f t="shared" ref="AA95:AA103" si="163">IF(AND(Z95&gt;=600,Z95&lt;=4000),"Nivel I: Riesgo Inaceptable",IF(AND(Z95&gt;=150,Z95&lt;=500),"Nivel II: Riesgo Importante",IF(AND(Z95&gt;=40,Z95&lt;=120),"Nivel III: Riesgo Moderado (Aceptable)","Nivel IV: Riesgo Tolerable (Aceptable)")))</f>
        <v>Nivel IV: Riesgo Tolerable (Aceptable)</v>
      </c>
      <c r="AB95" s="244">
        <v>1</v>
      </c>
      <c r="AC95" s="244"/>
      <c r="AD95" s="244"/>
      <c r="AE95" s="244"/>
      <c r="AF95" s="251"/>
      <c r="AG95" s="244" t="s">
        <v>1514</v>
      </c>
      <c r="AH95" s="245" t="s">
        <v>1490</v>
      </c>
      <c r="AI95" s="245" t="s">
        <v>1490</v>
      </c>
      <c r="AJ95" s="245" t="s">
        <v>1490</v>
      </c>
      <c r="AK95" s="245" t="s">
        <v>1495</v>
      </c>
      <c r="AL95" s="260" t="s">
        <v>1496</v>
      </c>
    </row>
    <row r="96" spans="1:38" s="235" customFormat="1" ht="165" hidden="1" x14ac:dyDescent="0.3">
      <c r="A96" s="259" t="s">
        <v>1453</v>
      </c>
      <c r="B96" s="244" t="s">
        <v>1455</v>
      </c>
      <c r="C96" s="244" t="s">
        <v>1512</v>
      </c>
      <c r="D96" s="244" t="s">
        <v>1590</v>
      </c>
      <c r="E96" s="244" t="s">
        <v>1587</v>
      </c>
      <c r="F96" s="244" t="s">
        <v>422</v>
      </c>
      <c r="G96" s="244" t="s">
        <v>1513</v>
      </c>
      <c r="H96" s="245" t="s">
        <v>397</v>
      </c>
      <c r="I96" s="244" t="s">
        <v>371</v>
      </c>
      <c r="J96" s="244" t="s">
        <v>927</v>
      </c>
      <c r="K96" s="244" t="s">
        <v>1605</v>
      </c>
      <c r="L96" s="244" t="s">
        <v>421</v>
      </c>
      <c r="M96" s="244" t="s">
        <v>460</v>
      </c>
      <c r="N96" s="244" t="s">
        <v>469</v>
      </c>
      <c r="O96" s="245" t="s">
        <v>1502</v>
      </c>
      <c r="P96" s="245" t="s">
        <v>1501</v>
      </c>
      <c r="Q96" s="244" t="s">
        <v>1499</v>
      </c>
      <c r="R96" s="244" t="s">
        <v>509</v>
      </c>
      <c r="S96" s="252">
        <f t="shared" si="161"/>
        <v>6</v>
      </c>
      <c r="T96" s="244" t="s">
        <v>416</v>
      </c>
      <c r="U96" s="253">
        <f t="shared" si="154"/>
        <v>3</v>
      </c>
      <c r="V96" s="251">
        <f t="shared" si="155"/>
        <v>18</v>
      </c>
      <c r="W96" s="244" t="str">
        <f>IF(AND(V96&gt;=0,V96&lt;=4),"Bajo",IF(AND(V96&gt;=6,V96&lt;=8),"Medio",IF(AND(V96&gt;=10,V96&lt;=20),"Alto",IF(AND(V96&gt;=20,V96&lt;=40),"Muy Alto",))))</f>
        <v>Alto</v>
      </c>
      <c r="X96" s="244" t="s">
        <v>187</v>
      </c>
      <c r="Y96" s="253">
        <f t="shared" si="157"/>
        <v>25</v>
      </c>
      <c r="Z96" s="251">
        <f t="shared" ref="Z96:Z97" si="164">V96*Y96</f>
        <v>450</v>
      </c>
      <c r="AA96" s="244" t="str">
        <f t="shared" ref="AA96:AA97" si="165">IF(AND(Z96&gt;=600,Z96&lt;=4000),"Nivel I: Riesgo Inaceptable",IF(AND(Z96&gt;=150,Z96&lt;=500),"Nivel II: Riesgo Importante",IF(AND(Z96&gt;=40,Z96&lt;=120),"Nivel III: Riesgo Moderado (Aceptable)","Nivel IV: Riesgo Tolerable (Aceptable)")))</f>
        <v>Nivel II: Riesgo Importante</v>
      </c>
      <c r="AB96" s="244">
        <v>1</v>
      </c>
      <c r="AC96" s="244"/>
      <c r="AD96" s="244"/>
      <c r="AE96" s="244"/>
      <c r="AF96" s="251"/>
      <c r="AG96" s="244" t="s">
        <v>1511</v>
      </c>
      <c r="AH96" s="245" t="s">
        <v>1490</v>
      </c>
      <c r="AI96" s="245" t="s">
        <v>1490</v>
      </c>
      <c r="AJ96" s="245" t="s">
        <v>1500</v>
      </c>
      <c r="AK96" s="245" t="s">
        <v>1495</v>
      </c>
      <c r="AL96" s="260" t="s">
        <v>1503</v>
      </c>
    </row>
    <row r="97" spans="1:38" s="235" customFormat="1" ht="132" hidden="1" x14ac:dyDescent="0.3">
      <c r="A97" s="259" t="s">
        <v>1453</v>
      </c>
      <c r="B97" s="244" t="s">
        <v>1455</v>
      </c>
      <c r="C97" s="244" t="s">
        <v>1507</v>
      </c>
      <c r="D97" s="244" t="s">
        <v>1590</v>
      </c>
      <c r="E97" s="244" t="s">
        <v>1587</v>
      </c>
      <c r="F97" s="244" t="s">
        <v>461</v>
      </c>
      <c r="G97" s="244" t="s">
        <v>1508</v>
      </c>
      <c r="H97" s="245" t="s">
        <v>397</v>
      </c>
      <c r="I97" s="244" t="s">
        <v>371</v>
      </c>
      <c r="J97" s="244" t="s">
        <v>927</v>
      </c>
      <c r="K97" s="244" t="s">
        <v>1506</v>
      </c>
      <c r="L97" s="244" t="s">
        <v>421</v>
      </c>
      <c r="M97" s="244" t="s">
        <v>460</v>
      </c>
      <c r="N97" s="244" t="s">
        <v>469</v>
      </c>
      <c r="O97" s="245" t="s">
        <v>1516</v>
      </c>
      <c r="P97" s="245" t="s">
        <v>1509</v>
      </c>
      <c r="Q97" s="244" t="s">
        <v>1498</v>
      </c>
      <c r="R97" s="244" t="s">
        <v>185</v>
      </c>
      <c r="S97" s="252">
        <f t="shared" si="161"/>
        <v>2</v>
      </c>
      <c r="T97" s="244" t="s">
        <v>429</v>
      </c>
      <c r="U97" s="253">
        <f t="shared" si="154"/>
        <v>2</v>
      </c>
      <c r="V97" s="251">
        <f t="shared" si="155"/>
        <v>4</v>
      </c>
      <c r="W97" s="244" t="str">
        <f>IF(AND(V97&gt;=0,V97&lt;=4),"Bajo",IF(AND(V97&gt;=6,V97&lt;=8),"Medio",IF(AND(V97&gt;=10,V97&lt;=20),"Alto",IF(AND(V97&gt;=20,V97&lt;=40),"Muy Alto",))))</f>
        <v>Bajo</v>
      </c>
      <c r="X97" s="244" t="s">
        <v>187</v>
      </c>
      <c r="Y97" s="253">
        <f t="shared" si="157"/>
        <v>25</v>
      </c>
      <c r="Z97" s="251">
        <f t="shared" si="164"/>
        <v>100</v>
      </c>
      <c r="AA97" s="244" t="str">
        <f t="shared" si="165"/>
        <v>Nivel III: Riesgo Moderado (Aceptable)</v>
      </c>
      <c r="AB97" s="244">
        <v>1</v>
      </c>
      <c r="AC97" s="244"/>
      <c r="AD97" s="244"/>
      <c r="AE97" s="244"/>
      <c r="AF97" s="251"/>
      <c r="AG97" s="244" t="s">
        <v>1510</v>
      </c>
      <c r="AH97" s="245" t="s">
        <v>1490</v>
      </c>
      <c r="AI97" s="245" t="s">
        <v>1490</v>
      </c>
      <c r="AJ97" s="245"/>
      <c r="AK97" s="245"/>
      <c r="AL97" s="260"/>
    </row>
    <row r="98" spans="1:38" s="235" customFormat="1" ht="132" hidden="1" x14ac:dyDescent="0.3">
      <c r="A98" s="259" t="s">
        <v>1453</v>
      </c>
      <c r="B98" s="244" t="s">
        <v>1455</v>
      </c>
      <c r="C98" s="244" t="s">
        <v>1454</v>
      </c>
      <c r="D98" s="244" t="s">
        <v>1590</v>
      </c>
      <c r="E98" s="244" t="s">
        <v>1587</v>
      </c>
      <c r="F98" s="244" t="s">
        <v>461</v>
      </c>
      <c r="G98" s="244" t="s">
        <v>1504</v>
      </c>
      <c r="H98" s="245" t="s">
        <v>407</v>
      </c>
      <c r="I98" s="244" t="s">
        <v>299</v>
      </c>
      <c r="J98" s="244" t="s">
        <v>697</v>
      </c>
      <c r="K98" s="244" t="s">
        <v>472</v>
      </c>
      <c r="L98" s="244" t="s">
        <v>421</v>
      </c>
      <c r="M98" s="244" t="s">
        <v>460</v>
      </c>
      <c r="N98" s="244" t="s">
        <v>469</v>
      </c>
      <c r="O98" s="245" t="s">
        <v>1520</v>
      </c>
      <c r="P98" s="245" t="s">
        <v>1522</v>
      </c>
      <c r="Q98" s="244" t="s">
        <v>1521</v>
      </c>
      <c r="R98" s="244" t="s">
        <v>184</v>
      </c>
      <c r="S98" s="252">
        <f t="shared" si="161"/>
        <v>1</v>
      </c>
      <c r="T98" s="244" t="s">
        <v>429</v>
      </c>
      <c r="U98" s="253">
        <f t="shared" si="154"/>
        <v>2</v>
      </c>
      <c r="V98" s="251">
        <f t="shared" si="155"/>
        <v>2</v>
      </c>
      <c r="W98" s="244" t="str">
        <f t="shared" ref="W98:W101" si="166">IF(AND(V98&gt;=0,V98&lt;=4),"Bajo",IF(AND(V98&gt;=6,V98&lt;=8),"Medio",IF(AND(V98&gt;=10,V98&lt;=20),"Alto",IF(AND(V98&gt;=20,V98&lt;=40),"Muy Alto",))))</f>
        <v>Bajo</v>
      </c>
      <c r="X98" s="244" t="s">
        <v>428</v>
      </c>
      <c r="Y98" s="253">
        <f t="shared" si="157"/>
        <v>10</v>
      </c>
      <c r="Z98" s="251">
        <f t="shared" si="162"/>
        <v>20</v>
      </c>
      <c r="AA98" s="244" t="str">
        <f t="shared" si="163"/>
        <v>Nivel IV: Riesgo Tolerable (Aceptable)</v>
      </c>
      <c r="AB98" s="244">
        <v>1</v>
      </c>
      <c r="AC98" s="244"/>
      <c r="AD98" s="244"/>
      <c r="AE98" s="244"/>
      <c r="AF98" s="251"/>
      <c r="AG98" s="244" t="s">
        <v>1515</v>
      </c>
      <c r="AH98" s="245" t="s">
        <v>1490</v>
      </c>
      <c r="AI98" s="245" t="s">
        <v>1490</v>
      </c>
      <c r="AJ98" s="245" t="s">
        <v>1490</v>
      </c>
      <c r="AK98" s="244" t="s">
        <v>1531</v>
      </c>
      <c r="AL98" s="261" t="s">
        <v>1532</v>
      </c>
    </row>
    <row r="99" spans="1:38" s="235" customFormat="1" ht="115.5" hidden="1" x14ac:dyDescent="0.3">
      <c r="A99" s="259" t="s">
        <v>1453</v>
      </c>
      <c r="B99" s="244" t="s">
        <v>1455</v>
      </c>
      <c r="C99" s="244" t="s">
        <v>1454</v>
      </c>
      <c r="D99" s="244" t="s">
        <v>1590</v>
      </c>
      <c r="E99" s="244" t="s">
        <v>1587</v>
      </c>
      <c r="F99" s="244" t="s">
        <v>461</v>
      </c>
      <c r="G99" s="244" t="s">
        <v>1504</v>
      </c>
      <c r="H99" s="245" t="s">
        <v>407</v>
      </c>
      <c r="I99" s="244" t="s">
        <v>957</v>
      </c>
      <c r="J99" s="244" t="s">
        <v>861</v>
      </c>
      <c r="K99" s="244" t="s">
        <v>851</v>
      </c>
      <c r="L99" s="244" t="s">
        <v>421</v>
      </c>
      <c r="M99" s="244" t="s">
        <v>460</v>
      </c>
      <c r="N99" s="244" t="s">
        <v>469</v>
      </c>
      <c r="O99" s="245" t="s">
        <v>1520</v>
      </c>
      <c r="P99" s="245" t="s">
        <v>1522</v>
      </c>
      <c r="Q99" s="244" t="s">
        <v>932</v>
      </c>
      <c r="R99" s="244" t="s">
        <v>184</v>
      </c>
      <c r="S99" s="252">
        <f t="shared" si="161"/>
        <v>1</v>
      </c>
      <c r="T99" s="244" t="s">
        <v>429</v>
      </c>
      <c r="U99" s="253">
        <f t="shared" si="154"/>
        <v>2</v>
      </c>
      <c r="V99" s="251">
        <f t="shared" si="155"/>
        <v>2</v>
      </c>
      <c r="W99" s="244" t="str">
        <f t="shared" si="166"/>
        <v>Bajo</v>
      </c>
      <c r="X99" s="244" t="s">
        <v>428</v>
      </c>
      <c r="Y99" s="253">
        <f t="shared" si="157"/>
        <v>10</v>
      </c>
      <c r="Z99" s="251">
        <f t="shared" si="162"/>
        <v>20</v>
      </c>
      <c r="AA99" s="244" t="str">
        <f t="shared" si="163"/>
        <v>Nivel IV: Riesgo Tolerable (Aceptable)</v>
      </c>
      <c r="AB99" s="244">
        <v>1</v>
      </c>
      <c r="AC99" s="244"/>
      <c r="AD99" s="244"/>
      <c r="AE99" s="244"/>
      <c r="AF99" s="251"/>
      <c r="AG99" s="244" t="s">
        <v>1515</v>
      </c>
      <c r="AH99" s="245" t="s">
        <v>1490</v>
      </c>
      <c r="AI99" s="245" t="s">
        <v>1490</v>
      </c>
      <c r="AJ99" s="245" t="s">
        <v>1490</v>
      </c>
      <c r="AK99" s="244" t="s">
        <v>1531</v>
      </c>
      <c r="AL99" s="260" t="s">
        <v>1533</v>
      </c>
    </row>
    <row r="100" spans="1:38" s="235" customFormat="1" ht="98.25" hidden="1" customHeight="1" x14ac:dyDescent="0.3">
      <c r="A100" s="259" t="s">
        <v>1453</v>
      </c>
      <c r="B100" s="244" t="s">
        <v>1455</v>
      </c>
      <c r="C100" s="244" t="s">
        <v>1454</v>
      </c>
      <c r="D100" s="244" t="s">
        <v>1590</v>
      </c>
      <c r="E100" s="244" t="s">
        <v>1587</v>
      </c>
      <c r="F100" s="244" t="s">
        <v>461</v>
      </c>
      <c r="G100" s="244" t="s">
        <v>1504</v>
      </c>
      <c r="H100" s="245" t="s">
        <v>408</v>
      </c>
      <c r="I100" s="244" t="s">
        <v>355</v>
      </c>
      <c r="J100" s="244" t="s">
        <v>701</v>
      </c>
      <c r="K100" s="244" t="s">
        <v>507</v>
      </c>
      <c r="L100" s="244" t="s">
        <v>421</v>
      </c>
      <c r="M100" s="244" t="s">
        <v>460</v>
      </c>
      <c r="N100" s="244" t="s">
        <v>469</v>
      </c>
      <c r="O100" s="245" t="s">
        <v>1516</v>
      </c>
      <c r="P100" s="245" t="s">
        <v>1527</v>
      </c>
      <c r="Q100" s="244" t="s">
        <v>1528</v>
      </c>
      <c r="R100" s="244" t="s">
        <v>185</v>
      </c>
      <c r="S100" s="252">
        <f t="shared" si="161"/>
        <v>2</v>
      </c>
      <c r="T100" s="244" t="s">
        <v>429</v>
      </c>
      <c r="U100" s="253">
        <f t="shared" si="154"/>
        <v>2</v>
      </c>
      <c r="V100" s="251">
        <f t="shared" si="155"/>
        <v>4</v>
      </c>
      <c r="W100" s="244" t="str">
        <f t="shared" si="166"/>
        <v>Bajo</v>
      </c>
      <c r="X100" s="244" t="s">
        <v>187</v>
      </c>
      <c r="Y100" s="253">
        <f t="shared" si="157"/>
        <v>25</v>
      </c>
      <c r="Z100" s="251">
        <f t="shared" si="162"/>
        <v>100</v>
      </c>
      <c r="AA100" s="244" t="str">
        <f t="shared" si="163"/>
        <v>Nivel III: Riesgo Moderado (Aceptable)</v>
      </c>
      <c r="AB100" s="244">
        <v>1</v>
      </c>
      <c r="AC100" s="244"/>
      <c r="AD100" s="244"/>
      <c r="AE100" s="244"/>
      <c r="AF100" s="251"/>
      <c r="AG100" s="244" t="s">
        <v>1523</v>
      </c>
      <c r="AH100" s="245" t="s">
        <v>1490</v>
      </c>
      <c r="AI100" s="245" t="s">
        <v>1490</v>
      </c>
      <c r="AJ100" s="244" t="s">
        <v>1526</v>
      </c>
      <c r="AK100" s="244" t="s">
        <v>1529</v>
      </c>
      <c r="AL100" s="260" t="s">
        <v>1530</v>
      </c>
    </row>
    <row r="101" spans="1:38" s="235" customFormat="1" ht="82.5" hidden="1" x14ac:dyDescent="0.3">
      <c r="A101" s="259" t="s">
        <v>1453</v>
      </c>
      <c r="B101" s="244" t="s">
        <v>1455</v>
      </c>
      <c r="C101" s="244" t="s">
        <v>1454</v>
      </c>
      <c r="D101" s="244" t="s">
        <v>1590</v>
      </c>
      <c r="E101" s="244" t="s">
        <v>1587</v>
      </c>
      <c r="F101" s="244" t="s">
        <v>461</v>
      </c>
      <c r="G101" s="244" t="s">
        <v>1504</v>
      </c>
      <c r="H101" s="245" t="s">
        <v>408</v>
      </c>
      <c r="I101" s="244" t="s">
        <v>562</v>
      </c>
      <c r="J101" s="244" t="s">
        <v>1525</v>
      </c>
      <c r="K101" s="244" t="s">
        <v>508</v>
      </c>
      <c r="L101" s="244" t="s">
        <v>421</v>
      </c>
      <c r="M101" s="244" t="s">
        <v>460</v>
      </c>
      <c r="N101" s="244" t="s">
        <v>469</v>
      </c>
      <c r="O101" s="245" t="s">
        <v>1516</v>
      </c>
      <c r="P101" s="245" t="s">
        <v>1524</v>
      </c>
      <c r="Q101" s="244" t="s">
        <v>956</v>
      </c>
      <c r="R101" s="244" t="s">
        <v>185</v>
      </c>
      <c r="S101" s="252">
        <f t="shared" si="161"/>
        <v>2</v>
      </c>
      <c r="T101" s="244" t="s">
        <v>429</v>
      </c>
      <c r="U101" s="253">
        <f t="shared" si="154"/>
        <v>2</v>
      </c>
      <c r="V101" s="251">
        <f t="shared" si="155"/>
        <v>4</v>
      </c>
      <c r="W101" s="244" t="str">
        <f t="shared" si="166"/>
        <v>Bajo</v>
      </c>
      <c r="X101" s="244" t="s">
        <v>187</v>
      </c>
      <c r="Y101" s="253">
        <f t="shared" si="157"/>
        <v>25</v>
      </c>
      <c r="Z101" s="251">
        <f t="shared" si="162"/>
        <v>100</v>
      </c>
      <c r="AA101" s="244" t="str">
        <f t="shared" si="163"/>
        <v>Nivel III: Riesgo Moderado (Aceptable)</v>
      </c>
      <c r="AB101" s="244">
        <v>1</v>
      </c>
      <c r="AC101" s="244"/>
      <c r="AD101" s="244"/>
      <c r="AE101" s="244"/>
      <c r="AF101" s="251"/>
      <c r="AG101" s="244" t="s">
        <v>1523</v>
      </c>
      <c r="AH101" s="245" t="s">
        <v>1490</v>
      </c>
      <c r="AI101" s="245" t="s">
        <v>1490</v>
      </c>
      <c r="AJ101" s="244" t="s">
        <v>1526</v>
      </c>
      <c r="AK101" s="244" t="s">
        <v>1529</v>
      </c>
      <c r="AL101" s="260" t="s">
        <v>1530</v>
      </c>
    </row>
    <row r="102" spans="1:38" s="235" customFormat="1" ht="132" hidden="1" x14ac:dyDescent="0.3">
      <c r="A102" s="259" t="s">
        <v>1453</v>
      </c>
      <c r="B102" s="244" t="s">
        <v>1455</v>
      </c>
      <c r="C102" s="244" t="s">
        <v>1454</v>
      </c>
      <c r="D102" s="244" t="s">
        <v>1590</v>
      </c>
      <c r="E102" s="244" t="s">
        <v>1587</v>
      </c>
      <c r="F102" s="244" t="s">
        <v>461</v>
      </c>
      <c r="G102" s="244" t="s">
        <v>1536</v>
      </c>
      <c r="H102" s="245" t="s">
        <v>433</v>
      </c>
      <c r="I102" s="244" t="s">
        <v>177</v>
      </c>
      <c r="J102" s="244" t="s">
        <v>1535</v>
      </c>
      <c r="K102" s="244" t="s">
        <v>703</v>
      </c>
      <c r="L102" s="244" t="s">
        <v>421</v>
      </c>
      <c r="M102" s="244" t="s">
        <v>460</v>
      </c>
      <c r="N102" s="244" t="s">
        <v>469</v>
      </c>
      <c r="O102" s="245" t="s">
        <v>1516</v>
      </c>
      <c r="P102" s="245" t="s">
        <v>1537</v>
      </c>
      <c r="Q102" s="244" t="s">
        <v>1538</v>
      </c>
      <c r="R102" s="244" t="s">
        <v>184</v>
      </c>
      <c r="S102" s="252">
        <f t="shared" si="161"/>
        <v>1</v>
      </c>
      <c r="T102" s="244" t="s">
        <v>429</v>
      </c>
      <c r="U102" s="253">
        <f t="shared" si="154"/>
        <v>2</v>
      </c>
      <c r="V102" s="251">
        <f t="shared" si="155"/>
        <v>2</v>
      </c>
      <c r="W102" s="244" t="s">
        <v>184</v>
      </c>
      <c r="X102" s="244" t="s">
        <v>187</v>
      </c>
      <c r="Y102" s="253">
        <f t="shared" si="157"/>
        <v>25</v>
      </c>
      <c r="Z102" s="251">
        <f t="shared" si="162"/>
        <v>50</v>
      </c>
      <c r="AA102" s="244" t="str">
        <f t="shared" si="163"/>
        <v>Nivel III: Riesgo Moderado (Aceptable)</v>
      </c>
      <c r="AB102" s="244">
        <v>1</v>
      </c>
      <c r="AC102" s="244"/>
      <c r="AD102" s="244"/>
      <c r="AE102" s="244"/>
      <c r="AF102" s="251"/>
      <c r="AG102" s="244" t="s">
        <v>1515</v>
      </c>
      <c r="AH102" s="245" t="s">
        <v>1490</v>
      </c>
      <c r="AI102" s="245" t="s">
        <v>1490</v>
      </c>
      <c r="AJ102" s="245" t="s">
        <v>1490</v>
      </c>
      <c r="AK102" s="244" t="s">
        <v>706</v>
      </c>
      <c r="AL102" s="260" t="s">
        <v>1539</v>
      </c>
    </row>
    <row r="103" spans="1:38" s="235" customFormat="1" ht="132" hidden="1" x14ac:dyDescent="0.3">
      <c r="A103" s="259" t="s">
        <v>1453</v>
      </c>
      <c r="B103" s="244" t="s">
        <v>1455</v>
      </c>
      <c r="C103" s="244" t="s">
        <v>1454</v>
      </c>
      <c r="D103" s="244" t="s">
        <v>1590</v>
      </c>
      <c r="E103" s="244" t="s">
        <v>1587</v>
      </c>
      <c r="F103" s="244" t="s">
        <v>461</v>
      </c>
      <c r="G103" s="244" t="s">
        <v>1536</v>
      </c>
      <c r="H103" s="245" t="s">
        <v>433</v>
      </c>
      <c r="I103" s="244" t="s">
        <v>176</v>
      </c>
      <c r="J103" s="244" t="s">
        <v>1534</v>
      </c>
      <c r="K103" s="244" t="s">
        <v>959</v>
      </c>
      <c r="L103" s="244" t="s">
        <v>421</v>
      </c>
      <c r="M103" s="244" t="s">
        <v>460</v>
      </c>
      <c r="N103" s="244" t="s">
        <v>469</v>
      </c>
      <c r="O103" s="245" t="s">
        <v>1516</v>
      </c>
      <c r="P103" s="245" t="s">
        <v>1537</v>
      </c>
      <c r="Q103" s="244" t="s">
        <v>1538</v>
      </c>
      <c r="R103" s="244" t="s">
        <v>184</v>
      </c>
      <c r="S103" s="252">
        <f t="shared" si="161"/>
        <v>1</v>
      </c>
      <c r="T103" s="244" t="s">
        <v>429</v>
      </c>
      <c r="U103" s="253">
        <f t="shared" si="154"/>
        <v>2</v>
      </c>
      <c r="V103" s="251">
        <f t="shared" si="155"/>
        <v>2</v>
      </c>
      <c r="W103" s="244" t="s">
        <v>184</v>
      </c>
      <c r="X103" s="244" t="s">
        <v>428</v>
      </c>
      <c r="Y103" s="253">
        <f t="shared" si="157"/>
        <v>10</v>
      </c>
      <c r="Z103" s="251">
        <f t="shared" si="162"/>
        <v>20</v>
      </c>
      <c r="AA103" s="244" t="str">
        <f t="shared" si="163"/>
        <v>Nivel IV: Riesgo Tolerable (Aceptable)</v>
      </c>
      <c r="AB103" s="244">
        <v>1</v>
      </c>
      <c r="AC103" s="244"/>
      <c r="AD103" s="244"/>
      <c r="AE103" s="244"/>
      <c r="AF103" s="251"/>
      <c r="AG103" s="244" t="s">
        <v>1515</v>
      </c>
      <c r="AH103" s="245" t="s">
        <v>1490</v>
      </c>
      <c r="AI103" s="245" t="s">
        <v>1490</v>
      </c>
      <c r="AJ103" s="245" t="s">
        <v>1490</v>
      </c>
      <c r="AK103" s="244" t="s">
        <v>962</v>
      </c>
      <c r="AL103" s="260" t="s">
        <v>961</v>
      </c>
    </row>
    <row r="104" spans="1:38" s="235" customFormat="1" ht="148.5" hidden="1" x14ac:dyDescent="0.3">
      <c r="A104" s="259" t="s">
        <v>1453</v>
      </c>
      <c r="B104" s="244" t="s">
        <v>1455</v>
      </c>
      <c r="C104" s="244" t="s">
        <v>1454</v>
      </c>
      <c r="D104" s="244" t="s">
        <v>1590</v>
      </c>
      <c r="E104" s="244" t="s">
        <v>1587</v>
      </c>
      <c r="F104" s="244" t="s">
        <v>461</v>
      </c>
      <c r="G104" s="244" t="s">
        <v>1504</v>
      </c>
      <c r="H104" s="245" t="s">
        <v>434</v>
      </c>
      <c r="I104" s="244" t="s">
        <v>283</v>
      </c>
      <c r="J104" s="244" t="s">
        <v>939</v>
      </c>
      <c r="K104" s="244" t="s">
        <v>963</v>
      </c>
      <c r="L104" s="244" t="s">
        <v>421</v>
      </c>
      <c r="M104" s="244" t="s">
        <v>460</v>
      </c>
      <c r="N104" s="244" t="s">
        <v>469</v>
      </c>
      <c r="O104" s="245" t="s">
        <v>1540</v>
      </c>
      <c r="P104" s="245" t="s">
        <v>1541</v>
      </c>
      <c r="Q104" s="244" t="s">
        <v>1542</v>
      </c>
      <c r="R104" s="244" t="s">
        <v>184</v>
      </c>
      <c r="S104" s="252">
        <v>1</v>
      </c>
      <c r="T104" s="244" t="s">
        <v>429</v>
      </c>
      <c r="U104" s="253">
        <v>4</v>
      </c>
      <c r="V104" s="251">
        <v>4</v>
      </c>
      <c r="W104" s="244" t="s">
        <v>184</v>
      </c>
      <c r="X104" s="244" t="s">
        <v>428</v>
      </c>
      <c r="Y104" s="253">
        <f t="shared" ref="Y104:Y109" si="167">IF(X104="Mortal o catastrófico",100,IF(X104="Muy grave",60,IF(X104="Grave",25,IF(X104="Leve",10,))))</f>
        <v>10</v>
      </c>
      <c r="Z104" s="251">
        <f t="shared" ref="Z104:Z109" si="168">V104*Y104</f>
        <v>40</v>
      </c>
      <c r="AA104" s="244" t="str">
        <f t="shared" ref="AA104:AA109" si="169">IF(AND(Z104&gt;=600,Z104&lt;=4000),"Nivel I: Riesgo Inaceptable",IF(AND(Z104&gt;=150,Z104&lt;=500),"Nivel II: Riesgo Importante",IF(AND(Z104&gt;=40,Z104&lt;=120),"Nivel III: Riesgo Moderado (Aceptable)","Nivel IV: Riesgo Tolerable (Aceptable)")))</f>
        <v>Nivel III: Riesgo Moderado (Aceptable)</v>
      </c>
      <c r="AB104" s="244">
        <v>2</v>
      </c>
      <c r="AC104" s="244"/>
      <c r="AD104" s="244"/>
      <c r="AE104" s="244"/>
      <c r="AF104" s="251"/>
      <c r="AG104" s="251" t="s">
        <v>1515</v>
      </c>
      <c r="AH104" s="245" t="s">
        <v>1490</v>
      </c>
      <c r="AI104" s="245" t="s">
        <v>1490</v>
      </c>
      <c r="AJ104" s="245" t="s">
        <v>1490</v>
      </c>
      <c r="AK104" s="245" t="s">
        <v>965</v>
      </c>
      <c r="AL104" s="260" t="s">
        <v>586</v>
      </c>
    </row>
    <row r="105" spans="1:38" s="235" customFormat="1" ht="82.5" hidden="1" x14ac:dyDescent="0.3">
      <c r="A105" s="259" t="s">
        <v>1453</v>
      </c>
      <c r="B105" s="244" t="s">
        <v>1455</v>
      </c>
      <c r="C105" s="244" t="s">
        <v>1454</v>
      </c>
      <c r="D105" s="244" t="s">
        <v>1590</v>
      </c>
      <c r="E105" s="244" t="s">
        <v>1587</v>
      </c>
      <c r="F105" s="244" t="s">
        <v>461</v>
      </c>
      <c r="G105" s="244" t="s">
        <v>1504</v>
      </c>
      <c r="H105" s="245" t="s">
        <v>409</v>
      </c>
      <c r="I105" s="244" t="s">
        <v>294</v>
      </c>
      <c r="J105" s="244" t="s">
        <v>728</v>
      </c>
      <c r="K105" s="244" t="s">
        <v>966</v>
      </c>
      <c r="L105" s="244" t="s">
        <v>421</v>
      </c>
      <c r="M105" s="244" t="s">
        <v>460</v>
      </c>
      <c r="N105" s="244" t="s">
        <v>469</v>
      </c>
      <c r="O105" s="245" t="s">
        <v>1543</v>
      </c>
      <c r="P105" s="245" t="s">
        <v>969</v>
      </c>
      <c r="Q105" s="244" t="s">
        <v>967</v>
      </c>
      <c r="R105" s="244" t="s">
        <v>184</v>
      </c>
      <c r="S105" s="252">
        <f>IF(R105="Muy Alto",10,IF(R105="Alto",6,IF(R105="Medio",2,IF(R105="Bajo",1,))))</f>
        <v>1</v>
      </c>
      <c r="T105" s="244" t="s">
        <v>416</v>
      </c>
      <c r="U105" s="253">
        <f>IF(T105="Continua",4,IF(T105="Frecuente",3,IF(T105="Ocasional",2,IF(T105="Esporádica",1,))))</f>
        <v>3</v>
      </c>
      <c r="V105" s="251">
        <f>S105*U105</f>
        <v>3</v>
      </c>
      <c r="W105" s="244" t="str">
        <f>IF(AND(V105&gt;=0,V105&lt;=4),"Bajo",IF(AND(V105&gt;=6,V105&lt;=8),"Medio",IF(AND(V105&gt;=10,V105&lt;=20),"Alto",IF(AND(V105&gt;=20,V105&lt;=40),"Muy Alto",))))</f>
        <v>Bajo</v>
      </c>
      <c r="X105" s="244" t="s">
        <v>187</v>
      </c>
      <c r="Y105" s="253">
        <f t="shared" si="167"/>
        <v>25</v>
      </c>
      <c r="Z105" s="251">
        <f t="shared" si="168"/>
        <v>75</v>
      </c>
      <c r="AA105" s="244" t="str">
        <f t="shared" si="169"/>
        <v>Nivel III: Riesgo Moderado (Aceptable)</v>
      </c>
      <c r="AB105" s="244">
        <v>1</v>
      </c>
      <c r="AC105" s="244"/>
      <c r="AD105" s="244"/>
      <c r="AE105" s="244"/>
      <c r="AF105" s="251"/>
      <c r="AG105" s="244" t="s">
        <v>1515</v>
      </c>
      <c r="AH105" s="245" t="s">
        <v>1490</v>
      </c>
      <c r="AI105" s="245" t="s">
        <v>1490</v>
      </c>
      <c r="AJ105" s="245" t="s">
        <v>1490</v>
      </c>
      <c r="AK105" s="258" t="s">
        <v>968</v>
      </c>
      <c r="AL105" s="260" t="s">
        <v>600</v>
      </c>
    </row>
    <row r="106" spans="1:38" s="235" customFormat="1" ht="132" hidden="1" x14ac:dyDescent="0.3">
      <c r="A106" s="259" t="s">
        <v>1453</v>
      </c>
      <c r="B106" s="244" t="s">
        <v>1455</v>
      </c>
      <c r="C106" s="244" t="s">
        <v>1454</v>
      </c>
      <c r="D106" s="244" t="s">
        <v>1590</v>
      </c>
      <c r="E106" s="244" t="s">
        <v>1587</v>
      </c>
      <c r="F106" s="244" t="s">
        <v>461</v>
      </c>
      <c r="G106" s="244" t="s">
        <v>1504</v>
      </c>
      <c r="H106" s="245" t="s">
        <v>410</v>
      </c>
      <c r="I106" s="244" t="s">
        <v>347</v>
      </c>
      <c r="J106" s="244" t="s">
        <v>587</v>
      </c>
      <c r="K106" s="244" t="s">
        <v>588</v>
      </c>
      <c r="L106" s="244" t="s">
        <v>421</v>
      </c>
      <c r="M106" s="244" t="s">
        <v>460</v>
      </c>
      <c r="N106" s="244" t="s">
        <v>469</v>
      </c>
      <c r="O106" s="245" t="s">
        <v>1543</v>
      </c>
      <c r="P106" s="245" t="s">
        <v>1545</v>
      </c>
      <c r="Q106" s="244" t="s">
        <v>1544</v>
      </c>
      <c r="R106" s="244" t="s">
        <v>184</v>
      </c>
      <c r="S106" s="252">
        <f>IF(R106="Muy Alto",10,IF(R106="Alto",6,IF(R106="Medio",2,IF(R106="Bajo",1,))))</f>
        <v>1</v>
      </c>
      <c r="T106" s="244" t="s">
        <v>429</v>
      </c>
      <c r="U106" s="253">
        <f>IF(T106="Continua",4,IF(T106="Frecuente",3,IF(T106="Ocasional",2,IF(T106="Esporádica",1,))))</f>
        <v>2</v>
      </c>
      <c r="V106" s="251">
        <f>S106*U106</f>
        <v>2</v>
      </c>
      <c r="W106" s="244" t="str">
        <f>IF(AND(V106&gt;=0,V106&lt;=4),"Bajo",IF(AND(V106&gt;=6,V106&lt;=8),"Medio",IF(AND(V106&gt;=10,V106&lt;=20),"Alto",IF(AND(V106&gt;=20,V106&lt;=40),"Muy Alto",))))</f>
        <v>Bajo</v>
      </c>
      <c r="X106" s="244" t="s">
        <v>187</v>
      </c>
      <c r="Y106" s="253">
        <f t="shared" si="167"/>
        <v>25</v>
      </c>
      <c r="Z106" s="251">
        <f t="shared" si="168"/>
        <v>50</v>
      </c>
      <c r="AA106" s="244" t="str">
        <f t="shared" si="169"/>
        <v>Nivel III: Riesgo Moderado (Aceptable)</v>
      </c>
      <c r="AB106" s="244">
        <v>1</v>
      </c>
      <c r="AC106" s="244"/>
      <c r="AD106" s="244"/>
      <c r="AE106" s="244"/>
      <c r="AF106" s="251"/>
      <c r="AG106" s="244" t="s">
        <v>1515</v>
      </c>
      <c r="AH106" s="245" t="s">
        <v>1490</v>
      </c>
      <c r="AI106" s="245" t="s">
        <v>1490</v>
      </c>
      <c r="AJ106" s="245" t="s">
        <v>1490</v>
      </c>
      <c r="AK106" s="245" t="s">
        <v>972</v>
      </c>
      <c r="AL106" s="260" t="s">
        <v>600</v>
      </c>
    </row>
    <row r="107" spans="1:38" s="235" customFormat="1" ht="82.5" hidden="1" x14ac:dyDescent="0.3">
      <c r="A107" s="259" t="s">
        <v>1453</v>
      </c>
      <c r="B107" s="244" t="s">
        <v>1455</v>
      </c>
      <c r="C107" s="244" t="s">
        <v>1454</v>
      </c>
      <c r="D107" s="244" t="s">
        <v>1590</v>
      </c>
      <c r="E107" s="244" t="s">
        <v>1587</v>
      </c>
      <c r="F107" s="244" t="s">
        <v>422</v>
      </c>
      <c r="G107" s="244" t="s">
        <v>1504</v>
      </c>
      <c r="H107" s="245" t="s">
        <v>412</v>
      </c>
      <c r="I107" s="244" t="s">
        <v>714</v>
      </c>
      <c r="J107" s="244" t="s">
        <v>512</v>
      </c>
      <c r="K107" s="244" t="s">
        <v>625</v>
      </c>
      <c r="L107" s="244" t="s">
        <v>421</v>
      </c>
      <c r="M107" s="244" t="s">
        <v>460</v>
      </c>
      <c r="N107" s="244" t="s">
        <v>469</v>
      </c>
      <c r="O107" s="245" t="s">
        <v>1546</v>
      </c>
      <c r="P107" s="245" t="s">
        <v>1547</v>
      </c>
      <c r="Q107" s="244" t="s">
        <v>1548</v>
      </c>
      <c r="R107" s="244" t="s">
        <v>184</v>
      </c>
      <c r="S107" s="252">
        <v>1</v>
      </c>
      <c r="T107" s="244" t="s">
        <v>186</v>
      </c>
      <c r="U107" s="253">
        <v>2</v>
      </c>
      <c r="V107" s="251">
        <v>2</v>
      </c>
      <c r="W107" s="244" t="s">
        <v>184</v>
      </c>
      <c r="X107" s="244" t="s">
        <v>187</v>
      </c>
      <c r="Y107" s="253">
        <f t="shared" si="167"/>
        <v>25</v>
      </c>
      <c r="Z107" s="251">
        <f t="shared" si="168"/>
        <v>50</v>
      </c>
      <c r="AA107" s="244" t="str">
        <f t="shared" si="169"/>
        <v>Nivel III: Riesgo Moderado (Aceptable)</v>
      </c>
      <c r="AB107" s="244">
        <v>1</v>
      </c>
      <c r="AC107" s="244"/>
      <c r="AD107" s="244"/>
      <c r="AE107" s="244"/>
      <c r="AF107" s="251"/>
      <c r="AG107" s="244" t="s">
        <v>1523</v>
      </c>
      <c r="AH107" s="245" t="s">
        <v>1490</v>
      </c>
      <c r="AI107" s="245" t="s">
        <v>1490</v>
      </c>
      <c r="AJ107" s="245" t="s">
        <v>1490</v>
      </c>
      <c r="AK107" s="245" t="s">
        <v>975</v>
      </c>
      <c r="AL107" s="260" t="s">
        <v>515</v>
      </c>
    </row>
    <row r="108" spans="1:38" s="235" customFormat="1" ht="99" hidden="1" x14ac:dyDescent="0.3">
      <c r="A108" s="259" t="s">
        <v>1453</v>
      </c>
      <c r="B108" s="244" t="s">
        <v>1455</v>
      </c>
      <c r="C108" s="244" t="s">
        <v>1454</v>
      </c>
      <c r="D108" s="244" t="s">
        <v>1590</v>
      </c>
      <c r="E108" s="244" t="s">
        <v>1587</v>
      </c>
      <c r="F108" s="244" t="s">
        <v>422</v>
      </c>
      <c r="G108" s="244" t="s">
        <v>1504</v>
      </c>
      <c r="H108" s="245" t="s">
        <v>412</v>
      </c>
      <c r="I108" s="244" t="s">
        <v>719</v>
      </c>
      <c r="J108" s="244" t="s">
        <v>1552</v>
      </c>
      <c r="K108" s="244" t="s">
        <v>722</v>
      </c>
      <c r="L108" s="244" t="s">
        <v>421</v>
      </c>
      <c r="M108" s="244" t="s">
        <v>460</v>
      </c>
      <c r="N108" s="244" t="s">
        <v>469</v>
      </c>
      <c r="O108" s="245" t="s">
        <v>1549</v>
      </c>
      <c r="P108" s="245" t="s">
        <v>1550</v>
      </c>
      <c r="Q108" s="244" t="s">
        <v>1551</v>
      </c>
      <c r="R108" s="244" t="s">
        <v>184</v>
      </c>
      <c r="S108" s="252">
        <v>1</v>
      </c>
      <c r="T108" s="244" t="s">
        <v>186</v>
      </c>
      <c r="U108" s="253">
        <v>2</v>
      </c>
      <c r="V108" s="251">
        <v>2</v>
      </c>
      <c r="W108" s="244" t="s">
        <v>184</v>
      </c>
      <c r="X108" s="244" t="s">
        <v>187</v>
      </c>
      <c r="Y108" s="253">
        <f t="shared" si="167"/>
        <v>25</v>
      </c>
      <c r="Z108" s="251">
        <f t="shared" si="168"/>
        <v>50</v>
      </c>
      <c r="AA108" s="244" t="str">
        <f t="shared" si="169"/>
        <v>Nivel III: Riesgo Moderado (Aceptable)</v>
      </c>
      <c r="AB108" s="244">
        <v>1</v>
      </c>
      <c r="AC108" s="244"/>
      <c r="AD108" s="244"/>
      <c r="AE108" s="244"/>
      <c r="AF108" s="251"/>
      <c r="AG108" s="244" t="s">
        <v>1523</v>
      </c>
      <c r="AH108" s="245" t="s">
        <v>1490</v>
      </c>
      <c r="AI108" s="245" t="s">
        <v>1490</v>
      </c>
      <c r="AJ108" s="245" t="s">
        <v>1490</v>
      </c>
      <c r="AK108" s="245" t="s">
        <v>723</v>
      </c>
      <c r="AL108" s="260" t="s">
        <v>1491</v>
      </c>
    </row>
    <row r="109" spans="1:38" s="235" customFormat="1" ht="115.5" hidden="1" x14ac:dyDescent="0.3">
      <c r="A109" s="259" t="s">
        <v>1453</v>
      </c>
      <c r="B109" s="244" t="s">
        <v>1455</v>
      </c>
      <c r="C109" s="244" t="s">
        <v>1454</v>
      </c>
      <c r="D109" s="244" t="s">
        <v>1590</v>
      </c>
      <c r="E109" s="244" t="s">
        <v>1587</v>
      </c>
      <c r="F109" s="244" t="s">
        <v>422</v>
      </c>
      <c r="G109" s="244" t="s">
        <v>1504</v>
      </c>
      <c r="H109" s="245" t="s">
        <v>412</v>
      </c>
      <c r="I109" s="244" t="s">
        <v>720</v>
      </c>
      <c r="J109" s="244" t="s">
        <v>863</v>
      </c>
      <c r="K109" s="244" t="s">
        <v>724</v>
      </c>
      <c r="L109" s="244" t="s">
        <v>421</v>
      </c>
      <c r="M109" s="244" t="s">
        <v>460</v>
      </c>
      <c r="N109" s="244" t="s">
        <v>469</v>
      </c>
      <c r="O109" s="245" t="s">
        <v>1549</v>
      </c>
      <c r="P109" s="245" t="s">
        <v>1550</v>
      </c>
      <c r="Q109" s="244" t="s">
        <v>1551</v>
      </c>
      <c r="R109" s="244" t="s">
        <v>184</v>
      </c>
      <c r="S109" s="252">
        <v>1</v>
      </c>
      <c r="T109" s="244" t="s">
        <v>485</v>
      </c>
      <c r="U109" s="253">
        <v>2</v>
      </c>
      <c r="V109" s="251">
        <v>2</v>
      </c>
      <c r="W109" s="244" t="s">
        <v>184</v>
      </c>
      <c r="X109" s="244" t="s">
        <v>428</v>
      </c>
      <c r="Y109" s="253">
        <f t="shared" si="167"/>
        <v>10</v>
      </c>
      <c r="Z109" s="251">
        <f t="shared" si="168"/>
        <v>20</v>
      </c>
      <c r="AA109" s="244" t="str">
        <f t="shared" si="169"/>
        <v>Nivel IV: Riesgo Tolerable (Aceptable)</v>
      </c>
      <c r="AB109" s="244">
        <v>1</v>
      </c>
      <c r="AC109" s="244"/>
      <c r="AD109" s="244"/>
      <c r="AE109" s="244"/>
      <c r="AF109" s="251"/>
      <c r="AG109" s="244" t="s">
        <v>1523</v>
      </c>
      <c r="AH109" s="245" t="s">
        <v>1490</v>
      </c>
      <c r="AI109" s="245" t="s">
        <v>1490</v>
      </c>
      <c r="AJ109" s="245" t="s">
        <v>1490</v>
      </c>
      <c r="AK109" s="245" t="s">
        <v>1553</v>
      </c>
      <c r="AL109" s="260" t="s">
        <v>1491</v>
      </c>
    </row>
    <row r="110" spans="1:38" s="235" customFormat="1" ht="198" hidden="1" x14ac:dyDescent="0.3">
      <c r="A110" s="259" t="s">
        <v>1453</v>
      </c>
      <c r="B110" s="244" t="s">
        <v>1455</v>
      </c>
      <c r="C110" s="244" t="s">
        <v>1454</v>
      </c>
      <c r="D110" s="244" t="s">
        <v>1590</v>
      </c>
      <c r="E110" s="244" t="s">
        <v>1587</v>
      </c>
      <c r="F110" s="244" t="s">
        <v>422</v>
      </c>
      <c r="G110" s="244" t="s">
        <v>1504</v>
      </c>
      <c r="H110" s="245" t="s">
        <v>413</v>
      </c>
      <c r="I110" s="244" t="s">
        <v>1380</v>
      </c>
      <c r="J110" s="244" t="s">
        <v>1435</v>
      </c>
      <c r="K110" s="244" t="s">
        <v>602</v>
      </c>
      <c r="L110" s="244" t="s">
        <v>421</v>
      </c>
      <c r="M110" s="244" t="s">
        <v>460</v>
      </c>
      <c r="N110" s="244" t="s">
        <v>469</v>
      </c>
      <c r="O110" s="245" t="s">
        <v>1554</v>
      </c>
      <c r="P110" s="245" t="s">
        <v>1555</v>
      </c>
      <c r="Q110" s="244" t="s">
        <v>1556</v>
      </c>
      <c r="R110" s="244" t="s">
        <v>184</v>
      </c>
      <c r="S110" s="252">
        <f>IF(R110="Muy Alto",10,IF(R110="Alto",6,IF(R110="Medio",2,IF(R110="Bajo",1,))))</f>
        <v>1</v>
      </c>
      <c r="T110" s="244" t="s">
        <v>485</v>
      </c>
      <c r="U110" s="253">
        <f>IF(T110="Continua",4,IF(T110="Frecuente",3,IF(T110="Ocasional",2,IF(T110="Esporádica",1,))))</f>
        <v>1</v>
      </c>
      <c r="V110" s="251">
        <f>S110*U110</f>
        <v>1</v>
      </c>
      <c r="W110" s="244" t="str">
        <f>IF(AND(V110&gt;=0,V110&lt;=4),"Bajo",IF(AND(V110&gt;=6,V110&lt;=8),"Medio",IF(AND(V110&gt;=10,V110&lt;=20),"Alto",IF(AND(V110&gt;=20,V110&lt;=40),"Muy Alto",))))</f>
        <v>Bajo</v>
      </c>
      <c r="X110" s="244" t="s">
        <v>428</v>
      </c>
      <c r="Y110" s="253">
        <f>IF(X110="Mortal o catastrófico",100,IF(X110="Muy grave",60,IF(X110="Grave",25,IF(X110="Leve",10,))))</f>
        <v>10</v>
      </c>
      <c r="Z110" s="251">
        <f>V110*Y110</f>
        <v>10</v>
      </c>
      <c r="AA110" s="244" t="str">
        <f>IF(AND(Z110&gt;=600,Z110&lt;=4000),"Nivel I: Riesgo Inaceptable",IF(AND(Z110&gt;=150,Z110&lt;=500),"Nivel II: Riesgo Importante",IF(AND(Z110&gt;=40,Z110&lt;=120),"Nivel III: Riesgo Moderado (Aceptable)","Nivel IV: Riesgo Tolerable (Aceptable)")))</f>
        <v>Nivel IV: Riesgo Tolerable (Aceptable)</v>
      </c>
      <c r="AB110" s="244">
        <v>1</v>
      </c>
      <c r="AC110" s="244"/>
      <c r="AD110" s="244"/>
      <c r="AE110" s="244"/>
      <c r="AF110" s="251"/>
      <c r="AG110" s="244" t="s">
        <v>1523</v>
      </c>
      <c r="AH110" s="245" t="s">
        <v>1490</v>
      </c>
      <c r="AI110" s="245" t="s">
        <v>1490</v>
      </c>
      <c r="AJ110" s="245" t="s">
        <v>1490</v>
      </c>
      <c r="AK110" s="245" t="s">
        <v>1553</v>
      </c>
      <c r="AL110" s="260" t="s">
        <v>1491</v>
      </c>
    </row>
    <row r="111" spans="1:38" s="235" customFormat="1" ht="181.5" hidden="1" x14ac:dyDescent="0.3">
      <c r="A111" s="259" t="s">
        <v>1453</v>
      </c>
      <c r="B111" s="244" t="s">
        <v>1455</v>
      </c>
      <c r="C111" s="244" t="s">
        <v>1454</v>
      </c>
      <c r="D111" s="244" t="s">
        <v>1590</v>
      </c>
      <c r="E111" s="244" t="s">
        <v>1587</v>
      </c>
      <c r="F111" s="244" t="s">
        <v>461</v>
      </c>
      <c r="G111" s="244" t="s">
        <v>1557</v>
      </c>
      <c r="H111" s="245" t="s">
        <v>414</v>
      </c>
      <c r="I111" s="244" t="s">
        <v>578</v>
      </c>
      <c r="J111" s="244" t="s">
        <v>1559</v>
      </c>
      <c r="K111" s="244" t="s">
        <v>1568</v>
      </c>
      <c r="L111" s="244" t="s">
        <v>421</v>
      </c>
      <c r="M111" s="244" t="s">
        <v>460</v>
      </c>
      <c r="N111" s="244" t="s">
        <v>469</v>
      </c>
      <c r="O111" s="245" t="s">
        <v>1560</v>
      </c>
      <c r="P111" s="245" t="s">
        <v>1561</v>
      </c>
      <c r="Q111" s="244" t="s">
        <v>1562</v>
      </c>
      <c r="R111" s="244" t="s">
        <v>184</v>
      </c>
      <c r="S111" s="252">
        <f t="shared" ref="S111:S113" si="170">IF(R111="Muy Alto",10,IF(R111="Alto",6,IF(R111="Medio",2,IF(R111="Bajo",1,))))</f>
        <v>1</v>
      </c>
      <c r="T111" s="244" t="s">
        <v>485</v>
      </c>
      <c r="U111" s="253">
        <f t="shared" ref="U111:U113" si="171">IF(T111="Continua",4,IF(T111="Frecuente",3,IF(T111="Ocasional",2,IF(T111="Esporádica",1,))))</f>
        <v>1</v>
      </c>
      <c r="V111" s="251">
        <f t="shared" ref="V111:V113" si="172">S111*U111</f>
        <v>1</v>
      </c>
      <c r="W111" s="244" t="str">
        <f t="shared" ref="W111:W113" si="173">IF(AND(V111&gt;=0,V111&lt;=4),"Bajo",IF(AND(V111&gt;=6,V111&lt;=8),"Medio",IF(AND(V111&gt;=10,V111&lt;=20),"Alto",IF(AND(V111&gt;=20,V111&lt;=40),"Muy Alto",))))</f>
        <v>Bajo</v>
      </c>
      <c r="X111" s="244" t="s">
        <v>187</v>
      </c>
      <c r="Y111" s="253">
        <f t="shared" ref="Y111:Y113" si="174">IF(X111="Mortal o catastrófico",100,IF(X111="Muy grave",60,IF(X111="Grave",25,IF(X111="Leve",10,))))</f>
        <v>25</v>
      </c>
      <c r="Z111" s="251">
        <f t="shared" ref="Z111:Z113" si="175">V111*Y111</f>
        <v>25</v>
      </c>
      <c r="AA111" s="244" t="str">
        <f t="shared" ref="AA111:AA113" si="176">IF(AND(Z111&gt;=600,Z111&lt;=4000),"Nivel I: Riesgo Inaceptable",IF(AND(Z111&gt;=150,Z111&lt;=500),"Nivel II: Riesgo Importante",IF(AND(Z111&gt;=40,Z111&lt;=120),"Nivel III: Riesgo Moderado (Aceptable)","Nivel IV: Riesgo Tolerable (Aceptable)")))</f>
        <v>Nivel IV: Riesgo Tolerable (Aceptable)</v>
      </c>
      <c r="AB111" s="244">
        <v>1</v>
      </c>
      <c r="AC111" s="244"/>
      <c r="AD111" s="244"/>
      <c r="AE111" s="244"/>
      <c r="AF111" s="251"/>
      <c r="AG111" s="251" t="s">
        <v>1523</v>
      </c>
      <c r="AH111" s="245" t="s">
        <v>1490</v>
      </c>
      <c r="AI111" s="245" t="s">
        <v>1490</v>
      </c>
      <c r="AJ111" s="245" t="s">
        <v>1490</v>
      </c>
      <c r="AK111" s="245" t="s">
        <v>1563</v>
      </c>
      <c r="AL111" s="260" t="s">
        <v>1491</v>
      </c>
    </row>
    <row r="112" spans="1:38" s="235" customFormat="1" ht="62.25" hidden="1" customHeight="1" x14ac:dyDescent="0.3">
      <c r="A112" s="259" t="s">
        <v>1453</v>
      </c>
      <c r="B112" s="244" t="s">
        <v>1455</v>
      </c>
      <c r="C112" s="244" t="s">
        <v>1454</v>
      </c>
      <c r="D112" s="244" t="s">
        <v>1590</v>
      </c>
      <c r="E112" s="244" t="s">
        <v>1587</v>
      </c>
      <c r="F112" s="244" t="s">
        <v>461</v>
      </c>
      <c r="G112" s="244" t="s">
        <v>1558</v>
      </c>
      <c r="H112" s="245" t="s">
        <v>414</v>
      </c>
      <c r="I112" s="244" t="s">
        <v>359</v>
      </c>
      <c r="J112" s="244" t="s">
        <v>779</v>
      </c>
      <c r="K112" s="244" t="s">
        <v>979</v>
      </c>
      <c r="L112" s="244" t="s">
        <v>421</v>
      </c>
      <c r="M112" s="244" t="s">
        <v>460</v>
      </c>
      <c r="N112" s="244" t="s">
        <v>469</v>
      </c>
      <c r="O112" s="245" t="s">
        <v>1564</v>
      </c>
      <c r="P112" s="245" t="s">
        <v>1565</v>
      </c>
      <c r="Q112" s="244" t="s">
        <v>1566</v>
      </c>
      <c r="R112" s="244" t="s">
        <v>184</v>
      </c>
      <c r="S112" s="252">
        <f t="shared" si="170"/>
        <v>1</v>
      </c>
      <c r="T112" s="244" t="s">
        <v>485</v>
      </c>
      <c r="U112" s="253">
        <f t="shared" si="171"/>
        <v>1</v>
      </c>
      <c r="V112" s="251">
        <f t="shared" si="172"/>
        <v>1</v>
      </c>
      <c r="W112" s="244" t="str">
        <f t="shared" si="173"/>
        <v>Bajo</v>
      </c>
      <c r="X112" s="244" t="s">
        <v>187</v>
      </c>
      <c r="Y112" s="253">
        <f t="shared" si="174"/>
        <v>25</v>
      </c>
      <c r="Z112" s="251">
        <f t="shared" si="175"/>
        <v>25</v>
      </c>
      <c r="AA112" s="244" t="str">
        <f t="shared" si="176"/>
        <v>Nivel IV: Riesgo Tolerable (Aceptable)</v>
      </c>
      <c r="AB112" s="244">
        <v>1</v>
      </c>
      <c r="AC112" s="244"/>
      <c r="AD112" s="244"/>
      <c r="AE112" s="244"/>
      <c r="AF112" s="251"/>
      <c r="AG112" s="251" t="s">
        <v>1523</v>
      </c>
      <c r="AH112" s="245" t="s">
        <v>1490</v>
      </c>
      <c r="AI112" s="245" t="s">
        <v>1490</v>
      </c>
      <c r="AJ112" s="245" t="s">
        <v>1490</v>
      </c>
      <c r="AK112" s="245" t="s">
        <v>1567</v>
      </c>
      <c r="AL112" s="260" t="s">
        <v>528</v>
      </c>
    </row>
    <row r="113" spans="1:38" s="235" customFormat="1" ht="181.5" hidden="1" x14ac:dyDescent="0.3">
      <c r="A113" s="259" t="s">
        <v>1453</v>
      </c>
      <c r="B113" s="244" t="s">
        <v>1455</v>
      </c>
      <c r="C113" s="244" t="s">
        <v>1454</v>
      </c>
      <c r="D113" s="244" t="s">
        <v>1590</v>
      </c>
      <c r="E113" s="244" t="s">
        <v>1587</v>
      </c>
      <c r="F113" s="244" t="s">
        <v>422</v>
      </c>
      <c r="G113" s="244" t="s">
        <v>1569</v>
      </c>
      <c r="H113" s="245" t="s">
        <v>449</v>
      </c>
      <c r="I113" s="244" t="s">
        <v>591</v>
      </c>
      <c r="J113" s="244" t="s">
        <v>981</v>
      </c>
      <c r="K113" s="244" t="s">
        <v>1277</v>
      </c>
      <c r="L113" s="244" t="s">
        <v>421</v>
      </c>
      <c r="M113" s="244" t="s">
        <v>460</v>
      </c>
      <c r="N113" s="244" t="s">
        <v>469</v>
      </c>
      <c r="O113" s="245" t="s">
        <v>1516</v>
      </c>
      <c r="P113" s="245" t="s">
        <v>1570</v>
      </c>
      <c r="Q113" s="244" t="s">
        <v>1571</v>
      </c>
      <c r="R113" s="244" t="s">
        <v>184</v>
      </c>
      <c r="S113" s="252">
        <f t="shared" si="170"/>
        <v>1</v>
      </c>
      <c r="T113" s="244" t="s">
        <v>485</v>
      </c>
      <c r="U113" s="253">
        <f t="shared" si="171"/>
        <v>1</v>
      </c>
      <c r="V113" s="251">
        <f t="shared" si="172"/>
        <v>1</v>
      </c>
      <c r="W113" s="244" t="str">
        <f t="shared" si="173"/>
        <v>Bajo</v>
      </c>
      <c r="X113" s="244" t="s">
        <v>187</v>
      </c>
      <c r="Y113" s="253">
        <f t="shared" si="174"/>
        <v>25</v>
      </c>
      <c r="Z113" s="251">
        <f t="shared" si="175"/>
        <v>25</v>
      </c>
      <c r="AA113" s="244" t="str">
        <f t="shared" si="176"/>
        <v>Nivel IV: Riesgo Tolerable (Aceptable)</v>
      </c>
      <c r="AB113" s="244">
        <v>1</v>
      </c>
      <c r="AC113" s="244"/>
      <c r="AD113" s="244"/>
      <c r="AE113" s="244"/>
      <c r="AF113" s="251"/>
      <c r="AG113" s="251" t="s">
        <v>1523</v>
      </c>
      <c r="AH113" s="245" t="s">
        <v>1490</v>
      </c>
      <c r="AI113" s="245" t="s">
        <v>1490</v>
      </c>
      <c r="AJ113" s="245" t="s">
        <v>1490</v>
      </c>
      <c r="AK113" s="245" t="s">
        <v>1572</v>
      </c>
      <c r="AL113" s="260" t="s">
        <v>1491</v>
      </c>
    </row>
    <row r="114" spans="1:38" s="235" customFormat="1" ht="50.25" hidden="1" customHeight="1" x14ac:dyDescent="0.3">
      <c r="A114" s="259" t="s">
        <v>1470</v>
      </c>
      <c r="B114" s="244" t="s">
        <v>1471</v>
      </c>
      <c r="C114" s="244" t="s">
        <v>1472</v>
      </c>
      <c r="D114" s="244" t="s">
        <v>1591</v>
      </c>
      <c r="E114" s="244" t="s">
        <v>1587</v>
      </c>
      <c r="F114" s="244" t="s">
        <v>422</v>
      </c>
      <c r="G114" s="244" t="s">
        <v>1469</v>
      </c>
      <c r="H114" s="245" t="s">
        <v>397</v>
      </c>
      <c r="I114" s="244" t="s">
        <v>365</v>
      </c>
      <c r="J114" s="244" t="s">
        <v>504</v>
      </c>
      <c r="K114" s="244" t="s">
        <v>557</v>
      </c>
      <c r="L114" s="244" t="s">
        <v>421</v>
      </c>
      <c r="M114" s="244" t="s">
        <v>460</v>
      </c>
      <c r="N114" s="244" t="s">
        <v>469</v>
      </c>
      <c r="O114" s="245" t="s">
        <v>423</v>
      </c>
      <c r="P114" s="245" t="s">
        <v>423</v>
      </c>
      <c r="Q114" s="244" t="s">
        <v>530</v>
      </c>
      <c r="R114" s="244" t="s">
        <v>184</v>
      </c>
      <c r="S114" s="252">
        <f>IF(R114="Muy Alto",10,IF(R114="Alto",6,IF(R114="Medio",2,IF(R114="Bajo",1,))))</f>
        <v>1</v>
      </c>
      <c r="T114" s="244" t="s">
        <v>186</v>
      </c>
      <c r="U114" s="253">
        <f t="shared" ref="U114:U126" si="177">IF(T114="Continua",4,IF(T114="Frecuente",3,IF(T114="Ocasional",2,IF(T114="Esporádica",1,))))</f>
        <v>4</v>
      </c>
      <c r="V114" s="251">
        <f t="shared" ref="V114:V123" si="178">S114*U114</f>
        <v>4</v>
      </c>
      <c r="W114" s="244" t="str">
        <f t="shared" ref="W114" si="179">IF(AND(V114&gt;=0,V114&lt;=4),"Bajo",IF(AND(V114&gt;=6,V114&lt;=8),"Medio",IF(AND(V114&gt;=10,V114&lt;=20),"Alto",IF(AND(V114&gt;=20,V114&lt;=40),"Muy Alto",))))</f>
        <v>Bajo</v>
      </c>
      <c r="X114" s="244" t="s">
        <v>187</v>
      </c>
      <c r="Y114" s="253">
        <f t="shared" ref="Y114:Y126" si="180">IF(X114="Mortal o catastrófico",100,IF(X114="Muy grave",60,IF(X114="Grave",25,IF(X114="Leve",10,))))</f>
        <v>25</v>
      </c>
      <c r="Z114" s="251">
        <f>V114*Y114</f>
        <v>100</v>
      </c>
      <c r="AA114" s="244" t="str">
        <f>IF(AND(Z114&gt;=600,Z114&lt;=4000),"Nivel I: Riesgo Inaceptable",IF(AND(Z114&gt;=150,Z114&lt;=500),"Nivel II: Riesgo Importante",IF(AND(Z114&gt;=40,Z114&lt;=120),"Nivel III: Riesgo Moderado (Aceptable)","Nivel IV: Riesgo Tolerable (Aceptable)")))</f>
        <v>Nivel III: Riesgo Moderado (Aceptable)</v>
      </c>
      <c r="AB114" s="244">
        <v>3</v>
      </c>
      <c r="AC114" s="244"/>
      <c r="AD114" s="244"/>
      <c r="AE114" s="244"/>
      <c r="AF114" s="251"/>
      <c r="AG114" s="251"/>
      <c r="AH114" s="245" t="s">
        <v>424</v>
      </c>
      <c r="AI114" s="245" t="s">
        <v>424</v>
      </c>
      <c r="AJ114" s="245" t="s">
        <v>424</v>
      </c>
      <c r="AK114" s="245" t="s">
        <v>726</v>
      </c>
      <c r="AL114" s="260" t="s">
        <v>600</v>
      </c>
    </row>
    <row r="115" spans="1:38" s="235" customFormat="1" ht="73.5" hidden="1" customHeight="1" x14ac:dyDescent="0.3">
      <c r="A115" s="259" t="s">
        <v>1470</v>
      </c>
      <c r="B115" s="244" t="s">
        <v>1471</v>
      </c>
      <c r="C115" s="244" t="s">
        <v>1472</v>
      </c>
      <c r="D115" s="244" t="s">
        <v>1591</v>
      </c>
      <c r="E115" s="244" t="s">
        <v>1587</v>
      </c>
      <c r="F115" s="244" t="s">
        <v>422</v>
      </c>
      <c r="G115" s="244" t="s">
        <v>1469</v>
      </c>
      <c r="H115" s="245" t="s">
        <v>397</v>
      </c>
      <c r="I115" s="244" t="s">
        <v>371</v>
      </c>
      <c r="J115" s="244" t="s">
        <v>739</v>
      </c>
      <c r="K115" s="244" t="s">
        <v>580</v>
      </c>
      <c r="L115" s="244" t="s">
        <v>421</v>
      </c>
      <c r="M115" s="244" t="s">
        <v>460</v>
      </c>
      <c r="N115" s="244" t="s">
        <v>469</v>
      </c>
      <c r="O115" s="245" t="s">
        <v>910</v>
      </c>
      <c r="P115" s="245" t="s">
        <v>912</v>
      </c>
      <c r="Q115" s="244" t="s">
        <v>911</v>
      </c>
      <c r="R115" s="244" t="s">
        <v>185</v>
      </c>
      <c r="S115" s="252">
        <f t="shared" ref="S115:S126" si="181">IF(R115="Muy Alto",10,IF(R115="Alto",6,IF(R115="Medio",2,IF(R115="Bajo",1,))))</f>
        <v>2</v>
      </c>
      <c r="T115" s="244" t="s">
        <v>485</v>
      </c>
      <c r="U115" s="253">
        <f t="shared" si="177"/>
        <v>1</v>
      </c>
      <c r="V115" s="251">
        <f t="shared" si="178"/>
        <v>2</v>
      </c>
      <c r="W115" s="244" t="str">
        <f t="shared" ref="W115:W120" si="182">IF(AND(V115&gt;=0,V115&lt;=4),"Bajo",IF(AND(V115&gt;=6,V115&lt;=8),"Medio",IF(AND(V115&gt;=10,V115&lt;=20),"Alto",IF(AND(V115&gt;=20,V115&lt;=40),"Muy Alto",))))</f>
        <v>Bajo</v>
      </c>
      <c r="X115" s="244" t="s">
        <v>187</v>
      </c>
      <c r="Y115" s="253">
        <f t="shared" si="180"/>
        <v>25</v>
      </c>
      <c r="Z115" s="251">
        <f t="shared" ref="Z115:Z126" si="183">V115*Y115</f>
        <v>50</v>
      </c>
      <c r="AA115" s="244" t="str">
        <f t="shared" ref="AA115:AA126" si="184">IF(AND(Z115&gt;=600,Z115&lt;=4000),"Nivel I: Riesgo Inaceptable",IF(AND(Z115&gt;=150,Z115&lt;=500),"Nivel II: Riesgo Importante",IF(AND(Z115&gt;=40,Z115&lt;=120),"Nivel III: Riesgo Moderado (Aceptable)","Nivel IV: Riesgo Tolerable (Aceptable)")))</f>
        <v>Nivel III: Riesgo Moderado (Aceptable)</v>
      </c>
      <c r="AB115" s="244">
        <v>3</v>
      </c>
      <c r="AC115" s="244"/>
      <c r="AD115" s="244"/>
      <c r="AE115" s="244"/>
      <c r="AF115" s="251"/>
      <c r="AG115" s="251"/>
      <c r="AH115" s="245" t="s">
        <v>424</v>
      </c>
      <c r="AI115" s="245" t="s">
        <v>424</v>
      </c>
      <c r="AJ115" s="245" t="s">
        <v>424</v>
      </c>
      <c r="AK115" s="245" t="s">
        <v>1576</v>
      </c>
      <c r="AL115" s="260" t="s">
        <v>600</v>
      </c>
    </row>
    <row r="116" spans="1:38" s="235" customFormat="1" ht="73.5" hidden="1" customHeight="1" x14ac:dyDescent="0.3">
      <c r="A116" s="259" t="s">
        <v>1470</v>
      </c>
      <c r="B116" s="244" t="s">
        <v>1471</v>
      </c>
      <c r="C116" s="244" t="s">
        <v>1472</v>
      </c>
      <c r="D116" s="244" t="s">
        <v>1591</v>
      </c>
      <c r="E116" s="244" t="s">
        <v>1587</v>
      </c>
      <c r="F116" s="244" t="s">
        <v>422</v>
      </c>
      <c r="G116" s="244" t="s">
        <v>1469</v>
      </c>
      <c r="H116" s="245" t="s">
        <v>397</v>
      </c>
      <c r="I116" s="244" t="s">
        <v>178</v>
      </c>
      <c r="J116" s="244" t="s">
        <v>909</v>
      </c>
      <c r="K116" s="244" t="s">
        <v>580</v>
      </c>
      <c r="L116" s="244" t="s">
        <v>421</v>
      </c>
      <c r="M116" s="244" t="s">
        <v>460</v>
      </c>
      <c r="N116" s="244" t="s">
        <v>469</v>
      </c>
      <c r="O116" s="245" t="s">
        <v>910</v>
      </c>
      <c r="P116" s="245" t="s">
        <v>912</v>
      </c>
      <c r="Q116" s="244" t="s">
        <v>911</v>
      </c>
      <c r="R116" s="244" t="s">
        <v>185</v>
      </c>
      <c r="S116" s="252">
        <f t="shared" si="181"/>
        <v>2</v>
      </c>
      <c r="T116" s="244" t="s">
        <v>416</v>
      </c>
      <c r="U116" s="253">
        <f t="shared" si="177"/>
        <v>3</v>
      </c>
      <c r="V116" s="251">
        <f t="shared" si="178"/>
        <v>6</v>
      </c>
      <c r="W116" s="244" t="str">
        <f t="shared" si="182"/>
        <v>Medio</v>
      </c>
      <c r="X116" s="244" t="s">
        <v>187</v>
      </c>
      <c r="Y116" s="253">
        <f t="shared" si="180"/>
        <v>25</v>
      </c>
      <c r="Z116" s="251">
        <f t="shared" si="183"/>
        <v>150</v>
      </c>
      <c r="AA116" s="244" t="str">
        <f t="shared" si="184"/>
        <v>Nivel II: Riesgo Importante</v>
      </c>
      <c r="AB116" s="244">
        <v>3</v>
      </c>
      <c r="AC116" s="244"/>
      <c r="AD116" s="244"/>
      <c r="AE116" s="244"/>
      <c r="AF116" s="251"/>
      <c r="AG116" s="251"/>
      <c r="AH116" s="245"/>
      <c r="AI116" s="245"/>
      <c r="AJ116" s="245"/>
      <c r="AK116" s="245"/>
      <c r="AL116" s="260"/>
    </row>
    <row r="117" spans="1:38" s="235" customFormat="1" ht="48" hidden="1" customHeight="1" x14ac:dyDescent="0.3">
      <c r="A117" s="259" t="s">
        <v>1470</v>
      </c>
      <c r="B117" s="244" t="s">
        <v>1471</v>
      </c>
      <c r="C117" s="244" t="s">
        <v>1472</v>
      </c>
      <c r="D117" s="244" t="s">
        <v>1591</v>
      </c>
      <c r="E117" s="244" t="s">
        <v>1587</v>
      </c>
      <c r="F117" s="244" t="s">
        <v>422</v>
      </c>
      <c r="G117" s="244" t="s">
        <v>1469</v>
      </c>
      <c r="H117" s="245" t="s">
        <v>407</v>
      </c>
      <c r="I117" s="244" t="s">
        <v>287</v>
      </c>
      <c r="J117" s="244" t="s">
        <v>740</v>
      </c>
      <c r="K117" s="244" t="s">
        <v>741</v>
      </c>
      <c r="L117" s="244" t="s">
        <v>421</v>
      </c>
      <c r="M117" s="244" t="s">
        <v>460</v>
      </c>
      <c r="N117" s="244" t="s">
        <v>469</v>
      </c>
      <c r="O117" s="245" t="s">
        <v>423</v>
      </c>
      <c r="P117" s="245" t="s">
        <v>742</v>
      </c>
      <c r="Q117" s="244" t="s">
        <v>864</v>
      </c>
      <c r="R117" s="244" t="s">
        <v>185</v>
      </c>
      <c r="S117" s="252">
        <f t="shared" si="181"/>
        <v>2</v>
      </c>
      <c r="T117" s="244" t="s">
        <v>186</v>
      </c>
      <c r="U117" s="253">
        <f t="shared" si="177"/>
        <v>4</v>
      </c>
      <c r="V117" s="251">
        <f t="shared" si="178"/>
        <v>8</v>
      </c>
      <c r="W117" s="244" t="str">
        <f t="shared" si="182"/>
        <v>Medio</v>
      </c>
      <c r="X117" s="244" t="s">
        <v>428</v>
      </c>
      <c r="Y117" s="253">
        <f t="shared" si="180"/>
        <v>10</v>
      </c>
      <c r="Z117" s="251">
        <f t="shared" si="183"/>
        <v>80</v>
      </c>
      <c r="AA117" s="244" t="str">
        <f t="shared" si="184"/>
        <v>Nivel III: Riesgo Moderado (Aceptable)</v>
      </c>
      <c r="AB117" s="244">
        <v>3</v>
      </c>
      <c r="AC117" s="244"/>
      <c r="AD117" s="244"/>
      <c r="AE117" s="244"/>
      <c r="AF117" s="251"/>
      <c r="AG117" s="251"/>
      <c r="AH117" s="245" t="s">
        <v>424</v>
      </c>
      <c r="AI117" s="245" t="s">
        <v>424</v>
      </c>
      <c r="AJ117" s="245" t="s">
        <v>424</v>
      </c>
      <c r="AK117" s="245" t="s">
        <v>551</v>
      </c>
      <c r="AL117" s="260" t="s">
        <v>600</v>
      </c>
    </row>
    <row r="118" spans="1:38" s="235" customFormat="1" ht="48" hidden="1" customHeight="1" x14ac:dyDescent="0.3">
      <c r="A118" s="259" t="s">
        <v>1470</v>
      </c>
      <c r="B118" s="244" t="s">
        <v>1471</v>
      </c>
      <c r="C118" s="244" t="s">
        <v>1472</v>
      </c>
      <c r="D118" s="244" t="s">
        <v>1591</v>
      </c>
      <c r="E118" s="244" t="s">
        <v>1587</v>
      </c>
      <c r="F118" s="244" t="s">
        <v>461</v>
      </c>
      <c r="G118" s="244" t="s">
        <v>1469</v>
      </c>
      <c r="H118" s="245" t="s">
        <v>407</v>
      </c>
      <c r="I118" s="244" t="s">
        <v>355</v>
      </c>
      <c r="J118" s="244" t="s">
        <v>743</v>
      </c>
      <c r="K118" s="244" t="s">
        <v>744</v>
      </c>
      <c r="L118" s="244" t="s">
        <v>421</v>
      </c>
      <c r="M118" s="244" t="s">
        <v>460</v>
      </c>
      <c r="N118" s="244" t="s">
        <v>469</v>
      </c>
      <c r="O118" s="245" t="s">
        <v>423</v>
      </c>
      <c r="P118" s="245" t="s">
        <v>865</v>
      </c>
      <c r="Q118" s="244" t="s">
        <v>745</v>
      </c>
      <c r="R118" s="244" t="s">
        <v>185</v>
      </c>
      <c r="S118" s="252">
        <f t="shared" si="181"/>
        <v>2</v>
      </c>
      <c r="T118" s="244" t="s">
        <v>416</v>
      </c>
      <c r="U118" s="253">
        <f t="shared" si="177"/>
        <v>3</v>
      </c>
      <c r="V118" s="251">
        <f t="shared" si="178"/>
        <v>6</v>
      </c>
      <c r="W118" s="244" t="str">
        <f t="shared" si="182"/>
        <v>Medio</v>
      </c>
      <c r="X118" s="244" t="s">
        <v>187</v>
      </c>
      <c r="Y118" s="253">
        <f t="shared" si="180"/>
        <v>25</v>
      </c>
      <c r="Z118" s="251">
        <f t="shared" si="183"/>
        <v>150</v>
      </c>
      <c r="AA118" s="244" t="str">
        <f t="shared" si="184"/>
        <v>Nivel II: Riesgo Importante</v>
      </c>
      <c r="AB118" s="244">
        <v>3</v>
      </c>
      <c r="AC118" s="244"/>
      <c r="AD118" s="244"/>
      <c r="AE118" s="244"/>
      <c r="AF118" s="251"/>
      <c r="AG118" s="251"/>
      <c r="AH118" s="245" t="s">
        <v>424</v>
      </c>
      <c r="AI118" s="245" t="s">
        <v>424</v>
      </c>
      <c r="AJ118" s="245" t="s">
        <v>424</v>
      </c>
      <c r="AK118" s="245" t="s">
        <v>746</v>
      </c>
      <c r="AL118" s="260" t="s">
        <v>747</v>
      </c>
    </row>
    <row r="119" spans="1:38" s="235" customFormat="1" ht="48" hidden="1" customHeight="1" x14ac:dyDescent="0.3">
      <c r="A119" s="259" t="s">
        <v>1470</v>
      </c>
      <c r="B119" s="244" t="s">
        <v>1471</v>
      </c>
      <c r="C119" s="244" t="s">
        <v>1472</v>
      </c>
      <c r="D119" s="244" t="s">
        <v>1591</v>
      </c>
      <c r="E119" s="244" t="s">
        <v>1587</v>
      </c>
      <c r="F119" s="244" t="s">
        <v>422</v>
      </c>
      <c r="G119" s="244" t="s">
        <v>1469</v>
      </c>
      <c r="H119" s="245" t="s">
        <v>407</v>
      </c>
      <c r="I119" s="244" t="s">
        <v>292</v>
      </c>
      <c r="J119" s="244" t="s">
        <v>748</v>
      </c>
      <c r="K119" s="244" t="s">
        <v>614</v>
      </c>
      <c r="L119" s="244" t="s">
        <v>421</v>
      </c>
      <c r="M119" s="244" t="s">
        <v>460</v>
      </c>
      <c r="N119" s="244" t="s">
        <v>469</v>
      </c>
      <c r="O119" s="245" t="s">
        <v>423</v>
      </c>
      <c r="P119" s="245" t="s">
        <v>423</v>
      </c>
      <c r="Q119" s="244" t="s">
        <v>749</v>
      </c>
      <c r="R119" s="244" t="s">
        <v>184</v>
      </c>
      <c r="S119" s="252">
        <f t="shared" si="181"/>
        <v>1</v>
      </c>
      <c r="T119" s="244" t="s">
        <v>416</v>
      </c>
      <c r="U119" s="253">
        <f t="shared" si="177"/>
        <v>3</v>
      </c>
      <c r="V119" s="251">
        <f t="shared" si="178"/>
        <v>3</v>
      </c>
      <c r="W119" s="244" t="str">
        <f t="shared" si="182"/>
        <v>Bajo</v>
      </c>
      <c r="X119" s="244" t="s">
        <v>428</v>
      </c>
      <c r="Y119" s="253">
        <f t="shared" si="180"/>
        <v>10</v>
      </c>
      <c r="Z119" s="251">
        <f t="shared" si="183"/>
        <v>30</v>
      </c>
      <c r="AA119" s="244" t="str">
        <f t="shared" si="184"/>
        <v>Nivel IV: Riesgo Tolerable (Aceptable)</v>
      </c>
      <c r="AB119" s="244">
        <v>3</v>
      </c>
      <c r="AC119" s="244"/>
      <c r="AD119" s="244"/>
      <c r="AE119" s="244"/>
      <c r="AF119" s="251"/>
      <c r="AG119" s="251"/>
      <c r="AH119" s="245" t="s">
        <v>424</v>
      </c>
      <c r="AI119" s="245" t="s">
        <v>424</v>
      </c>
      <c r="AJ119" s="245" t="s">
        <v>424</v>
      </c>
      <c r="AK119" s="245" t="s">
        <v>746</v>
      </c>
      <c r="AL119" s="260" t="s">
        <v>747</v>
      </c>
    </row>
    <row r="120" spans="1:38" s="235" customFormat="1" ht="48" hidden="1" customHeight="1" x14ac:dyDescent="0.3">
      <c r="A120" s="259" t="s">
        <v>1470</v>
      </c>
      <c r="B120" s="244" t="s">
        <v>1471</v>
      </c>
      <c r="C120" s="244" t="s">
        <v>1472</v>
      </c>
      <c r="D120" s="244" t="s">
        <v>1591</v>
      </c>
      <c r="E120" s="244" t="s">
        <v>1587</v>
      </c>
      <c r="F120" s="244" t="s">
        <v>422</v>
      </c>
      <c r="G120" s="244" t="s">
        <v>1469</v>
      </c>
      <c r="H120" s="245" t="s">
        <v>407</v>
      </c>
      <c r="I120" s="244" t="s">
        <v>452</v>
      </c>
      <c r="J120" s="244" t="s">
        <v>754</v>
      </c>
      <c r="K120" s="244" t="s">
        <v>750</v>
      </c>
      <c r="L120" s="244" t="s">
        <v>421</v>
      </c>
      <c r="M120" s="244" t="s">
        <v>460</v>
      </c>
      <c r="N120" s="244" t="s">
        <v>469</v>
      </c>
      <c r="O120" s="245" t="s">
        <v>423</v>
      </c>
      <c r="P120" s="245" t="s">
        <v>423</v>
      </c>
      <c r="Q120" s="244" t="s">
        <v>749</v>
      </c>
      <c r="R120" s="244" t="s">
        <v>184</v>
      </c>
      <c r="S120" s="252">
        <f t="shared" si="181"/>
        <v>1</v>
      </c>
      <c r="T120" s="244" t="s">
        <v>186</v>
      </c>
      <c r="U120" s="253">
        <f t="shared" si="177"/>
        <v>4</v>
      </c>
      <c r="V120" s="251">
        <f t="shared" si="178"/>
        <v>4</v>
      </c>
      <c r="W120" s="244" t="str">
        <f t="shared" si="182"/>
        <v>Bajo</v>
      </c>
      <c r="X120" s="244" t="s">
        <v>428</v>
      </c>
      <c r="Y120" s="253">
        <f t="shared" si="180"/>
        <v>10</v>
      </c>
      <c r="Z120" s="251">
        <f t="shared" si="183"/>
        <v>40</v>
      </c>
      <c r="AA120" s="244" t="str">
        <f t="shared" si="184"/>
        <v>Nivel III: Riesgo Moderado (Aceptable)</v>
      </c>
      <c r="AB120" s="244">
        <v>3</v>
      </c>
      <c r="AC120" s="244"/>
      <c r="AD120" s="244"/>
      <c r="AE120" s="244"/>
      <c r="AF120" s="251"/>
      <c r="AG120" s="251"/>
      <c r="AH120" s="245" t="s">
        <v>424</v>
      </c>
      <c r="AI120" s="245" t="s">
        <v>751</v>
      </c>
      <c r="AJ120" s="245" t="s">
        <v>424</v>
      </c>
      <c r="AK120" s="245" t="s">
        <v>752</v>
      </c>
      <c r="AL120" s="260" t="s">
        <v>753</v>
      </c>
    </row>
    <row r="121" spans="1:38" s="235" customFormat="1" ht="48" hidden="1" customHeight="1" x14ac:dyDescent="0.3">
      <c r="A121" s="259" t="s">
        <v>1470</v>
      </c>
      <c r="B121" s="244" t="s">
        <v>1471</v>
      </c>
      <c r="C121" s="244" t="s">
        <v>1472</v>
      </c>
      <c r="D121" s="244" t="s">
        <v>1591</v>
      </c>
      <c r="E121" s="244" t="s">
        <v>1587</v>
      </c>
      <c r="F121" s="244" t="s">
        <v>422</v>
      </c>
      <c r="G121" s="244" t="s">
        <v>1469</v>
      </c>
      <c r="H121" s="245" t="s">
        <v>408</v>
      </c>
      <c r="I121" s="244" t="s">
        <v>289</v>
      </c>
      <c r="J121" s="244" t="s">
        <v>526</v>
      </c>
      <c r="K121" s="244" t="s">
        <v>472</v>
      </c>
      <c r="L121" s="244" t="s">
        <v>421</v>
      </c>
      <c r="M121" s="244" t="s">
        <v>460</v>
      </c>
      <c r="N121" s="244" t="s">
        <v>469</v>
      </c>
      <c r="O121" s="245" t="s">
        <v>423</v>
      </c>
      <c r="P121" s="245" t="s">
        <v>423</v>
      </c>
      <c r="Q121" s="244" t="s">
        <v>583</v>
      </c>
      <c r="R121" s="244" t="s">
        <v>185</v>
      </c>
      <c r="S121" s="252">
        <f t="shared" si="181"/>
        <v>2</v>
      </c>
      <c r="T121" s="244" t="s">
        <v>429</v>
      </c>
      <c r="U121" s="253">
        <f t="shared" si="177"/>
        <v>2</v>
      </c>
      <c r="V121" s="251">
        <f t="shared" si="178"/>
        <v>4</v>
      </c>
      <c r="W121" s="244" t="str">
        <f t="shared" ref="W121:W122" si="185">IF(AND(V121&gt;=0,V121&lt;=4),"Bajo",IF(AND(V121&gt;=6,V121&lt;=8),"Medio",IF(AND(V121&gt;=10,V121&lt;=20),"Alto",IF(AND(V121&gt;=20,V121&lt;=40),"Muy Alto",))))</f>
        <v>Bajo</v>
      </c>
      <c r="X121" s="244" t="s">
        <v>428</v>
      </c>
      <c r="Y121" s="253">
        <f t="shared" si="180"/>
        <v>10</v>
      </c>
      <c r="Z121" s="251">
        <f t="shared" si="183"/>
        <v>40</v>
      </c>
      <c r="AA121" s="244" t="str">
        <f t="shared" si="184"/>
        <v>Nivel III: Riesgo Moderado (Aceptable)</v>
      </c>
      <c r="AB121" s="244">
        <v>3</v>
      </c>
      <c r="AC121" s="244"/>
      <c r="AD121" s="244"/>
      <c r="AE121" s="244"/>
      <c r="AF121" s="251"/>
      <c r="AG121" s="251"/>
      <c r="AH121" s="245" t="s">
        <v>424</v>
      </c>
      <c r="AI121" s="245" t="s">
        <v>424</v>
      </c>
      <c r="AJ121" s="245" t="s">
        <v>424</v>
      </c>
      <c r="AK121" s="245" t="s">
        <v>542</v>
      </c>
      <c r="AL121" s="260" t="s">
        <v>491</v>
      </c>
    </row>
    <row r="122" spans="1:38" s="235" customFormat="1" ht="48" hidden="1" customHeight="1" x14ac:dyDescent="0.3">
      <c r="A122" s="259" t="s">
        <v>1470</v>
      </c>
      <c r="B122" s="244" t="s">
        <v>1471</v>
      </c>
      <c r="C122" s="244" t="s">
        <v>1472</v>
      </c>
      <c r="D122" s="244" t="s">
        <v>1591</v>
      </c>
      <c r="E122" s="244" t="s">
        <v>1587</v>
      </c>
      <c r="F122" s="244" t="s">
        <v>422</v>
      </c>
      <c r="G122" s="244" t="s">
        <v>1469</v>
      </c>
      <c r="H122" s="245" t="s">
        <v>408</v>
      </c>
      <c r="I122" s="244" t="s">
        <v>405</v>
      </c>
      <c r="J122" s="244" t="s">
        <v>584</v>
      </c>
      <c r="K122" s="244" t="s">
        <v>472</v>
      </c>
      <c r="L122" s="244" t="s">
        <v>421</v>
      </c>
      <c r="M122" s="244" t="s">
        <v>460</v>
      </c>
      <c r="N122" s="244" t="s">
        <v>469</v>
      </c>
      <c r="O122" s="245" t="s">
        <v>423</v>
      </c>
      <c r="P122" s="245" t="s">
        <v>423</v>
      </c>
      <c r="Q122" s="244" t="s">
        <v>511</v>
      </c>
      <c r="R122" s="244" t="s">
        <v>185</v>
      </c>
      <c r="S122" s="252">
        <f t="shared" si="181"/>
        <v>2</v>
      </c>
      <c r="T122" s="244" t="s">
        <v>186</v>
      </c>
      <c r="U122" s="253">
        <f t="shared" si="177"/>
        <v>4</v>
      </c>
      <c r="V122" s="251">
        <f t="shared" si="178"/>
        <v>8</v>
      </c>
      <c r="W122" s="244" t="str">
        <f t="shared" si="185"/>
        <v>Medio</v>
      </c>
      <c r="X122" s="244" t="s">
        <v>428</v>
      </c>
      <c r="Y122" s="253">
        <f t="shared" si="180"/>
        <v>10</v>
      </c>
      <c r="Z122" s="251">
        <f t="shared" si="183"/>
        <v>80</v>
      </c>
      <c r="AA122" s="244" t="str">
        <f t="shared" si="184"/>
        <v>Nivel III: Riesgo Moderado (Aceptable)</v>
      </c>
      <c r="AB122" s="244">
        <v>3</v>
      </c>
      <c r="AC122" s="244"/>
      <c r="AD122" s="244"/>
      <c r="AE122" s="244"/>
      <c r="AF122" s="251"/>
      <c r="AG122" s="251"/>
      <c r="AH122" s="245" t="s">
        <v>424</v>
      </c>
      <c r="AI122" s="245" t="s">
        <v>424</v>
      </c>
      <c r="AJ122" s="245" t="s">
        <v>424</v>
      </c>
      <c r="AK122" s="245" t="s">
        <v>484</v>
      </c>
      <c r="AL122" s="260" t="s">
        <v>491</v>
      </c>
    </row>
    <row r="123" spans="1:38" s="235" customFormat="1" ht="135" hidden="1" customHeight="1" x14ac:dyDescent="0.3">
      <c r="A123" s="259" t="s">
        <v>1470</v>
      </c>
      <c r="B123" s="244" t="s">
        <v>1471</v>
      </c>
      <c r="C123" s="244" t="s">
        <v>1472</v>
      </c>
      <c r="D123" s="244" t="s">
        <v>1591</v>
      </c>
      <c r="E123" s="244" t="s">
        <v>1587</v>
      </c>
      <c r="F123" s="244" t="s">
        <v>422</v>
      </c>
      <c r="G123" s="244" t="s">
        <v>1469</v>
      </c>
      <c r="H123" s="245" t="s">
        <v>433</v>
      </c>
      <c r="I123" s="244" t="s">
        <v>853</v>
      </c>
      <c r="J123" s="244" t="s">
        <v>755</v>
      </c>
      <c r="K123" s="244" t="s">
        <v>756</v>
      </c>
      <c r="L123" s="244" t="s">
        <v>529</v>
      </c>
      <c r="M123" s="244" t="s">
        <v>460</v>
      </c>
      <c r="N123" s="244" t="s">
        <v>469</v>
      </c>
      <c r="O123" s="245" t="s">
        <v>423</v>
      </c>
      <c r="P123" s="245" t="s">
        <v>757</v>
      </c>
      <c r="Q123" s="244" t="s">
        <v>758</v>
      </c>
      <c r="R123" s="244" t="s">
        <v>185</v>
      </c>
      <c r="S123" s="252">
        <f t="shared" si="181"/>
        <v>2</v>
      </c>
      <c r="T123" s="244" t="s">
        <v>416</v>
      </c>
      <c r="U123" s="253">
        <f t="shared" si="177"/>
        <v>3</v>
      </c>
      <c r="V123" s="251">
        <f t="shared" si="178"/>
        <v>6</v>
      </c>
      <c r="W123" s="244" t="str">
        <f>IF(AND(V123&gt;=0,V123&lt;=4),"Bajo",IF(AND(V123&gt;=6,V123&lt;=8),"Medio",IF(AND(V123&gt;=10,V123&lt;=20),"Alto",IF(AND(V123&gt;=20,V123&lt;=40),"Muy Alto",))))</f>
        <v>Medio</v>
      </c>
      <c r="X123" s="244" t="s">
        <v>428</v>
      </c>
      <c r="Y123" s="253">
        <f t="shared" si="180"/>
        <v>10</v>
      </c>
      <c r="Z123" s="251">
        <f t="shared" si="183"/>
        <v>60</v>
      </c>
      <c r="AA123" s="244" t="str">
        <f t="shared" si="184"/>
        <v>Nivel III: Riesgo Moderado (Aceptable)</v>
      </c>
      <c r="AB123" s="244">
        <v>3</v>
      </c>
      <c r="AC123" s="244"/>
      <c r="AD123" s="244"/>
      <c r="AE123" s="244"/>
      <c r="AF123" s="251"/>
      <c r="AG123" s="251"/>
      <c r="AH123" s="245" t="s">
        <v>424</v>
      </c>
      <c r="AI123" s="245" t="s">
        <v>424</v>
      </c>
      <c r="AJ123" s="245" t="s">
        <v>424</v>
      </c>
      <c r="AK123" s="245" t="s">
        <v>759</v>
      </c>
      <c r="AL123" s="260"/>
    </row>
    <row r="124" spans="1:38" s="235" customFormat="1" ht="83.25" hidden="1" customHeight="1" x14ac:dyDescent="0.3">
      <c r="A124" s="259" t="s">
        <v>1470</v>
      </c>
      <c r="B124" s="244" t="s">
        <v>1471</v>
      </c>
      <c r="C124" s="244" t="s">
        <v>1472</v>
      </c>
      <c r="D124" s="244" t="s">
        <v>1591</v>
      </c>
      <c r="E124" s="244" t="s">
        <v>1587</v>
      </c>
      <c r="F124" s="244" t="s">
        <v>422</v>
      </c>
      <c r="G124" s="244" t="s">
        <v>1469</v>
      </c>
      <c r="H124" s="245" t="s">
        <v>409</v>
      </c>
      <c r="I124" s="244" t="s">
        <v>296</v>
      </c>
      <c r="J124" s="244" t="s">
        <v>761</v>
      </c>
      <c r="K124" s="244" t="s">
        <v>866</v>
      </c>
      <c r="L124" s="244" t="s">
        <v>421</v>
      </c>
      <c r="M124" s="244" t="s">
        <v>460</v>
      </c>
      <c r="N124" s="244" t="s">
        <v>469</v>
      </c>
      <c r="O124" s="245" t="s">
        <v>423</v>
      </c>
      <c r="P124" s="245" t="s">
        <v>867</v>
      </c>
      <c r="Q124" s="244" t="s">
        <v>762</v>
      </c>
      <c r="R124" s="244" t="s">
        <v>185</v>
      </c>
      <c r="S124" s="252">
        <f t="shared" si="181"/>
        <v>2</v>
      </c>
      <c r="T124" s="244" t="s">
        <v>186</v>
      </c>
      <c r="U124" s="253">
        <f t="shared" si="177"/>
        <v>4</v>
      </c>
      <c r="V124" s="251">
        <f t="shared" ref="V124:V126" si="186">S124*U124</f>
        <v>8</v>
      </c>
      <c r="W124" s="244" t="str">
        <f>IF(AND(V124&gt;=0,V124&lt;=4),"Bajo",IF(AND(V124&gt;=6,V124&lt;=8),"Medio",IF(AND(V124&gt;=10,V124&lt;=20),"Alto",IF(AND(V124&gt;=20,V124&lt;=40),"Muy Alto",))))</f>
        <v>Medio</v>
      </c>
      <c r="X124" s="244" t="s">
        <v>428</v>
      </c>
      <c r="Y124" s="253">
        <f t="shared" si="180"/>
        <v>10</v>
      </c>
      <c r="Z124" s="251">
        <f t="shared" si="183"/>
        <v>80</v>
      </c>
      <c r="AA124" s="244" t="str">
        <f t="shared" si="184"/>
        <v>Nivel III: Riesgo Moderado (Aceptable)</v>
      </c>
      <c r="AB124" s="244">
        <v>3</v>
      </c>
      <c r="AC124" s="244"/>
      <c r="AD124" s="244"/>
      <c r="AE124" s="244"/>
      <c r="AF124" s="251"/>
      <c r="AG124" s="251"/>
      <c r="AH124" s="245" t="s">
        <v>424</v>
      </c>
      <c r="AI124" s="245" t="s">
        <v>424</v>
      </c>
      <c r="AJ124" s="245" t="s">
        <v>868</v>
      </c>
      <c r="AK124" s="245" t="s">
        <v>763</v>
      </c>
      <c r="AL124" s="260" t="s">
        <v>600</v>
      </c>
    </row>
    <row r="125" spans="1:38" s="235" customFormat="1" ht="63.75" hidden="1" customHeight="1" x14ac:dyDescent="0.3">
      <c r="A125" s="259" t="s">
        <v>1470</v>
      </c>
      <c r="B125" s="244" t="s">
        <v>1471</v>
      </c>
      <c r="C125" s="244" t="s">
        <v>1472</v>
      </c>
      <c r="D125" s="244" t="s">
        <v>1591</v>
      </c>
      <c r="E125" s="244" t="s">
        <v>1587</v>
      </c>
      <c r="F125" s="244" t="s">
        <v>422</v>
      </c>
      <c r="G125" s="244" t="s">
        <v>1469</v>
      </c>
      <c r="H125" s="245" t="s">
        <v>412</v>
      </c>
      <c r="I125" s="244" t="s">
        <v>715</v>
      </c>
      <c r="J125" s="244" t="s">
        <v>764</v>
      </c>
      <c r="K125" s="244" t="s">
        <v>765</v>
      </c>
      <c r="L125" s="244" t="s">
        <v>421</v>
      </c>
      <c r="M125" s="244" t="s">
        <v>460</v>
      </c>
      <c r="N125" s="244" t="s">
        <v>469</v>
      </c>
      <c r="O125" s="245" t="s">
        <v>423</v>
      </c>
      <c r="P125" s="245" t="s">
        <v>869</v>
      </c>
      <c r="Q125" s="244" t="s">
        <v>766</v>
      </c>
      <c r="R125" s="244" t="s">
        <v>185</v>
      </c>
      <c r="S125" s="252">
        <f t="shared" si="181"/>
        <v>2</v>
      </c>
      <c r="T125" s="244" t="s">
        <v>186</v>
      </c>
      <c r="U125" s="253">
        <f t="shared" si="177"/>
        <v>4</v>
      </c>
      <c r="V125" s="251">
        <f t="shared" si="186"/>
        <v>8</v>
      </c>
      <c r="W125" s="244" t="str">
        <f>IF(AND(V125&gt;=0,V125&lt;=4),"Bajo",IF(AND(V125&gt;=6,V125&lt;=8),"Medio",IF(AND(V125&gt;=10,V125&lt;=20),"Alto",IF(AND(V125&gt;=20,V125&lt;=40),"Muy Alto",))))</f>
        <v>Medio</v>
      </c>
      <c r="X125" s="244" t="s">
        <v>428</v>
      </c>
      <c r="Y125" s="253">
        <f t="shared" si="180"/>
        <v>10</v>
      </c>
      <c r="Z125" s="251">
        <f t="shared" si="183"/>
        <v>80</v>
      </c>
      <c r="AA125" s="244" t="str">
        <f t="shared" si="184"/>
        <v>Nivel III: Riesgo Moderado (Aceptable)</v>
      </c>
      <c r="AB125" s="244">
        <v>3</v>
      </c>
      <c r="AC125" s="244"/>
      <c r="AD125" s="244"/>
      <c r="AE125" s="244"/>
      <c r="AF125" s="251"/>
      <c r="AG125" s="251"/>
      <c r="AH125" s="245" t="s">
        <v>424</v>
      </c>
      <c r="AI125" s="245" t="s">
        <v>424</v>
      </c>
      <c r="AJ125" s="245"/>
      <c r="AK125" s="245" t="s">
        <v>767</v>
      </c>
      <c r="AL125" s="260" t="s">
        <v>729</v>
      </c>
    </row>
    <row r="126" spans="1:38" s="235" customFormat="1" ht="96.75" hidden="1" customHeight="1" x14ac:dyDescent="0.3">
      <c r="A126" s="259" t="s">
        <v>1470</v>
      </c>
      <c r="B126" s="244" t="s">
        <v>1471</v>
      </c>
      <c r="C126" s="244" t="s">
        <v>1472</v>
      </c>
      <c r="D126" s="244" t="s">
        <v>1591</v>
      </c>
      <c r="E126" s="244" t="s">
        <v>1587</v>
      </c>
      <c r="F126" s="244" t="s">
        <v>461</v>
      </c>
      <c r="G126" s="244" t="s">
        <v>1469</v>
      </c>
      <c r="H126" s="245" t="s">
        <v>412</v>
      </c>
      <c r="I126" s="244" t="s">
        <v>719</v>
      </c>
      <c r="J126" s="244" t="s">
        <v>870</v>
      </c>
      <c r="K126" s="244" t="s">
        <v>768</v>
      </c>
      <c r="L126" s="244" t="s">
        <v>421</v>
      </c>
      <c r="M126" s="244" t="s">
        <v>460</v>
      </c>
      <c r="N126" s="244" t="s">
        <v>469</v>
      </c>
      <c r="O126" s="245" t="s">
        <v>423</v>
      </c>
      <c r="P126" s="245" t="s">
        <v>769</v>
      </c>
      <c r="Q126" s="244" t="s">
        <v>770</v>
      </c>
      <c r="R126" s="244" t="s">
        <v>184</v>
      </c>
      <c r="S126" s="252">
        <f t="shared" si="181"/>
        <v>1</v>
      </c>
      <c r="T126" s="244" t="s">
        <v>186</v>
      </c>
      <c r="U126" s="253">
        <f t="shared" si="177"/>
        <v>4</v>
      </c>
      <c r="V126" s="251">
        <f t="shared" si="186"/>
        <v>4</v>
      </c>
      <c r="W126" s="244" t="str">
        <f>IF(AND(V126&gt;=0,V126&lt;=4),"Bajo",IF(AND(V126&gt;=6,V126&lt;=8),"Medio",IF(AND(V126&gt;=10,V126&lt;=20),"Alto",IF(AND(V126&gt;=20,V126&lt;=40),"Muy Alto",))))</f>
        <v>Bajo</v>
      </c>
      <c r="X126" s="244" t="s">
        <v>187</v>
      </c>
      <c r="Y126" s="253">
        <f t="shared" si="180"/>
        <v>25</v>
      </c>
      <c r="Z126" s="251">
        <f t="shared" si="183"/>
        <v>100</v>
      </c>
      <c r="AA126" s="244" t="str">
        <f t="shared" si="184"/>
        <v>Nivel III: Riesgo Moderado (Aceptable)</v>
      </c>
      <c r="AB126" s="244">
        <v>3</v>
      </c>
      <c r="AC126" s="244"/>
      <c r="AD126" s="244"/>
      <c r="AE126" s="244"/>
      <c r="AF126" s="251"/>
      <c r="AG126" s="251"/>
      <c r="AH126" s="245" t="s">
        <v>424</v>
      </c>
      <c r="AI126" s="245" t="s">
        <v>424</v>
      </c>
      <c r="AJ126" s="245" t="s">
        <v>771</v>
      </c>
      <c r="AK126" s="245" t="s">
        <v>871</v>
      </c>
      <c r="AL126" s="260" t="s">
        <v>772</v>
      </c>
    </row>
    <row r="127" spans="1:38" s="235" customFormat="1" ht="63.75" hidden="1" customHeight="1" x14ac:dyDescent="0.3">
      <c r="A127" s="259" t="s">
        <v>1470</v>
      </c>
      <c r="B127" s="244" t="s">
        <v>1471</v>
      </c>
      <c r="C127" s="244" t="s">
        <v>1472</v>
      </c>
      <c r="D127" s="244" t="s">
        <v>1591</v>
      </c>
      <c r="E127" s="244" t="s">
        <v>1587</v>
      </c>
      <c r="F127" s="244" t="s">
        <v>422</v>
      </c>
      <c r="G127" s="244" t="s">
        <v>1469</v>
      </c>
      <c r="H127" s="245" t="s">
        <v>413</v>
      </c>
      <c r="I127" s="244" t="s">
        <v>1380</v>
      </c>
      <c r="J127" s="244" t="s">
        <v>1442</v>
      </c>
      <c r="K127" s="244" t="s">
        <v>602</v>
      </c>
      <c r="L127" s="244" t="s">
        <v>421</v>
      </c>
      <c r="M127" s="244" t="s">
        <v>460</v>
      </c>
      <c r="N127" s="244" t="s">
        <v>469</v>
      </c>
      <c r="O127" s="245" t="s">
        <v>423</v>
      </c>
      <c r="P127" s="245" t="s">
        <v>423</v>
      </c>
      <c r="Q127" s="244" t="s">
        <v>601</v>
      </c>
      <c r="R127" s="244" t="s">
        <v>184</v>
      </c>
      <c r="S127" s="252">
        <f>IF(R127="Muy Alto",10,IF(R127="Alto",6,IF(R127="Medio",2,IF(R127="Bajo",1,))))</f>
        <v>1</v>
      </c>
      <c r="T127" s="244" t="s">
        <v>485</v>
      </c>
      <c r="U127" s="253">
        <f>IF(T127="Continua",4,IF(T127="Frecuente",3,IF(T127="Ocasional",2,IF(T127="Esporádica",1,))))</f>
        <v>1</v>
      </c>
      <c r="V127" s="251">
        <f>S127*U127</f>
        <v>1</v>
      </c>
      <c r="W127" s="244" t="str">
        <f>IF(AND(V127&gt;=0,V127&lt;=4),"Bajo",IF(AND(V127&gt;=6,V127&lt;=8),"Medio",IF(AND(V127&gt;=10,V127&lt;=20),"Alto",IF(AND(V127&gt;=20,V127&lt;=40),"Muy Alto",))))</f>
        <v>Bajo</v>
      </c>
      <c r="X127" s="244" t="s">
        <v>428</v>
      </c>
      <c r="Y127" s="253">
        <f>IF(X127="Mortal o catastrófico",100,IF(X127="Muy grave",60,IF(X127="Grave",25,IF(X127="Leve",10,))))</f>
        <v>10</v>
      </c>
      <c r="Z127" s="251">
        <f>V127*Y127</f>
        <v>10</v>
      </c>
      <c r="AA127" s="244" t="str">
        <f>IF(AND(Z127&gt;=600,Z127&lt;=4000),"Nivel I: Riesgo Inaceptable",IF(AND(Z127&gt;=150,Z127&lt;=500),"Nivel II: Riesgo Importante",IF(AND(Z127&gt;=40,Z127&lt;=120),"Nivel III: Riesgo Moderado (Aceptable)","Nivel IV: Riesgo Tolerable (Aceptable)")))</f>
        <v>Nivel IV: Riesgo Tolerable (Aceptable)</v>
      </c>
      <c r="AB127" s="244">
        <v>3</v>
      </c>
      <c r="AC127" s="244"/>
      <c r="AD127" s="244"/>
      <c r="AE127" s="244"/>
      <c r="AF127" s="251"/>
      <c r="AG127" s="251"/>
      <c r="AH127" s="245" t="s">
        <v>424</v>
      </c>
      <c r="AI127" s="245" t="s">
        <v>424</v>
      </c>
      <c r="AJ127" s="245" t="s">
        <v>424</v>
      </c>
      <c r="AK127" s="245" t="s">
        <v>826</v>
      </c>
      <c r="AL127" s="260" t="s">
        <v>600</v>
      </c>
    </row>
    <row r="128" spans="1:38" s="235" customFormat="1" ht="63.75" hidden="1" customHeight="1" x14ac:dyDescent="0.3">
      <c r="A128" s="259" t="s">
        <v>1470</v>
      </c>
      <c r="B128" s="244" t="s">
        <v>1471</v>
      </c>
      <c r="C128" s="244" t="s">
        <v>1472</v>
      </c>
      <c r="D128" s="244" t="s">
        <v>1591</v>
      </c>
      <c r="E128" s="244" t="s">
        <v>1587</v>
      </c>
      <c r="F128" s="244" t="s">
        <v>422</v>
      </c>
      <c r="G128" s="244" t="s">
        <v>1469</v>
      </c>
      <c r="H128" s="245" t="s">
        <v>413</v>
      </c>
      <c r="I128" s="244" t="s">
        <v>1378</v>
      </c>
      <c r="J128" s="244" t="s">
        <v>1463</v>
      </c>
      <c r="K128" s="244" t="s">
        <v>602</v>
      </c>
      <c r="L128" s="244" t="s">
        <v>421</v>
      </c>
      <c r="M128" s="244" t="s">
        <v>460</v>
      </c>
      <c r="N128" s="244" t="s">
        <v>469</v>
      </c>
      <c r="O128" s="245" t="s">
        <v>423</v>
      </c>
      <c r="P128" s="245" t="s">
        <v>423</v>
      </c>
      <c r="Q128" s="244" t="s">
        <v>601</v>
      </c>
      <c r="R128" s="244" t="s">
        <v>184</v>
      </c>
      <c r="S128" s="252">
        <f t="shared" ref="S128:S132" si="187">IF(R128="Muy Alto",10,IF(R128="Alto",6,IF(R128="Medio",2,IF(R128="Bajo",1,))))</f>
        <v>1</v>
      </c>
      <c r="T128" s="244" t="s">
        <v>485</v>
      </c>
      <c r="U128" s="253">
        <f t="shared" ref="U128:U132" si="188">IF(T128="Continua",4,IF(T128="Frecuente",3,IF(T128="Ocasional",2,IF(T128="Esporádica",1,))))</f>
        <v>1</v>
      </c>
      <c r="V128" s="251">
        <f t="shared" ref="V128:V132" si="189">S128*U128</f>
        <v>1</v>
      </c>
      <c r="W128" s="244" t="str">
        <f t="shared" ref="W128:W132" si="190">IF(AND(V128&gt;=0,V128&lt;=4),"Bajo",IF(AND(V128&gt;=6,V128&lt;=8),"Medio",IF(AND(V128&gt;=10,V128&lt;=20),"Alto",IF(AND(V128&gt;=20,V128&lt;=40),"Muy Alto",))))</f>
        <v>Bajo</v>
      </c>
      <c r="X128" s="244" t="s">
        <v>428</v>
      </c>
      <c r="Y128" s="253">
        <f t="shared" ref="Y128:Y132" si="191">IF(X128="Mortal o catastrófico",100,IF(X128="Muy grave",60,IF(X128="Grave",25,IF(X128="Leve",10,))))</f>
        <v>10</v>
      </c>
      <c r="Z128" s="251">
        <f t="shared" ref="Z128:Z132" si="192">V128*Y128</f>
        <v>10</v>
      </c>
      <c r="AA128" s="244" t="str">
        <f t="shared" ref="AA128:AA132" si="193">IF(AND(Z128&gt;=600,Z128&lt;=4000),"Nivel I: Riesgo Inaceptable",IF(AND(Z128&gt;=150,Z128&lt;=500),"Nivel II: Riesgo Importante",IF(AND(Z128&gt;=40,Z128&lt;=120),"Nivel III: Riesgo Moderado (Aceptable)","Nivel IV: Riesgo Tolerable (Aceptable)")))</f>
        <v>Nivel IV: Riesgo Tolerable (Aceptable)</v>
      </c>
      <c r="AB128" s="244">
        <v>3</v>
      </c>
      <c r="AC128" s="244"/>
      <c r="AD128" s="244"/>
      <c r="AE128" s="244"/>
      <c r="AF128" s="251"/>
      <c r="AG128" s="251"/>
      <c r="AH128" s="245" t="s">
        <v>424</v>
      </c>
      <c r="AI128" s="245" t="s">
        <v>424</v>
      </c>
      <c r="AJ128" s="245" t="s">
        <v>424</v>
      </c>
      <c r="AK128" s="245" t="s">
        <v>826</v>
      </c>
      <c r="AL128" s="260" t="s">
        <v>600</v>
      </c>
    </row>
    <row r="129" spans="1:38" s="235" customFormat="1" ht="63.75" hidden="1" customHeight="1" x14ac:dyDescent="0.3">
      <c r="A129" s="259" t="s">
        <v>1470</v>
      </c>
      <c r="B129" s="244" t="s">
        <v>1471</v>
      </c>
      <c r="C129" s="244" t="s">
        <v>1472</v>
      </c>
      <c r="D129" s="244" t="s">
        <v>1591</v>
      </c>
      <c r="E129" s="244" t="s">
        <v>1587</v>
      </c>
      <c r="F129" s="244" t="s">
        <v>422</v>
      </c>
      <c r="G129" s="244" t="s">
        <v>1469</v>
      </c>
      <c r="H129" s="245" t="s">
        <v>414</v>
      </c>
      <c r="I129" s="244" t="s">
        <v>578</v>
      </c>
      <c r="J129" s="244" t="s">
        <v>773</v>
      </c>
      <c r="K129" s="244" t="s">
        <v>829</v>
      </c>
      <c r="L129" s="244" t="s">
        <v>421</v>
      </c>
      <c r="M129" s="244" t="s">
        <v>460</v>
      </c>
      <c r="N129" s="244" t="s">
        <v>469</v>
      </c>
      <c r="O129" s="245" t="s">
        <v>423</v>
      </c>
      <c r="P129" s="245" t="s">
        <v>774</v>
      </c>
      <c r="Q129" s="244" t="s">
        <v>775</v>
      </c>
      <c r="R129" s="244" t="s">
        <v>184</v>
      </c>
      <c r="S129" s="252">
        <f t="shared" si="187"/>
        <v>1</v>
      </c>
      <c r="T129" s="244" t="s">
        <v>186</v>
      </c>
      <c r="U129" s="253">
        <f t="shared" si="188"/>
        <v>4</v>
      </c>
      <c r="V129" s="251">
        <f t="shared" si="189"/>
        <v>4</v>
      </c>
      <c r="W129" s="244" t="str">
        <f t="shared" si="190"/>
        <v>Bajo</v>
      </c>
      <c r="X129" s="244" t="s">
        <v>187</v>
      </c>
      <c r="Y129" s="253">
        <f t="shared" si="191"/>
        <v>25</v>
      </c>
      <c r="Z129" s="251">
        <f t="shared" si="192"/>
        <v>100</v>
      </c>
      <c r="AA129" s="244" t="str">
        <f t="shared" si="193"/>
        <v>Nivel III: Riesgo Moderado (Aceptable)</v>
      </c>
      <c r="AB129" s="244">
        <v>3</v>
      </c>
      <c r="AC129" s="244"/>
      <c r="AD129" s="244"/>
      <c r="AE129" s="244"/>
      <c r="AF129" s="251"/>
      <c r="AG129" s="251"/>
      <c r="AH129" s="245" t="s">
        <v>424</v>
      </c>
      <c r="AI129" s="245" t="s">
        <v>424</v>
      </c>
      <c r="AJ129" s="245" t="s">
        <v>424</v>
      </c>
      <c r="AK129" s="245" t="s">
        <v>776</v>
      </c>
      <c r="AL129" s="260" t="s">
        <v>600</v>
      </c>
    </row>
    <row r="130" spans="1:38" s="235" customFormat="1" ht="63.75" hidden="1" customHeight="1" x14ac:dyDescent="0.3">
      <c r="A130" s="259" t="s">
        <v>1470</v>
      </c>
      <c r="B130" s="244" t="s">
        <v>1471</v>
      </c>
      <c r="C130" s="244" t="s">
        <v>1472</v>
      </c>
      <c r="D130" s="244" t="s">
        <v>1591</v>
      </c>
      <c r="E130" s="244" t="s">
        <v>1587</v>
      </c>
      <c r="F130" s="244" t="s">
        <v>461</v>
      </c>
      <c r="G130" s="244" t="s">
        <v>1469</v>
      </c>
      <c r="H130" s="245" t="s">
        <v>449</v>
      </c>
      <c r="I130" s="244" t="s">
        <v>591</v>
      </c>
      <c r="J130" s="244" t="s">
        <v>547</v>
      </c>
      <c r="K130" s="244" t="s">
        <v>548</v>
      </c>
      <c r="L130" s="244" t="s">
        <v>421</v>
      </c>
      <c r="M130" s="244" t="s">
        <v>460</v>
      </c>
      <c r="N130" s="244" t="s">
        <v>469</v>
      </c>
      <c r="O130" s="245" t="s">
        <v>423</v>
      </c>
      <c r="P130" s="245" t="s">
        <v>550</v>
      </c>
      <c r="Q130" s="244" t="s">
        <v>549</v>
      </c>
      <c r="R130" s="244" t="s">
        <v>184</v>
      </c>
      <c r="S130" s="252">
        <f t="shared" si="187"/>
        <v>1</v>
      </c>
      <c r="T130" s="244" t="s">
        <v>429</v>
      </c>
      <c r="U130" s="253">
        <f t="shared" si="188"/>
        <v>2</v>
      </c>
      <c r="V130" s="251">
        <f t="shared" si="189"/>
        <v>2</v>
      </c>
      <c r="W130" s="244" t="str">
        <f t="shared" si="190"/>
        <v>Bajo</v>
      </c>
      <c r="X130" s="244" t="s">
        <v>187</v>
      </c>
      <c r="Y130" s="253">
        <f t="shared" si="191"/>
        <v>25</v>
      </c>
      <c r="Z130" s="251">
        <f t="shared" si="192"/>
        <v>50</v>
      </c>
      <c r="AA130" s="244" t="str">
        <f t="shared" si="193"/>
        <v>Nivel III: Riesgo Moderado (Aceptable)</v>
      </c>
      <c r="AB130" s="244">
        <v>3</v>
      </c>
      <c r="AC130" s="244"/>
      <c r="AD130" s="244"/>
      <c r="AE130" s="244"/>
      <c r="AF130" s="251"/>
      <c r="AG130" s="251"/>
      <c r="AH130" s="245" t="s">
        <v>424</v>
      </c>
      <c r="AI130" s="245" t="s">
        <v>424</v>
      </c>
      <c r="AJ130" s="245" t="s">
        <v>424</v>
      </c>
      <c r="AK130" s="245" t="s">
        <v>551</v>
      </c>
      <c r="AL130" s="260" t="s">
        <v>600</v>
      </c>
    </row>
    <row r="131" spans="1:38" s="235" customFormat="1" ht="63.75" hidden="1" customHeight="1" x14ac:dyDescent="0.3">
      <c r="A131" s="259" t="s">
        <v>1470</v>
      </c>
      <c r="B131" s="244" t="s">
        <v>1471</v>
      </c>
      <c r="C131" s="244" t="s">
        <v>1472</v>
      </c>
      <c r="D131" s="244" t="s">
        <v>1591</v>
      </c>
      <c r="E131" s="244" t="s">
        <v>1587</v>
      </c>
      <c r="F131" s="244" t="s">
        <v>461</v>
      </c>
      <c r="G131" s="244" t="s">
        <v>1469</v>
      </c>
      <c r="H131" s="245" t="s">
        <v>449</v>
      </c>
      <c r="I131" s="244" t="s">
        <v>448</v>
      </c>
      <c r="J131" s="244" t="s">
        <v>552</v>
      </c>
      <c r="K131" s="244" t="s">
        <v>553</v>
      </c>
      <c r="L131" s="244" t="s">
        <v>421</v>
      </c>
      <c r="M131" s="244" t="s">
        <v>460</v>
      </c>
      <c r="N131" s="244" t="s">
        <v>469</v>
      </c>
      <c r="O131" s="245" t="s">
        <v>423</v>
      </c>
      <c r="P131" s="245" t="s">
        <v>554</v>
      </c>
      <c r="Q131" s="244" t="s">
        <v>555</v>
      </c>
      <c r="R131" s="244" t="s">
        <v>184</v>
      </c>
      <c r="S131" s="252">
        <f t="shared" si="187"/>
        <v>1</v>
      </c>
      <c r="T131" s="244" t="s">
        <v>429</v>
      </c>
      <c r="U131" s="253">
        <f t="shared" si="188"/>
        <v>2</v>
      </c>
      <c r="V131" s="251">
        <f t="shared" si="189"/>
        <v>2</v>
      </c>
      <c r="W131" s="244" t="str">
        <f t="shared" si="190"/>
        <v>Bajo</v>
      </c>
      <c r="X131" s="244" t="s">
        <v>187</v>
      </c>
      <c r="Y131" s="253">
        <f t="shared" si="191"/>
        <v>25</v>
      </c>
      <c r="Z131" s="251">
        <f t="shared" si="192"/>
        <v>50</v>
      </c>
      <c r="AA131" s="244" t="str">
        <f t="shared" si="193"/>
        <v>Nivel III: Riesgo Moderado (Aceptable)</v>
      </c>
      <c r="AB131" s="244">
        <v>3</v>
      </c>
      <c r="AC131" s="244"/>
      <c r="AD131" s="244"/>
      <c r="AE131" s="244"/>
      <c r="AF131" s="251"/>
      <c r="AG131" s="251"/>
      <c r="AH131" s="245" t="s">
        <v>424</v>
      </c>
      <c r="AI131" s="245" t="s">
        <v>424</v>
      </c>
      <c r="AJ131" s="245" t="s">
        <v>424</v>
      </c>
      <c r="AK131" s="245" t="s">
        <v>551</v>
      </c>
      <c r="AL131" s="260" t="s">
        <v>600</v>
      </c>
    </row>
    <row r="132" spans="1:38" s="235" customFormat="1" ht="63.75" hidden="1" customHeight="1" x14ac:dyDescent="0.3">
      <c r="A132" s="259" t="s">
        <v>1470</v>
      </c>
      <c r="B132" s="244" t="s">
        <v>1471</v>
      </c>
      <c r="C132" s="244" t="s">
        <v>1472</v>
      </c>
      <c r="D132" s="244" t="s">
        <v>1591</v>
      </c>
      <c r="E132" s="244" t="s">
        <v>1587</v>
      </c>
      <c r="F132" s="244" t="s">
        <v>461</v>
      </c>
      <c r="G132" s="244" t="s">
        <v>1469</v>
      </c>
      <c r="H132" s="245" t="s">
        <v>449</v>
      </c>
      <c r="I132" s="244" t="s">
        <v>546</v>
      </c>
      <c r="J132" s="244" t="s">
        <v>552</v>
      </c>
      <c r="K132" s="244" t="s">
        <v>553</v>
      </c>
      <c r="L132" s="244" t="s">
        <v>421</v>
      </c>
      <c r="M132" s="244" t="s">
        <v>460</v>
      </c>
      <c r="N132" s="244" t="s">
        <v>469</v>
      </c>
      <c r="O132" s="245" t="s">
        <v>423</v>
      </c>
      <c r="P132" s="245" t="s">
        <v>554</v>
      </c>
      <c r="Q132" s="244" t="s">
        <v>555</v>
      </c>
      <c r="R132" s="244" t="s">
        <v>184</v>
      </c>
      <c r="S132" s="252">
        <f t="shared" si="187"/>
        <v>1</v>
      </c>
      <c r="T132" s="244" t="s">
        <v>429</v>
      </c>
      <c r="U132" s="253">
        <f t="shared" si="188"/>
        <v>2</v>
      </c>
      <c r="V132" s="251">
        <f t="shared" si="189"/>
        <v>2</v>
      </c>
      <c r="W132" s="244" t="str">
        <f t="shared" si="190"/>
        <v>Bajo</v>
      </c>
      <c r="X132" s="244" t="s">
        <v>187</v>
      </c>
      <c r="Y132" s="253">
        <f t="shared" si="191"/>
        <v>25</v>
      </c>
      <c r="Z132" s="251">
        <f t="shared" si="192"/>
        <v>50</v>
      </c>
      <c r="AA132" s="244" t="str">
        <f t="shared" si="193"/>
        <v>Nivel III: Riesgo Moderado (Aceptable)</v>
      </c>
      <c r="AB132" s="244">
        <v>3</v>
      </c>
      <c r="AC132" s="244"/>
      <c r="AD132" s="244"/>
      <c r="AE132" s="244"/>
      <c r="AF132" s="251"/>
      <c r="AG132" s="251"/>
      <c r="AH132" s="245" t="s">
        <v>424</v>
      </c>
      <c r="AI132" s="245" t="s">
        <v>424</v>
      </c>
      <c r="AJ132" s="245" t="s">
        <v>424</v>
      </c>
      <c r="AK132" s="245" t="s">
        <v>551</v>
      </c>
      <c r="AL132" s="260" t="s">
        <v>600</v>
      </c>
    </row>
    <row r="133" spans="1:38" s="235" customFormat="1" ht="63.75" hidden="1" customHeight="1" x14ac:dyDescent="0.3">
      <c r="A133" s="259" t="s">
        <v>1584</v>
      </c>
      <c r="B133" s="244" t="s">
        <v>1585</v>
      </c>
      <c r="C133" s="244" t="s">
        <v>1583</v>
      </c>
      <c r="D133" s="244" t="s">
        <v>1608</v>
      </c>
      <c r="E133" s="244" t="s">
        <v>1582</v>
      </c>
      <c r="F133" s="244" t="s">
        <v>422</v>
      </c>
      <c r="G133" s="244" t="s">
        <v>1473</v>
      </c>
      <c r="H133" s="245" t="s">
        <v>397</v>
      </c>
      <c r="I133" s="244" t="s">
        <v>367</v>
      </c>
      <c r="J133" s="244" t="s">
        <v>797</v>
      </c>
      <c r="K133" s="244" t="s">
        <v>798</v>
      </c>
      <c r="L133" s="244" t="s">
        <v>421</v>
      </c>
      <c r="M133" s="244" t="s">
        <v>460</v>
      </c>
      <c r="N133" s="244" t="s">
        <v>469</v>
      </c>
      <c r="O133" s="245" t="s">
        <v>606</v>
      </c>
      <c r="P133" s="245" t="s">
        <v>799</v>
      </c>
      <c r="Q133" s="244" t="s">
        <v>784</v>
      </c>
      <c r="R133" s="244" t="s">
        <v>185</v>
      </c>
      <c r="S133" s="252">
        <f t="shared" ref="S133:S145" si="194">IF(R133="Muy Alto",10,IF(R133="Alto",6,IF(R133="Medio",2,IF(R133="Bajo",1,))))</f>
        <v>2</v>
      </c>
      <c r="T133" s="244" t="s">
        <v>186</v>
      </c>
      <c r="U133" s="253">
        <f t="shared" ref="U133:U143" si="195">IF(T133="Continua",4,IF(T133="Frecuente",3,IF(T133="Ocasional",2,IF(T133="Esporádica",1,))))</f>
        <v>4</v>
      </c>
      <c r="V133" s="251">
        <f t="shared" ref="V133:V143" si="196">S133*U133</f>
        <v>8</v>
      </c>
      <c r="W133" s="244" t="str">
        <f t="shared" ref="W133:W144" si="197">IF(AND(V133&gt;=0,V133&lt;=4),"Bajo",IF(AND(V133&gt;=6,V133&lt;=8),"Medio",IF(AND(V133&gt;=10,V133&lt;=20),"Alto",IF(AND(V133&gt;=20,V133&lt;=40),"Muy Alto",))))</f>
        <v>Medio</v>
      </c>
      <c r="X133" s="244" t="s">
        <v>428</v>
      </c>
      <c r="Y133" s="253">
        <f t="shared" ref="Y133:Y143" si="198">IF(X133="Mortal o catastrófico",100,IF(X133="Muy grave",60,IF(X133="Grave",25,IF(X133="Leve",10,))))</f>
        <v>10</v>
      </c>
      <c r="Z133" s="251">
        <f t="shared" ref="Z133:Z145" si="199">V133*Y133</f>
        <v>80</v>
      </c>
      <c r="AA133" s="244" t="str">
        <f t="shared" ref="AA133:AA145" si="200">IF(AND(Z133&gt;=600,Z133&lt;=4000),"Nivel I: Riesgo Inaceptable",IF(AND(Z133&gt;=150,Z133&lt;=500),"Nivel II: Riesgo Importante",IF(AND(Z133&gt;=40,Z133&lt;=120),"Nivel III: Riesgo Moderado (Aceptable)","Nivel IV: Riesgo Tolerable (Aceptable)")))</f>
        <v>Nivel III: Riesgo Moderado (Aceptable)</v>
      </c>
      <c r="AB133" s="244">
        <v>2</v>
      </c>
      <c r="AC133" s="257"/>
      <c r="AD133" s="257"/>
      <c r="AE133" s="257"/>
      <c r="AF133" s="257"/>
      <c r="AG133" s="252"/>
      <c r="AH133" s="245" t="s">
        <v>424</v>
      </c>
      <c r="AI133" s="245" t="s">
        <v>424</v>
      </c>
      <c r="AJ133" s="245" t="s">
        <v>424</v>
      </c>
      <c r="AK133" s="245" t="s">
        <v>607</v>
      </c>
      <c r="AL133" s="260" t="s">
        <v>600</v>
      </c>
    </row>
    <row r="134" spans="1:38" s="235" customFormat="1" ht="63.75" hidden="1" customHeight="1" x14ac:dyDescent="0.3">
      <c r="A134" s="259" t="s">
        <v>1584</v>
      </c>
      <c r="B134" s="244" t="s">
        <v>1585</v>
      </c>
      <c r="C134" s="244" t="s">
        <v>1583</v>
      </c>
      <c r="D134" s="244" t="s">
        <v>1608</v>
      </c>
      <c r="E134" s="244" t="s">
        <v>1582</v>
      </c>
      <c r="F134" s="244" t="s">
        <v>422</v>
      </c>
      <c r="G134" s="244" t="s">
        <v>1473</v>
      </c>
      <c r="H134" s="245" t="s">
        <v>397</v>
      </c>
      <c r="I134" s="244" t="s">
        <v>178</v>
      </c>
      <c r="J134" s="244" t="s">
        <v>797</v>
      </c>
      <c r="K134" s="244" t="s">
        <v>559</v>
      </c>
      <c r="L134" s="244" t="s">
        <v>421</v>
      </c>
      <c r="M134" s="244" t="s">
        <v>460</v>
      </c>
      <c r="N134" s="244" t="s">
        <v>469</v>
      </c>
      <c r="O134" s="245" t="s">
        <v>606</v>
      </c>
      <c r="P134" s="245" t="s">
        <v>606</v>
      </c>
      <c r="Q134" s="244" t="s">
        <v>800</v>
      </c>
      <c r="R134" s="244" t="s">
        <v>185</v>
      </c>
      <c r="S134" s="252">
        <f t="shared" si="194"/>
        <v>2</v>
      </c>
      <c r="T134" s="244" t="s">
        <v>186</v>
      </c>
      <c r="U134" s="253">
        <f t="shared" si="195"/>
        <v>4</v>
      </c>
      <c r="V134" s="251">
        <f t="shared" si="196"/>
        <v>8</v>
      </c>
      <c r="W134" s="244" t="str">
        <f t="shared" si="197"/>
        <v>Medio</v>
      </c>
      <c r="X134" s="244" t="s">
        <v>428</v>
      </c>
      <c r="Y134" s="253">
        <f t="shared" si="198"/>
        <v>10</v>
      </c>
      <c r="Z134" s="251">
        <f t="shared" si="199"/>
        <v>80</v>
      </c>
      <c r="AA134" s="244" t="str">
        <f t="shared" si="200"/>
        <v>Nivel III: Riesgo Moderado (Aceptable)</v>
      </c>
      <c r="AB134" s="244">
        <v>2</v>
      </c>
      <c r="AC134" s="257"/>
      <c r="AD134" s="257"/>
      <c r="AE134" s="257"/>
      <c r="AF134" s="257"/>
      <c r="AG134" s="252"/>
      <c r="AH134" s="245" t="s">
        <v>424</v>
      </c>
      <c r="AI134" s="245" t="s">
        <v>424</v>
      </c>
      <c r="AJ134" s="245" t="s">
        <v>424</v>
      </c>
      <c r="AK134" s="245" t="s">
        <v>801</v>
      </c>
      <c r="AL134" s="260" t="s">
        <v>600</v>
      </c>
    </row>
    <row r="135" spans="1:38" s="235" customFormat="1" ht="63.75" hidden="1" customHeight="1" x14ac:dyDescent="0.3">
      <c r="A135" s="259" t="s">
        <v>1584</v>
      </c>
      <c r="B135" s="244" t="s">
        <v>1585</v>
      </c>
      <c r="C135" s="244" t="s">
        <v>1583</v>
      </c>
      <c r="D135" s="244" t="s">
        <v>1608</v>
      </c>
      <c r="E135" s="244" t="s">
        <v>1582</v>
      </c>
      <c r="F135" s="244" t="s">
        <v>461</v>
      </c>
      <c r="G135" s="244" t="s">
        <v>1473</v>
      </c>
      <c r="H135" s="245" t="s">
        <v>397</v>
      </c>
      <c r="I135" s="244" t="s">
        <v>371</v>
      </c>
      <c r="J135" s="244" t="s">
        <v>608</v>
      </c>
      <c r="K135" s="244" t="s">
        <v>802</v>
      </c>
      <c r="L135" s="244" t="s">
        <v>421</v>
      </c>
      <c r="M135" s="244" t="s">
        <v>460</v>
      </c>
      <c r="N135" s="244" t="s">
        <v>469</v>
      </c>
      <c r="O135" s="245" t="s">
        <v>606</v>
      </c>
      <c r="P135" s="245" t="s">
        <v>606</v>
      </c>
      <c r="Q135" s="244" t="s">
        <v>803</v>
      </c>
      <c r="R135" s="244" t="s">
        <v>185</v>
      </c>
      <c r="S135" s="252">
        <f t="shared" si="194"/>
        <v>2</v>
      </c>
      <c r="T135" s="244" t="s">
        <v>429</v>
      </c>
      <c r="U135" s="253">
        <f t="shared" si="195"/>
        <v>2</v>
      </c>
      <c r="V135" s="251">
        <f t="shared" si="196"/>
        <v>4</v>
      </c>
      <c r="W135" s="244" t="str">
        <f t="shared" si="197"/>
        <v>Bajo</v>
      </c>
      <c r="X135" s="244" t="s">
        <v>428</v>
      </c>
      <c r="Y135" s="253">
        <f t="shared" si="198"/>
        <v>10</v>
      </c>
      <c r="Z135" s="251">
        <f t="shared" si="199"/>
        <v>40</v>
      </c>
      <c r="AA135" s="244" t="str">
        <f t="shared" si="200"/>
        <v>Nivel III: Riesgo Moderado (Aceptable)</v>
      </c>
      <c r="AB135" s="244">
        <v>2</v>
      </c>
      <c r="AC135" s="257"/>
      <c r="AD135" s="257"/>
      <c r="AE135" s="257"/>
      <c r="AF135" s="257"/>
      <c r="AG135" s="252"/>
      <c r="AH135" s="245" t="s">
        <v>424</v>
      </c>
      <c r="AI135" s="245" t="s">
        <v>424</v>
      </c>
      <c r="AJ135" s="245" t="s">
        <v>424</v>
      </c>
      <c r="AK135" s="245" t="s">
        <v>804</v>
      </c>
      <c r="AL135" s="260" t="s">
        <v>600</v>
      </c>
    </row>
    <row r="136" spans="1:38" s="235" customFormat="1" ht="63.75" hidden="1" customHeight="1" x14ac:dyDescent="0.3">
      <c r="A136" s="259" t="s">
        <v>1584</v>
      </c>
      <c r="B136" s="244" t="s">
        <v>1585</v>
      </c>
      <c r="C136" s="244" t="s">
        <v>1583</v>
      </c>
      <c r="D136" s="244" t="s">
        <v>1581</v>
      </c>
      <c r="E136" s="244" t="s">
        <v>1582</v>
      </c>
      <c r="F136" s="244" t="s">
        <v>422</v>
      </c>
      <c r="G136" s="244" t="s">
        <v>1473</v>
      </c>
      <c r="H136" s="245" t="s">
        <v>407</v>
      </c>
      <c r="I136" s="244" t="s">
        <v>292</v>
      </c>
      <c r="J136" s="244" t="s">
        <v>805</v>
      </c>
      <c r="K136" s="244" t="s">
        <v>472</v>
      </c>
      <c r="L136" s="244" t="s">
        <v>421</v>
      </c>
      <c r="M136" s="244" t="s">
        <v>460</v>
      </c>
      <c r="N136" s="244" t="s">
        <v>469</v>
      </c>
      <c r="O136" s="245" t="s">
        <v>606</v>
      </c>
      <c r="P136" s="245" t="s">
        <v>806</v>
      </c>
      <c r="Q136" s="244" t="s">
        <v>800</v>
      </c>
      <c r="R136" s="244" t="s">
        <v>184</v>
      </c>
      <c r="S136" s="252">
        <f t="shared" si="194"/>
        <v>1</v>
      </c>
      <c r="T136" s="244" t="s">
        <v>416</v>
      </c>
      <c r="U136" s="253">
        <f t="shared" si="195"/>
        <v>3</v>
      </c>
      <c r="V136" s="251">
        <f t="shared" si="196"/>
        <v>3</v>
      </c>
      <c r="W136" s="244" t="str">
        <f t="shared" si="197"/>
        <v>Bajo</v>
      </c>
      <c r="X136" s="244" t="s">
        <v>428</v>
      </c>
      <c r="Y136" s="253">
        <f t="shared" si="198"/>
        <v>10</v>
      </c>
      <c r="Z136" s="251">
        <f t="shared" si="199"/>
        <v>30</v>
      </c>
      <c r="AA136" s="244" t="str">
        <f t="shared" si="200"/>
        <v>Nivel IV: Riesgo Tolerable (Aceptable)</v>
      </c>
      <c r="AB136" s="244">
        <v>2</v>
      </c>
      <c r="AC136" s="257"/>
      <c r="AD136" s="257"/>
      <c r="AE136" s="257"/>
      <c r="AF136" s="257"/>
      <c r="AG136" s="252"/>
      <c r="AH136" s="245" t="s">
        <v>424</v>
      </c>
      <c r="AI136" s="245" t="s">
        <v>424</v>
      </c>
      <c r="AJ136" s="245" t="s">
        <v>424</v>
      </c>
      <c r="AK136" s="245" t="s">
        <v>610</v>
      </c>
      <c r="AL136" s="261" t="s">
        <v>609</v>
      </c>
    </row>
    <row r="137" spans="1:38" s="235" customFormat="1" ht="63.75" hidden="1" customHeight="1" x14ac:dyDescent="0.3">
      <c r="A137" s="259" t="s">
        <v>1584</v>
      </c>
      <c r="B137" s="244" t="s">
        <v>1585</v>
      </c>
      <c r="C137" s="244" t="s">
        <v>1583</v>
      </c>
      <c r="D137" s="244" t="s">
        <v>1581</v>
      </c>
      <c r="E137" s="244" t="s">
        <v>1582</v>
      </c>
      <c r="F137" s="244" t="s">
        <v>461</v>
      </c>
      <c r="G137" s="244" t="s">
        <v>1473</v>
      </c>
      <c r="H137" s="245" t="s">
        <v>407</v>
      </c>
      <c r="I137" s="244" t="s">
        <v>285</v>
      </c>
      <c r="J137" s="244" t="s">
        <v>807</v>
      </c>
      <c r="K137" s="244" t="s">
        <v>808</v>
      </c>
      <c r="L137" s="244" t="s">
        <v>421</v>
      </c>
      <c r="M137" s="244" t="s">
        <v>460</v>
      </c>
      <c r="N137" s="244" t="s">
        <v>469</v>
      </c>
      <c r="O137" s="245" t="s">
        <v>809</v>
      </c>
      <c r="P137" s="245" t="s">
        <v>606</v>
      </c>
      <c r="Q137" s="244" t="s">
        <v>810</v>
      </c>
      <c r="R137" s="244" t="s">
        <v>184</v>
      </c>
      <c r="S137" s="252">
        <f t="shared" si="194"/>
        <v>1</v>
      </c>
      <c r="T137" s="244" t="s">
        <v>416</v>
      </c>
      <c r="U137" s="253">
        <f t="shared" si="195"/>
        <v>3</v>
      </c>
      <c r="V137" s="251">
        <f t="shared" si="196"/>
        <v>3</v>
      </c>
      <c r="W137" s="244" t="str">
        <f t="shared" si="197"/>
        <v>Bajo</v>
      </c>
      <c r="X137" s="244" t="s">
        <v>428</v>
      </c>
      <c r="Y137" s="253">
        <f t="shared" si="198"/>
        <v>10</v>
      </c>
      <c r="Z137" s="251">
        <f t="shared" si="199"/>
        <v>30</v>
      </c>
      <c r="AA137" s="244" t="str">
        <f t="shared" si="200"/>
        <v>Nivel IV: Riesgo Tolerable (Aceptable)</v>
      </c>
      <c r="AB137" s="244">
        <v>2</v>
      </c>
      <c r="AC137" s="257"/>
      <c r="AD137" s="257"/>
      <c r="AE137" s="257"/>
      <c r="AF137" s="257"/>
      <c r="AG137" s="252"/>
      <c r="AH137" s="245" t="s">
        <v>424</v>
      </c>
      <c r="AI137" s="245" t="s">
        <v>424</v>
      </c>
      <c r="AJ137" s="245" t="s">
        <v>424</v>
      </c>
      <c r="AK137" s="245" t="s">
        <v>611</v>
      </c>
      <c r="AL137" s="262" t="s">
        <v>1575</v>
      </c>
    </row>
    <row r="138" spans="1:38" s="235" customFormat="1" ht="63.75" hidden="1" customHeight="1" x14ac:dyDescent="0.3">
      <c r="A138" s="259" t="s">
        <v>1584</v>
      </c>
      <c r="B138" s="244" t="s">
        <v>1585</v>
      </c>
      <c r="C138" s="244" t="s">
        <v>1583</v>
      </c>
      <c r="D138" s="244" t="s">
        <v>1608</v>
      </c>
      <c r="E138" s="244" t="s">
        <v>1582</v>
      </c>
      <c r="F138" s="244" t="s">
        <v>422</v>
      </c>
      <c r="G138" s="244" t="s">
        <v>1473</v>
      </c>
      <c r="H138" s="245" t="s">
        <v>407</v>
      </c>
      <c r="I138" s="244" t="s">
        <v>811</v>
      </c>
      <c r="J138" s="244" t="s">
        <v>785</v>
      </c>
      <c r="K138" s="244" t="s">
        <v>614</v>
      </c>
      <c r="L138" s="244" t="s">
        <v>421</v>
      </c>
      <c r="M138" s="244" t="s">
        <v>460</v>
      </c>
      <c r="N138" s="244" t="s">
        <v>469</v>
      </c>
      <c r="O138" s="245" t="s">
        <v>812</v>
      </c>
      <c r="P138" s="245" t="s">
        <v>606</v>
      </c>
      <c r="Q138" s="244" t="s">
        <v>813</v>
      </c>
      <c r="R138" s="244" t="s">
        <v>184</v>
      </c>
      <c r="S138" s="252">
        <f t="shared" si="194"/>
        <v>1</v>
      </c>
      <c r="T138" s="244" t="s">
        <v>186</v>
      </c>
      <c r="U138" s="253">
        <f t="shared" si="195"/>
        <v>4</v>
      </c>
      <c r="V138" s="251">
        <f t="shared" si="196"/>
        <v>4</v>
      </c>
      <c r="W138" s="244" t="str">
        <f t="shared" si="197"/>
        <v>Bajo</v>
      </c>
      <c r="X138" s="244" t="s">
        <v>428</v>
      </c>
      <c r="Y138" s="253">
        <f t="shared" si="198"/>
        <v>10</v>
      </c>
      <c r="Z138" s="251">
        <f t="shared" si="199"/>
        <v>40</v>
      </c>
      <c r="AA138" s="244" t="str">
        <f t="shared" si="200"/>
        <v>Nivel III: Riesgo Moderado (Aceptable)</v>
      </c>
      <c r="AB138" s="244">
        <v>2</v>
      </c>
      <c r="AC138" s="257"/>
      <c r="AD138" s="257"/>
      <c r="AE138" s="257"/>
      <c r="AF138" s="257"/>
      <c r="AG138" s="252"/>
      <c r="AH138" s="245" t="s">
        <v>424</v>
      </c>
      <c r="AI138" s="245" t="s">
        <v>424</v>
      </c>
      <c r="AJ138" s="245" t="s">
        <v>424</v>
      </c>
      <c r="AK138" s="245" t="s">
        <v>786</v>
      </c>
      <c r="AL138" s="261" t="s">
        <v>609</v>
      </c>
    </row>
    <row r="139" spans="1:38" s="235" customFormat="1" ht="63.75" hidden="1" customHeight="1" x14ac:dyDescent="0.3">
      <c r="A139" s="259" t="s">
        <v>1584</v>
      </c>
      <c r="B139" s="244" t="s">
        <v>1585</v>
      </c>
      <c r="C139" s="244" t="s">
        <v>1583</v>
      </c>
      <c r="D139" s="244" t="s">
        <v>1608</v>
      </c>
      <c r="E139" s="244" t="s">
        <v>1582</v>
      </c>
      <c r="F139" s="244" t="s">
        <v>422</v>
      </c>
      <c r="G139" s="244" t="s">
        <v>1473</v>
      </c>
      <c r="H139" s="245" t="s">
        <v>407</v>
      </c>
      <c r="I139" s="244" t="s">
        <v>355</v>
      </c>
      <c r="J139" s="244" t="s">
        <v>814</v>
      </c>
      <c r="K139" s="244" t="s">
        <v>472</v>
      </c>
      <c r="L139" s="244" t="s">
        <v>421</v>
      </c>
      <c r="M139" s="244" t="s">
        <v>460</v>
      </c>
      <c r="N139" s="244" t="s">
        <v>469</v>
      </c>
      <c r="O139" s="245" t="s">
        <v>606</v>
      </c>
      <c r="P139" s="245" t="s">
        <v>606</v>
      </c>
      <c r="Q139" s="244" t="s">
        <v>615</v>
      </c>
      <c r="R139" s="244" t="s">
        <v>184</v>
      </c>
      <c r="S139" s="252">
        <f t="shared" si="194"/>
        <v>1</v>
      </c>
      <c r="T139" s="244" t="s">
        <v>186</v>
      </c>
      <c r="U139" s="253">
        <f t="shared" si="195"/>
        <v>4</v>
      </c>
      <c r="V139" s="251">
        <f t="shared" si="196"/>
        <v>4</v>
      </c>
      <c r="W139" s="244" t="str">
        <f t="shared" si="197"/>
        <v>Bajo</v>
      </c>
      <c r="X139" s="244" t="s">
        <v>428</v>
      </c>
      <c r="Y139" s="253">
        <f t="shared" si="198"/>
        <v>10</v>
      </c>
      <c r="Z139" s="251">
        <f t="shared" si="199"/>
        <v>40</v>
      </c>
      <c r="AA139" s="244" t="str">
        <f t="shared" si="200"/>
        <v>Nivel III: Riesgo Moderado (Aceptable)</v>
      </c>
      <c r="AB139" s="244">
        <v>2</v>
      </c>
      <c r="AC139" s="257"/>
      <c r="AD139" s="257"/>
      <c r="AE139" s="257"/>
      <c r="AF139" s="257"/>
      <c r="AG139" s="252"/>
      <c r="AH139" s="245" t="s">
        <v>424</v>
      </c>
      <c r="AI139" s="245" t="s">
        <v>424</v>
      </c>
      <c r="AJ139" s="245" t="s">
        <v>424</v>
      </c>
      <c r="AK139" s="245" t="s">
        <v>620</v>
      </c>
      <c r="AL139" s="261" t="s">
        <v>616</v>
      </c>
    </row>
    <row r="140" spans="1:38" s="235" customFormat="1" ht="63.75" hidden="1" customHeight="1" x14ac:dyDescent="0.3">
      <c r="A140" s="259" t="s">
        <v>1584</v>
      </c>
      <c r="B140" s="244" t="s">
        <v>1585</v>
      </c>
      <c r="C140" s="244" t="s">
        <v>1583</v>
      </c>
      <c r="D140" s="244" t="s">
        <v>1608</v>
      </c>
      <c r="E140" s="244" t="s">
        <v>1582</v>
      </c>
      <c r="F140" s="244" t="s">
        <v>422</v>
      </c>
      <c r="G140" s="244" t="s">
        <v>1473</v>
      </c>
      <c r="H140" s="245" t="s">
        <v>407</v>
      </c>
      <c r="I140" s="244" t="s">
        <v>299</v>
      </c>
      <c r="J140" s="244" t="s">
        <v>815</v>
      </c>
      <c r="K140" s="244" t="s">
        <v>472</v>
      </c>
      <c r="L140" s="244" t="s">
        <v>421</v>
      </c>
      <c r="M140" s="244" t="s">
        <v>460</v>
      </c>
      <c r="N140" s="244" t="s">
        <v>469</v>
      </c>
      <c r="O140" s="245" t="s">
        <v>423</v>
      </c>
      <c r="P140" s="245" t="s">
        <v>423</v>
      </c>
      <c r="Q140" s="244" t="s">
        <v>619</v>
      </c>
      <c r="R140" s="244" t="s">
        <v>184</v>
      </c>
      <c r="S140" s="252">
        <f t="shared" si="194"/>
        <v>1</v>
      </c>
      <c r="T140" s="244" t="s">
        <v>186</v>
      </c>
      <c r="U140" s="253">
        <f t="shared" si="195"/>
        <v>4</v>
      </c>
      <c r="V140" s="251">
        <f t="shared" si="196"/>
        <v>4</v>
      </c>
      <c r="W140" s="244" t="str">
        <f t="shared" si="197"/>
        <v>Bajo</v>
      </c>
      <c r="X140" s="244" t="s">
        <v>428</v>
      </c>
      <c r="Y140" s="253">
        <f t="shared" si="198"/>
        <v>10</v>
      </c>
      <c r="Z140" s="251">
        <f t="shared" si="199"/>
        <v>40</v>
      </c>
      <c r="AA140" s="244" t="str">
        <f t="shared" si="200"/>
        <v>Nivel III: Riesgo Moderado (Aceptable)</v>
      </c>
      <c r="AB140" s="244">
        <v>2</v>
      </c>
      <c r="AC140" s="257"/>
      <c r="AD140" s="257"/>
      <c r="AE140" s="257"/>
      <c r="AF140" s="257"/>
      <c r="AG140" s="252"/>
      <c r="AH140" s="245" t="s">
        <v>424</v>
      </c>
      <c r="AI140" s="245" t="s">
        <v>424</v>
      </c>
      <c r="AJ140" s="245" t="s">
        <v>424</v>
      </c>
      <c r="AK140" s="244" t="s">
        <v>621</v>
      </c>
      <c r="AL140" s="261" t="s">
        <v>446</v>
      </c>
    </row>
    <row r="141" spans="1:38" s="235" customFormat="1" ht="63.75" hidden="1" customHeight="1" x14ac:dyDescent="0.3">
      <c r="A141" s="259" t="s">
        <v>1584</v>
      </c>
      <c r="B141" s="244" t="s">
        <v>1585</v>
      </c>
      <c r="C141" s="244" t="s">
        <v>1583</v>
      </c>
      <c r="D141" s="244" t="s">
        <v>1581</v>
      </c>
      <c r="E141" s="244" t="s">
        <v>1582</v>
      </c>
      <c r="F141" s="244" t="s">
        <v>461</v>
      </c>
      <c r="G141" s="244" t="s">
        <v>1473</v>
      </c>
      <c r="H141" s="245" t="s">
        <v>407</v>
      </c>
      <c r="I141" s="244" t="s">
        <v>452</v>
      </c>
      <c r="J141" s="244" t="s">
        <v>816</v>
      </c>
      <c r="K141" s="244" t="s">
        <v>478</v>
      </c>
      <c r="L141" s="244" t="s">
        <v>421</v>
      </c>
      <c r="M141" s="244" t="s">
        <v>460</v>
      </c>
      <c r="N141" s="244" t="s">
        <v>469</v>
      </c>
      <c r="O141" s="245" t="s">
        <v>606</v>
      </c>
      <c r="P141" s="245" t="s">
        <v>606</v>
      </c>
      <c r="Q141" s="244" t="s">
        <v>617</v>
      </c>
      <c r="R141" s="244" t="s">
        <v>184</v>
      </c>
      <c r="S141" s="252">
        <f t="shared" si="194"/>
        <v>1</v>
      </c>
      <c r="T141" s="244" t="s">
        <v>485</v>
      </c>
      <c r="U141" s="253">
        <f t="shared" si="195"/>
        <v>1</v>
      </c>
      <c r="V141" s="251">
        <f t="shared" si="196"/>
        <v>1</v>
      </c>
      <c r="W141" s="244" t="str">
        <f t="shared" si="197"/>
        <v>Bajo</v>
      </c>
      <c r="X141" s="244" t="s">
        <v>428</v>
      </c>
      <c r="Y141" s="253">
        <f t="shared" si="198"/>
        <v>10</v>
      </c>
      <c r="Z141" s="251">
        <f t="shared" si="199"/>
        <v>10</v>
      </c>
      <c r="AA141" s="244" t="str">
        <f t="shared" si="200"/>
        <v>Nivel IV: Riesgo Tolerable (Aceptable)</v>
      </c>
      <c r="AB141" s="244">
        <v>2</v>
      </c>
      <c r="AC141" s="257"/>
      <c r="AD141" s="257"/>
      <c r="AE141" s="257"/>
      <c r="AF141" s="257"/>
      <c r="AG141" s="252"/>
      <c r="AH141" s="245" t="s">
        <v>424</v>
      </c>
      <c r="AI141" s="245" t="s">
        <v>424</v>
      </c>
      <c r="AJ141" s="245" t="s">
        <v>424</v>
      </c>
      <c r="AK141" s="245" t="s">
        <v>817</v>
      </c>
      <c r="AL141" s="261" t="s">
        <v>618</v>
      </c>
    </row>
    <row r="142" spans="1:38" s="235" customFormat="1" ht="63.75" hidden="1" customHeight="1" x14ac:dyDescent="0.3">
      <c r="A142" s="259" t="s">
        <v>1584</v>
      </c>
      <c r="B142" s="244" t="s">
        <v>1585</v>
      </c>
      <c r="C142" s="244" t="s">
        <v>1583</v>
      </c>
      <c r="D142" s="244" t="s">
        <v>1608</v>
      </c>
      <c r="E142" s="244" t="s">
        <v>1582</v>
      </c>
      <c r="F142" s="244" t="s">
        <v>422</v>
      </c>
      <c r="G142" s="244" t="s">
        <v>1473</v>
      </c>
      <c r="H142" s="245" t="s">
        <v>408</v>
      </c>
      <c r="I142" s="244" t="s">
        <v>289</v>
      </c>
      <c r="J142" s="244" t="s">
        <v>787</v>
      </c>
      <c r="K142" s="244" t="s">
        <v>568</v>
      </c>
      <c r="L142" s="244" t="s">
        <v>421</v>
      </c>
      <c r="M142" s="244" t="s">
        <v>460</v>
      </c>
      <c r="N142" s="244" t="s">
        <v>469</v>
      </c>
      <c r="O142" s="245" t="s">
        <v>483</v>
      </c>
      <c r="P142" s="245" t="s">
        <v>423</v>
      </c>
      <c r="Q142" s="245" t="s">
        <v>423</v>
      </c>
      <c r="R142" s="244" t="s">
        <v>184</v>
      </c>
      <c r="S142" s="252">
        <f t="shared" si="194"/>
        <v>1</v>
      </c>
      <c r="T142" s="244" t="s">
        <v>186</v>
      </c>
      <c r="U142" s="253">
        <f t="shared" si="195"/>
        <v>4</v>
      </c>
      <c r="V142" s="251">
        <f t="shared" si="196"/>
        <v>4</v>
      </c>
      <c r="W142" s="244" t="str">
        <f t="shared" si="197"/>
        <v>Bajo</v>
      </c>
      <c r="X142" s="244" t="s">
        <v>428</v>
      </c>
      <c r="Y142" s="253">
        <f t="shared" si="198"/>
        <v>10</v>
      </c>
      <c r="Z142" s="251">
        <f t="shared" si="199"/>
        <v>40</v>
      </c>
      <c r="AA142" s="244" t="str">
        <f t="shared" si="200"/>
        <v>Nivel III: Riesgo Moderado (Aceptable)</v>
      </c>
      <c r="AB142" s="244">
        <v>2</v>
      </c>
      <c r="AC142" s="244"/>
      <c r="AD142" s="244"/>
      <c r="AE142" s="244"/>
      <c r="AF142" s="251"/>
      <c r="AG142" s="251"/>
      <c r="AH142" s="245" t="s">
        <v>424</v>
      </c>
      <c r="AI142" s="245" t="s">
        <v>424</v>
      </c>
      <c r="AJ142" s="245" t="s">
        <v>424</v>
      </c>
      <c r="AK142" s="245" t="s">
        <v>579</v>
      </c>
      <c r="AL142" s="260" t="s">
        <v>600</v>
      </c>
    </row>
    <row r="143" spans="1:38" s="235" customFormat="1" ht="63.75" hidden="1" customHeight="1" x14ac:dyDescent="0.3">
      <c r="A143" s="259" t="s">
        <v>1584</v>
      </c>
      <c r="B143" s="244" t="s">
        <v>1585</v>
      </c>
      <c r="C143" s="244" t="s">
        <v>1583</v>
      </c>
      <c r="D143" s="244" t="s">
        <v>1608</v>
      </c>
      <c r="E143" s="244" t="s">
        <v>1582</v>
      </c>
      <c r="F143" s="244" t="s">
        <v>422</v>
      </c>
      <c r="G143" s="244" t="s">
        <v>1473</v>
      </c>
      <c r="H143" s="245" t="s">
        <v>408</v>
      </c>
      <c r="I143" s="244" t="s">
        <v>405</v>
      </c>
      <c r="J143" s="244" t="s">
        <v>569</v>
      </c>
      <c r="K143" s="244" t="s">
        <v>568</v>
      </c>
      <c r="L143" s="244" t="s">
        <v>421</v>
      </c>
      <c r="M143" s="244" t="s">
        <v>460</v>
      </c>
      <c r="N143" s="244" t="s">
        <v>469</v>
      </c>
      <c r="O143" s="245" t="s">
        <v>483</v>
      </c>
      <c r="P143" s="245" t="s">
        <v>423</v>
      </c>
      <c r="Q143" s="245" t="s">
        <v>423</v>
      </c>
      <c r="R143" s="244" t="s">
        <v>185</v>
      </c>
      <c r="S143" s="252">
        <f t="shared" si="194"/>
        <v>2</v>
      </c>
      <c r="T143" s="244" t="s">
        <v>186</v>
      </c>
      <c r="U143" s="253">
        <f t="shared" si="195"/>
        <v>4</v>
      </c>
      <c r="V143" s="251">
        <f t="shared" si="196"/>
        <v>8</v>
      </c>
      <c r="W143" s="244" t="str">
        <f t="shared" si="197"/>
        <v>Medio</v>
      </c>
      <c r="X143" s="244" t="s">
        <v>428</v>
      </c>
      <c r="Y143" s="253">
        <f t="shared" si="198"/>
        <v>10</v>
      </c>
      <c r="Z143" s="251">
        <f t="shared" si="199"/>
        <v>80</v>
      </c>
      <c r="AA143" s="244" t="str">
        <f t="shared" si="200"/>
        <v>Nivel III: Riesgo Moderado (Aceptable)</v>
      </c>
      <c r="AB143" s="244">
        <v>2</v>
      </c>
      <c r="AC143" s="244"/>
      <c r="AD143" s="244"/>
      <c r="AE143" s="244"/>
      <c r="AF143" s="251"/>
      <c r="AG143" s="251"/>
      <c r="AH143" s="245" t="s">
        <v>424</v>
      </c>
      <c r="AI143" s="245" t="s">
        <v>424</v>
      </c>
      <c r="AJ143" s="245" t="s">
        <v>424</v>
      </c>
      <c r="AK143" s="245" t="s">
        <v>579</v>
      </c>
      <c r="AL143" s="260" t="s">
        <v>600</v>
      </c>
    </row>
    <row r="144" spans="1:38" s="235" customFormat="1" ht="63.75" hidden="1" customHeight="1" x14ac:dyDescent="0.3">
      <c r="A144" s="259" t="s">
        <v>1584</v>
      </c>
      <c r="B144" s="244" t="s">
        <v>1585</v>
      </c>
      <c r="C144" s="244" t="s">
        <v>1583</v>
      </c>
      <c r="D144" s="244" t="s">
        <v>1608</v>
      </c>
      <c r="E144" s="244" t="s">
        <v>1582</v>
      </c>
      <c r="F144" s="244" t="s">
        <v>422</v>
      </c>
      <c r="G144" s="244" t="s">
        <v>1473</v>
      </c>
      <c r="H144" s="245" t="s">
        <v>434</v>
      </c>
      <c r="I144" s="244" t="s">
        <v>283</v>
      </c>
      <c r="J144" s="244" t="s">
        <v>1609</v>
      </c>
      <c r="K144" s="244" t="s">
        <v>1610</v>
      </c>
      <c r="L144" s="244" t="s">
        <v>421</v>
      </c>
      <c r="M144" s="244" t="s">
        <v>460</v>
      </c>
      <c r="N144" s="244" t="s">
        <v>469</v>
      </c>
      <c r="O144" s="245" t="s">
        <v>606</v>
      </c>
      <c r="P144" s="245" t="s">
        <v>423</v>
      </c>
      <c r="Q144" s="244" t="s">
        <v>818</v>
      </c>
      <c r="R144" s="244" t="s">
        <v>184</v>
      </c>
      <c r="S144" s="252">
        <f t="shared" si="194"/>
        <v>1</v>
      </c>
      <c r="T144" s="244" t="s">
        <v>186</v>
      </c>
      <c r="U144" s="253">
        <f t="shared" ref="U144" si="201">IF(T144="Continua",4,IF(T144="Frecuente",3,IF(T144="Ocasional",2,IF(T144="Esporádica",1,))))</f>
        <v>4</v>
      </c>
      <c r="V144" s="251">
        <f t="shared" ref="V144" si="202">S144*U144</f>
        <v>4</v>
      </c>
      <c r="W144" s="244" t="str">
        <f t="shared" si="197"/>
        <v>Bajo</v>
      </c>
      <c r="X144" s="244" t="s">
        <v>428</v>
      </c>
      <c r="Y144" s="253">
        <f t="shared" ref="Y144" si="203">IF(X144="Mortal o catastrófico",100,IF(X144="Muy grave",60,IF(X144="Grave",25,IF(X144="Leve",10,))))</f>
        <v>10</v>
      </c>
      <c r="Z144" s="251">
        <f>V144*Y144</f>
        <v>40</v>
      </c>
      <c r="AA144" s="244" t="str">
        <f t="shared" si="200"/>
        <v>Nivel III: Riesgo Moderado (Aceptable)</v>
      </c>
      <c r="AB144" s="244">
        <v>2</v>
      </c>
      <c r="AC144" s="253"/>
      <c r="AD144" s="244"/>
      <c r="AE144" s="244"/>
      <c r="AF144" s="251"/>
      <c r="AG144" s="251"/>
      <c r="AH144" s="245" t="s">
        <v>424</v>
      </c>
      <c r="AI144" s="245" t="s">
        <v>424</v>
      </c>
      <c r="AJ144" s="245" t="s">
        <v>424</v>
      </c>
      <c r="AK144" s="245" t="s">
        <v>819</v>
      </c>
      <c r="AL144" s="260" t="s">
        <v>600</v>
      </c>
    </row>
    <row r="145" spans="1:38" s="235" customFormat="1" ht="63.75" hidden="1" customHeight="1" x14ac:dyDescent="0.3">
      <c r="A145" s="259" t="s">
        <v>1584</v>
      </c>
      <c r="B145" s="244" t="s">
        <v>1585</v>
      </c>
      <c r="C145" s="244" t="s">
        <v>1583</v>
      </c>
      <c r="D145" s="244" t="s">
        <v>1608</v>
      </c>
      <c r="E145" s="244" t="s">
        <v>1582</v>
      </c>
      <c r="F145" s="244" t="s">
        <v>422</v>
      </c>
      <c r="G145" s="244" t="s">
        <v>1473</v>
      </c>
      <c r="H145" s="245" t="s">
        <v>434</v>
      </c>
      <c r="I145" s="244" t="s">
        <v>326</v>
      </c>
      <c r="J145" s="244" t="s">
        <v>788</v>
      </c>
      <c r="K145" s="244" t="s">
        <v>820</v>
      </c>
      <c r="L145" s="244" t="s">
        <v>421</v>
      </c>
      <c r="M145" s="244" t="s">
        <v>460</v>
      </c>
      <c r="N145" s="244" t="s">
        <v>469</v>
      </c>
      <c r="O145" s="245" t="s">
        <v>606</v>
      </c>
      <c r="P145" s="245" t="s">
        <v>423</v>
      </c>
      <c r="Q145" s="245" t="s">
        <v>423</v>
      </c>
      <c r="R145" s="244" t="s">
        <v>184</v>
      </c>
      <c r="S145" s="252">
        <f t="shared" si="194"/>
        <v>1</v>
      </c>
      <c r="T145" s="244" t="s">
        <v>186</v>
      </c>
      <c r="U145" s="253">
        <f t="shared" ref="U145" si="204">IF(T145="Continua",4,IF(T145="Frecuente",3,IF(T145="Ocasional",2,IF(T145="Esporádica",1,))))</f>
        <v>4</v>
      </c>
      <c r="V145" s="251">
        <f t="shared" ref="V145" si="205">S145*U145</f>
        <v>4</v>
      </c>
      <c r="W145" s="244" t="str">
        <f t="shared" ref="W145" si="206">IF(AND(V145&gt;=0,V145&lt;=4),"Bajo",IF(AND(V145&gt;=6,V145&lt;=8),"Medio",IF(AND(V145&gt;=10,V145&lt;=20),"Alto",IF(AND(V145&gt;=20,V145&lt;=40),"Muy Alto",))))</f>
        <v>Bajo</v>
      </c>
      <c r="X145" s="244" t="s">
        <v>428</v>
      </c>
      <c r="Y145" s="253">
        <f t="shared" ref="Y145" si="207">IF(X145="Mortal o catastrófico",100,IF(X145="Muy grave",60,IF(X145="Grave",25,IF(X145="Leve",10,))))</f>
        <v>10</v>
      </c>
      <c r="Z145" s="251">
        <f t="shared" si="199"/>
        <v>40</v>
      </c>
      <c r="AA145" s="244" t="str">
        <f t="shared" si="200"/>
        <v>Nivel III: Riesgo Moderado (Aceptable)</v>
      </c>
      <c r="AB145" s="244">
        <v>2</v>
      </c>
      <c r="AC145" s="253"/>
      <c r="AD145" s="244"/>
      <c r="AE145" s="244"/>
      <c r="AF145" s="251"/>
      <c r="AG145" s="251"/>
      <c r="AH145" s="245"/>
      <c r="AI145" s="245"/>
      <c r="AJ145" s="245"/>
      <c r="AK145" s="245" t="s">
        <v>819</v>
      </c>
      <c r="AL145" s="260" t="s">
        <v>789</v>
      </c>
    </row>
    <row r="146" spans="1:38" s="235" customFormat="1" ht="63.75" hidden="1" customHeight="1" x14ac:dyDescent="0.3">
      <c r="A146" s="259" t="s">
        <v>1584</v>
      </c>
      <c r="B146" s="244" t="s">
        <v>1585</v>
      </c>
      <c r="C146" s="244" t="s">
        <v>1583</v>
      </c>
      <c r="D146" s="244" t="s">
        <v>1608</v>
      </c>
      <c r="E146" s="244" t="s">
        <v>1582</v>
      </c>
      <c r="F146" s="244" t="s">
        <v>422</v>
      </c>
      <c r="G146" s="244" t="s">
        <v>1473</v>
      </c>
      <c r="H146" s="245" t="s">
        <v>409</v>
      </c>
      <c r="I146" s="244" t="s">
        <v>294</v>
      </c>
      <c r="J146" s="244" t="s">
        <v>790</v>
      </c>
      <c r="K146" s="244" t="s">
        <v>760</v>
      </c>
      <c r="L146" s="244" t="s">
        <v>421</v>
      </c>
      <c r="M146" s="244" t="s">
        <v>460</v>
      </c>
      <c r="N146" s="244" t="s">
        <v>469</v>
      </c>
      <c r="O146" s="245" t="s">
        <v>606</v>
      </c>
      <c r="P146" s="245" t="s">
        <v>423</v>
      </c>
      <c r="Q146" s="245" t="s">
        <v>423</v>
      </c>
      <c r="R146" s="244" t="s">
        <v>184</v>
      </c>
      <c r="S146" s="252">
        <f t="shared" ref="S146:S148" si="208">IF(R146="Muy Alto",10,IF(R146="Alto",6,IF(R146="Medio",2,IF(R146="Bajo",1,))))</f>
        <v>1</v>
      </c>
      <c r="T146" s="244" t="s">
        <v>186</v>
      </c>
      <c r="U146" s="253">
        <f t="shared" ref="U146:U148" si="209">IF(T146="Continua",4,IF(T146="Frecuente",3,IF(T146="Ocasional",2,IF(T146="Esporádica",1,))))</f>
        <v>4</v>
      </c>
      <c r="V146" s="251">
        <f t="shared" ref="V146:V148" si="210">S146*U146</f>
        <v>4</v>
      </c>
      <c r="W146" s="244" t="str">
        <f t="shared" ref="W146:W148" si="211">IF(AND(V146&gt;=0,V146&lt;=4),"Bajo",IF(AND(V146&gt;=6,V146&lt;=8),"Medio",IF(AND(V146&gt;=10,V146&lt;=20),"Alto",IF(AND(V146&gt;=20,V146&lt;=40),"Muy Alto",))))</f>
        <v>Bajo</v>
      </c>
      <c r="X146" s="244" t="s">
        <v>187</v>
      </c>
      <c r="Y146" s="253">
        <f t="shared" ref="Y146:Y148" si="212">IF(X146="Mortal o catastrófico",100,IF(X146="Muy grave",60,IF(X146="Grave",25,IF(X146="Leve",10,))))</f>
        <v>25</v>
      </c>
      <c r="Z146" s="251">
        <f t="shared" ref="Z146:Z148" si="213">V146*Y146</f>
        <v>100</v>
      </c>
      <c r="AA146" s="244" t="str">
        <f t="shared" ref="AA146:AA148" si="214">IF(AND(Z146&gt;=600,Z146&lt;=4000),"Nivel I: Riesgo Inaceptable",IF(AND(Z146&gt;=150,Z146&lt;=500),"Nivel II: Riesgo Importante",IF(AND(Z146&gt;=40,Z146&lt;=120),"Nivel III: Riesgo Moderado (Aceptable)","Nivel IV: Riesgo Tolerable (Aceptable)")))</f>
        <v>Nivel III: Riesgo Moderado (Aceptable)</v>
      </c>
      <c r="AB146" s="244">
        <v>2</v>
      </c>
      <c r="AC146" s="244"/>
      <c r="AD146" s="244"/>
      <c r="AE146" s="244"/>
      <c r="AF146" s="251"/>
      <c r="AG146" s="251"/>
      <c r="AH146" s="245"/>
      <c r="AI146" s="245"/>
      <c r="AJ146" s="245" t="s">
        <v>821</v>
      </c>
      <c r="AK146" s="245" t="s">
        <v>763</v>
      </c>
      <c r="AL146" s="260" t="s">
        <v>600</v>
      </c>
    </row>
    <row r="147" spans="1:38" s="235" customFormat="1" ht="63.75" hidden="1" customHeight="1" x14ac:dyDescent="0.3">
      <c r="A147" s="259" t="s">
        <v>1584</v>
      </c>
      <c r="B147" s="244" t="s">
        <v>1585</v>
      </c>
      <c r="C147" s="244" t="s">
        <v>1583</v>
      </c>
      <c r="D147" s="244" t="s">
        <v>1608</v>
      </c>
      <c r="E147" s="244" t="s">
        <v>1582</v>
      </c>
      <c r="F147" s="244" t="s">
        <v>422</v>
      </c>
      <c r="G147" s="244" t="s">
        <v>1473</v>
      </c>
      <c r="H147" s="245" t="s">
        <v>410</v>
      </c>
      <c r="I147" s="244" t="s">
        <v>347</v>
      </c>
      <c r="J147" s="244" t="s">
        <v>822</v>
      </c>
      <c r="K147" s="244" t="s">
        <v>823</v>
      </c>
      <c r="L147" s="244" t="s">
        <v>421</v>
      </c>
      <c r="M147" s="244" t="s">
        <v>460</v>
      </c>
      <c r="N147" s="244" t="s">
        <v>469</v>
      </c>
      <c r="O147" s="245" t="s">
        <v>606</v>
      </c>
      <c r="P147" s="245" t="s">
        <v>423</v>
      </c>
      <c r="Q147" s="244" t="s">
        <v>824</v>
      </c>
      <c r="R147" s="244" t="s">
        <v>184</v>
      </c>
      <c r="S147" s="252">
        <f t="shared" si="208"/>
        <v>1</v>
      </c>
      <c r="T147" s="244" t="s">
        <v>186</v>
      </c>
      <c r="U147" s="253">
        <f t="shared" si="209"/>
        <v>4</v>
      </c>
      <c r="V147" s="251">
        <f t="shared" si="210"/>
        <v>4</v>
      </c>
      <c r="W147" s="244" t="str">
        <f t="shared" si="211"/>
        <v>Bajo</v>
      </c>
      <c r="X147" s="244" t="s">
        <v>187</v>
      </c>
      <c r="Y147" s="253">
        <f t="shared" si="212"/>
        <v>25</v>
      </c>
      <c r="Z147" s="251">
        <f t="shared" si="213"/>
        <v>100</v>
      </c>
      <c r="AA147" s="244" t="str">
        <f t="shared" si="214"/>
        <v>Nivel III: Riesgo Moderado (Aceptable)</v>
      </c>
      <c r="AB147" s="244">
        <v>2</v>
      </c>
      <c r="AC147" s="244"/>
      <c r="AD147" s="244"/>
      <c r="AE147" s="244"/>
      <c r="AF147" s="251"/>
      <c r="AG147" s="251"/>
      <c r="AH147" s="245" t="s">
        <v>600</v>
      </c>
      <c r="AI147" s="245" t="s">
        <v>600</v>
      </c>
      <c r="AJ147" s="245" t="s">
        <v>791</v>
      </c>
      <c r="AK147" s="245" t="s">
        <v>792</v>
      </c>
      <c r="AL147" s="260" t="s">
        <v>600</v>
      </c>
    </row>
    <row r="148" spans="1:38" s="235" customFormat="1" ht="63.75" hidden="1" customHeight="1" x14ac:dyDescent="0.3">
      <c r="A148" s="259" t="s">
        <v>1584</v>
      </c>
      <c r="B148" s="244" t="s">
        <v>1585</v>
      </c>
      <c r="C148" s="244" t="s">
        <v>1583</v>
      </c>
      <c r="D148" s="244" t="s">
        <v>1581</v>
      </c>
      <c r="E148" s="244" t="s">
        <v>1582</v>
      </c>
      <c r="F148" s="244" t="s">
        <v>422</v>
      </c>
      <c r="G148" s="244" t="s">
        <v>1473</v>
      </c>
      <c r="H148" s="245" t="s">
        <v>412</v>
      </c>
      <c r="I148" s="244" t="s">
        <v>298</v>
      </c>
      <c r="J148" s="244" t="s">
        <v>626</v>
      </c>
      <c r="K148" s="244" t="s">
        <v>625</v>
      </c>
      <c r="L148" s="244" t="s">
        <v>421</v>
      </c>
      <c r="M148" s="244" t="s">
        <v>460</v>
      </c>
      <c r="N148" s="244" t="s">
        <v>469</v>
      </c>
      <c r="O148" s="245" t="s">
        <v>423</v>
      </c>
      <c r="P148" s="245" t="s">
        <v>423</v>
      </c>
      <c r="Q148" s="244" t="s">
        <v>627</v>
      </c>
      <c r="R148" s="244" t="s">
        <v>185</v>
      </c>
      <c r="S148" s="252">
        <f t="shared" si="208"/>
        <v>2</v>
      </c>
      <c r="T148" s="244" t="s">
        <v>186</v>
      </c>
      <c r="U148" s="253">
        <f t="shared" si="209"/>
        <v>4</v>
      </c>
      <c r="V148" s="251">
        <f t="shared" si="210"/>
        <v>8</v>
      </c>
      <c r="W148" s="244" t="str">
        <f t="shared" si="211"/>
        <v>Medio</v>
      </c>
      <c r="X148" s="244" t="s">
        <v>187</v>
      </c>
      <c r="Y148" s="253">
        <f t="shared" si="212"/>
        <v>25</v>
      </c>
      <c r="Z148" s="251">
        <f t="shared" si="213"/>
        <v>200</v>
      </c>
      <c r="AA148" s="244" t="str">
        <f t="shared" si="214"/>
        <v>Nivel II: Riesgo Importante</v>
      </c>
      <c r="AB148" s="244">
        <v>2</v>
      </c>
      <c r="AC148" s="257"/>
      <c r="AD148" s="257"/>
      <c r="AE148" s="257"/>
      <c r="AF148" s="257"/>
      <c r="AG148" s="252"/>
      <c r="AH148" s="245" t="s">
        <v>424</v>
      </c>
      <c r="AI148" s="245" t="s">
        <v>424</v>
      </c>
      <c r="AJ148" s="245" t="s">
        <v>793</v>
      </c>
      <c r="AK148" s="245" t="s">
        <v>825</v>
      </c>
      <c r="AL148" s="260" t="s">
        <v>794</v>
      </c>
    </row>
    <row r="149" spans="1:38" s="235" customFormat="1" ht="63.75" hidden="1" customHeight="1" x14ac:dyDescent="0.3">
      <c r="A149" s="259" t="s">
        <v>1584</v>
      </c>
      <c r="B149" s="244" t="s">
        <v>1585</v>
      </c>
      <c r="C149" s="244" t="s">
        <v>1583</v>
      </c>
      <c r="D149" s="244" t="s">
        <v>1581</v>
      </c>
      <c r="E149" s="244" t="s">
        <v>1582</v>
      </c>
      <c r="F149" s="244" t="s">
        <v>422</v>
      </c>
      <c r="G149" s="244" t="s">
        <v>1473</v>
      </c>
      <c r="H149" s="245" t="s">
        <v>1452</v>
      </c>
      <c r="I149" s="244" t="s">
        <v>1380</v>
      </c>
      <c r="J149" s="244" t="s">
        <v>1442</v>
      </c>
      <c r="K149" s="244" t="s">
        <v>602</v>
      </c>
      <c r="L149" s="244" t="s">
        <v>421</v>
      </c>
      <c r="M149" s="244" t="s">
        <v>460</v>
      </c>
      <c r="N149" s="244" t="s">
        <v>469</v>
      </c>
      <c r="O149" s="245" t="s">
        <v>423</v>
      </c>
      <c r="P149" s="245" t="s">
        <v>423</v>
      </c>
      <c r="Q149" s="244" t="s">
        <v>601</v>
      </c>
      <c r="R149" s="244" t="s">
        <v>184</v>
      </c>
      <c r="S149" s="252">
        <f>IF(R149="Muy Alto",10,IF(R149="Alto",6,IF(R149="Medio",2,IF(R149="Bajo",1,))))</f>
        <v>1</v>
      </c>
      <c r="T149" s="244" t="s">
        <v>485</v>
      </c>
      <c r="U149" s="253">
        <f>IF(T149="Continua",4,IF(T149="Frecuente",3,IF(T149="Ocasional",2,IF(T149="Esporádica",1,))))</f>
        <v>1</v>
      </c>
      <c r="V149" s="251">
        <f>S149*U149</f>
        <v>1</v>
      </c>
      <c r="W149" s="244" t="str">
        <f>IF(AND(V149&gt;=0,V149&lt;=4),"Bajo",IF(AND(V149&gt;=6,V149&lt;=8),"Medio",IF(AND(V149&gt;=10,V149&lt;=20),"Alto",IF(AND(V149&gt;=20,V149&lt;=40),"Muy Alto",))))</f>
        <v>Bajo</v>
      </c>
      <c r="X149" s="244" t="s">
        <v>428</v>
      </c>
      <c r="Y149" s="253">
        <f>IF(X149="Mortal o catastrófico",100,IF(X149="Muy grave",60,IF(X149="Grave",25,IF(X149="Leve",10,))))</f>
        <v>10</v>
      </c>
      <c r="Z149" s="251">
        <f>V149*Y149</f>
        <v>10</v>
      </c>
      <c r="AA149" s="244" t="str">
        <f>IF(AND(Z149&gt;=600,Z149&lt;=4000),"Nivel I: Riesgo Inaceptable",IF(AND(Z149&gt;=150,Z149&lt;=500),"Nivel II: Riesgo Importante",IF(AND(Z149&gt;=40,Z149&lt;=120),"Nivel III: Riesgo Moderado (Aceptable)","Nivel IV: Riesgo Tolerable (Aceptable)")))</f>
        <v>Nivel IV: Riesgo Tolerable (Aceptable)</v>
      </c>
      <c r="AB149" s="244">
        <v>2</v>
      </c>
      <c r="AC149" s="244"/>
      <c r="AD149" s="244"/>
      <c r="AE149" s="244"/>
      <c r="AF149" s="251"/>
      <c r="AG149" s="251"/>
      <c r="AH149" s="245" t="s">
        <v>424</v>
      </c>
      <c r="AI149" s="245" t="s">
        <v>424</v>
      </c>
      <c r="AJ149" s="245" t="s">
        <v>424</v>
      </c>
      <c r="AK149" s="245" t="s">
        <v>826</v>
      </c>
      <c r="AL149" s="260" t="s">
        <v>600</v>
      </c>
    </row>
    <row r="150" spans="1:38" s="235" customFormat="1" ht="63.75" hidden="1" customHeight="1" x14ac:dyDescent="0.3">
      <c r="A150" s="259" t="s">
        <v>1584</v>
      </c>
      <c r="B150" s="244" t="s">
        <v>1585</v>
      </c>
      <c r="C150" s="244" t="s">
        <v>1583</v>
      </c>
      <c r="D150" s="244" t="s">
        <v>1581</v>
      </c>
      <c r="E150" s="244" t="s">
        <v>1582</v>
      </c>
      <c r="F150" s="244" t="s">
        <v>422</v>
      </c>
      <c r="G150" s="244" t="s">
        <v>1473</v>
      </c>
      <c r="H150" s="245" t="s">
        <v>413</v>
      </c>
      <c r="I150" s="244" t="s">
        <v>1378</v>
      </c>
      <c r="J150" s="244" t="s">
        <v>1463</v>
      </c>
      <c r="K150" s="244" t="s">
        <v>602</v>
      </c>
      <c r="L150" s="244" t="s">
        <v>421</v>
      </c>
      <c r="M150" s="244" t="s">
        <v>460</v>
      </c>
      <c r="N150" s="244" t="s">
        <v>469</v>
      </c>
      <c r="O150" s="245" t="s">
        <v>423</v>
      </c>
      <c r="P150" s="245" t="s">
        <v>423</v>
      </c>
      <c r="Q150" s="244" t="s">
        <v>601</v>
      </c>
      <c r="R150" s="244" t="s">
        <v>184</v>
      </c>
      <c r="S150" s="252">
        <f t="shared" ref="S150:S155" si="215">IF(R150="Muy Alto",10,IF(R150="Alto",6,IF(R150="Medio",2,IF(R150="Bajo",1,))))</f>
        <v>1</v>
      </c>
      <c r="T150" s="244" t="s">
        <v>485</v>
      </c>
      <c r="U150" s="253">
        <f t="shared" ref="U150:U155" si="216">IF(T150="Continua",4,IF(T150="Frecuente",3,IF(T150="Ocasional",2,IF(T150="Esporádica",1,))))</f>
        <v>1</v>
      </c>
      <c r="V150" s="251">
        <f t="shared" ref="V150:V155" si="217">S150*U150</f>
        <v>1</v>
      </c>
      <c r="W150" s="244" t="str">
        <f t="shared" ref="W150:W155" si="218">IF(AND(V150&gt;=0,V150&lt;=4),"Bajo",IF(AND(V150&gt;=6,V150&lt;=8),"Medio",IF(AND(V150&gt;=10,V150&lt;=20),"Alto",IF(AND(V150&gt;=20,V150&lt;=40),"Muy Alto",))))</f>
        <v>Bajo</v>
      </c>
      <c r="X150" s="244" t="s">
        <v>428</v>
      </c>
      <c r="Y150" s="253">
        <f t="shared" ref="Y150:Y155" si="219">IF(X150="Mortal o catastrófico",100,IF(X150="Muy grave",60,IF(X150="Grave",25,IF(X150="Leve",10,))))</f>
        <v>10</v>
      </c>
      <c r="Z150" s="251">
        <f t="shared" ref="Z150:Z155" si="220">V150*Y150</f>
        <v>10</v>
      </c>
      <c r="AA150" s="244" t="str">
        <f t="shared" ref="AA150:AA155" si="221">IF(AND(Z150&gt;=600,Z150&lt;=4000),"Nivel I: Riesgo Inaceptable",IF(AND(Z150&gt;=150,Z150&lt;=500),"Nivel II: Riesgo Importante",IF(AND(Z150&gt;=40,Z150&lt;=120),"Nivel III: Riesgo Moderado (Aceptable)","Nivel IV: Riesgo Tolerable (Aceptable)")))</f>
        <v>Nivel IV: Riesgo Tolerable (Aceptable)</v>
      </c>
      <c r="AB150" s="244">
        <v>2</v>
      </c>
      <c r="AC150" s="244"/>
      <c r="AD150" s="244"/>
      <c r="AE150" s="244"/>
      <c r="AF150" s="251"/>
      <c r="AG150" s="251"/>
      <c r="AH150" s="245" t="s">
        <v>424</v>
      </c>
      <c r="AI150" s="245" t="s">
        <v>424</v>
      </c>
      <c r="AJ150" s="245" t="s">
        <v>424</v>
      </c>
      <c r="AK150" s="245" t="s">
        <v>826</v>
      </c>
      <c r="AL150" s="260" t="s">
        <v>600</v>
      </c>
    </row>
    <row r="151" spans="1:38" s="235" customFormat="1" ht="63.75" hidden="1" customHeight="1" x14ac:dyDescent="0.3">
      <c r="A151" s="259" t="s">
        <v>1584</v>
      </c>
      <c r="B151" s="244" t="s">
        <v>1585</v>
      </c>
      <c r="C151" s="244" t="s">
        <v>1583</v>
      </c>
      <c r="D151" s="244" t="s">
        <v>1608</v>
      </c>
      <c r="E151" s="244" t="s">
        <v>1582</v>
      </c>
      <c r="F151" s="244" t="s">
        <v>422</v>
      </c>
      <c r="G151" s="244" t="s">
        <v>1473</v>
      </c>
      <c r="H151" s="245" t="s">
        <v>414</v>
      </c>
      <c r="I151" s="244" t="s">
        <v>578</v>
      </c>
      <c r="J151" s="244" t="s">
        <v>828</v>
      </c>
      <c r="K151" s="244" t="s">
        <v>829</v>
      </c>
      <c r="L151" s="244" t="s">
        <v>421</v>
      </c>
      <c r="M151" s="244" t="s">
        <v>460</v>
      </c>
      <c r="N151" s="244" t="s">
        <v>469</v>
      </c>
      <c r="O151" s="245" t="s">
        <v>423</v>
      </c>
      <c r="P151" s="245" t="s">
        <v>423</v>
      </c>
      <c r="Q151" s="244" t="s">
        <v>777</v>
      </c>
      <c r="R151" s="244" t="s">
        <v>184</v>
      </c>
      <c r="S151" s="252">
        <f t="shared" si="215"/>
        <v>1</v>
      </c>
      <c r="T151" s="244" t="s">
        <v>186</v>
      </c>
      <c r="U151" s="253">
        <f t="shared" si="216"/>
        <v>4</v>
      </c>
      <c r="V151" s="251">
        <f t="shared" si="217"/>
        <v>4</v>
      </c>
      <c r="W151" s="244" t="str">
        <f t="shared" si="218"/>
        <v>Bajo</v>
      </c>
      <c r="X151" s="244" t="s">
        <v>187</v>
      </c>
      <c r="Y151" s="253">
        <f t="shared" si="219"/>
        <v>25</v>
      </c>
      <c r="Z151" s="251">
        <f t="shared" si="220"/>
        <v>100</v>
      </c>
      <c r="AA151" s="244" t="str">
        <f t="shared" si="221"/>
        <v>Nivel III: Riesgo Moderado (Aceptable)</v>
      </c>
      <c r="AB151" s="244">
        <v>2</v>
      </c>
      <c r="AC151" s="244"/>
      <c r="AD151" s="244"/>
      <c r="AE151" s="244"/>
      <c r="AF151" s="251"/>
      <c r="AG151" s="251"/>
      <c r="AH151" s="245" t="s">
        <v>424</v>
      </c>
      <c r="AI151" s="245" t="s">
        <v>424</v>
      </c>
      <c r="AJ151" s="245" t="s">
        <v>424</v>
      </c>
      <c r="AK151" s="245" t="s">
        <v>737</v>
      </c>
      <c r="AL151" s="260" t="s">
        <v>600</v>
      </c>
    </row>
    <row r="152" spans="1:38" s="235" customFormat="1" ht="63.75" hidden="1" customHeight="1" x14ac:dyDescent="0.3">
      <c r="A152" s="259" t="s">
        <v>1584</v>
      </c>
      <c r="B152" s="244" t="s">
        <v>1585</v>
      </c>
      <c r="C152" s="244" t="s">
        <v>1583</v>
      </c>
      <c r="D152" s="244" t="s">
        <v>1608</v>
      </c>
      <c r="E152" s="244" t="s">
        <v>1582</v>
      </c>
      <c r="F152" s="244" t="s">
        <v>461</v>
      </c>
      <c r="G152" s="244" t="s">
        <v>1473</v>
      </c>
      <c r="H152" s="245" t="s">
        <v>414</v>
      </c>
      <c r="I152" s="244" t="s">
        <v>359</v>
      </c>
      <c r="J152" s="244" t="s">
        <v>795</v>
      </c>
      <c r="K152" s="244" t="s">
        <v>778</v>
      </c>
      <c r="L152" s="244" t="s">
        <v>421</v>
      </c>
      <c r="M152" s="244" t="s">
        <v>460</v>
      </c>
      <c r="N152" s="244" t="s">
        <v>469</v>
      </c>
      <c r="O152" s="245" t="s">
        <v>423</v>
      </c>
      <c r="P152" s="245" t="s">
        <v>423</v>
      </c>
      <c r="Q152" s="244" t="s">
        <v>796</v>
      </c>
      <c r="R152" s="244" t="s">
        <v>184</v>
      </c>
      <c r="S152" s="252">
        <f t="shared" si="215"/>
        <v>1</v>
      </c>
      <c r="T152" s="244" t="s">
        <v>416</v>
      </c>
      <c r="U152" s="253">
        <f t="shared" si="216"/>
        <v>3</v>
      </c>
      <c r="V152" s="251">
        <f t="shared" si="217"/>
        <v>3</v>
      </c>
      <c r="W152" s="244" t="str">
        <f t="shared" si="218"/>
        <v>Bajo</v>
      </c>
      <c r="X152" s="244" t="s">
        <v>187</v>
      </c>
      <c r="Y152" s="253">
        <f t="shared" si="219"/>
        <v>25</v>
      </c>
      <c r="Z152" s="251">
        <f t="shared" si="220"/>
        <v>75</v>
      </c>
      <c r="AA152" s="244" t="str">
        <f t="shared" si="221"/>
        <v>Nivel III: Riesgo Moderado (Aceptable)</v>
      </c>
      <c r="AB152" s="244">
        <v>2</v>
      </c>
      <c r="AC152" s="244"/>
      <c r="AD152" s="244"/>
      <c r="AE152" s="244"/>
      <c r="AF152" s="251"/>
      <c r="AG152" s="251"/>
      <c r="AH152" s="245" t="s">
        <v>424</v>
      </c>
      <c r="AI152" s="245" t="s">
        <v>424</v>
      </c>
      <c r="AJ152" s="245" t="s">
        <v>424</v>
      </c>
      <c r="AK152" s="245" t="s">
        <v>738</v>
      </c>
      <c r="AL152" s="260" t="s">
        <v>600</v>
      </c>
    </row>
    <row r="153" spans="1:38" s="235" customFormat="1" ht="63.75" hidden="1" customHeight="1" x14ac:dyDescent="0.3">
      <c r="A153" s="259" t="s">
        <v>1584</v>
      </c>
      <c r="B153" s="244" t="s">
        <v>1585</v>
      </c>
      <c r="C153" s="244" t="s">
        <v>1583</v>
      </c>
      <c r="D153" s="244" t="s">
        <v>1608</v>
      </c>
      <c r="E153" s="244" t="s">
        <v>1582</v>
      </c>
      <c r="F153" s="244" t="s">
        <v>461</v>
      </c>
      <c r="G153" s="244" t="s">
        <v>1473</v>
      </c>
      <c r="H153" s="245" t="s">
        <v>449</v>
      </c>
      <c r="I153" s="244" t="s">
        <v>591</v>
      </c>
      <c r="J153" s="244" t="s">
        <v>547</v>
      </c>
      <c r="K153" s="244" t="s">
        <v>548</v>
      </c>
      <c r="L153" s="244" t="s">
        <v>421</v>
      </c>
      <c r="M153" s="244" t="s">
        <v>460</v>
      </c>
      <c r="N153" s="244" t="s">
        <v>469</v>
      </c>
      <c r="O153" s="245" t="s">
        <v>423</v>
      </c>
      <c r="P153" s="245" t="s">
        <v>550</v>
      </c>
      <c r="Q153" s="244" t="s">
        <v>549</v>
      </c>
      <c r="R153" s="244" t="s">
        <v>184</v>
      </c>
      <c r="S153" s="252">
        <f t="shared" si="215"/>
        <v>1</v>
      </c>
      <c r="T153" s="244" t="s">
        <v>429</v>
      </c>
      <c r="U153" s="253">
        <f t="shared" si="216"/>
        <v>2</v>
      </c>
      <c r="V153" s="251">
        <f t="shared" si="217"/>
        <v>2</v>
      </c>
      <c r="W153" s="244" t="str">
        <f t="shared" si="218"/>
        <v>Bajo</v>
      </c>
      <c r="X153" s="244" t="s">
        <v>187</v>
      </c>
      <c r="Y153" s="253">
        <f t="shared" si="219"/>
        <v>25</v>
      </c>
      <c r="Z153" s="251">
        <f t="shared" si="220"/>
        <v>50</v>
      </c>
      <c r="AA153" s="244" t="str">
        <f t="shared" si="221"/>
        <v>Nivel III: Riesgo Moderado (Aceptable)</v>
      </c>
      <c r="AB153" s="244">
        <v>2</v>
      </c>
      <c r="AC153" s="244"/>
      <c r="AD153" s="244"/>
      <c r="AE153" s="244"/>
      <c r="AF153" s="251"/>
      <c r="AG153" s="251"/>
      <c r="AH153" s="245" t="s">
        <v>424</v>
      </c>
      <c r="AI153" s="245" t="s">
        <v>424</v>
      </c>
      <c r="AJ153" s="245" t="s">
        <v>424</v>
      </c>
      <c r="AK153" s="245" t="s">
        <v>551</v>
      </c>
      <c r="AL153" s="260" t="s">
        <v>600</v>
      </c>
    </row>
    <row r="154" spans="1:38" s="235" customFormat="1" ht="63.75" hidden="1" customHeight="1" x14ac:dyDescent="0.3">
      <c r="A154" s="259" t="s">
        <v>1584</v>
      </c>
      <c r="B154" s="244" t="s">
        <v>1585</v>
      </c>
      <c r="C154" s="244" t="s">
        <v>1583</v>
      </c>
      <c r="D154" s="244" t="s">
        <v>1608</v>
      </c>
      <c r="E154" s="244" t="s">
        <v>1582</v>
      </c>
      <c r="F154" s="244" t="s">
        <v>461</v>
      </c>
      <c r="G154" s="244" t="s">
        <v>1473</v>
      </c>
      <c r="H154" s="245" t="s">
        <v>449</v>
      </c>
      <c r="I154" s="244" t="s">
        <v>448</v>
      </c>
      <c r="J154" s="244" t="s">
        <v>552</v>
      </c>
      <c r="K154" s="244" t="s">
        <v>553</v>
      </c>
      <c r="L154" s="244" t="s">
        <v>421</v>
      </c>
      <c r="M154" s="244" t="s">
        <v>460</v>
      </c>
      <c r="N154" s="244" t="s">
        <v>469</v>
      </c>
      <c r="O154" s="245" t="s">
        <v>423</v>
      </c>
      <c r="P154" s="245" t="s">
        <v>554</v>
      </c>
      <c r="Q154" s="244" t="s">
        <v>890</v>
      </c>
      <c r="R154" s="244" t="s">
        <v>184</v>
      </c>
      <c r="S154" s="252">
        <f t="shared" si="215"/>
        <v>1</v>
      </c>
      <c r="T154" s="244" t="s">
        <v>429</v>
      </c>
      <c r="U154" s="253">
        <f t="shared" si="216"/>
        <v>2</v>
      </c>
      <c r="V154" s="251">
        <f t="shared" si="217"/>
        <v>2</v>
      </c>
      <c r="W154" s="244" t="str">
        <f t="shared" si="218"/>
        <v>Bajo</v>
      </c>
      <c r="X154" s="244" t="s">
        <v>187</v>
      </c>
      <c r="Y154" s="253">
        <f t="shared" si="219"/>
        <v>25</v>
      </c>
      <c r="Z154" s="251">
        <f t="shared" si="220"/>
        <v>50</v>
      </c>
      <c r="AA154" s="244" t="str">
        <f t="shared" si="221"/>
        <v>Nivel III: Riesgo Moderado (Aceptable)</v>
      </c>
      <c r="AB154" s="244">
        <v>2</v>
      </c>
      <c r="AC154" s="244"/>
      <c r="AD154" s="244"/>
      <c r="AE154" s="244"/>
      <c r="AF154" s="251"/>
      <c r="AG154" s="251"/>
      <c r="AH154" s="245" t="s">
        <v>424</v>
      </c>
      <c r="AI154" s="245" t="s">
        <v>424</v>
      </c>
      <c r="AJ154" s="245" t="s">
        <v>424</v>
      </c>
      <c r="AK154" s="245" t="s">
        <v>551</v>
      </c>
      <c r="AL154" s="260" t="s">
        <v>600</v>
      </c>
    </row>
    <row r="155" spans="1:38" s="235" customFormat="1" ht="63.75" hidden="1" customHeight="1" x14ac:dyDescent="0.3">
      <c r="A155" s="259" t="s">
        <v>1584</v>
      </c>
      <c r="B155" s="244" t="s">
        <v>1585</v>
      </c>
      <c r="C155" s="244" t="s">
        <v>1583</v>
      </c>
      <c r="D155" s="244" t="s">
        <v>1608</v>
      </c>
      <c r="E155" s="244" t="s">
        <v>1582</v>
      </c>
      <c r="F155" s="244" t="s">
        <v>461</v>
      </c>
      <c r="G155" s="244" t="s">
        <v>1473</v>
      </c>
      <c r="H155" s="245" t="s">
        <v>449</v>
      </c>
      <c r="I155" s="244" t="s">
        <v>546</v>
      </c>
      <c r="J155" s="244" t="s">
        <v>552</v>
      </c>
      <c r="K155" s="244" t="s">
        <v>553</v>
      </c>
      <c r="L155" s="244" t="s">
        <v>421</v>
      </c>
      <c r="M155" s="244" t="s">
        <v>460</v>
      </c>
      <c r="N155" s="244" t="s">
        <v>469</v>
      </c>
      <c r="O155" s="245" t="s">
        <v>423</v>
      </c>
      <c r="P155" s="245" t="s">
        <v>554</v>
      </c>
      <c r="Q155" s="244" t="s">
        <v>890</v>
      </c>
      <c r="R155" s="244" t="s">
        <v>184</v>
      </c>
      <c r="S155" s="252">
        <f t="shared" si="215"/>
        <v>1</v>
      </c>
      <c r="T155" s="244" t="s">
        <v>429</v>
      </c>
      <c r="U155" s="253">
        <f t="shared" si="216"/>
        <v>2</v>
      </c>
      <c r="V155" s="251">
        <f t="shared" si="217"/>
        <v>2</v>
      </c>
      <c r="W155" s="244" t="str">
        <f t="shared" si="218"/>
        <v>Bajo</v>
      </c>
      <c r="X155" s="244" t="s">
        <v>187</v>
      </c>
      <c r="Y155" s="253">
        <f t="shared" si="219"/>
        <v>25</v>
      </c>
      <c r="Z155" s="251">
        <f t="shared" si="220"/>
        <v>50</v>
      </c>
      <c r="AA155" s="244" t="str">
        <f t="shared" si="221"/>
        <v>Nivel III: Riesgo Moderado (Aceptable)</v>
      </c>
      <c r="AB155" s="244">
        <v>2</v>
      </c>
      <c r="AC155" s="244"/>
      <c r="AD155" s="244"/>
      <c r="AE155" s="244"/>
      <c r="AF155" s="251"/>
      <c r="AG155" s="251"/>
      <c r="AH155" s="245" t="s">
        <v>424</v>
      </c>
      <c r="AI155" s="245" t="s">
        <v>424</v>
      </c>
      <c r="AJ155" s="245" t="s">
        <v>424</v>
      </c>
      <c r="AK155" s="245" t="s">
        <v>551</v>
      </c>
      <c r="AL155" s="260" t="s">
        <v>600</v>
      </c>
    </row>
    <row r="156" spans="1:38" s="235" customFormat="1" ht="54.75" hidden="1" customHeight="1" x14ac:dyDescent="0.3">
      <c r="A156" s="259" t="s">
        <v>271</v>
      </c>
      <c r="B156" s="244" t="s">
        <v>1468</v>
      </c>
      <c r="C156" s="244" t="s">
        <v>1448</v>
      </c>
      <c r="D156" s="244" t="s">
        <v>1579</v>
      </c>
      <c r="E156" s="244" t="s">
        <v>1580</v>
      </c>
      <c r="F156" s="244" t="s">
        <v>422</v>
      </c>
      <c r="G156" s="244" t="s">
        <v>1449</v>
      </c>
      <c r="H156" s="245" t="s">
        <v>397</v>
      </c>
      <c r="I156" s="244" t="s">
        <v>367</v>
      </c>
      <c r="J156" s="244" t="s">
        <v>556</v>
      </c>
      <c r="K156" s="244" t="s">
        <v>557</v>
      </c>
      <c r="L156" s="244" t="s">
        <v>421</v>
      </c>
      <c r="M156" s="244" t="s">
        <v>460</v>
      </c>
      <c r="N156" s="244" t="s">
        <v>469</v>
      </c>
      <c r="O156" s="245" t="s">
        <v>905</v>
      </c>
      <c r="P156" s="245" t="s">
        <v>906</v>
      </c>
      <c r="Q156" s="244" t="s">
        <v>907</v>
      </c>
      <c r="R156" s="244" t="s">
        <v>184</v>
      </c>
      <c r="S156" s="252">
        <f>IF(R156="Muy Alto",10,IF(R156="Alto",6,IF(R156="Medio",2,IF(R156="Bajo",1,))))</f>
        <v>1</v>
      </c>
      <c r="T156" s="244" t="s">
        <v>186</v>
      </c>
      <c r="U156" s="253">
        <f t="shared" ref="U156:U160" si="222">IF(T156="Continua",4,IF(T156="Frecuente",3,IF(T156="Ocasional",2,IF(T156="Esporádica",1,))))</f>
        <v>4</v>
      </c>
      <c r="V156" s="251">
        <f t="shared" ref="V156:V161" si="223">S156*U156</f>
        <v>4</v>
      </c>
      <c r="W156" s="244" t="str">
        <f t="shared" ref="W156:W171" si="224">IF(AND(V156&gt;=0,V156&lt;=4),"Bajo",IF(AND(V156&gt;=6,V156&lt;=8),"Medio",IF(AND(V156&gt;=10,V156&lt;=20),"Alto",IF(AND(V156&gt;=20,V156&lt;=40),"Muy Alto",))))</f>
        <v>Bajo</v>
      </c>
      <c r="X156" s="244" t="s">
        <v>187</v>
      </c>
      <c r="Y156" s="253">
        <f t="shared" ref="Y156:Y157" si="225">IF(X156="Mortal o catastrófico",100,IF(X156="Muy grave",60,IF(X156="Grave",25,IF(X156="Leve",10,))))</f>
        <v>25</v>
      </c>
      <c r="Z156" s="251">
        <f t="shared" ref="Z156:Z161" si="226">V156*Y156</f>
        <v>100</v>
      </c>
      <c r="AA156" s="244" t="str">
        <f t="shared" ref="AA156:AA171" si="227">IF(AND(Z156&gt;=600,Z156&lt;=4000),"Nivel I: Riesgo Inaceptable",IF(AND(Z156&gt;=150,Z156&lt;=500),"Nivel II: Riesgo Importante",IF(AND(Z156&gt;=40,Z156&lt;=120),"Nivel III: Riesgo Moderado (Aceptable)","Nivel IV: Riesgo Tolerable (Aceptable)")))</f>
        <v>Nivel III: Riesgo Moderado (Aceptable)</v>
      </c>
      <c r="AB156" s="244">
        <v>8</v>
      </c>
      <c r="AC156" s="244"/>
      <c r="AD156" s="244"/>
      <c r="AE156" s="244"/>
      <c r="AF156" s="251"/>
      <c r="AG156" s="251"/>
      <c r="AH156" s="245" t="s">
        <v>424</v>
      </c>
      <c r="AI156" s="245" t="s">
        <v>424</v>
      </c>
      <c r="AJ156" s="245" t="s">
        <v>424</v>
      </c>
      <c r="AK156" s="245" t="s">
        <v>730</v>
      </c>
      <c r="AL156" s="260" t="s">
        <v>600</v>
      </c>
    </row>
    <row r="157" spans="1:38" s="235" customFormat="1" ht="54.75" hidden="1" customHeight="1" x14ac:dyDescent="0.3">
      <c r="A157" s="259" t="s">
        <v>271</v>
      </c>
      <c r="B157" s="244" t="s">
        <v>1468</v>
      </c>
      <c r="C157" s="244" t="s">
        <v>1448</v>
      </c>
      <c r="D157" s="244" t="s">
        <v>1579</v>
      </c>
      <c r="E157" s="244" t="s">
        <v>1580</v>
      </c>
      <c r="F157" s="244" t="s">
        <v>422</v>
      </c>
      <c r="G157" s="244" t="s">
        <v>1449</v>
      </c>
      <c r="H157" s="245" t="s">
        <v>397</v>
      </c>
      <c r="I157" s="244" t="s">
        <v>178</v>
      </c>
      <c r="J157" s="244" t="s">
        <v>908</v>
      </c>
      <c r="K157" s="244" t="s">
        <v>559</v>
      </c>
      <c r="L157" s="244" t="s">
        <v>421</v>
      </c>
      <c r="M157" s="244" t="s">
        <v>460</v>
      </c>
      <c r="N157" s="244" t="s">
        <v>469</v>
      </c>
      <c r="O157" s="245" t="s">
        <v>423</v>
      </c>
      <c r="P157" s="245" t="s">
        <v>423</v>
      </c>
      <c r="Q157" s="244" t="s">
        <v>465</v>
      </c>
      <c r="R157" s="244" t="s">
        <v>185</v>
      </c>
      <c r="S157" s="252">
        <v>0</v>
      </c>
      <c r="T157" s="244" t="s">
        <v>186</v>
      </c>
      <c r="U157" s="253">
        <f t="shared" si="222"/>
        <v>4</v>
      </c>
      <c r="V157" s="251">
        <f t="shared" si="223"/>
        <v>0</v>
      </c>
      <c r="W157" s="244" t="str">
        <f t="shared" si="224"/>
        <v>Bajo</v>
      </c>
      <c r="X157" s="244" t="s">
        <v>187</v>
      </c>
      <c r="Y157" s="253">
        <f t="shared" si="225"/>
        <v>25</v>
      </c>
      <c r="Z157" s="251">
        <f t="shared" si="226"/>
        <v>0</v>
      </c>
      <c r="AA157" s="244" t="str">
        <f t="shared" si="227"/>
        <v>Nivel IV: Riesgo Tolerable (Aceptable)</v>
      </c>
      <c r="AB157" s="244">
        <v>8</v>
      </c>
      <c r="AC157" s="244"/>
      <c r="AD157" s="244"/>
      <c r="AE157" s="244"/>
      <c r="AF157" s="251"/>
      <c r="AG157" s="251"/>
      <c r="AH157" s="245" t="s">
        <v>424</v>
      </c>
      <c r="AI157" s="245" t="s">
        <v>424</v>
      </c>
      <c r="AJ157" s="245" t="s">
        <v>424</v>
      </c>
      <c r="AK157" s="245" t="s">
        <v>730</v>
      </c>
      <c r="AL157" s="260" t="s">
        <v>600</v>
      </c>
    </row>
    <row r="158" spans="1:38" s="235" customFormat="1" ht="54.75" hidden="1" customHeight="1" x14ac:dyDescent="0.3">
      <c r="A158" s="259" t="s">
        <v>271</v>
      </c>
      <c r="B158" s="244" t="s">
        <v>1468</v>
      </c>
      <c r="C158" s="244" t="s">
        <v>1448</v>
      </c>
      <c r="D158" s="244" t="s">
        <v>1579</v>
      </c>
      <c r="E158" s="244" t="s">
        <v>1580</v>
      </c>
      <c r="F158" s="244" t="s">
        <v>461</v>
      </c>
      <c r="G158" s="244" t="s">
        <v>1449</v>
      </c>
      <c r="H158" s="245" t="s">
        <v>397</v>
      </c>
      <c r="I158" s="244" t="s">
        <v>371</v>
      </c>
      <c r="J158" s="244" t="s">
        <v>466</v>
      </c>
      <c r="K158" s="244" t="s">
        <v>559</v>
      </c>
      <c r="L158" s="244" t="s">
        <v>421</v>
      </c>
      <c r="M158" s="244" t="s">
        <v>460</v>
      </c>
      <c r="N158" s="244" t="s">
        <v>469</v>
      </c>
      <c r="O158" s="245" t="s">
        <v>423</v>
      </c>
      <c r="P158" s="245" t="s">
        <v>467</v>
      </c>
      <c r="Q158" s="244" t="s">
        <v>830</v>
      </c>
      <c r="R158" s="244" t="s">
        <v>185</v>
      </c>
      <c r="S158" s="252">
        <f t="shared" ref="S158:S171" si="228">IF(R158="Muy Alto",10,IF(R158="Alto",6,IF(R158="Medio",2,IF(R158="Bajo",1,))))</f>
        <v>2</v>
      </c>
      <c r="T158" s="244" t="s">
        <v>429</v>
      </c>
      <c r="U158" s="253">
        <f t="shared" si="222"/>
        <v>2</v>
      </c>
      <c r="V158" s="251">
        <f t="shared" si="223"/>
        <v>4</v>
      </c>
      <c r="W158" s="244" t="str">
        <f t="shared" si="224"/>
        <v>Bajo</v>
      </c>
      <c r="X158" s="244" t="s">
        <v>428</v>
      </c>
      <c r="Y158" s="253">
        <f t="shared" ref="Y158:Y161" si="229">IF(X158="Mortal o catastrófico",100,IF(X158="Muy grave",60,IF(X158="Grave",25,IF(X158="Leve",10,))))</f>
        <v>10</v>
      </c>
      <c r="Z158" s="251">
        <f t="shared" si="226"/>
        <v>40</v>
      </c>
      <c r="AA158" s="244" t="str">
        <f t="shared" si="227"/>
        <v>Nivel III: Riesgo Moderado (Aceptable)</v>
      </c>
      <c r="AB158" s="244">
        <v>8</v>
      </c>
      <c r="AC158" s="244"/>
      <c r="AD158" s="244"/>
      <c r="AE158" s="244"/>
      <c r="AF158" s="251"/>
      <c r="AG158" s="251"/>
      <c r="AH158" s="245" t="s">
        <v>424</v>
      </c>
      <c r="AI158" s="245" t="s">
        <v>424</v>
      </c>
      <c r="AJ158" s="245" t="s">
        <v>424</v>
      </c>
      <c r="AK158" s="245" t="s">
        <v>730</v>
      </c>
      <c r="AL158" s="260" t="s">
        <v>600</v>
      </c>
    </row>
    <row r="159" spans="1:38" s="235" customFormat="1" ht="54.75" hidden="1" customHeight="1" x14ac:dyDescent="0.3">
      <c r="A159" s="259" t="s">
        <v>271</v>
      </c>
      <c r="B159" s="244" t="s">
        <v>1468</v>
      </c>
      <c r="C159" s="244" t="s">
        <v>1448</v>
      </c>
      <c r="D159" s="244" t="s">
        <v>1579</v>
      </c>
      <c r="E159" s="244" t="s">
        <v>1580</v>
      </c>
      <c r="F159" s="244" t="s">
        <v>461</v>
      </c>
      <c r="G159" s="244" t="s">
        <v>1449</v>
      </c>
      <c r="H159" s="244" t="s">
        <v>407</v>
      </c>
      <c r="I159" s="244" t="s">
        <v>292</v>
      </c>
      <c r="J159" s="244" t="s">
        <v>471</v>
      </c>
      <c r="K159" s="244" t="s">
        <v>472</v>
      </c>
      <c r="L159" s="244" t="s">
        <v>421</v>
      </c>
      <c r="M159" s="244" t="s">
        <v>460</v>
      </c>
      <c r="N159" s="244" t="s">
        <v>469</v>
      </c>
      <c r="O159" s="244" t="s">
        <v>423</v>
      </c>
      <c r="P159" s="244" t="s">
        <v>423</v>
      </c>
      <c r="Q159" s="244" t="s">
        <v>831</v>
      </c>
      <c r="R159" s="244" t="s">
        <v>184</v>
      </c>
      <c r="S159" s="252">
        <f t="shared" si="228"/>
        <v>1</v>
      </c>
      <c r="T159" s="244" t="s">
        <v>186</v>
      </c>
      <c r="U159" s="253">
        <f t="shared" si="222"/>
        <v>4</v>
      </c>
      <c r="V159" s="251">
        <f t="shared" si="223"/>
        <v>4</v>
      </c>
      <c r="W159" s="244" t="str">
        <f t="shared" si="224"/>
        <v>Bajo</v>
      </c>
      <c r="X159" s="244" t="s">
        <v>428</v>
      </c>
      <c r="Y159" s="253">
        <f t="shared" si="229"/>
        <v>10</v>
      </c>
      <c r="Z159" s="251">
        <f t="shared" si="226"/>
        <v>40</v>
      </c>
      <c r="AA159" s="244" t="str">
        <f t="shared" si="227"/>
        <v>Nivel III: Riesgo Moderado (Aceptable)</v>
      </c>
      <c r="AB159" s="244">
        <v>8</v>
      </c>
      <c r="AC159" s="244"/>
      <c r="AD159" s="244"/>
      <c r="AE159" s="244"/>
      <c r="AF159" s="251"/>
      <c r="AG159" s="251"/>
      <c r="AH159" s="245" t="s">
        <v>424</v>
      </c>
      <c r="AI159" s="245" t="s">
        <v>424</v>
      </c>
      <c r="AJ159" s="245" t="s">
        <v>424</v>
      </c>
      <c r="AK159" s="244" t="s">
        <v>733</v>
      </c>
      <c r="AL159" s="261" t="s">
        <v>446</v>
      </c>
    </row>
    <row r="160" spans="1:38" s="235" customFormat="1" ht="54.75" hidden="1" customHeight="1" x14ac:dyDescent="0.3">
      <c r="A160" s="259" t="s">
        <v>271</v>
      </c>
      <c r="B160" s="244" t="s">
        <v>1468</v>
      </c>
      <c r="C160" s="244" t="s">
        <v>1448</v>
      </c>
      <c r="D160" s="244" t="s">
        <v>1579</v>
      </c>
      <c r="E160" s="244" t="s">
        <v>1580</v>
      </c>
      <c r="F160" s="244" t="s">
        <v>461</v>
      </c>
      <c r="G160" s="244" t="s">
        <v>1449</v>
      </c>
      <c r="H160" s="244" t="s">
        <v>407</v>
      </c>
      <c r="I160" s="244" t="s">
        <v>355</v>
      </c>
      <c r="J160" s="244" t="s">
        <v>473</v>
      </c>
      <c r="K160" s="244" t="s">
        <v>472</v>
      </c>
      <c r="L160" s="244" t="s">
        <v>421</v>
      </c>
      <c r="M160" s="244" t="s">
        <v>460</v>
      </c>
      <c r="N160" s="244" t="s">
        <v>469</v>
      </c>
      <c r="O160" s="244" t="s">
        <v>474</v>
      </c>
      <c r="P160" s="244" t="s">
        <v>475</v>
      </c>
      <c r="Q160" s="244" t="s">
        <v>831</v>
      </c>
      <c r="R160" s="244" t="s">
        <v>185</v>
      </c>
      <c r="S160" s="252">
        <f t="shared" si="228"/>
        <v>2</v>
      </c>
      <c r="T160" s="244" t="s">
        <v>186</v>
      </c>
      <c r="U160" s="253">
        <f t="shared" si="222"/>
        <v>4</v>
      </c>
      <c r="V160" s="251">
        <f t="shared" si="223"/>
        <v>8</v>
      </c>
      <c r="W160" s="244" t="str">
        <f t="shared" si="224"/>
        <v>Medio</v>
      </c>
      <c r="X160" s="244" t="s">
        <v>428</v>
      </c>
      <c r="Y160" s="253">
        <f t="shared" si="229"/>
        <v>10</v>
      </c>
      <c r="Z160" s="251">
        <f t="shared" si="226"/>
        <v>80</v>
      </c>
      <c r="AA160" s="244" t="str">
        <f t="shared" si="227"/>
        <v>Nivel III: Riesgo Moderado (Aceptable)</v>
      </c>
      <c r="AB160" s="244">
        <v>8</v>
      </c>
      <c r="AC160" s="244"/>
      <c r="AD160" s="244"/>
      <c r="AE160" s="244"/>
      <c r="AF160" s="251"/>
      <c r="AG160" s="251"/>
      <c r="AH160" s="245" t="s">
        <v>424</v>
      </c>
      <c r="AI160" s="245" t="s">
        <v>424</v>
      </c>
      <c r="AJ160" s="245" t="s">
        <v>424</v>
      </c>
      <c r="AK160" s="244" t="s">
        <v>832</v>
      </c>
      <c r="AL160" s="260" t="s">
        <v>446</v>
      </c>
    </row>
    <row r="161" spans="1:38" s="235" customFormat="1" ht="54.75" hidden="1" customHeight="1" x14ac:dyDescent="0.3">
      <c r="A161" s="259" t="s">
        <v>271</v>
      </c>
      <c r="B161" s="244" t="s">
        <v>1468</v>
      </c>
      <c r="C161" s="244" t="s">
        <v>1448</v>
      </c>
      <c r="D161" s="244" t="s">
        <v>1579</v>
      </c>
      <c r="E161" s="244" t="s">
        <v>1580</v>
      </c>
      <c r="F161" s="244" t="s">
        <v>461</v>
      </c>
      <c r="G161" s="244" t="s">
        <v>1449</v>
      </c>
      <c r="H161" s="245" t="s">
        <v>407</v>
      </c>
      <c r="I161" s="244" t="s">
        <v>562</v>
      </c>
      <c r="J161" s="244" t="s">
        <v>488</v>
      </c>
      <c r="K161" s="244" t="s">
        <v>472</v>
      </c>
      <c r="L161" s="244" t="s">
        <v>421</v>
      </c>
      <c r="M161" s="244" t="s">
        <v>460</v>
      </c>
      <c r="N161" s="244" t="s">
        <v>469</v>
      </c>
      <c r="O161" s="245" t="s">
        <v>476</v>
      </c>
      <c r="P161" s="245" t="s">
        <v>423</v>
      </c>
      <c r="Q161" s="244" t="s">
        <v>831</v>
      </c>
      <c r="R161" s="244" t="s">
        <v>184</v>
      </c>
      <c r="S161" s="252">
        <f t="shared" si="228"/>
        <v>1</v>
      </c>
      <c r="T161" s="244" t="s">
        <v>416</v>
      </c>
      <c r="U161" s="253">
        <f>IF(T161="Continua",4,IF(T161="Frecuente",3,IF(T161="Ocasional",2,IF(T161="Esporádica",1,))))</f>
        <v>3</v>
      </c>
      <c r="V161" s="251">
        <f t="shared" si="223"/>
        <v>3</v>
      </c>
      <c r="W161" s="244" t="str">
        <f t="shared" si="224"/>
        <v>Bajo</v>
      </c>
      <c r="X161" s="244" t="s">
        <v>187</v>
      </c>
      <c r="Y161" s="253">
        <f t="shared" si="229"/>
        <v>25</v>
      </c>
      <c r="Z161" s="251">
        <f t="shared" si="226"/>
        <v>75</v>
      </c>
      <c r="AA161" s="244" t="str">
        <f t="shared" si="227"/>
        <v>Nivel III: Riesgo Moderado (Aceptable)</v>
      </c>
      <c r="AB161" s="244">
        <v>8</v>
      </c>
      <c r="AC161" s="244"/>
      <c r="AD161" s="244"/>
      <c r="AE161" s="244"/>
      <c r="AF161" s="251"/>
      <c r="AG161" s="251"/>
      <c r="AH161" s="245" t="s">
        <v>424</v>
      </c>
      <c r="AI161" s="245" t="s">
        <v>424</v>
      </c>
      <c r="AJ161" s="245" t="s">
        <v>424</v>
      </c>
      <c r="AK161" s="244" t="s">
        <v>833</v>
      </c>
      <c r="AL161" s="260" t="s">
        <v>446</v>
      </c>
    </row>
    <row r="162" spans="1:38" s="235" customFormat="1" ht="54.75" hidden="1" customHeight="1" x14ac:dyDescent="0.3">
      <c r="A162" s="259" t="s">
        <v>271</v>
      </c>
      <c r="B162" s="244" t="s">
        <v>1468</v>
      </c>
      <c r="C162" s="244" t="s">
        <v>1448</v>
      </c>
      <c r="D162" s="244" t="s">
        <v>1579</v>
      </c>
      <c r="E162" s="244" t="s">
        <v>1580</v>
      </c>
      <c r="F162" s="244" t="s">
        <v>461</v>
      </c>
      <c r="G162" s="244" t="s">
        <v>1449</v>
      </c>
      <c r="H162" s="245" t="s">
        <v>407</v>
      </c>
      <c r="I162" s="244" t="s">
        <v>198</v>
      </c>
      <c r="J162" s="244" t="s">
        <v>564</v>
      </c>
      <c r="K162" s="244" t="s">
        <v>477</v>
      </c>
      <c r="L162" s="244" t="s">
        <v>421</v>
      </c>
      <c r="M162" s="244" t="s">
        <v>460</v>
      </c>
      <c r="N162" s="244" t="s">
        <v>469</v>
      </c>
      <c r="O162" s="245" t="s">
        <v>423</v>
      </c>
      <c r="P162" s="245" t="s">
        <v>423</v>
      </c>
      <c r="Q162" s="244" t="s">
        <v>731</v>
      </c>
      <c r="R162" s="244" t="s">
        <v>184</v>
      </c>
      <c r="S162" s="252">
        <f t="shared" si="228"/>
        <v>1</v>
      </c>
      <c r="T162" s="244" t="s">
        <v>429</v>
      </c>
      <c r="U162" s="253">
        <f>IF(T162="Continua",4,IF(T162="Frecuente",3,IF(T162="Ocasional",2,IF(T162="Esporádica",1,))))</f>
        <v>2</v>
      </c>
      <c r="V162" s="251">
        <f>S162*U162</f>
        <v>2</v>
      </c>
      <c r="W162" s="244" t="str">
        <f t="shared" si="224"/>
        <v>Bajo</v>
      </c>
      <c r="X162" s="244" t="s">
        <v>428</v>
      </c>
      <c r="Y162" s="253">
        <f>IF(X162="Mortal o catastrófico",100,IF(X162="Muy grave",60,IF(X162="Grave",25,IF(X162="Leve",10,))))</f>
        <v>10</v>
      </c>
      <c r="Z162" s="251">
        <f>V162*Y162</f>
        <v>20</v>
      </c>
      <c r="AA162" s="244" t="str">
        <f t="shared" si="227"/>
        <v>Nivel IV: Riesgo Tolerable (Aceptable)</v>
      </c>
      <c r="AB162" s="244">
        <v>8</v>
      </c>
      <c r="AC162" s="244"/>
      <c r="AD162" s="244"/>
      <c r="AE162" s="244"/>
      <c r="AF162" s="251"/>
      <c r="AG162" s="251"/>
      <c r="AH162" s="245" t="s">
        <v>424</v>
      </c>
      <c r="AI162" s="245" t="s">
        <v>424</v>
      </c>
      <c r="AJ162" s="245" t="s">
        <v>424</v>
      </c>
      <c r="AK162" s="245" t="s">
        <v>834</v>
      </c>
      <c r="AL162" s="260" t="s">
        <v>446</v>
      </c>
    </row>
    <row r="163" spans="1:38" s="235" customFormat="1" ht="54.75" hidden="1" customHeight="1" x14ac:dyDescent="0.3">
      <c r="A163" s="259" t="s">
        <v>271</v>
      </c>
      <c r="B163" s="244" t="s">
        <v>1468</v>
      </c>
      <c r="C163" s="244" t="s">
        <v>1448</v>
      </c>
      <c r="D163" s="244" t="s">
        <v>1579</v>
      </c>
      <c r="E163" s="244" t="s">
        <v>1580</v>
      </c>
      <c r="F163" s="244" t="s">
        <v>461</v>
      </c>
      <c r="G163" s="244" t="s">
        <v>1449</v>
      </c>
      <c r="H163" s="245" t="s">
        <v>407</v>
      </c>
      <c r="I163" s="244" t="s">
        <v>452</v>
      </c>
      <c r="J163" s="244" t="s">
        <v>566</v>
      </c>
      <c r="K163" s="244" t="s">
        <v>478</v>
      </c>
      <c r="L163" s="244" t="s">
        <v>421</v>
      </c>
      <c r="M163" s="244" t="s">
        <v>460</v>
      </c>
      <c r="N163" s="244" t="s">
        <v>469</v>
      </c>
      <c r="O163" s="245" t="s">
        <v>423</v>
      </c>
      <c r="P163" s="245" t="s">
        <v>423</v>
      </c>
      <c r="Q163" s="244" t="s">
        <v>731</v>
      </c>
      <c r="R163" s="244" t="s">
        <v>185</v>
      </c>
      <c r="S163" s="252">
        <f t="shared" si="228"/>
        <v>2</v>
      </c>
      <c r="T163" s="244" t="s">
        <v>429</v>
      </c>
      <c r="U163" s="253">
        <f t="shared" ref="U163:U171" si="230">IF(T163="Continua",4,IF(T163="Frecuente",3,IF(T163="Ocasional",2,IF(T163="Esporádica",1,))))</f>
        <v>2</v>
      </c>
      <c r="V163" s="251">
        <f t="shared" ref="V163:V171" si="231">S163*U163</f>
        <v>4</v>
      </c>
      <c r="W163" s="244" t="str">
        <f t="shared" si="224"/>
        <v>Bajo</v>
      </c>
      <c r="X163" s="244" t="s">
        <v>428</v>
      </c>
      <c r="Y163" s="253">
        <f t="shared" ref="Y163:Y171" si="232">IF(X163="Mortal o catastrófico",100,IF(X163="Muy grave",60,IF(X163="Grave",25,IF(X163="Leve",10,))))</f>
        <v>10</v>
      </c>
      <c r="Z163" s="251">
        <f t="shared" ref="Z163:Z171" si="233">V163*Y163</f>
        <v>40</v>
      </c>
      <c r="AA163" s="244" t="str">
        <f t="shared" si="227"/>
        <v>Nivel III: Riesgo Moderado (Aceptable)</v>
      </c>
      <c r="AB163" s="244">
        <v>8</v>
      </c>
      <c r="AC163" s="244"/>
      <c r="AD163" s="244"/>
      <c r="AE163" s="244"/>
      <c r="AF163" s="251"/>
      <c r="AG163" s="251"/>
      <c r="AH163" s="245" t="s">
        <v>424</v>
      </c>
      <c r="AI163" s="245" t="s">
        <v>424</v>
      </c>
      <c r="AJ163" s="245" t="s">
        <v>424</v>
      </c>
      <c r="AK163" s="245" t="s">
        <v>835</v>
      </c>
      <c r="AL163" s="260" t="s">
        <v>446</v>
      </c>
    </row>
    <row r="164" spans="1:38" s="235" customFormat="1" ht="54.75" hidden="1" customHeight="1" x14ac:dyDescent="0.3">
      <c r="A164" s="259" t="s">
        <v>271</v>
      </c>
      <c r="B164" s="244" t="s">
        <v>1468</v>
      </c>
      <c r="C164" s="244" t="s">
        <v>1448</v>
      </c>
      <c r="D164" s="244" t="s">
        <v>1579</v>
      </c>
      <c r="E164" s="244" t="s">
        <v>1580</v>
      </c>
      <c r="F164" s="244" t="s">
        <v>461</v>
      </c>
      <c r="G164" s="244" t="s">
        <v>1449</v>
      </c>
      <c r="H164" s="245" t="s">
        <v>407</v>
      </c>
      <c r="I164" s="244" t="s">
        <v>287</v>
      </c>
      <c r="J164" s="244" t="s">
        <v>482</v>
      </c>
      <c r="K164" s="244" t="s">
        <v>479</v>
      </c>
      <c r="L164" s="244" t="s">
        <v>421</v>
      </c>
      <c r="M164" s="244" t="s">
        <v>460</v>
      </c>
      <c r="N164" s="244" t="s">
        <v>469</v>
      </c>
      <c r="O164" s="245" t="s">
        <v>423</v>
      </c>
      <c r="P164" s="245" t="s">
        <v>732</v>
      </c>
      <c r="Q164" s="244" t="s">
        <v>731</v>
      </c>
      <c r="R164" s="244" t="s">
        <v>185</v>
      </c>
      <c r="S164" s="252">
        <f t="shared" si="228"/>
        <v>2</v>
      </c>
      <c r="T164" s="244" t="s">
        <v>429</v>
      </c>
      <c r="U164" s="253">
        <f t="shared" si="230"/>
        <v>2</v>
      </c>
      <c r="V164" s="251">
        <f t="shared" si="231"/>
        <v>4</v>
      </c>
      <c r="W164" s="244" t="str">
        <f t="shared" si="224"/>
        <v>Bajo</v>
      </c>
      <c r="X164" s="244" t="s">
        <v>187</v>
      </c>
      <c r="Y164" s="253">
        <f t="shared" si="232"/>
        <v>25</v>
      </c>
      <c r="Z164" s="251">
        <f t="shared" si="233"/>
        <v>100</v>
      </c>
      <c r="AA164" s="244" t="str">
        <f t="shared" si="227"/>
        <v>Nivel III: Riesgo Moderado (Aceptable)</v>
      </c>
      <c r="AB164" s="244">
        <v>8</v>
      </c>
      <c r="AC164" s="244"/>
      <c r="AD164" s="244"/>
      <c r="AE164" s="244"/>
      <c r="AF164" s="251"/>
      <c r="AG164" s="251"/>
      <c r="AH164" s="245" t="s">
        <v>424</v>
      </c>
      <c r="AI164" s="245" t="s">
        <v>424</v>
      </c>
      <c r="AJ164" s="245" t="s">
        <v>424</v>
      </c>
      <c r="AK164" s="245" t="s">
        <v>480</v>
      </c>
      <c r="AL164" s="260" t="s">
        <v>446</v>
      </c>
    </row>
    <row r="165" spans="1:38" s="235" customFormat="1" ht="54.75" hidden="1" customHeight="1" x14ac:dyDescent="0.3">
      <c r="A165" s="259" t="s">
        <v>271</v>
      </c>
      <c r="B165" s="244" t="s">
        <v>1468</v>
      </c>
      <c r="C165" s="244" t="s">
        <v>1448</v>
      </c>
      <c r="D165" s="244" t="s">
        <v>1579</v>
      </c>
      <c r="E165" s="244" t="s">
        <v>1580</v>
      </c>
      <c r="F165" s="244" t="s">
        <v>422</v>
      </c>
      <c r="G165" s="244" t="s">
        <v>1449</v>
      </c>
      <c r="H165" s="245" t="s">
        <v>408</v>
      </c>
      <c r="I165" s="244" t="s">
        <v>289</v>
      </c>
      <c r="J165" s="244" t="s">
        <v>567</v>
      </c>
      <c r="K165" s="244" t="s">
        <v>568</v>
      </c>
      <c r="L165" s="244" t="s">
        <v>421</v>
      </c>
      <c r="M165" s="244" t="s">
        <v>460</v>
      </c>
      <c r="N165" s="244" t="s">
        <v>469</v>
      </c>
      <c r="O165" s="245" t="s">
        <v>483</v>
      </c>
      <c r="P165" s="245" t="s">
        <v>423</v>
      </c>
      <c r="Q165" s="245" t="s">
        <v>484</v>
      </c>
      <c r="R165" s="244" t="s">
        <v>184</v>
      </c>
      <c r="S165" s="252">
        <f t="shared" si="228"/>
        <v>1</v>
      </c>
      <c r="T165" s="244" t="s">
        <v>186</v>
      </c>
      <c r="U165" s="253">
        <f t="shared" si="230"/>
        <v>4</v>
      </c>
      <c r="V165" s="251">
        <f t="shared" si="231"/>
        <v>4</v>
      </c>
      <c r="W165" s="244" t="str">
        <f t="shared" si="224"/>
        <v>Bajo</v>
      </c>
      <c r="X165" s="244" t="s">
        <v>428</v>
      </c>
      <c r="Y165" s="253">
        <f t="shared" si="232"/>
        <v>10</v>
      </c>
      <c r="Z165" s="251">
        <f t="shared" si="233"/>
        <v>40</v>
      </c>
      <c r="AA165" s="244" t="str">
        <f t="shared" si="227"/>
        <v>Nivel III: Riesgo Moderado (Aceptable)</v>
      </c>
      <c r="AB165" s="244">
        <v>8</v>
      </c>
      <c r="AC165" s="244"/>
      <c r="AD165" s="244"/>
      <c r="AE165" s="244"/>
      <c r="AF165" s="251"/>
      <c r="AG165" s="251"/>
      <c r="AH165" s="245" t="s">
        <v>424</v>
      </c>
      <c r="AI165" s="245" t="s">
        <v>424</v>
      </c>
      <c r="AJ165" s="245" t="s">
        <v>424</v>
      </c>
      <c r="AK165" s="245" t="s">
        <v>551</v>
      </c>
      <c r="AL165" s="260" t="s">
        <v>600</v>
      </c>
    </row>
    <row r="166" spans="1:38" s="235" customFormat="1" ht="54.75" hidden="1" customHeight="1" x14ac:dyDescent="0.3">
      <c r="A166" s="259" t="s">
        <v>271</v>
      </c>
      <c r="B166" s="244" t="s">
        <v>1468</v>
      </c>
      <c r="C166" s="244" t="s">
        <v>1448</v>
      </c>
      <c r="D166" s="244" t="s">
        <v>1579</v>
      </c>
      <c r="E166" s="244" t="s">
        <v>1580</v>
      </c>
      <c r="F166" s="244" t="s">
        <v>422</v>
      </c>
      <c r="G166" s="244" t="s">
        <v>1449</v>
      </c>
      <c r="H166" s="245" t="s">
        <v>408</v>
      </c>
      <c r="I166" s="244" t="s">
        <v>405</v>
      </c>
      <c r="J166" s="244" t="s">
        <v>569</v>
      </c>
      <c r="K166" s="244" t="s">
        <v>568</v>
      </c>
      <c r="L166" s="244" t="s">
        <v>421</v>
      </c>
      <c r="M166" s="244" t="s">
        <v>460</v>
      </c>
      <c r="N166" s="244" t="s">
        <v>469</v>
      </c>
      <c r="O166" s="245" t="s">
        <v>483</v>
      </c>
      <c r="P166" s="245" t="s">
        <v>423</v>
      </c>
      <c r="Q166" s="245" t="s">
        <v>888</v>
      </c>
      <c r="R166" s="244" t="s">
        <v>185</v>
      </c>
      <c r="S166" s="252">
        <f t="shared" si="228"/>
        <v>2</v>
      </c>
      <c r="T166" s="244" t="s">
        <v>186</v>
      </c>
      <c r="U166" s="253">
        <f t="shared" si="230"/>
        <v>4</v>
      </c>
      <c r="V166" s="251">
        <f t="shared" si="231"/>
        <v>8</v>
      </c>
      <c r="W166" s="244" t="str">
        <f t="shared" si="224"/>
        <v>Medio</v>
      </c>
      <c r="X166" s="244" t="s">
        <v>428</v>
      </c>
      <c r="Y166" s="253">
        <f t="shared" si="232"/>
        <v>10</v>
      </c>
      <c r="Z166" s="251">
        <f t="shared" si="233"/>
        <v>80</v>
      </c>
      <c r="AA166" s="244" t="str">
        <f t="shared" si="227"/>
        <v>Nivel III: Riesgo Moderado (Aceptable)</v>
      </c>
      <c r="AB166" s="244">
        <v>8</v>
      </c>
      <c r="AC166" s="244"/>
      <c r="AD166" s="244"/>
      <c r="AE166" s="244"/>
      <c r="AF166" s="251"/>
      <c r="AG166" s="251"/>
      <c r="AH166" s="245" t="s">
        <v>424</v>
      </c>
      <c r="AI166" s="245" t="s">
        <v>424</v>
      </c>
      <c r="AJ166" s="245" t="s">
        <v>424</v>
      </c>
      <c r="AK166" s="245" t="s">
        <v>551</v>
      </c>
      <c r="AL166" s="260" t="s">
        <v>600</v>
      </c>
    </row>
    <row r="167" spans="1:38" s="235" customFormat="1" ht="54.75" hidden="1" customHeight="1" x14ac:dyDescent="0.3">
      <c r="A167" s="259" t="s">
        <v>271</v>
      </c>
      <c r="B167" s="244" t="s">
        <v>1468</v>
      </c>
      <c r="C167" s="244" t="s">
        <v>1448</v>
      </c>
      <c r="D167" s="244" t="s">
        <v>1579</v>
      </c>
      <c r="E167" s="244" t="s">
        <v>1580</v>
      </c>
      <c r="F167" s="244" t="s">
        <v>422</v>
      </c>
      <c r="G167" s="244" t="s">
        <v>1449</v>
      </c>
      <c r="H167" s="245" t="s">
        <v>434</v>
      </c>
      <c r="I167" s="244" t="s">
        <v>430</v>
      </c>
      <c r="J167" s="244" t="s">
        <v>486</v>
      </c>
      <c r="K167" s="244" t="s">
        <v>570</v>
      </c>
      <c r="L167" s="244" t="s">
        <v>421</v>
      </c>
      <c r="M167" s="244" t="s">
        <v>460</v>
      </c>
      <c r="N167" s="244" t="s">
        <v>469</v>
      </c>
      <c r="O167" s="245" t="s">
        <v>423</v>
      </c>
      <c r="P167" s="245" t="s">
        <v>734</v>
      </c>
      <c r="Q167" s="245" t="s">
        <v>887</v>
      </c>
      <c r="R167" s="244" t="s">
        <v>184</v>
      </c>
      <c r="S167" s="252">
        <f t="shared" si="228"/>
        <v>1</v>
      </c>
      <c r="T167" s="244" t="s">
        <v>186</v>
      </c>
      <c r="U167" s="253">
        <f t="shared" si="230"/>
        <v>4</v>
      </c>
      <c r="V167" s="251">
        <f t="shared" si="231"/>
        <v>4</v>
      </c>
      <c r="W167" s="244" t="str">
        <f t="shared" si="224"/>
        <v>Bajo</v>
      </c>
      <c r="X167" s="244" t="s">
        <v>428</v>
      </c>
      <c r="Y167" s="253">
        <f t="shared" si="232"/>
        <v>10</v>
      </c>
      <c r="Z167" s="251">
        <f t="shared" si="233"/>
        <v>40</v>
      </c>
      <c r="AA167" s="244" t="str">
        <f t="shared" si="227"/>
        <v>Nivel III: Riesgo Moderado (Aceptable)</v>
      </c>
      <c r="AB167" s="244">
        <v>8</v>
      </c>
      <c r="AC167" s="244"/>
      <c r="AD167" s="244"/>
      <c r="AE167" s="244"/>
      <c r="AF167" s="251"/>
      <c r="AG167" s="251"/>
      <c r="AH167" s="245" t="s">
        <v>424</v>
      </c>
      <c r="AI167" s="245" t="s">
        <v>424</v>
      </c>
      <c r="AJ167" s="245" t="s">
        <v>424</v>
      </c>
      <c r="AK167" s="245" t="s">
        <v>735</v>
      </c>
      <c r="AL167" s="260" t="s">
        <v>446</v>
      </c>
    </row>
    <row r="168" spans="1:38" s="235" customFormat="1" ht="54.75" hidden="1" customHeight="1" x14ac:dyDescent="0.3">
      <c r="A168" s="259" t="s">
        <v>271</v>
      </c>
      <c r="B168" s="244" t="s">
        <v>1468</v>
      </c>
      <c r="C168" s="244" t="s">
        <v>1448</v>
      </c>
      <c r="D168" s="244" t="s">
        <v>1579</v>
      </c>
      <c r="E168" s="244" t="s">
        <v>1580</v>
      </c>
      <c r="F168" s="244" t="s">
        <v>422</v>
      </c>
      <c r="G168" s="244" t="s">
        <v>1449</v>
      </c>
      <c r="H168" s="245" t="s">
        <v>409</v>
      </c>
      <c r="I168" s="244" t="s">
        <v>294</v>
      </c>
      <c r="J168" s="244" t="s">
        <v>571</v>
      </c>
      <c r="K168" s="244" t="s">
        <v>572</v>
      </c>
      <c r="L168" s="244" t="s">
        <v>421</v>
      </c>
      <c r="M168" s="244" t="s">
        <v>460</v>
      </c>
      <c r="N168" s="244" t="s">
        <v>469</v>
      </c>
      <c r="O168" s="245" t="s">
        <v>423</v>
      </c>
      <c r="P168" s="245" t="s">
        <v>423</v>
      </c>
      <c r="Q168" s="245" t="s">
        <v>887</v>
      </c>
      <c r="R168" s="244" t="s">
        <v>184</v>
      </c>
      <c r="S168" s="252">
        <f t="shared" si="228"/>
        <v>1</v>
      </c>
      <c r="T168" s="244" t="s">
        <v>429</v>
      </c>
      <c r="U168" s="253">
        <f t="shared" si="230"/>
        <v>2</v>
      </c>
      <c r="V168" s="251">
        <f t="shared" si="231"/>
        <v>2</v>
      </c>
      <c r="W168" s="244" t="str">
        <f t="shared" si="224"/>
        <v>Bajo</v>
      </c>
      <c r="X168" s="244" t="s">
        <v>428</v>
      </c>
      <c r="Y168" s="253">
        <f t="shared" si="232"/>
        <v>10</v>
      </c>
      <c r="Z168" s="251">
        <f t="shared" si="233"/>
        <v>20</v>
      </c>
      <c r="AA168" s="244" t="str">
        <f t="shared" si="227"/>
        <v>Nivel IV: Riesgo Tolerable (Aceptable)</v>
      </c>
      <c r="AB168" s="244">
        <v>8</v>
      </c>
      <c r="AC168" s="244"/>
      <c r="AD168" s="244"/>
      <c r="AE168" s="244"/>
      <c r="AF168" s="251"/>
      <c r="AG168" s="251"/>
      <c r="AH168" s="245" t="s">
        <v>424</v>
      </c>
      <c r="AI168" s="245" t="s">
        <v>424</v>
      </c>
      <c r="AJ168" s="245" t="s">
        <v>424</v>
      </c>
      <c r="AK168" s="245" t="s">
        <v>573</v>
      </c>
      <c r="AL168" s="260" t="s">
        <v>600</v>
      </c>
    </row>
    <row r="169" spans="1:38" s="235" customFormat="1" ht="54.75" hidden="1" customHeight="1" x14ac:dyDescent="0.3">
      <c r="A169" s="259" t="s">
        <v>271</v>
      </c>
      <c r="B169" s="244" t="s">
        <v>1468</v>
      </c>
      <c r="C169" s="244" t="s">
        <v>1448</v>
      </c>
      <c r="D169" s="244" t="s">
        <v>1579</v>
      </c>
      <c r="E169" s="244" t="s">
        <v>1580</v>
      </c>
      <c r="F169" s="244" t="s">
        <v>461</v>
      </c>
      <c r="G169" s="244" t="s">
        <v>1449</v>
      </c>
      <c r="H169" s="245" t="s">
        <v>410</v>
      </c>
      <c r="I169" s="244" t="s">
        <v>344</v>
      </c>
      <c r="J169" s="244" t="s">
        <v>574</v>
      </c>
      <c r="K169" s="244" t="s">
        <v>575</v>
      </c>
      <c r="L169" s="244" t="s">
        <v>421</v>
      </c>
      <c r="M169" s="244" t="s">
        <v>459</v>
      </c>
      <c r="N169" s="244" t="s">
        <v>469</v>
      </c>
      <c r="O169" s="245" t="s">
        <v>423</v>
      </c>
      <c r="P169" s="245" t="s">
        <v>489</v>
      </c>
      <c r="Q169" s="245" t="s">
        <v>589</v>
      </c>
      <c r="R169" s="244" t="s">
        <v>185</v>
      </c>
      <c r="S169" s="252">
        <f t="shared" si="228"/>
        <v>2</v>
      </c>
      <c r="T169" s="244" t="s">
        <v>485</v>
      </c>
      <c r="U169" s="253">
        <f t="shared" si="230"/>
        <v>1</v>
      </c>
      <c r="V169" s="251">
        <f t="shared" si="231"/>
        <v>2</v>
      </c>
      <c r="W169" s="244" t="str">
        <f t="shared" si="224"/>
        <v>Bajo</v>
      </c>
      <c r="X169" s="244" t="s">
        <v>428</v>
      </c>
      <c r="Y169" s="253">
        <f t="shared" si="232"/>
        <v>10</v>
      </c>
      <c r="Z169" s="251">
        <f t="shared" si="233"/>
        <v>20</v>
      </c>
      <c r="AA169" s="244" t="str">
        <f t="shared" si="227"/>
        <v>Nivel IV: Riesgo Tolerable (Aceptable)</v>
      </c>
      <c r="AB169" s="244">
        <v>8</v>
      </c>
      <c r="AC169" s="244"/>
      <c r="AD169" s="244"/>
      <c r="AE169" s="244"/>
      <c r="AF169" s="251"/>
      <c r="AG169" s="251"/>
      <c r="AH169" s="245" t="s">
        <v>424</v>
      </c>
      <c r="AI169" s="245" t="s">
        <v>424</v>
      </c>
      <c r="AJ169" s="245" t="s">
        <v>424</v>
      </c>
      <c r="AK169" s="245" t="s">
        <v>551</v>
      </c>
      <c r="AL169" s="260" t="s">
        <v>446</v>
      </c>
    </row>
    <row r="170" spans="1:38" s="235" customFormat="1" ht="54.75" hidden="1" customHeight="1" x14ac:dyDescent="0.3">
      <c r="A170" s="259" t="s">
        <v>271</v>
      </c>
      <c r="B170" s="244" t="s">
        <v>1468</v>
      </c>
      <c r="C170" s="244" t="s">
        <v>1448</v>
      </c>
      <c r="D170" s="244" t="s">
        <v>1579</v>
      </c>
      <c r="E170" s="244" t="s">
        <v>1580</v>
      </c>
      <c r="F170" s="244" t="s">
        <v>422</v>
      </c>
      <c r="G170" s="244" t="s">
        <v>1449</v>
      </c>
      <c r="H170" s="245" t="s">
        <v>410</v>
      </c>
      <c r="I170" s="244" t="s">
        <v>347</v>
      </c>
      <c r="J170" s="244" t="s">
        <v>577</v>
      </c>
      <c r="K170" s="244" t="s">
        <v>575</v>
      </c>
      <c r="L170" s="244" t="s">
        <v>421</v>
      </c>
      <c r="M170" s="244" t="s">
        <v>459</v>
      </c>
      <c r="N170" s="244" t="s">
        <v>469</v>
      </c>
      <c r="O170" s="245" t="s">
        <v>423</v>
      </c>
      <c r="P170" s="245" t="s">
        <v>489</v>
      </c>
      <c r="Q170" s="245" t="s">
        <v>589</v>
      </c>
      <c r="R170" s="244" t="s">
        <v>185</v>
      </c>
      <c r="S170" s="252">
        <f t="shared" si="228"/>
        <v>2</v>
      </c>
      <c r="T170" s="244" t="s">
        <v>186</v>
      </c>
      <c r="U170" s="253">
        <f t="shared" si="230"/>
        <v>4</v>
      </c>
      <c r="V170" s="251">
        <f t="shared" si="231"/>
        <v>8</v>
      </c>
      <c r="W170" s="244" t="str">
        <f t="shared" si="224"/>
        <v>Medio</v>
      </c>
      <c r="X170" s="244" t="s">
        <v>428</v>
      </c>
      <c r="Y170" s="253">
        <f t="shared" si="232"/>
        <v>10</v>
      </c>
      <c r="Z170" s="251">
        <f t="shared" si="233"/>
        <v>80</v>
      </c>
      <c r="AA170" s="244" t="str">
        <f t="shared" si="227"/>
        <v>Nivel III: Riesgo Moderado (Aceptable)</v>
      </c>
      <c r="AB170" s="244">
        <v>8</v>
      </c>
      <c r="AC170" s="244"/>
      <c r="AD170" s="244"/>
      <c r="AE170" s="244"/>
      <c r="AF170" s="251"/>
      <c r="AG170" s="251"/>
      <c r="AH170" s="245" t="s">
        <v>424</v>
      </c>
      <c r="AI170" s="245" t="s">
        <v>424</v>
      </c>
      <c r="AJ170" s="245" t="s">
        <v>424</v>
      </c>
      <c r="AK170" s="245" t="s">
        <v>551</v>
      </c>
      <c r="AL170" s="260" t="s">
        <v>446</v>
      </c>
    </row>
    <row r="171" spans="1:38" s="235" customFormat="1" ht="54.75" hidden="1" customHeight="1" x14ac:dyDescent="0.3">
      <c r="A171" s="259" t="s">
        <v>271</v>
      </c>
      <c r="B171" s="244" t="s">
        <v>1468</v>
      </c>
      <c r="C171" s="244" t="s">
        <v>1448</v>
      </c>
      <c r="D171" s="244" t="s">
        <v>1579</v>
      </c>
      <c r="E171" s="244" t="s">
        <v>1580</v>
      </c>
      <c r="F171" s="244" t="s">
        <v>422</v>
      </c>
      <c r="G171" s="244" t="s">
        <v>1449</v>
      </c>
      <c r="H171" s="245" t="s">
        <v>412</v>
      </c>
      <c r="I171" s="244" t="s">
        <v>714</v>
      </c>
      <c r="J171" s="244" t="s">
        <v>512</v>
      </c>
      <c r="K171" s="244" t="s">
        <v>625</v>
      </c>
      <c r="L171" s="244" t="s">
        <v>421</v>
      </c>
      <c r="M171" s="244" t="s">
        <v>460</v>
      </c>
      <c r="N171" s="244" t="s">
        <v>469</v>
      </c>
      <c r="O171" s="245" t="s">
        <v>423</v>
      </c>
      <c r="P171" s="245" t="s">
        <v>710</v>
      </c>
      <c r="Q171" s="244" t="s">
        <v>884</v>
      </c>
      <c r="R171" s="244" t="s">
        <v>184</v>
      </c>
      <c r="S171" s="252">
        <f t="shared" si="228"/>
        <v>1</v>
      </c>
      <c r="T171" s="244" t="s">
        <v>186</v>
      </c>
      <c r="U171" s="253">
        <f t="shared" si="230"/>
        <v>4</v>
      </c>
      <c r="V171" s="251">
        <f t="shared" si="231"/>
        <v>4</v>
      </c>
      <c r="W171" s="244" t="str">
        <f t="shared" si="224"/>
        <v>Bajo</v>
      </c>
      <c r="X171" s="244" t="s">
        <v>187</v>
      </c>
      <c r="Y171" s="253">
        <f t="shared" si="232"/>
        <v>25</v>
      </c>
      <c r="Z171" s="251">
        <f t="shared" si="233"/>
        <v>100</v>
      </c>
      <c r="AA171" s="244" t="str">
        <f t="shared" si="227"/>
        <v>Nivel III: Riesgo Moderado (Aceptable)</v>
      </c>
      <c r="AB171" s="244">
        <v>8</v>
      </c>
      <c r="AC171" s="244"/>
      <c r="AD171" s="244"/>
      <c r="AE171" s="244"/>
      <c r="AF171" s="251"/>
      <c r="AG171" s="251"/>
      <c r="AH171" s="245" t="s">
        <v>424</v>
      </c>
      <c r="AI171" s="245" t="s">
        <v>424</v>
      </c>
      <c r="AJ171" s="245" t="s">
        <v>514</v>
      </c>
      <c r="AK171" s="245" t="s">
        <v>711</v>
      </c>
      <c r="AL171" s="260" t="s">
        <v>515</v>
      </c>
    </row>
    <row r="172" spans="1:38" s="235" customFormat="1" ht="54.75" hidden="1" customHeight="1" x14ac:dyDescent="0.3">
      <c r="A172" s="259" t="s">
        <v>271</v>
      </c>
      <c r="B172" s="244" t="s">
        <v>1468</v>
      </c>
      <c r="C172" s="244" t="s">
        <v>1448</v>
      </c>
      <c r="D172" s="244" t="s">
        <v>1579</v>
      </c>
      <c r="E172" s="244" t="s">
        <v>1580</v>
      </c>
      <c r="F172" s="244" t="s">
        <v>422</v>
      </c>
      <c r="G172" s="244" t="s">
        <v>1449</v>
      </c>
      <c r="H172" s="245" t="s">
        <v>1452</v>
      </c>
      <c r="I172" s="244" t="s">
        <v>1380</v>
      </c>
      <c r="J172" s="246" t="s">
        <v>1450</v>
      </c>
      <c r="K172" s="244" t="s">
        <v>602</v>
      </c>
      <c r="L172" s="244" t="s">
        <v>421</v>
      </c>
      <c r="M172" s="244" t="s">
        <v>460</v>
      </c>
      <c r="N172" s="244" t="s">
        <v>469</v>
      </c>
      <c r="O172" s="245" t="s">
        <v>423</v>
      </c>
      <c r="P172" s="245" t="s">
        <v>423</v>
      </c>
      <c r="Q172" s="244" t="s">
        <v>601</v>
      </c>
      <c r="R172" s="244" t="s">
        <v>184</v>
      </c>
      <c r="S172" s="252">
        <f>IF(R172="Muy Alto",10,IF(R172="Alto",6,IF(R172="Medio",2,IF(R172="Bajo",1,))))</f>
        <v>1</v>
      </c>
      <c r="T172" s="244" t="s">
        <v>485</v>
      </c>
      <c r="U172" s="253">
        <f>IF(T172="Continua",4,IF(T172="Frecuente",3,IF(T172="Ocasional",2,IF(T172="Esporádica",1,))))</f>
        <v>1</v>
      </c>
      <c r="V172" s="251">
        <f>S172*U172</f>
        <v>1</v>
      </c>
      <c r="W172" s="244" t="str">
        <f>IF(AND(V172&gt;=0,V172&lt;=4),"Bajo",IF(AND(V172&gt;=6,V172&lt;=8),"Medio",IF(AND(V172&gt;=10,V172&lt;=20),"Alto",IF(AND(V172&gt;=20,V172&lt;=40),"Muy Alto",))))</f>
        <v>Bajo</v>
      </c>
      <c r="X172" s="244" t="s">
        <v>428</v>
      </c>
      <c r="Y172" s="253">
        <f>IF(X172="Mortal o catastrófico",100,IF(X172="Muy grave",60,IF(X172="Grave",25,IF(X172="Leve",10,))))</f>
        <v>10</v>
      </c>
      <c r="Z172" s="251">
        <f>V172*Y172</f>
        <v>10</v>
      </c>
      <c r="AA172" s="244" t="str">
        <f>IF(AND(Z172&gt;=600,Z172&lt;=4000),"Nivel I: Riesgo Inaceptable",IF(AND(Z172&gt;=150,Z172&lt;=500),"Nivel II: Riesgo Importante",IF(AND(Z172&gt;=40,Z172&lt;=120),"Nivel III: Riesgo Moderado (Aceptable)","Nivel IV: Riesgo Tolerable (Aceptable)")))</f>
        <v>Nivel IV: Riesgo Tolerable (Aceptable)</v>
      </c>
      <c r="AB172" s="244">
        <v>8</v>
      </c>
      <c r="AC172" s="244"/>
      <c r="AD172" s="244"/>
      <c r="AE172" s="244"/>
      <c r="AF172" s="251"/>
      <c r="AG172" s="251"/>
      <c r="AH172" s="245" t="s">
        <v>424</v>
      </c>
      <c r="AI172" s="245" t="s">
        <v>424</v>
      </c>
      <c r="AJ172" s="245" t="s">
        <v>424</v>
      </c>
      <c r="AK172" s="245" t="s">
        <v>826</v>
      </c>
      <c r="AL172" s="260" t="s">
        <v>600</v>
      </c>
    </row>
    <row r="173" spans="1:38" s="235" customFormat="1" ht="54.75" hidden="1" customHeight="1" x14ac:dyDescent="0.3">
      <c r="A173" s="259" t="s">
        <v>271</v>
      </c>
      <c r="B173" s="244" t="s">
        <v>1468</v>
      </c>
      <c r="C173" s="244" t="s">
        <v>1448</v>
      </c>
      <c r="D173" s="244" t="s">
        <v>1579</v>
      </c>
      <c r="E173" s="244" t="s">
        <v>1580</v>
      </c>
      <c r="F173" s="244" t="s">
        <v>422</v>
      </c>
      <c r="G173" s="244" t="s">
        <v>1449</v>
      </c>
      <c r="H173" s="245" t="s">
        <v>1452</v>
      </c>
      <c r="I173" s="244" t="s">
        <v>1378</v>
      </c>
      <c r="J173" s="246" t="s">
        <v>1451</v>
      </c>
      <c r="K173" s="244" t="s">
        <v>602</v>
      </c>
      <c r="L173" s="244" t="s">
        <v>421</v>
      </c>
      <c r="M173" s="244" t="s">
        <v>460</v>
      </c>
      <c r="N173" s="244" t="s">
        <v>469</v>
      </c>
      <c r="O173" s="245" t="s">
        <v>423</v>
      </c>
      <c r="P173" s="245" t="s">
        <v>423</v>
      </c>
      <c r="Q173" s="244" t="s">
        <v>885</v>
      </c>
      <c r="R173" s="244" t="s">
        <v>184</v>
      </c>
      <c r="S173" s="252">
        <f t="shared" ref="S173" si="234">IF(R173="Muy Alto",10,IF(R173="Alto",6,IF(R173="Medio",2,IF(R173="Bajo",1,))))</f>
        <v>1</v>
      </c>
      <c r="T173" s="244" t="s">
        <v>485</v>
      </c>
      <c r="U173" s="253">
        <f t="shared" ref="U173" si="235">IF(T173="Continua",4,IF(T173="Frecuente",3,IF(T173="Ocasional",2,IF(T173="Esporádica",1,))))</f>
        <v>1</v>
      </c>
      <c r="V173" s="251">
        <f t="shared" ref="V173" si="236">S173*U173</f>
        <v>1</v>
      </c>
      <c r="W173" s="244" t="str">
        <f t="shared" ref="W173" si="237">IF(AND(V173&gt;=0,V173&lt;=4),"Bajo",IF(AND(V173&gt;=6,V173&lt;=8),"Medio",IF(AND(V173&gt;=10,V173&lt;=20),"Alto",IF(AND(V173&gt;=20,V173&lt;=40),"Muy Alto",))))</f>
        <v>Bajo</v>
      </c>
      <c r="X173" s="244" t="s">
        <v>428</v>
      </c>
      <c r="Y173" s="253">
        <f t="shared" ref="Y173" si="238">IF(X173="Mortal o catastrófico",100,IF(X173="Muy grave",60,IF(X173="Grave",25,IF(X173="Leve",10,))))</f>
        <v>10</v>
      </c>
      <c r="Z173" s="251">
        <f t="shared" ref="Z173" si="239">V173*Y173</f>
        <v>10</v>
      </c>
      <c r="AA173" s="244" t="str">
        <f t="shared" ref="AA173" si="240">IF(AND(Z173&gt;=600,Z173&lt;=4000),"Nivel I: Riesgo Inaceptable",IF(AND(Z173&gt;=150,Z173&lt;=500),"Nivel II: Riesgo Importante",IF(AND(Z173&gt;=40,Z173&lt;=120),"Nivel III: Riesgo Moderado (Aceptable)","Nivel IV: Riesgo Tolerable (Aceptable)")))</f>
        <v>Nivel IV: Riesgo Tolerable (Aceptable)</v>
      </c>
      <c r="AB173" s="244">
        <v>8</v>
      </c>
      <c r="AC173" s="244"/>
      <c r="AD173" s="244"/>
      <c r="AE173" s="244"/>
      <c r="AF173" s="251"/>
      <c r="AG173" s="251"/>
      <c r="AH173" s="245" t="s">
        <v>424</v>
      </c>
      <c r="AI173" s="245" t="s">
        <v>424</v>
      </c>
      <c r="AJ173" s="245" t="s">
        <v>424</v>
      </c>
      <c r="AK173" s="245" t="s">
        <v>826</v>
      </c>
      <c r="AL173" s="260" t="s">
        <v>600</v>
      </c>
    </row>
    <row r="174" spans="1:38" s="235" customFormat="1" ht="54.75" hidden="1" customHeight="1" x14ac:dyDescent="0.3">
      <c r="A174" s="259" t="s">
        <v>271</v>
      </c>
      <c r="B174" s="244" t="s">
        <v>1468</v>
      </c>
      <c r="C174" s="244" t="s">
        <v>1448</v>
      </c>
      <c r="D174" s="244" t="s">
        <v>1579</v>
      </c>
      <c r="E174" s="244" t="s">
        <v>1580</v>
      </c>
      <c r="F174" s="244" t="s">
        <v>422</v>
      </c>
      <c r="G174" s="244" t="s">
        <v>1449</v>
      </c>
      <c r="H174" s="245" t="s">
        <v>414</v>
      </c>
      <c r="I174" s="244" t="s">
        <v>578</v>
      </c>
      <c r="J174" s="244"/>
      <c r="K174" s="244" t="s">
        <v>431</v>
      </c>
      <c r="L174" s="244" t="s">
        <v>421</v>
      </c>
      <c r="M174" s="244" t="s">
        <v>460</v>
      </c>
      <c r="N174" s="244" t="s">
        <v>469</v>
      </c>
      <c r="O174" s="245" t="s">
        <v>423</v>
      </c>
      <c r="P174" s="245" t="s">
        <v>462</v>
      </c>
      <c r="Q174" s="244" t="s">
        <v>889</v>
      </c>
      <c r="R174" s="244" t="s">
        <v>184</v>
      </c>
      <c r="S174" s="252">
        <f t="shared" ref="S174:S178" si="241">IF(R174="Muy Alto",10,IF(R174="Alto",6,IF(R174="Medio",2,IF(R174="Bajo",1,))))</f>
        <v>1</v>
      </c>
      <c r="T174" s="244" t="s">
        <v>186</v>
      </c>
      <c r="U174" s="253">
        <f t="shared" ref="U174:U178" si="242">IF(T174="Continua",4,IF(T174="Frecuente",3,IF(T174="Ocasional",2,IF(T174="Esporádica",1,))))</f>
        <v>4</v>
      </c>
      <c r="V174" s="251">
        <f t="shared" ref="V174:V178" si="243">S174*U174</f>
        <v>4</v>
      </c>
      <c r="W174" s="244" t="str">
        <f t="shared" ref="W174:W178" si="244">IF(AND(V174&gt;=0,V174&lt;=4),"Bajo",IF(AND(V174&gt;=6,V174&lt;=8),"Medio",IF(AND(V174&gt;=10,V174&lt;=20),"Alto",IF(AND(V174&gt;=20,V174&lt;=40),"Muy Alto",))))</f>
        <v>Bajo</v>
      </c>
      <c r="X174" s="244" t="s">
        <v>187</v>
      </c>
      <c r="Y174" s="253">
        <f t="shared" ref="Y174:Y178" si="245">IF(X174="Mortal o catastrófico",100,IF(X174="Muy grave",60,IF(X174="Grave",25,IF(X174="Leve",10,))))</f>
        <v>25</v>
      </c>
      <c r="Z174" s="251">
        <f t="shared" ref="Z174:Z178" si="246">V174*Y174</f>
        <v>100</v>
      </c>
      <c r="AA174" s="244" t="str">
        <f t="shared" ref="AA174:AA178" si="247">IF(AND(Z174&gt;=600,Z174&lt;=4000),"Nivel I: Riesgo Inaceptable",IF(AND(Z174&gt;=150,Z174&lt;=500),"Nivel II: Riesgo Importante",IF(AND(Z174&gt;=40,Z174&lt;=120),"Nivel III: Riesgo Moderado (Aceptable)","Nivel IV: Riesgo Tolerable (Aceptable)")))</f>
        <v>Nivel III: Riesgo Moderado (Aceptable)</v>
      </c>
      <c r="AB174" s="244">
        <v>8</v>
      </c>
      <c r="AC174" s="244"/>
      <c r="AD174" s="244"/>
      <c r="AE174" s="244"/>
      <c r="AF174" s="251"/>
      <c r="AG174" s="251"/>
      <c r="AH174" s="245" t="s">
        <v>424</v>
      </c>
      <c r="AI174" s="245" t="s">
        <v>424</v>
      </c>
      <c r="AJ174" s="245" t="s">
        <v>424</v>
      </c>
      <c r="AK174" s="245" t="s">
        <v>737</v>
      </c>
      <c r="AL174" s="260" t="s">
        <v>446</v>
      </c>
    </row>
    <row r="175" spans="1:38" s="235" customFormat="1" ht="54.75" hidden="1" customHeight="1" x14ac:dyDescent="0.3">
      <c r="A175" s="259" t="s">
        <v>271</v>
      </c>
      <c r="B175" s="244" t="s">
        <v>1468</v>
      </c>
      <c r="C175" s="244" t="s">
        <v>1448</v>
      </c>
      <c r="D175" s="244" t="s">
        <v>1579</v>
      </c>
      <c r="E175" s="244" t="s">
        <v>1580</v>
      </c>
      <c r="F175" s="244" t="s">
        <v>461</v>
      </c>
      <c r="G175" s="244" t="s">
        <v>1449</v>
      </c>
      <c r="H175" s="245" t="s">
        <v>414</v>
      </c>
      <c r="I175" s="244" t="s">
        <v>359</v>
      </c>
      <c r="J175" s="244" t="s">
        <v>736</v>
      </c>
      <c r="K175" s="244" t="s">
        <v>431</v>
      </c>
      <c r="L175" s="244" t="s">
        <v>421</v>
      </c>
      <c r="M175" s="244" t="s">
        <v>460</v>
      </c>
      <c r="N175" s="244" t="s">
        <v>469</v>
      </c>
      <c r="O175" s="245" t="s">
        <v>423</v>
      </c>
      <c r="P175" s="245" t="s">
        <v>423</v>
      </c>
      <c r="Q175" s="244" t="s">
        <v>889</v>
      </c>
      <c r="R175" s="244" t="s">
        <v>184</v>
      </c>
      <c r="S175" s="252">
        <f t="shared" si="241"/>
        <v>1</v>
      </c>
      <c r="T175" s="244" t="s">
        <v>485</v>
      </c>
      <c r="U175" s="253">
        <f t="shared" si="242"/>
        <v>1</v>
      </c>
      <c r="V175" s="251">
        <f t="shared" si="243"/>
        <v>1</v>
      </c>
      <c r="W175" s="244" t="str">
        <f t="shared" si="244"/>
        <v>Bajo</v>
      </c>
      <c r="X175" s="244" t="s">
        <v>187</v>
      </c>
      <c r="Y175" s="253">
        <f t="shared" si="245"/>
        <v>25</v>
      </c>
      <c r="Z175" s="251">
        <f t="shared" si="246"/>
        <v>25</v>
      </c>
      <c r="AA175" s="244" t="str">
        <f t="shared" si="247"/>
        <v>Nivel IV: Riesgo Tolerable (Aceptable)</v>
      </c>
      <c r="AB175" s="244">
        <v>8</v>
      </c>
      <c r="AC175" s="244"/>
      <c r="AD175" s="244"/>
      <c r="AE175" s="244"/>
      <c r="AF175" s="251"/>
      <c r="AG175" s="251"/>
      <c r="AH175" s="245" t="s">
        <v>424</v>
      </c>
      <c r="AI175" s="245" t="s">
        <v>424</v>
      </c>
      <c r="AJ175" s="245" t="s">
        <v>424</v>
      </c>
      <c r="AK175" s="245" t="s">
        <v>738</v>
      </c>
      <c r="AL175" s="260" t="s">
        <v>446</v>
      </c>
    </row>
    <row r="176" spans="1:38" s="235" customFormat="1" ht="54.75" hidden="1" customHeight="1" x14ac:dyDescent="0.3">
      <c r="A176" s="259" t="s">
        <v>271</v>
      </c>
      <c r="B176" s="244" t="s">
        <v>1468</v>
      </c>
      <c r="C176" s="244" t="s">
        <v>1448</v>
      </c>
      <c r="D176" s="244" t="s">
        <v>1579</v>
      </c>
      <c r="E176" s="244" t="s">
        <v>1580</v>
      </c>
      <c r="F176" s="244" t="s">
        <v>461</v>
      </c>
      <c r="G176" s="244" t="s">
        <v>1449</v>
      </c>
      <c r="H176" s="245" t="s">
        <v>449</v>
      </c>
      <c r="I176" s="244" t="s">
        <v>591</v>
      </c>
      <c r="J176" s="244" t="s">
        <v>547</v>
      </c>
      <c r="K176" s="244" t="s">
        <v>548</v>
      </c>
      <c r="L176" s="244" t="s">
        <v>421</v>
      </c>
      <c r="M176" s="244" t="s">
        <v>460</v>
      </c>
      <c r="N176" s="244" t="s">
        <v>469</v>
      </c>
      <c r="O176" s="245" t="s">
        <v>423</v>
      </c>
      <c r="P176" s="245" t="s">
        <v>550</v>
      </c>
      <c r="Q176" s="244" t="s">
        <v>886</v>
      </c>
      <c r="R176" s="244" t="s">
        <v>184</v>
      </c>
      <c r="S176" s="252">
        <f t="shared" si="241"/>
        <v>1</v>
      </c>
      <c r="T176" s="244" t="s">
        <v>429</v>
      </c>
      <c r="U176" s="253">
        <f t="shared" si="242"/>
        <v>2</v>
      </c>
      <c r="V176" s="251">
        <f t="shared" si="243"/>
        <v>2</v>
      </c>
      <c r="W176" s="244" t="str">
        <f t="shared" si="244"/>
        <v>Bajo</v>
      </c>
      <c r="X176" s="244" t="s">
        <v>187</v>
      </c>
      <c r="Y176" s="253">
        <f t="shared" si="245"/>
        <v>25</v>
      </c>
      <c r="Z176" s="251">
        <f t="shared" si="246"/>
        <v>50</v>
      </c>
      <c r="AA176" s="244" t="str">
        <f t="shared" si="247"/>
        <v>Nivel III: Riesgo Moderado (Aceptable)</v>
      </c>
      <c r="AB176" s="244">
        <v>8</v>
      </c>
      <c r="AC176" s="244"/>
      <c r="AD176" s="244"/>
      <c r="AE176" s="244"/>
      <c r="AF176" s="251"/>
      <c r="AG176" s="251"/>
      <c r="AH176" s="245" t="s">
        <v>424</v>
      </c>
      <c r="AI176" s="245" t="s">
        <v>424</v>
      </c>
      <c r="AJ176" s="245" t="s">
        <v>424</v>
      </c>
      <c r="AK176" s="245" t="s">
        <v>551</v>
      </c>
      <c r="AL176" s="260" t="s">
        <v>600</v>
      </c>
    </row>
    <row r="177" spans="1:38" s="235" customFormat="1" ht="54.75" hidden="1" customHeight="1" x14ac:dyDescent="0.3">
      <c r="A177" s="259" t="s">
        <v>271</v>
      </c>
      <c r="B177" s="244" t="s">
        <v>1468</v>
      </c>
      <c r="C177" s="244" t="s">
        <v>1448</v>
      </c>
      <c r="D177" s="244" t="s">
        <v>1579</v>
      </c>
      <c r="E177" s="244" t="s">
        <v>1580</v>
      </c>
      <c r="F177" s="244" t="s">
        <v>461</v>
      </c>
      <c r="G177" s="244" t="s">
        <v>1449</v>
      </c>
      <c r="H177" s="245" t="s">
        <v>449</v>
      </c>
      <c r="I177" s="244" t="s">
        <v>448</v>
      </c>
      <c r="J177" s="244" t="s">
        <v>552</v>
      </c>
      <c r="K177" s="244" t="s">
        <v>553</v>
      </c>
      <c r="L177" s="244" t="s">
        <v>421</v>
      </c>
      <c r="M177" s="244" t="s">
        <v>460</v>
      </c>
      <c r="N177" s="244" t="s">
        <v>469</v>
      </c>
      <c r="O177" s="245" t="s">
        <v>423</v>
      </c>
      <c r="P177" s="245" t="s">
        <v>554</v>
      </c>
      <c r="Q177" s="244" t="s">
        <v>890</v>
      </c>
      <c r="R177" s="244" t="s">
        <v>184</v>
      </c>
      <c r="S177" s="252">
        <f t="shared" si="241"/>
        <v>1</v>
      </c>
      <c r="T177" s="244" t="s">
        <v>429</v>
      </c>
      <c r="U177" s="253">
        <f t="shared" si="242"/>
        <v>2</v>
      </c>
      <c r="V177" s="251">
        <f t="shared" si="243"/>
        <v>2</v>
      </c>
      <c r="W177" s="244" t="str">
        <f t="shared" si="244"/>
        <v>Bajo</v>
      </c>
      <c r="X177" s="244" t="s">
        <v>187</v>
      </c>
      <c r="Y177" s="253">
        <f t="shared" si="245"/>
        <v>25</v>
      </c>
      <c r="Z177" s="251">
        <f t="shared" si="246"/>
        <v>50</v>
      </c>
      <c r="AA177" s="244" t="str">
        <f t="shared" si="247"/>
        <v>Nivel III: Riesgo Moderado (Aceptable)</v>
      </c>
      <c r="AB177" s="244">
        <v>8</v>
      </c>
      <c r="AC177" s="244"/>
      <c r="AD177" s="244"/>
      <c r="AE177" s="244"/>
      <c r="AF177" s="251"/>
      <c r="AG177" s="251"/>
      <c r="AH177" s="245" t="s">
        <v>424</v>
      </c>
      <c r="AI177" s="245" t="s">
        <v>424</v>
      </c>
      <c r="AJ177" s="245" t="s">
        <v>424</v>
      </c>
      <c r="AK177" s="245" t="s">
        <v>551</v>
      </c>
      <c r="AL177" s="260" t="s">
        <v>600</v>
      </c>
    </row>
    <row r="178" spans="1:38" s="235" customFormat="1" ht="54.75" hidden="1" customHeight="1" thickBot="1" x14ac:dyDescent="0.35">
      <c r="A178" s="263" t="s">
        <v>271</v>
      </c>
      <c r="B178" s="264" t="s">
        <v>1468</v>
      </c>
      <c r="C178" s="264" t="s">
        <v>1448</v>
      </c>
      <c r="D178" s="264" t="s">
        <v>1579</v>
      </c>
      <c r="E178" s="264" t="s">
        <v>1580</v>
      </c>
      <c r="F178" s="264" t="s">
        <v>461</v>
      </c>
      <c r="G178" s="264" t="s">
        <v>1449</v>
      </c>
      <c r="H178" s="265" t="s">
        <v>449</v>
      </c>
      <c r="I178" s="264" t="s">
        <v>546</v>
      </c>
      <c r="J178" s="264" t="s">
        <v>552</v>
      </c>
      <c r="K178" s="264" t="s">
        <v>553</v>
      </c>
      <c r="L178" s="264" t="s">
        <v>421</v>
      </c>
      <c r="M178" s="264" t="s">
        <v>460</v>
      </c>
      <c r="N178" s="264" t="s">
        <v>469</v>
      </c>
      <c r="O178" s="265" t="s">
        <v>423</v>
      </c>
      <c r="P178" s="265" t="s">
        <v>554</v>
      </c>
      <c r="Q178" s="264" t="s">
        <v>890</v>
      </c>
      <c r="R178" s="264" t="s">
        <v>184</v>
      </c>
      <c r="S178" s="266">
        <f t="shared" si="241"/>
        <v>1</v>
      </c>
      <c r="T178" s="264" t="s">
        <v>429</v>
      </c>
      <c r="U178" s="267">
        <f t="shared" si="242"/>
        <v>2</v>
      </c>
      <c r="V178" s="268">
        <f t="shared" si="243"/>
        <v>2</v>
      </c>
      <c r="W178" s="264" t="str">
        <f t="shared" si="244"/>
        <v>Bajo</v>
      </c>
      <c r="X178" s="264" t="s">
        <v>187</v>
      </c>
      <c r="Y178" s="267">
        <f t="shared" si="245"/>
        <v>25</v>
      </c>
      <c r="Z178" s="268">
        <f t="shared" si="246"/>
        <v>50</v>
      </c>
      <c r="AA178" s="264" t="str">
        <f t="shared" si="247"/>
        <v>Nivel III: Riesgo Moderado (Aceptable)</v>
      </c>
      <c r="AB178" s="264">
        <v>8</v>
      </c>
      <c r="AC178" s="264"/>
      <c r="AD178" s="264"/>
      <c r="AE178" s="264"/>
      <c r="AF178" s="268"/>
      <c r="AG178" s="268"/>
      <c r="AH178" s="265" t="s">
        <v>424</v>
      </c>
      <c r="AI178" s="265" t="s">
        <v>424</v>
      </c>
      <c r="AJ178" s="265" t="s">
        <v>424</v>
      </c>
      <c r="AK178" s="265" t="s">
        <v>551</v>
      </c>
      <c r="AL178" s="269" t="s">
        <v>600</v>
      </c>
    </row>
  </sheetData>
  <autoFilter ref="A6:EES178" xr:uid="{00000000-0001-0000-0300-000000000000}">
    <filterColumn colId="3">
      <filters>
        <filter val="Conductor"/>
      </filters>
    </filterColumn>
    <filterColumn colId="17" showButton="0"/>
    <filterColumn colId="19" showButton="0"/>
    <filterColumn colId="21" showButton="0"/>
    <filterColumn colId="23" showButton="0"/>
  </autoFilter>
  <mergeCells count="22">
    <mergeCell ref="L2:O3"/>
    <mergeCell ref="P2:R3"/>
    <mergeCell ref="Y2:AA3"/>
    <mergeCell ref="A5:N5"/>
    <mergeCell ref="S2:X3"/>
    <mergeCell ref="A2:E3"/>
    <mergeCell ref="G93:G94"/>
    <mergeCell ref="A1:B1"/>
    <mergeCell ref="C1:AK1"/>
    <mergeCell ref="AB2:AL3"/>
    <mergeCell ref="F2:G2"/>
    <mergeCell ref="F3:G3"/>
    <mergeCell ref="H2:K3"/>
    <mergeCell ref="R5:Z5"/>
    <mergeCell ref="AB5:AF5"/>
    <mergeCell ref="AG5:AG6"/>
    <mergeCell ref="X6:Y6"/>
    <mergeCell ref="T6:U6"/>
    <mergeCell ref="V6:W6"/>
    <mergeCell ref="R6:S6"/>
    <mergeCell ref="AH5:AL5"/>
    <mergeCell ref="O5:Q5"/>
  </mergeCells>
  <conditionalFormatting sqref="H7:H178">
    <cfRule type="containsText" dxfId="9993" priority="4417" stopIfTrue="1" operator="containsText" text="Público">
      <formula>NOT(ISERROR(SEARCH("Público",H7)))</formula>
    </cfRule>
    <cfRule type="containsText" dxfId="9992" priority="4418" stopIfTrue="1" operator="containsText" text="Psicosocial">
      <formula>NOT(ISERROR(SEARCH("Psicosocial",H7)))</formula>
    </cfRule>
    <cfRule type="containsText" dxfId="9991" priority="4419" stopIfTrue="1" operator="containsText" text="Biológico">
      <formula>NOT(ISERROR(SEARCH("Biológico",H7)))</formula>
    </cfRule>
    <cfRule type="containsText" dxfId="9990" priority="4420" stopIfTrue="1" operator="containsText" text="Trabajo de alto riesgo">
      <formula>NOT(ISERROR(SEARCH("Trabajo de alto riesgo",H7)))</formula>
    </cfRule>
    <cfRule type="containsText" dxfId="9989" priority="4421" stopIfTrue="1" operator="containsText" text="Físico-químico">
      <formula>NOT(ISERROR(SEARCH("Físico-químico",H7)))</formula>
    </cfRule>
    <cfRule type="containsText" dxfId="9988" priority="4422" stopIfTrue="1" operator="containsText" text="Eléctrico">
      <formula>NOT(ISERROR(SEARCH("Eléctrico",H7)))</formula>
    </cfRule>
    <cfRule type="containsText" dxfId="9987" priority="4423" stopIfTrue="1" operator="containsText" text="Físico">
      <formula>NOT(ISERROR(SEARCH("Físico",H7)))</formula>
    </cfRule>
    <cfRule type="containsText" dxfId="9986" priority="4424" stopIfTrue="1" operator="containsText" text="4. Químico">
      <formula>NOT(ISERROR(SEARCH("4. Químico",H7)))</formula>
    </cfRule>
    <cfRule type="containsText" dxfId="9985" priority="4425" stopIfTrue="1" operator="containsText" text="3. Locativo">
      <formula>NOT(ISERROR(SEARCH("3. Locativo",H7)))</formula>
    </cfRule>
    <cfRule type="containsText" dxfId="9984" priority="4426" stopIfTrue="1" operator="containsText" text="2. Mecánico">
      <formula>NOT(ISERROR(SEARCH("2. Mecánico",H7)))</formula>
    </cfRule>
    <cfRule type="containsText" dxfId="9983" priority="4427" stopIfTrue="1" operator="containsText" text="1. Ergonómico">
      <formula>NOT(ISERROR(SEARCH("1. Ergonómico",H7)))</formula>
    </cfRule>
  </conditionalFormatting>
  <conditionalFormatting sqref="L7:L25 L68:L85 L129:N147 F129:F147 L151:N171 F151:F171 L174:N178 F174:F178 M7:N15 F7:F15 M17:N18 F17:F18 M66:N85 F66:F85 M111:N112 F111:F112 F90:F109 L90:N109 L110:L112 L114:N126 F114:F126 L26:N61 F26:F61">
    <cfRule type="containsText" dxfId="9982" priority="4339" stopIfTrue="1" operator="containsText" text="Potencial">
      <formula>NOT(ISERROR(SEARCH("Potencial",F7)))</formula>
    </cfRule>
    <cfRule type="containsText" dxfId="9981" priority="4340" stopIfTrue="1" operator="containsText" text="Expresado">
      <formula>NOT(ISERROR(SEARCH("Expresado",F7)))</formula>
    </cfRule>
  </conditionalFormatting>
  <conditionalFormatting sqref="L41:L42">
    <cfRule type="containsText" dxfId="9980" priority="4988" stopIfTrue="1" operator="containsText" text="Potencial">
      <formula>NOT(ISERROR(SEARCH("Potencial",L41)))</formula>
    </cfRule>
    <cfRule type="containsText" dxfId="9979" priority="4989" stopIfTrue="1" operator="containsText" text="Expresado">
      <formula>NOT(ISERROR(SEARCH("Expresado",L41)))</formula>
    </cfRule>
  </conditionalFormatting>
  <conditionalFormatting sqref="L86:L89">
    <cfRule type="containsText" dxfId="9978" priority="4153" stopIfTrue="1" operator="containsText" text="Potencial">
      <formula>NOT(ISERROR(SEARCH("Potencial",L86)))</formula>
    </cfRule>
    <cfRule type="containsText" dxfId="9977" priority="4154" stopIfTrue="1" operator="containsText" text="Expresado">
      <formula>NOT(ISERROR(SEARCH("Expresado",L86)))</formula>
    </cfRule>
  </conditionalFormatting>
  <conditionalFormatting sqref="L127:L128">
    <cfRule type="containsText" dxfId="9976" priority="2461" stopIfTrue="1" operator="containsText" text="Potencial">
      <formula>NOT(ISERROR(SEARCH("Potencial",L127)))</formula>
    </cfRule>
    <cfRule type="containsText" dxfId="9975" priority="2462" stopIfTrue="1" operator="containsText" text="Expresado">
      <formula>NOT(ISERROR(SEARCH("Expresado",L127)))</formula>
    </cfRule>
  </conditionalFormatting>
  <conditionalFormatting sqref="L148:L150">
    <cfRule type="containsText" dxfId="9974" priority="1607" stopIfTrue="1" operator="containsText" text="Potencial">
      <formula>NOT(ISERROR(SEARCH("Potencial",L148)))</formula>
    </cfRule>
    <cfRule type="containsText" dxfId="9973" priority="1608" stopIfTrue="1" operator="containsText" text="Expresado">
      <formula>NOT(ISERROR(SEARCH("Expresado",L148)))</formula>
    </cfRule>
  </conditionalFormatting>
  <conditionalFormatting sqref="L172:L173">
    <cfRule type="containsText" dxfId="9972" priority="151" stopIfTrue="1" operator="containsText" text="Potencial">
      <formula>NOT(ISERROR(SEARCH("Potencial",L172)))</formula>
    </cfRule>
    <cfRule type="containsText" dxfId="9971" priority="152" stopIfTrue="1" operator="containsText" text="Expresado">
      <formula>NOT(ISERROR(SEARCH("Expresado",L172)))</formula>
    </cfRule>
  </conditionalFormatting>
  <conditionalFormatting sqref="L62:L67 L113:N113 F113">
    <cfRule type="containsText" dxfId="9970" priority="6412" stopIfTrue="1" operator="containsText" text="Expresado">
      <formula>NOT(ISERROR(SEARCH("Expresado",F62)))</formula>
    </cfRule>
  </conditionalFormatting>
  <conditionalFormatting sqref="L62:L67 L113:N113 F113">
    <cfRule type="containsText" dxfId="9969" priority="6411" stopIfTrue="1" operator="containsText" text="Potencial">
      <formula>NOT(ISERROR(SEARCH("Potencial",F62)))</formula>
    </cfRule>
  </conditionalFormatting>
  <conditionalFormatting sqref="F21">
    <cfRule type="containsText" dxfId="9968" priority="4792" stopIfTrue="1" operator="containsText" text="Potencial">
      <formula>NOT(ISERROR(SEARCH("Potencial",F21)))</formula>
    </cfRule>
    <cfRule type="containsText" dxfId="9967" priority="4793" stopIfTrue="1" operator="containsText" text="Expresado">
      <formula>NOT(ISERROR(SEARCH("Expresado",F21)))</formula>
    </cfRule>
  </conditionalFormatting>
  <conditionalFormatting sqref="F24">
    <cfRule type="containsText" dxfId="9966" priority="4413" stopIfTrue="1" operator="containsText" text="Potencial">
      <formula>NOT(ISERROR(SEARCH("Potencial",F24)))</formula>
    </cfRule>
    <cfRule type="containsText" dxfId="9965" priority="4414" stopIfTrue="1" operator="containsText" text="Expresado">
      <formula>NOT(ISERROR(SEARCH("Expresado",F24)))</formula>
    </cfRule>
  </conditionalFormatting>
  <conditionalFormatting sqref="R7:R27 W7:W27 R41:R178 W41:W178">
    <cfRule type="containsText" dxfId="9964" priority="4331" stopIfTrue="1" operator="containsText" text="Muy alto">
      <formula>NOT(ISERROR(SEARCH("Muy alto",R7)))</formula>
    </cfRule>
    <cfRule type="containsText" dxfId="9963" priority="4332" stopIfTrue="1" operator="containsText" text="Bajo">
      <formula>NOT(ISERROR(SEARCH("Bajo",R7)))</formula>
    </cfRule>
    <cfRule type="containsText" dxfId="9962" priority="4333" stopIfTrue="1" operator="containsText" text="Medio">
      <formula>NOT(ISERROR(SEARCH("Medio",R7)))</formula>
    </cfRule>
    <cfRule type="containsText" dxfId="9961" priority="4334" stopIfTrue="1" operator="containsText" text="Alto">
      <formula>NOT(ISERROR(SEARCH("Alto",R7)))</formula>
    </cfRule>
  </conditionalFormatting>
  <conditionalFormatting sqref="R28:R42">
    <cfRule type="containsText" dxfId="9960" priority="5103" stopIfTrue="1" operator="containsText" text="Muy alto">
      <formula>NOT(ISERROR(SEARCH("Muy alto",R28)))</formula>
    </cfRule>
    <cfRule type="containsText" dxfId="9959" priority="5104" stopIfTrue="1" operator="containsText" text="Bajo">
      <formula>NOT(ISERROR(SEARCH("Bajo",R28)))</formula>
    </cfRule>
    <cfRule type="containsText" dxfId="9958" priority="5105" stopIfTrue="1" operator="containsText" text="Medio">
      <formula>NOT(ISERROR(SEARCH("Medio",R28)))</formula>
    </cfRule>
    <cfRule type="containsText" dxfId="9957" priority="5106" stopIfTrue="1" operator="containsText" text="Alto">
      <formula>NOT(ISERROR(SEARCH("Alto",R28)))</formula>
    </cfRule>
  </conditionalFormatting>
  <conditionalFormatting sqref="T7:T25 T54:T178">
    <cfRule type="containsText" dxfId="9956" priority="4327" stopIfTrue="1" operator="containsText" text="Esporádica">
      <formula>NOT(ISERROR(SEARCH("Esporádica",T7)))</formula>
    </cfRule>
    <cfRule type="containsText" dxfId="9955" priority="4328" stopIfTrue="1" operator="containsText" text="Ocasional">
      <formula>NOT(ISERROR(SEARCH("Ocasional",T7)))</formula>
    </cfRule>
    <cfRule type="containsText" dxfId="9954" priority="4329" stopIfTrue="1" operator="containsText" text="Frecuente">
      <formula>NOT(ISERROR(SEARCH("Frecuente",T7)))</formula>
    </cfRule>
    <cfRule type="containsText" dxfId="9953" priority="4330" stopIfTrue="1" operator="containsText" text="Continua">
      <formula>NOT(ISERROR(SEARCH("Continua",T7)))</formula>
    </cfRule>
  </conditionalFormatting>
  <conditionalFormatting sqref="T41:T53 T26:T27">
    <cfRule type="containsText" dxfId="9952" priority="6425" stopIfTrue="1" operator="containsText" text="Ocasional">
      <formula>NOT(ISERROR(SEARCH("Ocasional",T26)))</formula>
    </cfRule>
    <cfRule type="containsText" dxfId="9951" priority="6426" stopIfTrue="1" operator="containsText" text="Frecuente">
      <formula>NOT(ISERROR(SEARCH("Frecuente",T26)))</formula>
    </cfRule>
    <cfRule type="containsText" dxfId="9950" priority="6427" stopIfTrue="1" operator="containsText" text="Continua">
      <formula>NOT(ISERROR(SEARCH("Continua",T26)))</formula>
    </cfRule>
  </conditionalFormatting>
  <conditionalFormatting sqref="T28:T42">
    <cfRule type="containsText" dxfId="9949" priority="5120" stopIfTrue="1" operator="containsText" text="Esporádica">
      <formula>NOT(ISERROR(SEARCH("Esporádica",T28)))</formula>
    </cfRule>
    <cfRule type="containsText" dxfId="9948" priority="5121" stopIfTrue="1" operator="containsText" text="Ocasional">
      <formula>NOT(ISERROR(SEARCH("Ocasional",T28)))</formula>
    </cfRule>
    <cfRule type="containsText" dxfId="9947" priority="5122" stopIfTrue="1" operator="containsText" text="Frecuente">
      <formula>NOT(ISERROR(SEARCH("Frecuente",T28)))</formula>
    </cfRule>
    <cfRule type="containsText" dxfId="9946" priority="5123" stopIfTrue="1" operator="containsText" text="Continua">
      <formula>NOT(ISERROR(SEARCH("Continua",T28)))</formula>
    </cfRule>
  </conditionalFormatting>
  <conditionalFormatting sqref="T41:T53 T26:T27">
    <cfRule type="containsText" dxfId="9945" priority="6424" stopIfTrue="1" operator="containsText" text="Esporádica">
      <formula>NOT(ISERROR(SEARCH("Esporádica",T26)))</formula>
    </cfRule>
  </conditionalFormatting>
  <conditionalFormatting sqref="W28:W42">
    <cfRule type="containsText" dxfId="9944" priority="5102" stopIfTrue="1" operator="containsText" text="Muy alto">
      <formula>NOT(ISERROR(SEARCH("Muy alto",W28)))</formula>
    </cfRule>
    <cfRule type="containsText" dxfId="9943" priority="5117" stopIfTrue="1" operator="containsText" text="Bajo">
      <formula>NOT(ISERROR(SEARCH("Bajo",W28)))</formula>
    </cfRule>
    <cfRule type="containsText" dxfId="9942" priority="5118" stopIfTrue="1" operator="containsText" text="Medio">
      <formula>NOT(ISERROR(SEARCH("Medio",W28)))</formula>
    </cfRule>
    <cfRule type="containsText" dxfId="9941" priority="5119" stopIfTrue="1" operator="containsText" text="Alto">
      <formula>NOT(ISERROR(SEARCH("Alto",W28)))</formula>
    </cfRule>
  </conditionalFormatting>
  <conditionalFormatting sqref="X7:X27 X41:X178">
    <cfRule type="containsText" dxfId="9940" priority="4320" stopIfTrue="1" operator="containsText" text="Muy Grave">
      <formula>NOT(ISERROR(SEARCH("Muy Grave",X7)))</formula>
    </cfRule>
    <cfRule type="containsText" dxfId="9939" priority="4321" stopIfTrue="1" operator="containsText" text="Mortal o catastrófico">
      <formula>NOT(ISERROR(SEARCH("Mortal o catastrófico",X7)))</formula>
    </cfRule>
    <cfRule type="containsText" dxfId="9938" priority="4322" stopIfTrue="1" operator="containsText" text="Leve">
      <formula>NOT(ISERROR(SEARCH("Leve",X7)))</formula>
    </cfRule>
    <cfRule type="containsText" dxfId="9937" priority="4323" stopIfTrue="1" operator="containsText" text="Grave">
      <formula>NOT(ISERROR(SEARCH("Grave",X7)))</formula>
    </cfRule>
  </conditionalFormatting>
  <conditionalFormatting sqref="X28:X42">
    <cfRule type="containsText" dxfId="9936" priority="5113" stopIfTrue="1" operator="containsText" text="Muy Grave">
      <formula>NOT(ISERROR(SEARCH("Muy Grave",X28)))</formula>
    </cfRule>
    <cfRule type="containsText" dxfId="9935" priority="5114" stopIfTrue="1" operator="containsText" text="Mortal o catastrófico">
      <formula>NOT(ISERROR(SEARCH("Mortal o catastrófico",X28)))</formula>
    </cfRule>
    <cfRule type="containsText" dxfId="9934" priority="5115" stopIfTrue="1" operator="containsText" text="Leve">
      <formula>NOT(ISERROR(SEARCH("Leve",X28)))</formula>
    </cfRule>
    <cfRule type="containsText" dxfId="9933" priority="5116" stopIfTrue="1" operator="containsText" text="Grave">
      <formula>NOT(ISERROR(SEARCH("Grave",X28)))</formula>
    </cfRule>
  </conditionalFormatting>
  <conditionalFormatting sqref="AA7:AB25">
    <cfRule type="containsText" dxfId="9932" priority="5745" stopIfTrue="1" operator="containsText" text="Nivel III: Riesgo Moderado (Aceptable)">
      <formula>NOT(ISERROR(SEARCH("Nivel III: Riesgo Moderado (Aceptable)",AA7)))</formula>
    </cfRule>
    <cfRule type="containsText" dxfId="9931" priority="5746" stopIfTrue="1" operator="containsText" text="Nivel II: Riesgo Importante">
      <formula>NOT(ISERROR(SEARCH("Nivel II: Riesgo Importante",AA7)))</formula>
    </cfRule>
    <cfRule type="containsText" dxfId="9930" priority="5747" stopIfTrue="1" operator="containsText" text="Nivel I: Riesgo Inaceptable">
      <formula>NOT(ISERROR(SEARCH("Nivel I: Riesgo Inaceptable",AA7)))</formula>
    </cfRule>
    <cfRule type="containsText" dxfId="9929" priority="5748" stopIfTrue="1" operator="containsText" text="Nivel IV: Riesgo Tolerable (Aceptable)">
      <formula>NOT(ISERROR(SEARCH("Nivel IV: Riesgo Tolerable (Aceptable)",AA7)))</formula>
    </cfRule>
  </conditionalFormatting>
  <conditionalFormatting sqref="AA26:AA27 AC167:AE178 AA158:AA178 AB156:AB178 AC156:AE157 AB27:AB44 AA115:AE132 AA133:AB155 AA54:AE113">
    <cfRule type="containsText" dxfId="9928" priority="124" stopIfTrue="1" operator="containsText" text="Nivel II: Riesgo Importante">
      <formula>NOT(ISERROR(SEARCH("Nivel II: Riesgo Importante",AA26)))</formula>
    </cfRule>
  </conditionalFormatting>
  <conditionalFormatting sqref="AA156:AE178 AA115:AA155 AA26:AE114">
    <cfRule type="containsText" dxfId="9927" priority="5065" stopIfTrue="1" operator="containsText" text="Nivel III: Riesgo Moderado (Aceptable)">
      <formula>NOT(ISERROR(SEARCH("Nivel III: Riesgo Moderado (Aceptable)",AA26)))</formula>
    </cfRule>
  </conditionalFormatting>
  <conditionalFormatting sqref="AA28:AA44 AC37:AE44">
    <cfRule type="containsText" dxfId="9926" priority="5066" stopIfTrue="1" operator="containsText" text="Nivel II: Riesgo Importante">
      <formula>NOT(ISERROR(SEARCH("Nivel II: Riesgo Importante",AA28)))</formula>
    </cfRule>
    <cfRule type="containsText" dxfId="9925" priority="5067" stopIfTrue="1" operator="containsText" text="Nivel I: Riesgo Inaceptable">
      <formula>NOT(ISERROR(SEARCH("Nivel I: Riesgo Inaceptable",AA28)))</formula>
    </cfRule>
    <cfRule type="containsText" dxfId="9924" priority="5068" stopIfTrue="1" operator="containsText" text="Nivel IV: Riesgo Tolerable (Aceptable)">
      <formula>NOT(ISERROR(SEARCH("Nivel IV: Riesgo Tolerable (Aceptable)",AA28)))</formula>
    </cfRule>
  </conditionalFormatting>
  <conditionalFormatting sqref="AA41:AA42">
    <cfRule type="containsText" dxfId="9923" priority="4984" stopIfTrue="1" operator="containsText" text="Nivel III: Riesgo Moderado (Aceptable)">
      <formula>NOT(ISERROR(SEARCH("Nivel III: Riesgo Moderado (Aceptable)",AA41)))</formula>
    </cfRule>
    <cfRule type="containsText" dxfId="9922" priority="4985" stopIfTrue="1" operator="containsText" text="Nivel II: Riesgo Importante">
      <formula>NOT(ISERROR(SEARCH("Nivel II: Riesgo Importante",AA41)))</formula>
    </cfRule>
    <cfRule type="containsText" dxfId="9921" priority="4986" stopIfTrue="1" operator="containsText" text="Nivel I: Riesgo Inaceptable">
      <formula>NOT(ISERROR(SEARCH("Nivel I: Riesgo Inaceptable",AA41)))</formula>
    </cfRule>
    <cfRule type="containsText" dxfId="9920" priority="4987" stopIfTrue="1" operator="containsText" text="Nivel IV: Riesgo Tolerable (Aceptable)">
      <formula>NOT(ISERROR(SEARCH("Nivel IV: Riesgo Tolerable (Aceptable)",AA41)))</formula>
    </cfRule>
  </conditionalFormatting>
  <conditionalFormatting sqref="AA45:AE53 AB27:AB44 AC149:AE155 AA115:AA155 AA26:AA27">
    <cfRule type="containsText" dxfId="9919" priority="1514" stopIfTrue="1" operator="containsText" text="Nivel IV: Riesgo Tolerable (Aceptable)">
      <formula>NOT(ISERROR(SEARCH("Nivel IV: Riesgo Tolerable (Aceptable)",AA26)))</formula>
    </cfRule>
  </conditionalFormatting>
  <conditionalFormatting sqref="AA158:AA178 AC167:AE178 AB156:AB178 AC156:AE158 AA54:AE113">
    <cfRule type="containsText" dxfId="9918" priority="882" stopIfTrue="1" operator="containsText" text="Nivel I: Riesgo Inaceptable">
      <formula>NOT(ISERROR(SEARCH("Nivel I: Riesgo Inaceptable",AA54)))</formula>
    </cfRule>
    <cfRule type="containsText" dxfId="9917" priority="883" stopIfTrue="1" operator="containsText" text="Nivel IV: Riesgo Tolerable (Aceptable)">
      <formula>NOT(ISERROR(SEARCH("Nivel IV: Riesgo Tolerable (Aceptable)",AA54)))</formula>
    </cfRule>
  </conditionalFormatting>
  <conditionalFormatting sqref="AA156:AA157">
    <cfRule type="containsText" dxfId="9916" priority="19" stopIfTrue="1" operator="containsText" text="Nivel II: Riesgo Importante">
      <formula>NOT(ISERROR(SEARCH("Nivel II: Riesgo Importante",AA156)))</formula>
    </cfRule>
    <cfRule type="containsText" dxfId="9915" priority="39" stopIfTrue="1" operator="containsText" text="Nivel I: Riesgo Inaceptable">
      <formula>NOT(ISERROR(SEARCH("Nivel I: Riesgo Inaceptable",AA156)))</formula>
    </cfRule>
    <cfRule type="containsText" dxfId="9914" priority="40" stopIfTrue="1" operator="containsText" text="Nivel IV: Riesgo Tolerable (Aceptable)">
      <formula>NOT(ISERROR(SEARCH("Nivel IV: Riesgo Tolerable (Aceptable)",AA156)))</formula>
    </cfRule>
  </conditionalFormatting>
  <conditionalFormatting sqref="AD144:AE145 AC146:AE147">
    <cfRule type="containsText" dxfId="9913" priority="6413" stopIfTrue="1" operator="containsText" text="Nivel III: Riesgo Moderado (Aceptable)">
      <formula>NOT(ISERROR(SEARCH("Nivel III: Riesgo Moderado (Aceptable)",AC144)))</formula>
    </cfRule>
  </conditionalFormatting>
  <conditionalFormatting sqref="AA114:AE114">
    <cfRule type="containsText" dxfId="9912" priority="2575" stopIfTrue="1" operator="containsText" text="Nivel II: Riesgo Importante">
      <formula>NOT(ISERROR(SEARCH("Nivel II: Riesgo Importante",AA114)))</formula>
    </cfRule>
    <cfRule type="containsText" dxfId="9911" priority="2576" stopIfTrue="1" operator="containsText" text="Nivel I: Riesgo Inaceptable">
      <formula>NOT(ISERROR(SEARCH("Nivel I: Riesgo Inaceptable",AA114)))</formula>
    </cfRule>
    <cfRule type="containsText" dxfId="9910" priority="2577" stopIfTrue="1" operator="containsText" text="Nivel IV: Riesgo Tolerable (Aceptable)">
      <formula>NOT(ISERROR(SEARCH("Nivel IV: Riesgo Tolerable (Aceptable)",AA114)))</formula>
    </cfRule>
  </conditionalFormatting>
  <conditionalFormatting sqref="AA45:AE53 AD144:AE145 AC146:AE147">
    <cfRule type="containsText" dxfId="9909" priority="6414" stopIfTrue="1" operator="containsText" text="Nivel II: Riesgo Importante">
      <formula>NOT(ISERROR(SEARCH("Nivel II: Riesgo Importante",AA45)))</formula>
    </cfRule>
  </conditionalFormatting>
  <conditionalFormatting sqref="AB115:AE132 AB133:AB155">
    <cfRule type="containsText" dxfId="9908" priority="1505" stopIfTrue="1" operator="containsText" text="Nivel III: Riesgo Moderado (Aceptable)">
      <formula>NOT(ISERROR(SEARCH("Nivel III: Riesgo Moderado (Aceptable)",AB115)))</formula>
    </cfRule>
    <cfRule type="containsText" dxfId="9907" priority="1507" stopIfTrue="1" operator="containsText" text="Nivel I: Riesgo Inaceptable">
      <formula>NOT(ISERROR(SEARCH("Nivel I: Riesgo Inaceptable",AB115)))</formula>
    </cfRule>
    <cfRule type="containsText" dxfId="9906" priority="1508" stopIfTrue="1" operator="containsText" text="Nivel IV: Riesgo Tolerable (Aceptable)">
      <formula>NOT(ISERROR(SEARCH("Nivel IV: Riesgo Tolerable (Aceptable)",AB115)))</formula>
    </cfRule>
  </conditionalFormatting>
  <conditionalFormatting sqref="AB172:AB173">
    <cfRule type="containsText" dxfId="9905" priority="168" stopIfTrue="1" operator="containsText" text="Nivel III: Riesgo Moderado (Aceptable)">
      <formula>NOT(ISERROR(SEARCH("Nivel III: Riesgo Moderado (Aceptable)",AB172)))</formula>
    </cfRule>
    <cfRule type="containsText" dxfId="9904" priority="169" stopIfTrue="1" operator="containsText" text="Nivel II: Riesgo Importante">
      <formula>NOT(ISERROR(SEARCH("Nivel II: Riesgo Importante",AB172)))</formula>
    </cfRule>
    <cfRule type="containsText" dxfId="9903" priority="170" stopIfTrue="1" operator="containsText" text="Nivel I: Riesgo Inaceptable">
      <formula>NOT(ISERROR(SEARCH("Nivel I: Riesgo Inaceptable",AB172)))</formula>
    </cfRule>
    <cfRule type="containsText" dxfId="9902" priority="171" stopIfTrue="1" operator="containsText" text="Nivel IV: Riesgo Tolerable (Aceptable)">
      <formula>NOT(ISERROR(SEARCH("Nivel IV: Riesgo Tolerable (Aceptable)",AB172)))</formula>
    </cfRule>
  </conditionalFormatting>
  <conditionalFormatting sqref="AD144:AE145 AC146:AE147 AA45:AE53 AB27:AB44 AA115:AA155 AC149:AE155 AA26:AA27">
    <cfRule type="containsText" dxfId="9901" priority="6415" stopIfTrue="1" operator="containsText" text="Nivel I: Riesgo Inaceptable">
      <formula>NOT(ISERROR(SEARCH("Nivel I: Riesgo Inaceptable",AA26)))</formula>
    </cfRule>
  </conditionalFormatting>
  <conditionalFormatting sqref="AD144:AE145 AC146:AE147">
    <cfRule type="containsText" dxfId="9900" priority="6416" stopIfTrue="1" operator="containsText" text="Nivel IV: Riesgo Tolerable (Aceptable)">
      <formula>NOT(ISERROR(SEARCH("Nivel IV: Riesgo Tolerable (Aceptable)",AC144)))</formula>
    </cfRule>
  </conditionalFormatting>
  <conditionalFormatting sqref="AB26:AE26">
    <cfRule type="containsText" dxfId="9899" priority="5510" stopIfTrue="1" operator="containsText" text="Nivel II: Riesgo Importante">
      <formula>NOT(ISERROR(SEARCH("Nivel II: Riesgo Importante",AB26)))</formula>
    </cfRule>
    <cfRule type="containsText" dxfId="9898" priority="5511" stopIfTrue="1" operator="containsText" text="Nivel I: Riesgo Inaceptable">
      <formula>NOT(ISERROR(SEARCH("Nivel I: Riesgo Inaceptable",AB26)))</formula>
    </cfRule>
    <cfRule type="containsText" dxfId="9897" priority="5512" stopIfTrue="1" operator="containsText" text="Nivel IV: Riesgo Tolerable (Aceptable)">
      <formula>NOT(ISERROR(SEARCH("Nivel IV: Riesgo Tolerable (Aceptable)",AB26)))</formula>
    </cfRule>
  </conditionalFormatting>
  <conditionalFormatting sqref="AC28:AC30">
    <cfRule type="containsText" dxfId="9896" priority="5308" stopIfTrue="1" operator="containsText" text="Nivel II: Riesgo Importante">
      <formula>NOT(ISERROR(SEARCH("Nivel II: Riesgo Importante",AC28)))</formula>
    </cfRule>
  </conditionalFormatting>
  <conditionalFormatting sqref="AC34:AC36">
    <cfRule type="containsText" dxfId="9895" priority="5176" stopIfTrue="1" operator="containsText" text="Nivel II: Riesgo Importante">
      <formula>NOT(ISERROR(SEARCH("Nivel II: Riesgo Importante",AC34)))</formula>
    </cfRule>
  </conditionalFormatting>
  <conditionalFormatting sqref="AC142:AC143">
    <cfRule type="containsText" dxfId="9894" priority="1697" stopIfTrue="1" operator="containsText" text="Nivel II: Riesgo Importante">
      <formula>NOT(ISERROR(SEARCH("Nivel II: Riesgo Importante",AC142)))</formula>
    </cfRule>
  </conditionalFormatting>
  <conditionalFormatting sqref="AC158:AC160 AC161:AE163">
    <cfRule type="containsText" dxfId="9893" priority="477" stopIfTrue="1" operator="containsText" text="Nivel II: Riesgo Importante">
      <formula>NOT(ISERROR(SEARCH("Nivel II: Riesgo Importante",AC158)))</formula>
    </cfRule>
  </conditionalFormatting>
  <conditionalFormatting sqref="AC164:AC166">
    <cfRule type="containsText" dxfId="9892" priority="422" stopIfTrue="1" operator="containsText" text="Nivel II: Riesgo Importante">
      <formula>NOT(ISERROR(SEARCH("Nivel II: Riesgo Importante",AC164)))</formula>
    </cfRule>
  </conditionalFormatting>
  <conditionalFormatting sqref="AC27:AE27">
    <cfRule type="containsText" dxfId="9891" priority="5444" stopIfTrue="1" operator="containsText" text="Nivel II: Riesgo Importante">
      <formula>NOT(ISERROR(SEARCH("Nivel II: Riesgo Importante",AC27)))</formula>
    </cfRule>
    <cfRule type="containsText" dxfId="9890" priority="5445" stopIfTrue="1" operator="containsText" text="Nivel I: Riesgo Inaceptable">
      <formula>NOT(ISERROR(SEARCH("Nivel I: Riesgo Inaceptable",AC27)))</formula>
    </cfRule>
    <cfRule type="containsText" dxfId="9889" priority="5446" stopIfTrue="1" operator="containsText" text="Nivel IV: Riesgo Tolerable (Aceptable)">
      <formula>NOT(ISERROR(SEARCH("Nivel IV: Riesgo Tolerable (Aceptable)",AC27)))</formula>
    </cfRule>
  </conditionalFormatting>
  <conditionalFormatting sqref="AC28:AE30">
    <cfRule type="containsText" dxfId="9888" priority="5309" stopIfTrue="1" operator="containsText" text="Nivel I: Riesgo Inaceptable">
      <formula>NOT(ISERROR(SEARCH("Nivel I: Riesgo Inaceptable",AC28)))</formula>
    </cfRule>
    <cfRule type="containsText" dxfId="9887" priority="5310" stopIfTrue="1" operator="containsText" text="Nivel IV: Riesgo Tolerable (Aceptable)">
      <formula>NOT(ISERROR(SEARCH("Nivel IV: Riesgo Tolerable (Aceptable)",AC28)))</formula>
    </cfRule>
  </conditionalFormatting>
  <conditionalFormatting sqref="AC31:AE33">
    <cfRule type="containsText" dxfId="9886" priority="5209" stopIfTrue="1" operator="containsText" text="Nivel II: Riesgo Importante">
      <formula>NOT(ISERROR(SEARCH("Nivel II: Riesgo Importante",AC31)))</formula>
    </cfRule>
  </conditionalFormatting>
  <conditionalFormatting sqref="AC31:AE34">
    <cfRule type="containsText" dxfId="9885" priority="5210" stopIfTrue="1" operator="containsText" text="Nivel I: Riesgo Inaceptable">
      <formula>NOT(ISERROR(SEARCH("Nivel I: Riesgo Inaceptable",AC31)))</formula>
    </cfRule>
    <cfRule type="containsText" dxfId="9884" priority="5211" stopIfTrue="1" operator="containsText" text="Nivel IV: Riesgo Tolerable (Aceptable)">
      <formula>NOT(ISERROR(SEARCH("Nivel IV: Riesgo Tolerable (Aceptable)",AC31)))</formula>
    </cfRule>
  </conditionalFormatting>
  <conditionalFormatting sqref="AC35:AE36">
    <cfRule type="containsText" dxfId="9883" priority="5177" stopIfTrue="1" operator="containsText" text="Nivel I: Riesgo Inaceptable">
      <formula>NOT(ISERROR(SEARCH("Nivel I: Riesgo Inaceptable",AC35)))</formula>
    </cfRule>
    <cfRule type="containsText" dxfId="9882" priority="5178" stopIfTrue="1" operator="containsText" text="Nivel IV: Riesgo Tolerable (Aceptable)">
      <formula>NOT(ISERROR(SEARCH("Nivel IV: Riesgo Tolerable (Aceptable)",AC35)))</formula>
    </cfRule>
  </conditionalFormatting>
  <conditionalFormatting sqref="AC142:AE143">
    <cfRule type="containsText" dxfId="9881" priority="1696" stopIfTrue="1" operator="containsText" text="Nivel III: Riesgo Moderado (Aceptable)">
      <formula>NOT(ISERROR(SEARCH("Nivel III: Riesgo Moderado (Aceptable)",AC142)))</formula>
    </cfRule>
    <cfRule type="containsText" dxfId="9880" priority="1698" stopIfTrue="1" operator="containsText" text="Nivel I: Riesgo Inaceptable">
      <formula>NOT(ISERROR(SEARCH("Nivel I: Riesgo Inaceptable",AC142)))</formula>
    </cfRule>
    <cfRule type="containsText" dxfId="9879" priority="1699" stopIfTrue="1" operator="containsText" text="Nivel IV: Riesgo Tolerable (Aceptable)">
      <formula>NOT(ISERROR(SEARCH("Nivel IV: Riesgo Tolerable (Aceptable)",AC142)))</formula>
    </cfRule>
  </conditionalFormatting>
  <conditionalFormatting sqref="AC149:AE155">
    <cfRule type="containsText" dxfId="9878" priority="1511" stopIfTrue="1" operator="containsText" text="Nivel III: Riesgo Moderado (Aceptable)">
      <formula>NOT(ISERROR(SEARCH("Nivel III: Riesgo Moderado (Aceptable)",AC149)))</formula>
    </cfRule>
    <cfRule type="containsText" dxfId="9877" priority="1512" stopIfTrue="1" operator="containsText" text="Nivel II: Riesgo Importante">
      <formula>NOT(ISERROR(SEARCH("Nivel II: Riesgo Importante",AC149)))</formula>
    </cfRule>
  </conditionalFormatting>
  <conditionalFormatting sqref="AC159:AE164">
    <cfRule type="containsText" dxfId="9876" priority="478" stopIfTrue="1" operator="containsText" text="Nivel I: Riesgo Inaceptable">
      <formula>NOT(ISERROR(SEARCH("Nivel I: Riesgo Inaceptable",AC159)))</formula>
    </cfRule>
    <cfRule type="containsText" dxfId="9875" priority="479" stopIfTrue="1" operator="containsText" text="Nivel IV: Riesgo Tolerable (Aceptable)">
      <formula>NOT(ISERROR(SEARCH("Nivel IV: Riesgo Tolerable (Aceptable)",AC159)))</formula>
    </cfRule>
  </conditionalFormatting>
  <conditionalFormatting sqref="AC165:AE166">
    <cfRule type="containsText" dxfId="9874" priority="423" stopIfTrue="1" operator="containsText" text="Nivel I: Riesgo Inaceptable">
      <formula>NOT(ISERROR(SEARCH("Nivel I: Riesgo Inaceptable",AC165)))</formula>
    </cfRule>
    <cfRule type="containsText" dxfId="9873" priority="424" stopIfTrue="1" operator="containsText" text="Nivel IV: Riesgo Tolerable (Aceptable)">
      <formula>NOT(ISERROR(SEARCH("Nivel IV: Riesgo Tolerable (Aceptable)",AC165)))</formula>
    </cfRule>
  </conditionalFormatting>
  <dataValidations count="12">
    <dataValidation type="list" allowBlank="1" showInputMessage="1" showErrorMessage="1" sqref="I69:I85 I66:I67 I90:I91 I111:I112 I114:I116 I121:I122 I127:I129 I142:I143 I151:I152 I174:I175 I157:I171 I27:I61 I93:I109" xr:uid="{00000000-0002-0000-0300-000000000000}">
      <formula1>Factores</formula1>
    </dataValidation>
    <dataValidation type="list" allowBlank="1" showInputMessage="1" showErrorMessage="1" sqref="F7:F15 F17:F18 F21 F24 F174:F178 F66:F85 F151:F171 F129:F147 F90:F109 F26:F61 F111:F126" xr:uid="{00000000-0002-0000-0300-000001000000}">
      <formula1>"Rutinaria,No rutinaria"</formula1>
    </dataValidation>
    <dataValidation type="list" allowBlank="1" showInputMessage="1" showErrorMessage="1" sqref="M90:M109 M17:M18 M43:M61 M26:M40 M176:M178 M171 M66:M85 M7:M15 M129:M147 M153:M157 M111:M126" xr:uid="{00000000-0002-0000-0300-000004000000}">
      <formula1>$QF$6:$QF$44</formula1>
    </dataValidation>
    <dataValidation type="list" allowBlank="1" showInputMessage="1" showErrorMessage="1" sqref="N90:N109 N17:N18 N43:N61 N26:N40 N176:N178 N171 N66:N85 N7:N15 N129:N147 N153:N157 N111:N126" xr:uid="{00000000-0002-0000-0300-000005000000}">
      <formula1>$QG$6:$QG$44</formula1>
    </dataValidation>
    <dataValidation type="list" allowBlank="1" showInputMessage="1" showErrorMessage="1" sqref="I26 I156" xr:uid="{00000000-0002-0000-0300-000006000000}">
      <formula1>$C$4:$C$44</formula1>
    </dataValidation>
    <dataValidation type="list" allowBlank="1" showInputMessage="1" showErrorMessage="1" sqref="N151:N152 N158:N170 N174:N175" xr:uid="{00000000-0002-0000-0300-000007000000}">
      <formula1>$QF$6:$QF$7</formula1>
    </dataValidation>
    <dataValidation type="list" allowBlank="1" showInputMessage="1" showErrorMessage="1" sqref="M151:M152 M158:M170 M174:M175" xr:uid="{00000000-0002-0000-0300-000008000000}">
      <formula1>$QE$6:$QE$7</formula1>
    </dataValidation>
    <dataValidation type="list" allowBlank="1" showInputMessage="1" showErrorMessage="1" sqref="H174:H178 H150:H171 H7:H23 H25:H148" xr:uid="{00000000-0002-0000-0300-000010000000}">
      <formula1>Clasificación</formula1>
    </dataValidation>
    <dataValidation type="list" allowBlank="1" showInputMessage="1" showErrorMessage="1" sqref="R7:R178" xr:uid="{00000000-0002-0000-0300-00000C000000}">
      <formula1>"Muy alto, Alto, Medio, Bajo"</formula1>
    </dataValidation>
    <dataValidation type="list" allowBlank="1" showInputMessage="1" showErrorMessage="1" sqref="X7:X178" xr:uid="{00000000-0002-0000-0300-00000D000000}">
      <formula1>"Mortal o catastrófico, Muy grave, Grave, Leve"</formula1>
    </dataValidation>
    <dataValidation type="list" allowBlank="1" showInputMessage="1" showErrorMessage="1" sqref="T7:T178" xr:uid="{00000000-0002-0000-0300-00000E000000}">
      <formula1>"Continua, Frecuente, Ocasional, Esporádica"</formula1>
    </dataValidation>
    <dataValidation type="list" allowBlank="1" showInputMessage="1" showErrorMessage="1" sqref="L7:L178" xr:uid="{00000000-0002-0000-0300-00000F000000}">
      <formula1>"Expresado,Potencial"</formula1>
    </dataValidation>
  </dataValidations>
  <pageMargins left="0.39370078740157483" right="0.39370078740157483" top="0.39370078740157483" bottom="0.39370078740157483" header="0" footer="0"/>
  <pageSetup paperSize="5" scale="50" orientation="landscape" r:id="rId1"/>
  <headerFooter alignWithMargins="0"/>
  <drawing r:id="rId2"/>
  <legacyDrawing r:id="rId3"/>
  <extLst>
    <ext xmlns:x14="http://schemas.microsoft.com/office/spreadsheetml/2009/9/main" uri="{CCE6A557-97BC-4b89-ADB6-D9C93CAAB3DF}">
      <x14:dataValidations xmlns:xm="http://schemas.microsoft.com/office/excel/2006/main" count="5">
        <x14:dataValidation type="list" allowBlank="1" showInputMessage="1" showErrorMessage="1" xr:uid="{00000000-0002-0000-0300-000011000000}">
          <x14:formula1>
            <xm:f>'Factores de riesgo'!$B$5:$B$80</xm:f>
          </x14:formula1>
          <xm:sqref>I113 I92 I68 I176:I178 I153:I155 I144:I147 I130:I132 I123:I126 I117:I120</xm:sqref>
        </x14:dataValidation>
        <x14:dataValidation type="list" allowBlank="1" showInputMessage="1" showErrorMessage="1" xr:uid="{00000000-0002-0000-0300-000012000000}">
          <x14:formula1>
            <xm:f>'Factores de riesgo'!$B$4:$B$80</xm:f>
          </x14:formula1>
          <xm:sqref>I7:I23 I148 I133:I141</xm:sqref>
        </x14:dataValidation>
        <x14:dataValidation type="list" allowBlank="1" showInputMessage="1" showErrorMessage="1" xr:uid="{5C4C8F08-B7E0-474B-B742-31140DBF1810}">
          <x14:formula1>
            <xm:f>'Factores de riesgo'!$B$62</xm:f>
          </x14:formula1>
          <xm:sqref>H172:H173</xm:sqref>
        </x14:dataValidation>
        <x14:dataValidation type="list" allowBlank="1" showInputMessage="1" showErrorMessage="1" xr:uid="{568B8BAA-6A32-4D23-B0A5-20A6ABBB305F}">
          <x14:formula1>
            <xm:f>'Factores de riesgo'!$B$62:$B$69</xm:f>
          </x14:formula1>
          <xm:sqref>H24 H149</xm:sqref>
        </x14:dataValidation>
        <x14:dataValidation type="list" allowBlank="1" showInputMessage="1" showErrorMessage="1" xr:uid="{0823E1F5-CCD3-4604-B70D-EBE9E5069234}">
          <x14:formula1>
            <xm:f>'Factores de riesgo'!$B$63:$B$69</xm:f>
          </x14:formula1>
          <xm:sqref>I24:I25 I149:I150</xm:sqref>
        </x14:dataValidation>
      </x14:dataValidations>
    </ex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4"/>
  <sheetViews>
    <sheetView topLeftCell="A19" workbookViewId="0">
      <selection activeCell="B14" sqref="B14"/>
    </sheetView>
  </sheetViews>
  <sheetFormatPr baseColWidth="10" defaultRowHeight="14.25" x14ac:dyDescent="0.2"/>
  <cols>
    <col min="1" max="1" width="50.875" customWidth="1"/>
    <col min="2" max="2" width="19.875" customWidth="1"/>
    <col min="3" max="3" width="30.5" bestFit="1" customWidth="1"/>
  </cols>
  <sheetData>
    <row r="1" spans="1:3" ht="17.25" thickBot="1" x14ac:dyDescent="0.25">
      <c r="A1" s="124" t="s">
        <v>628</v>
      </c>
      <c r="B1" s="125" t="s">
        <v>629</v>
      </c>
      <c r="C1" s="125" t="s">
        <v>630</v>
      </c>
    </row>
    <row r="2" spans="1:3" ht="17.25" thickBot="1" x14ac:dyDescent="0.25">
      <c r="A2" s="132" t="s">
        <v>631</v>
      </c>
      <c r="B2" s="126" t="s">
        <v>632</v>
      </c>
      <c r="C2" s="127" t="s">
        <v>633</v>
      </c>
    </row>
    <row r="3" spans="1:3" ht="17.25" thickBot="1" x14ac:dyDescent="0.25">
      <c r="A3" s="132" t="s">
        <v>634</v>
      </c>
      <c r="B3" s="126" t="s">
        <v>632</v>
      </c>
      <c r="C3" s="127" t="s">
        <v>633</v>
      </c>
    </row>
    <row r="4" spans="1:3" ht="17.25" thickBot="1" x14ac:dyDescent="0.25">
      <c r="A4" s="132" t="s">
        <v>635</v>
      </c>
      <c r="B4" s="126" t="s">
        <v>632</v>
      </c>
      <c r="C4" s="127" t="s">
        <v>636</v>
      </c>
    </row>
    <row r="5" spans="1:3" ht="17.25" thickBot="1" x14ac:dyDescent="0.25">
      <c r="A5" s="132" t="s">
        <v>637</v>
      </c>
      <c r="B5" s="126" t="s">
        <v>632</v>
      </c>
      <c r="C5" s="127" t="s">
        <v>636</v>
      </c>
    </row>
    <row r="6" spans="1:3" ht="17.25" thickBot="1" x14ac:dyDescent="0.25">
      <c r="A6" s="132" t="s">
        <v>638</v>
      </c>
      <c r="B6" s="126" t="s">
        <v>632</v>
      </c>
      <c r="C6" s="127" t="s">
        <v>636</v>
      </c>
    </row>
    <row r="7" spans="1:3" ht="17.25" thickBot="1" x14ac:dyDescent="0.25">
      <c r="A7" s="132" t="s">
        <v>639</v>
      </c>
      <c r="B7" s="126" t="s">
        <v>632</v>
      </c>
      <c r="C7" s="127" t="s">
        <v>636</v>
      </c>
    </row>
    <row r="8" spans="1:3" ht="17.25" thickBot="1" x14ac:dyDescent="0.25">
      <c r="A8" s="132" t="s">
        <v>640</v>
      </c>
      <c r="B8" s="126" t="s">
        <v>632</v>
      </c>
      <c r="C8" s="127" t="s">
        <v>636</v>
      </c>
    </row>
    <row r="9" spans="1:3" ht="17.25" thickBot="1" x14ac:dyDescent="0.25">
      <c r="A9" s="132" t="s">
        <v>641</v>
      </c>
      <c r="B9" s="126" t="s">
        <v>632</v>
      </c>
      <c r="C9" s="127" t="s">
        <v>642</v>
      </c>
    </row>
    <row r="10" spans="1:3" ht="17.25" thickBot="1" x14ac:dyDescent="0.25">
      <c r="A10" s="132" t="s">
        <v>643</v>
      </c>
      <c r="B10" s="126" t="s">
        <v>632</v>
      </c>
      <c r="C10" s="127" t="s">
        <v>642</v>
      </c>
    </row>
    <row r="11" spans="1:3" ht="17.25" thickBot="1" x14ac:dyDescent="0.25">
      <c r="A11" s="132" t="s">
        <v>644</v>
      </c>
      <c r="B11" s="126" t="s">
        <v>632</v>
      </c>
      <c r="C11" s="127" t="s">
        <v>642</v>
      </c>
    </row>
    <row r="12" spans="1:3" ht="17.25" thickBot="1" x14ac:dyDescent="0.25">
      <c r="A12" s="132" t="s">
        <v>645</v>
      </c>
      <c r="B12" s="126" t="s">
        <v>632</v>
      </c>
      <c r="C12" s="127" t="s">
        <v>642</v>
      </c>
    </row>
    <row r="13" spans="1:3" ht="17.25" thickBot="1" x14ac:dyDescent="0.25">
      <c r="A13" s="132" t="s">
        <v>646</v>
      </c>
      <c r="B13" s="126" t="s">
        <v>647</v>
      </c>
      <c r="C13" s="127" t="s">
        <v>642</v>
      </c>
    </row>
    <row r="14" spans="1:3" ht="17.25" thickBot="1" x14ac:dyDescent="0.25">
      <c r="A14" s="132" t="s">
        <v>648</v>
      </c>
      <c r="B14" s="126" t="s">
        <v>647</v>
      </c>
      <c r="C14" s="127" t="s">
        <v>642</v>
      </c>
    </row>
    <row r="15" spans="1:3" ht="32.25" customHeight="1" thickBot="1" x14ac:dyDescent="0.25">
      <c r="A15" s="133" t="s">
        <v>649</v>
      </c>
      <c r="B15" s="126" t="s">
        <v>632</v>
      </c>
      <c r="C15" s="127" t="s">
        <v>650</v>
      </c>
    </row>
    <row r="16" spans="1:3" ht="17.25" thickBot="1" x14ac:dyDescent="0.25">
      <c r="A16" s="132" t="s">
        <v>651</v>
      </c>
      <c r="B16" s="126" t="s">
        <v>632</v>
      </c>
      <c r="C16" s="127" t="s">
        <v>650</v>
      </c>
    </row>
    <row r="17" spans="1:3" ht="17.25" thickBot="1" x14ac:dyDescent="0.25">
      <c r="A17" s="132" t="s">
        <v>652</v>
      </c>
      <c r="B17" s="126" t="s">
        <v>647</v>
      </c>
      <c r="C17" s="127" t="s">
        <v>650</v>
      </c>
    </row>
    <row r="18" spans="1:3" ht="17.25" thickBot="1" x14ac:dyDescent="0.25">
      <c r="A18" s="132" t="s">
        <v>653</v>
      </c>
      <c r="B18" s="126" t="s">
        <v>647</v>
      </c>
      <c r="C18" s="127" t="s">
        <v>650</v>
      </c>
    </row>
    <row r="19" spans="1:3" ht="17.25" thickBot="1" x14ac:dyDescent="0.25">
      <c r="A19" s="132" t="s">
        <v>654</v>
      </c>
      <c r="B19" s="126" t="s">
        <v>647</v>
      </c>
      <c r="C19" s="127" t="s">
        <v>650</v>
      </c>
    </row>
    <row r="20" spans="1:3" ht="17.25" thickBot="1" x14ac:dyDescent="0.25">
      <c r="A20" s="132" t="s">
        <v>655</v>
      </c>
      <c r="B20" s="126" t="s">
        <v>632</v>
      </c>
      <c r="C20" s="127" t="s">
        <v>656</v>
      </c>
    </row>
    <row r="21" spans="1:3" ht="17.25" thickBot="1" x14ac:dyDescent="0.25">
      <c r="A21" s="132" t="s">
        <v>657</v>
      </c>
      <c r="B21" s="126" t="s">
        <v>632</v>
      </c>
      <c r="C21" s="127" t="s">
        <v>656</v>
      </c>
    </row>
    <row r="22" spans="1:3" ht="17.25" thickBot="1" x14ac:dyDescent="0.25">
      <c r="A22" s="132" t="s">
        <v>658</v>
      </c>
      <c r="B22" s="126" t="s">
        <v>632</v>
      </c>
      <c r="C22" s="127" t="s">
        <v>656</v>
      </c>
    </row>
    <row r="23" spans="1:3" ht="17.25" thickBot="1" x14ac:dyDescent="0.25">
      <c r="A23" s="132" t="s">
        <v>659</v>
      </c>
      <c r="B23" s="126" t="s">
        <v>632</v>
      </c>
      <c r="C23" s="127" t="s">
        <v>656</v>
      </c>
    </row>
    <row r="24" spans="1:3" ht="17.25" thickBot="1" x14ac:dyDescent="0.25">
      <c r="A24" s="132" t="s">
        <v>660</v>
      </c>
      <c r="B24" s="126" t="s">
        <v>647</v>
      </c>
      <c r="C24" s="127" t="s">
        <v>656</v>
      </c>
    </row>
    <row r="25" spans="1:3" ht="17.25" thickBot="1" x14ac:dyDescent="0.25">
      <c r="A25" s="132" t="s">
        <v>661</v>
      </c>
      <c r="B25" s="126" t="s">
        <v>632</v>
      </c>
      <c r="C25" s="127" t="s">
        <v>662</v>
      </c>
    </row>
    <row r="26" spans="1:3" ht="17.25" thickBot="1" x14ac:dyDescent="0.25">
      <c r="A26" s="132" t="s">
        <v>663</v>
      </c>
      <c r="B26" s="126" t="s">
        <v>647</v>
      </c>
      <c r="C26" s="127" t="s">
        <v>662</v>
      </c>
    </row>
    <row r="27" spans="1:3" ht="17.25" thickBot="1" x14ac:dyDescent="0.25">
      <c r="A27" s="132" t="s">
        <v>664</v>
      </c>
      <c r="B27" s="126" t="s">
        <v>647</v>
      </c>
      <c r="C27" s="127" t="s">
        <v>665</v>
      </c>
    </row>
    <row r="28" spans="1:3" ht="17.25" thickBot="1" x14ac:dyDescent="0.25">
      <c r="A28" s="132" t="s">
        <v>666</v>
      </c>
      <c r="B28" s="126" t="s">
        <v>647</v>
      </c>
      <c r="C28" s="127" t="s">
        <v>665</v>
      </c>
    </row>
    <row r="29" spans="1:3" ht="17.25" thickBot="1" x14ac:dyDescent="0.25">
      <c r="A29" s="132" t="s">
        <v>667</v>
      </c>
      <c r="B29" s="126" t="s">
        <v>647</v>
      </c>
      <c r="C29" s="127" t="s">
        <v>665</v>
      </c>
    </row>
    <row r="30" spans="1:3" ht="17.25" thickBot="1" x14ac:dyDescent="0.25">
      <c r="A30" s="132" t="s">
        <v>668</v>
      </c>
      <c r="B30" s="126" t="s">
        <v>632</v>
      </c>
      <c r="C30" s="127" t="s">
        <v>669</v>
      </c>
    </row>
    <row r="31" spans="1:3" ht="17.25" thickBot="1" x14ac:dyDescent="0.25">
      <c r="A31" s="132" t="s">
        <v>670</v>
      </c>
      <c r="B31" s="126" t="s">
        <v>647</v>
      </c>
      <c r="C31" s="127" t="s">
        <v>669</v>
      </c>
    </row>
    <row r="32" spans="1:3" ht="17.25" thickBot="1" x14ac:dyDescent="0.25">
      <c r="A32" s="132" t="s">
        <v>671</v>
      </c>
      <c r="B32" s="126" t="s">
        <v>632</v>
      </c>
      <c r="C32" s="127" t="s">
        <v>672</v>
      </c>
    </row>
    <row r="33" spans="1:3" ht="17.25" thickBot="1" x14ac:dyDescent="0.25">
      <c r="A33" s="132" t="s">
        <v>673</v>
      </c>
      <c r="B33" s="126" t="s">
        <v>632</v>
      </c>
      <c r="C33" s="127" t="s">
        <v>672</v>
      </c>
    </row>
    <row r="34" spans="1:3" ht="17.25" thickBot="1" x14ac:dyDescent="0.25">
      <c r="A34" s="132" t="s">
        <v>674</v>
      </c>
      <c r="B34" s="126" t="s">
        <v>632</v>
      </c>
      <c r="C34" s="127" t="s">
        <v>672</v>
      </c>
    </row>
    <row r="35" spans="1:3" ht="17.25" thickBot="1" x14ac:dyDescent="0.25">
      <c r="A35" s="132" t="s">
        <v>675</v>
      </c>
      <c r="B35" s="126" t="s">
        <v>632</v>
      </c>
      <c r="C35" s="127" t="s">
        <v>676</v>
      </c>
    </row>
    <row r="36" spans="1:3" ht="17.25" thickBot="1" x14ac:dyDescent="0.25">
      <c r="A36" s="132" t="s">
        <v>677</v>
      </c>
      <c r="B36" s="126" t="s">
        <v>632</v>
      </c>
      <c r="C36" s="127" t="s">
        <v>676</v>
      </c>
    </row>
    <row r="37" spans="1:3" ht="17.25" thickBot="1" x14ac:dyDescent="0.25">
      <c r="A37" s="132" t="s">
        <v>678</v>
      </c>
      <c r="B37" s="126" t="s">
        <v>632</v>
      </c>
      <c r="C37" s="127" t="s">
        <v>679</v>
      </c>
    </row>
    <row r="38" spans="1:3" ht="17.25" thickBot="1" x14ac:dyDescent="0.25">
      <c r="A38" s="132" t="s">
        <v>680</v>
      </c>
      <c r="B38" s="126" t="s">
        <v>632</v>
      </c>
      <c r="C38" s="127" t="s">
        <v>679</v>
      </c>
    </row>
    <row r="39" spans="1:3" ht="17.25" thickBot="1" x14ac:dyDescent="0.25">
      <c r="A39" s="132" t="s">
        <v>681</v>
      </c>
      <c r="B39" s="126" t="s">
        <v>632</v>
      </c>
      <c r="C39" s="127" t="s">
        <v>682</v>
      </c>
    </row>
    <row r="40" spans="1:3" ht="17.25" thickBot="1" x14ac:dyDescent="0.25">
      <c r="A40" s="132" t="s">
        <v>683</v>
      </c>
      <c r="B40" s="126" t="s">
        <v>632</v>
      </c>
      <c r="C40" s="127" t="s">
        <v>684</v>
      </c>
    </row>
    <row r="41" spans="1:3" ht="17.25" thickBot="1" x14ac:dyDescent="0.25">
      <c r="A41" s="132" t="s">
        <v>685</v>
      </c>
      <c r="B41" s="126" t="s">
        <v>632</v>
      </c>
      <c r="C41" s="127" t="s">
        <v>686</v>
      </c>
    </row>
    <row r="42" spans="1:3" ht="17.25" thickBot="1" x14ac:dyDescent="0.25">
      <c r="A42" s="132" t="s">
        <v>687</v>
      </c>
      <c r="B42" s="126" t="s">
        <v>647</v>
      </c>
      <c r="C42" s="127" t="s">
        <v>686</v>
      </c>
    </row>
    <row r="43" spans="1:3" ht="17.25" thickBot="1" x14ac:dyDescent="0.25">
      <c r="A43" s="132" t="s">
        <v>688</v>
      </c>
      <c r="B43" s="126" t="s">
        <v>647</v>
      </c>
      <c r="C43" s="127" t="s">
        <v>686</v>
      </c>
    </row>
    <row r="44" spans="1:3" ht="17.25" thickBot="1" x14ac:dyDescent="0.25">
      <c r="A44" s="132" t="s">
        <v>689</v>
      </c>
      <c r="B44" s="126" t="s">
        <v>647</v>
      </c>
      <c r="C44" s="127" t="s">
        <v>690</v>
      </c>
    </row>
  </sheetData>
  <autoFilter ref="A1:C44" xr:uid="{00000000-0009-0000-0000-000002000000}"/>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68"/>
  <sheetViews>
    <sheetView topLeftCell="A43" zoomScale="70" zoomScaleNormal="70" zoomScalePageLayoutView="70" workbookViewId="0">
      <selection activeCell="E23" sqref="E23:F23"/>
    </sheetView>
  </sheetViews>
  <sheetFormatPr baseColWidth="10" defaultRowHeight="14.25" x14ac:dyDescent="0.2"/>
  <cols>
    <col min="1" max="1" width="16" customWidth="1"/>
    <col min="2" max="2" width="46.75" customWidth="1"/>
    <col min="3" max="3" width="1" style="5" customWidth="1"/>
    <col min="4" max="5" width="15.375" customWidth="1"/>
    <col min="6" max="6" width="55.875" customWidth="1"/>
    <col min="7" max="7" width="23.125" customWidth="1"/>
    <col min="8" max="8" width="25.375" customWidth="1"/>
  </cols>
  <sheetData>
    <row r="1" spans="1:6" ht="80.25" customHeight="1" x14ac:dyDescent="0.2">
      <c r="A1" s="7"/>
      <c r="B1" s="403" t="s">
        <v>263</v>
      </c>
      <c r="C1" s="403"/>
      <c r="D1" s="403"/>
      <c r="E1" s="403"/>
      <c r="F1" s="403"/>
    </row>
    <row r="2" spans="1:6" ht="18.75" customHeight="1" x14ac:dyDescent="0.2">
      <c r="A2" s="5"/>
      <c r="B2" s="5"/>
      <c r="D2" s="5"/>
      <c r="E2" s="5"/>
      <c r="F2" s="5"/>
    </row>
    <row r="3" spans="1:6" s="6" customFormat="1" ht="27" customHeight="1" x14ac:dyDescent="0.2">
      <c r="A3" s="407" t="s">
        <v>107</v>
      </c>
      <c r="B3" s="91" t="s">
        <v>108</v>
      </c>
      <c r="C3" s="12"/>
      <c r="D3" s="411" t="s">
        <v>116</v>
      </c>
      <c r="E3" s="404" t="s">
        <v>117</v>
      </c>
      <c r="F3" s="404"/>
    </row>
    <row r="4" spans="1:6" s="6" customFormat="1" ht="27" customHeight="1" x14ac:dyDescent="0.2">
      <c r="A4" s="407"/>
      <c r="B4" s="91" t="s">
        <v>109</v>
      </c>
      <c r="C4" s="10"/>
      <c r="D4" s="412"/>
      <c r="E4" s="404" t="s">
        <v>118</v>
      </c>
      <c r="F4" s="404"/>
    </row>
    <row r="5" spans="1:6" s="6" customFormat="1" ht="27" customHeight="1" x14ac:dyDescent="0.2">
      <c r="A5" s="407"/>
      <c r="B5" s="91" t="s">
        <v>231</v>
      </c>
      <c r="C5" s="12"/>
      <c r="D5" s="412"/>
      <c r="E5" s="404" t="s">
        <v>119</v>
      </c>
      <c r="F5" s="404"/>
    </row>
    <row r="6" spans="1:6" s="6" customFormat="1" ht="27" customHeight="1" x14ac:dyDescent="0.2">
      <c r="A6" s="407"/>
      <c r="B6" s="91" t="s">
        <v>232</v>
      </c>
      <c r="C6" s="10"/>
      <c r="D6" s="412"/>
      <c r="E6" s="404" t="s">
        <v>120</v>
      </c>
      <c r="F6" s="404"/>
    </row>
    <row r="7" spans="1:6" s="6" customFormat="1" ht="27" customHeight="1" x14ac:dyDescent="0.2">
      <c r="A7" s="407"/>
      <c r="B7" s="91" t="s">
        <v>111</v>
      </c>
      <c r="C7" s="14"/>
      <c r="D7" s="412"/>
      <c r="E7" s="410" t="s">
        <v>121</v>
      </c>
      <c r="F7" s="410"/>
    </row>
    <row r="8" spans="1:6" s="6" customFormat="1" ht="27" customHeight="1" x14ac:dyDescent="0.2">
      <c r="A8" s="407"/>
      <c r="B8" s="91" t="s">
        <v>112</v>
      </c>
      <c r="C8" s="14"/>
      <c r="D8" s="412"/>
      <c r="E8" s="410" t="s">
        <v>122</v>
      </c>
      <c r="F8" s="410"/>
    </row>
    <row r="9" spans="1:6" s="6" customFormat="1" ht="27" customHeight="1" x14ac:dyDescent="0.2">
      <c r="A9" s="407"/>
      <c r="B9" s="91" t="s">
        <v>273</v>
      </c>
      <c r="C9" s="14"/>
      <c r="D9" s="412"/>
      <c r="E9" s="410" t="s">
        <v>123</v>
      </c>
      <c r="F9" s="410"/>
    </row>
    <row r="10" spans="1:6" s="6" customFormat="1" ht="27" customHeight="1" x14ac:dyDescent="0.2">
      <c r="A10" s="407"/>
      <c r="B10" s="91" t="s">
        <v>274</v>
      </c>
      <c r="C10" s="14"/>
      <c r="D10" s="412"/>
      <c r="E10" s="410" t="s">
        <v>124</v>
      </c>
      <c r="F10" s="410"/>
    </row>
    <row r="11" spans="1:6" s="6" customFormat="1" ht="27" customHeight="1" x14ac:dyDescent="0.2">
      <c r="A11" s="407"/>
      <c r="B11" s="91" t="s">
        <v>275</v>
      </c>
      <c r="C11" s="14"/>
      <c r="D11" s="412"/>
      <c r="E11" s="410" t="s">
        <v>125</v>
      </c>
      <c r="F11" s="410"/>
    </row>
    <row r="12" spans="1:6" s="6" customFormat="1" ht="27" customHeight="1" x14ac:dyDescent="0.2">
      <c r="A12" s="407"/>
      <c r="B12" s="91" t="s">
        <v>113</v>
      </c>
      <c r="C12" s="14"/>
      <c r="D12" s="412"/>
      <c r="E12" s="410" t="s">
        <v>272</v>
      </c>
      <c r="F12" s="410"/>
    </row>
    <row r="13" spans="1:6" s="6" customFormat="1" ht="27" customHeight="1" x14ac:dyDescent="0.2">
      <c r="A13" s="407"/>
      <c r="B13" s="91" t="s">
        <v>114</v>
      </c>
      <c r="C13" s="14"/>
      <c r="D13" s="80"/>
      <c r="E13" s="405"/>
      <c r="F13" s="406"/>
    </row>
    <row r="14" spans="1:6" s="6" customFormat="1" ht="27" customHeight="1" x14ac:dyDescent="0.2">
      <c r="A14" s="407"/>
      <c r="B14" s="91" t="s">
        <v>191</v>
      </c>
      <c r="C14" s="14"/>
      <c r="D14" s="411" t="s">
        <v>132</v>
      </c>
      <c r="E14" s="405" t="s">
        <v>207</v>
      </c>
      <c r="F14" s="406"/>
    </row>
    <row r="15" spans="1:6" s="6" customFormat="1" ht="27" customHeight="1" x14ac:dyDescent="0.2">
      <c r="A15" s="407"/>
      <c r="B15" s="91" t="s">
        <v>115</v>
      </c>
      <c r="C15" s="14"/>
      <c r="D15" s="412"/>
      <c r="E15" s="405" t="s">
        <v>208</v>
      </c>
      <c r="F15" s="406"/>
    </row>
    <row r="16" spans="1:6" s="6" customFormat="1" ht="27" customHeight="1" x14ac:dyDescent="0.2">
      <c r="A16" s="407"/>
      <c r="B16" s="91" t="s">
        <v>110</v>
      </c>
      <c r="C16" s="14"/>
      <c r="D16" s="412"/>
      <c r="E16" s="405" t="s">
        <v>209</v>
      </c>
      <c r="F16" s="406"/>
    </row>
    <row r="17" spans="1:6" s="6" customFormat="1" ht="27" customHeight="1" x14ac:dyDescent="0.2">
      <c r="A17" s="407"/>
      <c r="B17" s="91" t="s">
        <v>233</v>
      </c>
      <c r="C17" s="15"/>
      <c r="D17" s="412"/>
      <c r="E17" s="405" t="s">
        <v>210</v>
      </c>
      <c r="F17" s="406"/>
    </row>
    <row r="18" spans="1:6" s="6" customFormat="1" ht="27" customHeight="1" x14ac:dyDescent="0.2">
      <c r="A18" s="407"/>
      <c r="B18" s="13" t="s">
        <v>158</v>
      </c>
      <c r="C18" s="15"/>
      <c r="D18" s="412"/>
      <c r="E18" s="405" t="s">
        <v>211</v>
      </c>
      <c r="F18" s="406"/>
    </row>
    <row r="19" spans="1:6" s="6" customFormat="1" ht="27" customHeight="1" x14ac:dyDescent="0.2">
      <c r="A19" s="407"/>
      <c r="B19" s="13" t="s">
        <v>194</v>
      </c>
      <c r="C19" s="14"/>
      <c r="D19" s="412"/>
      <c r="E19" s="405" t="s">
        <v>212</v>
      </c>
      <c r="F19" s="406"/>
    </row>
    <row r="20" spans="1:6" s="6" customFormat="1" ht="27" customHeight="1" x14ac:dyDescent="0.2">
      <c r="A20" s="413" t="s">
        <v>126</v>
      </c>
      <c r="B20" s="9" t="s">
        <v>127</v>
      </c>
      <c r="C20" s="12"/>
      <c r="D20" s="412"/>
      <c r="E20" s="405" t="s">
        <v>106</v>
      </c>
      <c r="F20" s="406"/>
    </row>
    <row r="21" spans="1:6" s="6" customFormat="1" ht="27" customHeight="1" x14ac:dyDescent="0.2">
      <c r="A21" s="413"/>
      <c r="B21" s="9" t="s">
        <v>234</v>
      </c>
      <c r="C21" s="10"/>
      <c r="D21" s="412"/>
      <c r="E21" s="405" t="s">
        <v>213</v>
      </c>
      <c r="F21" s="406"/>
    </row>
    <row r="22" spans="1:6" s="6" customFormat="1" ht="27" customHeight="1" x14ac:dyDescent="0.2">
      <c r="A22" s="413"/>
      <c r="B22" s="9" t="s">
        <v>235</v>
      </c>
      <c r="C22" s="12"/>
      <c r="D22" s="412"/>
      <c r="E22" s="405" t="s">
        <v>214</v>
      </c>
      <c r="F22" s="406"/>
    </row>
    <row r="23" spans="1:6" s="6" customFormat="1" ht="27" customHeight="1" x14ac:dyDescent="0.2">
      <c r="A23" s="413"/>
      <c r="B23" s="9" t="s">
        <v>128</v>
      </c>
      <c r="C23" s="12"/>
      <c r="D23" s="412"/>
      <c r="E23" s="405" t="s">
        <v>138</v>
      </c>
      <c r="F23" s="406"/>
    </row>
    <row r="24" spans="1:6" s="6" customFormat="1" ht="27" customHeight="1" x14ac:dyDescent="0.2">
      <c r="A24" s="413"/>
      <c r="B24" s="9" t="s">
        <v>129</v>
      </c>
      <c r="C24" s="14"/>
      <c r="D24" s="412"/>
      <c r="E24" s="405" t="s">
        <v>215</v>
      </c>
      <c r="F24" s="406"/>
    </row>
    <row r="25" spans="1:6" s="6" customFormat="1" ht="27" customHeight="1" x14ac:dyDescent="0.2">
      <c r="A25" s="413"/>
      <c r="B25" s="9" t="s">
        <v>130</v>
      </c>
      <c r="C25" s="14"/>
      <c r="D25" s="412"/>
      <c r="E25" s="408" t="s">
        <v>216</v>
      </c>
      <c r="F25" s="409"/>
    </row>
    <row r="26" spans="1:6" s="6" customFormat="1" ht="27" customHeight="1" x14ac:dyDescent="0.2">
      <c r="A26" s="413"/>
      <c r="B26" s="9" t="s">
        <v>131</v>
      </c>
      <c r="C26" s="14"/>
      <c r="D26" s="412"/>
      <c r="E26" s="405" t="s">
        <v>135</v>
      </c>
      <c r="F26" s="406"/>
    </row>
    <row r="27" spans="1:6" s="6" customFormat="1" ht="27" customHeight="1" x14ac:dyDescent="0.2">
      <c r="A27" s="413"/>
      <c r="B27" s="91" t="s">
        <v>7</v>
      </c>
      <c r="C27" s="14"/>
      <c r="D27" s="416"/>
      <c r="E27" s="405" t="s">
        <v>278</v>
      </c>
      <c r="F27" s="406"/>
    </row>
    <row r="28" spans="1:6" s="6" customFormat="1" ht="27" customHeight="1" x14ac:dyDescent="0.2">
      <c r="A28" s="413"/>
      <c r="B28" s="9" t="s">
        <v>236</v>
      </c>
      <c r="C28" s="14"/>
      <c r="D28" s="415" t="s">
        <v>132</v>
      </c>
      <c r="E28" s="405" t="s">
        <v>217</v>
      </c>
      <c r="F28" s="406"/>
    </row>
    <row r="29" spans="1:6" s="6" customFormat="1" ht="27" customHeight="1" x14ac:dyDescent="0.2">
      <c r="A29" s="413"/>
      <c r="B29" s="9" t="s">
        <v>159</v>
      </c>
      <c r="C29" s="14"/>
      <c r="D29" s="415"/>
      <c r="E29" s="405" t="s">
        <v>218</v>
      </c>
      <c r="F29" s="406"/>
    </row>
    <row r="30" spans="1:6" s="6" customFormat="1" ht="27" customHeight="1" x14ac:dyDescent="0.2">
      <c r="A30" s="83"/>
      <c r="B30" s="9" t="s">
        <v>195</v>
      </c>
      <c r="C30" s="12"/>
      <c r="D30" s="415"/>
      <c r="E30" s="405" t="s">
        <v>136</v>
      </c>
      <c r="F30" s="406"/>
    </row>
    <row r="31" spans="1:6" s="6" customFormat="1" ht="27" customHeight="1" x14ac:dyDescent="0.2">
      <c r="A31" s="413" t="s">
        <v>205</v>
      </c>
      <c r="B31" s="92" t="s">
        <v>165</v>
      </c>
      <c r="C31" s="12"/>
      <c r="D31" s="415"/>
      <c r="E31" s="405" t="s">
        <v>219</v>
      </c>
      <c r="F31" s="406"/>
    </row>
    <row r="32" spans="1:6" s="6" customFormat="1" ht="27" customHeight="1" x14ac:dyDescent="0.2">
      <c r="A32" s="413"/>
      <c r="B32" s="16" t="s">
        <v>164</v>
      </c>
      <c r="C32" s="12"/>
      <c r="D32" s="415"/>
      <c r="E32" s="405" t="s">
        <v>220</v>
      </c>
      <c r="F32" s="406"/>
    </row>
    <row r="33" spans="1:6" s="6" customFormat="1" ht="27" customHeight="1" x14ac:dyDescent="0.2">
      <c r="A33" s="413"/>
      <c r="B33" s="16" t="s">
        <v>163</v>
      </c>
      <c r="C33" s="17"/>
      <c r="D33" s="415"/>
      <c r="E33" s="405" t="s">
        <v>133</v>
      </c>
      <c r="F33" s="406"/>
    </row>
    <row r="34" spans="1:6" s="6" customFormat="1" ht="27" customHeight="1" x14ac:dyDescent="0.2">
      <c r="A34" s="413"/>
      <c r="B34" s="16" t="s">
        <v>162</v>
      </c>
      <c r="C34" s="17"/>
      <c r="D34" s="415"/>
      <c r="E34" s="405" t="s">
        <v>221</v>
      </c>
      <c r="F34" s="406"/>
    </row>
    <row r="35" spans="1:6" s="6" customFormat="1" ht="27" customHeight="1" x14ac:dyDescent="0.2">
      <c r="A35" s="413"/>
      <c r="B35" s="16" t="s">
        <v>160</v>
      </c>
      <c r="C35" s="17"/>
      <c r="D35" s="415"/>
      <c r="E35" s="405" t="s">
        <v>222</v>
      </c>
      <c r="F35" s="406"/>
    </row>
    <row r="36" spans="1:6" s="6" customFormat="1" ht="27" customHeight="1" x14ac:dyDescent="0.2">
      <c r="A36" s="413"/>
      <c r="B36" s="16" t="s">
        <v>161</v>
      </c>
      <c r="C36" s="17"/>
      <c r="D36" s="415"/>
      <c r="E36" s="405" t="s">
        <v>223</v>
      </c>
      <c r="F36" s="406"/>
    </row>
    <row r="37" spans="1:6" s="6" customFormat="1" ht="27" customHeight="1" x14ac:dyDescent="0.2">
      <c r="A37" s="413"/>
      <c r="B37" s="16" t="s">
        <v>139</v>
      </c>
      <c r="C37" s="17"/>
      <c r="D37" s="415"/>
      <c r="E37" s="405" t="s">
        <v>224</v>
      </c>
      <c r="F37" s="406"/>
    </row>
    <row r="38" spans="1:6" s="6" customFormat="1" ht="27" customHeight="1" x14ac:dyDescent="0.2">
      <c r="A38" s="413"/>
      <c r="B38" s="16" t="s">
        <v>140</v>
      </c>
      <c r="C38" s="17"/>
      <c r="D38" s="415"/>
      <c r="E38" s="405" t="s">
        <v>8</v>
      </c>
      <c r="F38" s="406"/>
    </row>
    <row r="39" spans="1:6" s="6" customFormat="1" ht="27" customHeight="1" x14ac:dyDescent="0.2">
      <c r="A39" s="413"/>
      <c r="B39" s="16" t="s">
        <v>141</v>
      </c>
      <c r="C39" s="17"/>
      <c r="D39" s="415"/>
      <c r="E39" s="405" t="s">
        <v>225</v>
      </c>
      <c r="F39" s="406"/>
    </row>
    <row r="40" spans="1:6" s="6" customFormat="1" ht="27" customHeight="1" x14ac:dyDescent="0.2">
      <c r="A40" s="413"/>
      <c r="B40" s="16" t="s">
        <v>142</v>
      </c>
      <c r="C40" s="17"/>
      <c r="D40" s="415"/>
      <c r="E40" s="405" t="s">
        <v>226</v>
      </c>
      <c r="F40" s="406"/>
    </row>
    <row r="41" spans="1:6" s="6" customFormat="1" ht="27" customHeight="1" x14ac:dyDescent="0.2">
      <c r="A41" s="413"/>
      <c r="B41" s="16" t="s">
        <v>105</v>
      </c>
      <c r="C41" s="17"/>
      <c r="D41" s="415"/>
      <c r="E41" s="405" t="s">
        <v>227</v>
      </c>
      <c r="F41" s="406"/>
    </row>
    <row r="42" spans="1:6" s="6" customFormat="1" ht="27" customHeight="1" x14ac:dyDescent="0.2">
      <c r="A42" s="413"/>
      <c r="B42" s="16" t="s">
        <v>157</v>
      </c>
      <c r="C42" s="17"/>
      <c r="D42" s="415"/>
      <c r="E42" s="405" t="s">
        <v>228</v>
      </c>
      <c r="F42" s="406"/>
    </row>
    <row r="43" spans="1:6" s="6" customFormat="1" ht="27" customHeight="1" x14ac:dyDescent="0.2">
      <c r="A43" s="413"/>
      <c r="B43" s="92" t="s">
        <v>276</v>
      </c>
      <c r="C43" s="17"/>
      <c r="D43" s="415"/>
      <c r="E43" s="405" t="s">
        <v>137</v>
      </c>
      <c r="F43" s="406"/>
    </row>
    <row r="44" spans="1:6" s="6" customFormat="1" ht="27" customHeight="1" x14ac:dyDescent="0.2">
      <c r="A44" s="413"/>
      <c r="B44" s="16" t="s">
        <v>199</v>
      </c>
      <c r="C44" s="17"/>
      <c r="D44" s="415"/>
      <c r="E44" s="417" t="s">
        <v>134</v>
      </c>
      <c r="F44" s="418"/>
    </row>
    <row r="45" spans="1:6" s="6" customFormat="1" ht="27" customHeight="1" x14ac:dyDescent="0.2">
      <c r="A45" s="413"/>
      <c r="B45" s="16" t="s">
        <v>143</v>
      </c>
      <c r="C45" s="17"/>
      <c r="D45" s="415"/>
      <c r="E45" s="417" t="s">
        <v>229</v>
      </c>
      <c r="F45" s="418"/>
    </row>
    <row r="46" spans="1:6" s="6" customFormat="1" ht="27" customHeight="1" x14ac:dyDescent="0.2">
      <c r="A46" s="413"/>
      <c r="B46" s="16" t="s">
        <v>144</v>
      </c>
      <c r="C46" s="17"/>
      <c r="D46" s="415"/>
      <c r="E46" s="417" t="s">
        <v>277</v>
      </c>
      <c r="F46" s="418"/>
    </row>
    <row r="47" spans="1:6" s="6" customFormat="1" ht="27" customHeight="1" x14ac:dyDescent="0.2">
      <c r="A47" s="413"/>
      <c r="B47" s="16" t="s">
        <v>145</v>
      </c>
      <c r="C47" s="17"/>
      <c r="D47" s="415"/>
      <c r="E47" s="405" t="s">
        <v>206</v>
      </c>
      <c r="F47" s="406"/>
    </row>
    <row r="48" spans="1:6" s="6" customFormat="1" ht="27" customHeight="1" x14ac:dyDescent="0.2">
      <c r="A48" s="413"/>
      <c r="B48" s="16" t="s">
        <v>146</v>
      </c>
      <c r="C48" s="17"/>
      <c r="D48" s="415"/>
      <c r="E48" s="414" t="s">
        <v>230</v>
      </c>
      <c r="F48" s="414"/>
    </row>
    <row r="49" spans="1:6" s="6" customFormat="1" ht="27" customHeight="1" x14ac:dyDescent="0.2">
      <c r="A49" s="413"/>
      <c r="B49" s="16" t="s">
        <v>147</v>
      </c>
      <c r="C49" s="17"/>
      <c r="D49" s="12"/>
      <c r="E49" s="12"/>
      <c r="F49" s="12"/>
    </row>
    <row r="50" spans="1:6" s="6" customFormat="1" ht="27" customHeight="1" x14ac:dyDescent="0.2">
      <c r="A50" s="413"/>
      <c r="B50" s="16" t="s">
        <v>148</v>
      </c>
      <c r="C50" s="17"/>
      <c r="D50" s="12"/>
      <c r="E50" s="12"/>
      <c r="F50" s="12"/>
    </row>
    <row r="51" spans="1:6" s="6" customFormat="1" ht="27" customHeight="1" x14ac:dyDescent="0.2">
      <c r="A51" s="413"/>
      <c r="B51" s="16" t="s">
        <v>149</v>
      </c>
      <c r="C51" s="17"/>
      <c r="D51" s="12"/>
      <c r="E51" s="12"/>
      <c r="F51" s="12"/>
    </row>
    <row r="52" spans="1:6" s="6" customFormat="1" ht="27" customHeight="1" x14ac:dyDescent="0.2">
      <c r="A52" s="413"/>
      <c r="B52" s="16" t="s">
        <v>150</v>
      </c>
      <c r="C52" s="17"/>
      <c r="D52" s="12"/>
      <c r="E52" s="12"/>
      <c r="F52" s="12"/>
    </row>
    <row r="53" spans="1:6" s="6" customFormat="1" ht="27" customHeight="1" x14ac:dyDescent="0.2">
      <c r="A53" s="413"/>
      <c r="B53" s="16" t="s">
        <v>151</v>
      </c>
      <c r="C53" s="17"/>
      <c r="D53" s="12"/>
      <c r="E53" s="12"/>
      <c r="F53" s="12"/>
    </row>
    <row r="54" spans="1:6" s="6" customFormat="1" ht="27" customHeight="1" x14ac:dyDescent="0.2">
      <c r="A54" s="413"/>
      <c r="B54" s="16" t="s">
        <v>152</v>
      </c>
      <c r="C54" s="17"/>
      <c r="D54" s="12"/>
      <c r="E54" s="12"/>
      <c r="F54" s="12"/>
    </row>
    <row r="55" spans="1:6" s="6" customFormat="1" ht="27" customHeight="1" x14ac:dyDescent="0.2">
      <c r="A55" s="413"/>
      <c r="B55" s="16" t="s">
        <v>153</v>
      </c>
      <c r="C55" s="15"/>
      <c r="D55" s="12"/>
      <c r="E55" s="12"/>
      <c r="F55" s="12"/>
    </row>
    <row r="56" spans="1:6" s="6" customFormat="1" ht="27" customHeight="1" x14ac:dyDescent="0.2">
      <c r="A56" s="413"/>
      <c r="B56" s="16" t="s">
        <v>167</v>
      </c>
      <c r="C56" s="15"/>
      <c r="D56" s="12"/>
      <c r="E56" s="12"/>
      <c r="F56" s="12"/>
    </row>
    <row r="57" spans="1:6" s="6" customFormat="1" ht="27" customHeight="1" x14ac:dyDescent="0.2">
      <c r="A57" s="413"/>
      <c r="B57" s="16" t="s">
        <v>166</v>
      </c>
      <c r="C57" s="15"/>
      <c r="D57" s="12"/>
      <c r="E57" s="12"/>
      <c r="F57" s="12"/>
    </row>
    <row r="58" spans="1:6" s="6" customFormat="1" ht="27" customHeight="1" x14ac:dyDescent="0.2">
      <c r="A58" s="413"/>
      <c r="B58" s="16" t="s">
        <v>154</v>
      </c>
      <c r="C58" s="17"/>
      <c r="D58" s="12"/>
      <c r="E58" s="12"/>
      <c r="F58" s="12"/>
    </row>
    <row r="59" spans="1:6" s="6" customFormat="1" ht="27" customHeight="1" x14ac:dyDescent="0.2">
      <c r="A59" s="413"/>
      <c r="B59" s="16" t="s">
        <v>155</v>
      </c>
      <c r="C59" s="17"/>
      <c r="D59" s="12"/>
      <c r="E59" s="12"/>
      <c r="F59" s="12"/>
    </row>
    <row r="60" spans="1:6" s="6" customFormat="1" ht="27" customHeight="1" x14ac:dyDescent="0.2">
      <c r="A60" s="413"/>
      <c r="B60" s="16" t="s">
        <v>156</v>
      </c>
      <c r="C60" s="17"/>
      <c r="D60" s="12"/>
      <c r="E60" s="12"/>
      <c r="F60" s="12"/>
    </row>
    <row r="61" spans="1:6" s="6" customFormat="1" ht="27" customHeight="1" x14ac:dyDescent="0.2">
      <c r="A61" s="413"/>
      <c r="B61" s="16" t="s">
        <v>195</v>
      </c>
      <c r="C61" s="17"/>
      <c r="D61" s="12"/>
      <c r="E61" s="12"/>
      <c r="F61" s="12"/>
    </row>
    <row r="62" spans="1:6" s="8" customFormat="1" ht="25.5" customHeight="1" x14ac:dyDescent="0.2">
      <c r="A62" s="18"/>
      <c r="B62" s="18"/>
      <c r="C62" s="17"/>
      <c r="D62" s="12"/>
      <c r="E62" s="12"/>
      <c r="F62" s="12"/>
    </row>
    <row r="67" spans="1:6" x14ac:dyDescent="0.2">
      <c r="A67" s="18"/>
      <c r="B67" s="11"/>
      <c r="C67" s="18"/>
      <c r="D67" s="11"/>
      <c r="E67" s="11"/>
      <c r="F67" s="11"/>
    </row>
    <row r="68" spans="1:6" x14ac:dyDescent="0.2">
      <c r="C68" s="18"/>
      <c r="D68" s="11"/>
      <c r="E68" s="11"/>
      <c r="F68" s="11"/>
    </row>
  </sheetData>
  <mergeCells count="53">
    <mergeCell ref="E44:F44"/>
    <mergeCell ref="E45:F45"/>
    <mergeCell ref="E46:F46"/>
    <mergeCell ref="E28:F28"/>
    <mergeCell ref="E29:F29"/>
    <mergeCell ref="E30:F30"/>
    <mergeCell ref="E38:F38"/>
    <mergeCell ref="E39:F39"/>
    <mergeCell ref="E40:F40"/>
    <mergeCell ref="E41:F41"/>
    <mergeCell ref="E42:F42"/>
    <mergeCell ref="E27:F27"/>
    <mergeCell ref="E8:F8"/>
    <mergeCell ref="A31:A61"/>
    <mergeCell ref="E31:F31"/>
    <mergeCell ref="E32:F32"/>
    <mergeCell ref="E33:F33"/>
    <mergeCell ref="E34:F34"/>
    <mergeCell ref="E35:F35"/>
    <mergeCell ref="E36:F36"/>
    <mergeCell ref="E47:F47"/>
    <mergeCell ref="E48:F48"/>
    <mergeCell ref="E37:F37"/>
    <mergeCell ref="A20:A29"/>
    <mergeCell ref="D28:D48"/>
    <mergeCell ref="D14:D27"/>
    <mergeCell ref="E43:F43"/>
    <mergeCell ref="A3:A19"/>
    <mergeCell ref="E25:F25"/>
    <mergeCell ref="E13:F13"/>
    <mergeCell ref="E15:F15"/>
    <mergeCell ref="E16:F16"/>
    <mergeCell ref="E17:F17"/>
    <mergeCell ref="E18:F18"/>
    <mergeCell ref="E19:F19"/>
    <mergeCell ref="E14:F14"/>
    <mergeCell ref="E20:F20"/>
    <mergeCell ref="E9:F9"/>
    <mergeCell ref="E10:F10"/>
    <mergeCell ref="E11:F11"/>
    <mergeCell ref="E12:F12"/>
    <mergeCell ref="E7:F7"/>
    <mergeCell ref="D3:D12"/>
    <mergeCell ref="E26:F26"/>
    <mergeCell ref="E21:F21"/>
    <mergeCell ref="E22:F22"/>
    <mergeCell ref="E23:F23"/>
    <mergeCell ref="E24:F24"/>
    <mergeCell ref="B1:F1"/>
    <mergeCell ref="E3:F3"/>
    <mergeCell ref="E4:F4"/>
    <mergeCell ref="E5:F5"/>
    <mergeCell ref="E6:F6"/>
  </mergeCells>
  <pageMargins left="0.23622047244094491" right="0.23622047244094491" top="0.39370078740157483" bottom="0.39370078740157483" header="0.31496062992125984" footer="0.31496062992125984"/>
  <pageSetup scale="80" orientation="landscape"/>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28"/>
  <sheetViews>
    <sheetView workbookViewId="0">
      <selection activeCell="A2" sqref="A2"/>
    </sheetView>
  </sheetViews>
  <sheetFormatPr baseColWidth="10" defaultRowHeight="14.25" x14ac:dyDescent="0.2"/>
  <cols>
    <col min="1" max="1" width="14" customWidth="1"/>
    <col min="2" max="2" width="39.375" customWidth="1"/>
  </cols>
  <sheetData>
    <row r="1" spans="1:2" ht="15" x14ac:dyDescent="0.25">
      <c r="A1" s="84" t="s">
        <v>201</v>
      </c>
      <c r="B1" s="85" t="s">
        <v>202</v>
      </c>
    </row>
    <row r="2" spans="1:2" ht="24.75" customHeight="1" x14ac:dyDescent="0.2">
      <c r="A2" s="86" t="s">
        <v>264</v>
      </c>
      <c r="B2" s="90" t="s">
        <v>265</v>
      </c>
    </row>
    <row r="3" spans="1:2" x14ac:dyDescent="0.2">
      <c r="A3" s="7" t="s">
        <v>264</v>
      </c>
      <c r="B3" s="90" t="s">
        <v>260</v>
      </c>
    </row>
    <row r="4" spans="1:2" ht="22.5" customHeight="1" x14ac:dyDescent="0.2">
      <c r="A4" s="87" t="s">
        <v>266</v>
      </c>
      <c r="B4" s="89" t="s">
        <v>266</v>
      </c>
    </row>
    <row r="5" spans="1:2" ht="22.5" customHeight="1" x14ac:dyDescent="0.2">
      <c r="A5" s="88" t="s">
        <v>174</v>
      </c>
      <c r="B5" s="89" t="s">
        <v>267</v>
      </c>
    </row>
    <row r="6" spans="1:2" x14ac:dyDescent="0.2">
      <c r="A6" s="88" t="s">
        <v>174</v>
      </c>
      <c r="B6" s="87" t="s">
        <v>247</v>
      </c>
    </row>
    <row r="7" spans="1:2" ht="21.75" customHeight="1" x14ac:dyDescent="0.2">
      <c r="A7" s="88" t="s">
        <v>174</v>
      </c>
      <c r="B7" s="87" t="s">
        <v>248</v>
      </c>
    </row>
    <row r="8" spans="1:2" x14ac:dyDescent="0.2">
      <c r="A8" s="88" t="s">
        <v>174</v>
      </c>
      <c r="B8" s="87" t="s">
        <v>249</v>
      </c>
    </row>
    <row r="9" spans="1:2" x14ac:dyDescent="0.2">
      <c r="A9" s="88" t="s">
        <v>174</v>
      </c>
      <c r="B9" s="87" t="s">
        <v>250</v>
      </c>
    </row>
    <row r="10" spans="1:2" x14ac:dyDescent="0.2">
      <c r="A10" s="88" t="s">
        <v>174</v>
      </c>
      <c r="B10" s="87" t="s">
        <v>168</v>
      </c>
    </row>
    <row r="11" spans="1:2" x14ac:dyDescent="0.2">
      <c r="A11" s="88" t="s">
        <v>174</v>
      </c>
      <c r="B11" s="87" t="s">
        <v>251</v>
      </c>
    </row>
    <row r="12" spans="1:2" x14ac:dyDescent="0.2">
      <c r="A12" s="88" t="s">
        <v>174</v>
      </c>
      <c r="B12" s="87" t="s">
        <v>268</v>
      </c>
    </row>
    <row r="13" spans="1:2" x14ac:dyDescent="0.2">
      <c r="A13" s="88" t="s">
        <v>174</v>
      </c>
      <c r="B13" s="87" t="s">
        <v>172</v>
      </c>
    </row>
    <row r="14" spans="1:2" x14ac:dyDescent="0.2">
      <c r="A14" s="88" t="s">
        <v>174</v>
      </c>
      <c r="B14" s="87" t="s">
        <v>259</v>
      </c>
    </row>
    <row r="15" spans="1:2" x14ac:dyDescent="0.2">
      <c r="A15" s="88" t="s">
        <v>174</v>
      </c>
      <c r="B15" s="87" t="s">
        <v>169</v>
      </c>
    </row>
    <row r="16" spans="1:2" x14ac:dyDescent="0.2">
      <c r="A16" s="88" t="s">
        <v>174</v>
      </c>
      <c r="B16" s="87" t="s">
        <v>171</v>
      </c>
    </row>
    <row r="17" spans="1:2" x14ac:dyDescent="0.2">
      <c r="A17" s="88" t="s">
        <v>252</v>
      </c>
      <c r="B17" s="87" t="s">
        <v>269</v>
      </c>
    </row>
    <row r="18" spans="1:2" x14ac:dyDescent="0.2">
      <c r="A18" s="88" t="s">
        <v>253</v>
      </c>
      <c r="B18" s="87" t="s">
        <v>197</v>
      </c>
    </row>
    <row r="19" spans="1:2" x14ac:dyDescent="0.2">
      <c r="A19" s="88" t="s">
        <v>253</v>
      </c>
      <c r="B19" s="87" t="s">
        <v>256</v>
      </c>
    </row>
    <row r="20" spans="1:2" x14ac:dyDescent="0.2">
      <c r="A20" s="88" t="s">
        <v>253</v>
      </c>
      <c r="B20" s="87" t="s">
        <v>257</v>
      </c>
    </row>
    <row r="21" spans="1:2" x14ac:dyDescent="0.2">
      <c r="A21" s="88" t="s">
        <v>253</v>
      </c>
      <c r="B21" s="87" t="s">
        <v>258</v>
      </c>
    </row>
    <row r="22" spans="1:2" x14ac:dyDescent="0.2">
      <c r="A22" s="88" t="s">
        <v>253</v>
      </c>
      <c r="B22" s="87" t="s">
        <v>261</v>
      </c>
    </row>
    <row r="23" spans="1:2" x14ac:dyDescent="0.2">
      <c r="A23" s="88" t="s">
        <v>253</v>
      </c>
      <c r="B23" s="87" t="s">
        <v>170</v>
      </c>
    </row>
    <row r="24" spans="1:2" x14ac:dyDescent="0.2">
      <c r="A24" s="88" t="s">
        <v>253</v>
      </c>
      <c r="B24" s="87" t="s">
        <v>262</v>
      </c>
    </row>
    <row r="25" spans="1:2" x14ac:dyDescent="0.2">
      <c r="A25" s="88" t="s">
        <v>253</v>
      </c>
      <c r="B25" s="87" t="s">
        <v>270</v>
      </c>
    </row>
    <row r="26" spans="1:2" x14ac:dyDescent="0.2">
      <c r="A26" s="88" t="s">
        <v>173</v>
      </c>
      <c r="B26" s="87" t="s">
        <v>269</v>
      </c>
    </row>
    <row r="27" spans="1:2" x14ac:dyDescent="0.2">
      <c r="A27" s="88" t="s">
        <v>254</v>
      </c>
      <c r="B27" s="87" t="s">
        <v>255</v>
      </c>
    </row>
    <row r="28" spans="1:2" x14ac:dyDescent="0.2">
      <c r="A28" s="88" t="s">
        <v>200</v>
      </c>
      <c r="B28" s="87" t="s">
        <v>271</v>
      </c>
    </row>
  </sheetData>
  <hyperlinks>
    <hyperlink ref="B2" r:id="rId1" location="Demolición!A1" xr:uid="{00000000-0004-0000-0800-000000000000}"/>
    <hyperlink ref="B3" location="'Demolición.Tala y transporte'!A1" display="Tala y transporte" xr:uid="{00000000-0004-0000-0800-000001000000}"/>
  </hyperlinks>
  <pageMargins left="0.7" right="0.7" top="0.75" bottom="0.75" header="0.3" footer="0.3"/>
  <pageSetup paperSize="9" orientation="portrait"/>
  <extLst>
    <ext xmlns:mx="http://schemas.microsoft.com/office/mac/excel/2008/main" uri="{64002731-A6B0-56B0-2670-7721B7C09600}">
      <mx:PLV Mode="0" OnePage="0" WScale="0"/>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B13"/>
  <sheetViews>
    <sheetView workbookViewId="0">
      <selection activeCell="A11" sqref="A11"/>
    </sheetView>
  </sheetViews>
  <sheetFormatPr baseColWidth="10" defaultRowHeight="14.25" x14ac:dyDescent="0.2"/>
  <cols>
    <col min="1" max="1" width="26.875" customWidth="1"/>
    <col min="2" max="2" width="4.25" customWidth="1"/>
  </cols>
  <sheetData>
    <row r="2" spans="1:2" ht="14.25" customHeight="1" x14ac:dyDescent="0.2">
      <c r="A2" s="93" t="s">
        <v>397</v>
      </c>
      <c r="B2" s="7" t="e">
        <f>COUNTIF(Matriz!#REF!,A2)</f>
        <v>#REF!</v>
      </c>
    </row>
    <row r="3" spans="1:2" ht="14.25" customHeight="1" x14ac:dyDescent="0.2">
      <c r="A3" s="93" t="s">
        <v>407</v>
      </c>
      <c r="B3" s="7" t="e">
        <f>COUNTIF(Matriz!#REF!,A3)</f>
        <v>#REF!</v>
      </c>
    </row>
    <row r="4" spans="1:2" ht="14.25" customHeight="1" x14ac:dyDescent="0.2">
      <c r="A4" s="93" t="s">
        <v>408</v>
      </c>
      <c r="B4" s="7" t="e">
        <f>COUNTIF(Matriz!#REF!,A4)</f>
        <v>#REF!</v>
      </c>
    </row>
    <row r="5" spans="1:2" ht="14.25" customHeight="1" x14ac:dyDescent="0.2">
      <c r="A5" s="93" t="s">
        <v>433</v>
      </c>
      <c r="B5" s="7" t="e">
        <f>COUNTIF(Matriz!#REF!,A5)</f>
        <v>#REF!</v>
      </c>
    </row>
    <row r="6" spans="1:2" ht="14.25" customHeight="1" x14ac:dyDescent="0.2">
      <c r="A6" s="93" t="s">
        <v>434</v>
      </c>
      <c r="B6" s="7" t="e">
        <f>COUNTIF(Matriz!#REF!,A6)</f>
        <v>#REF!</v>
      </c>
    </row>
    <row r="7" spans="1:2" ht="14.25" customHeight="1" x14ac:dyDescent="0.2">
      <c r="A7" s="93" t="s">
        <v>409</v>
      </c>
      <c r="B7" s="7" t="e">
        <f>COUNTIF(Matriz!#REF!,A7)</f>
        <v>#REF!</v>
      </c>
    </row>
    <row r="8" spans="1:2" ht="14.25" customHeight="1" x14ac:dyDescent="0.2">
      <c r="A8" s="93" t="s">
        <v>410</v>
      </c>
      <c r="B8" s="7" t="e">
        <f>COUNTIF(Matriz!#REF!,A8)</f>
        <v>#REF!</v>
      </c>
    </row>
    <row r="9" spans="1:2" ht="14.25" customHeight="1" x14ac:dyDescent="0.2">
      <c r="A9" s="93" t="s">
        <v>411</v>
      </c>
      <c r="B9" s="7" t="e">
        <f>COUNTIF(Matriz!#REF!,A9)</f>
        <v>#REF!</v>
      </c>
    </row>
    <row r="10" spans="1:2" ht="14.25" customHeight="1" x14ac:dyDescent="0.2">
      <c r="A10" s="93" t="s">
        <v>412</v>
      </c>
      <c r="B10" s="7" t="e">
        <f>COUNTIF(Matriz!#REF!,A10)</f>
        <v>#REF!</v>
      </c>
    </row>
    <row r="11" spans="1:2" ht="14.25" customHeight="1" x14ac:dyDescent="0.2">
      <c r="A11" s="93" t="s">
        <v>413</v>
      </c>
      <c r="B11" s="7" t="e">
        <f>COUNTIF(Matriz!#REF!,A11)</f>
        <v>#REF!</v>
      </c>
    </row>
    <row r="12" spans="1:2" ht="14.25" customHeight="1" x14ac:dyDescent="0.2">
      <c r="A12" s="93" t="s">
        <v>414</v>
      </c>
      <c r="B12" s="7" t="e">
        <f>COUNTIF(Matriz!#REF!,A12)</f>
        <v>#REF!</v>
      </c>
    </row>
    <row r="13" spans="1:2" ht="20.25" customHeight="1" x14ac:dyDescent="0.2">
      <c r="A13" s="93" t="s">
        <v>449</v>
      </c>
      <c r="B13" s="7" t="e">
        <f>COUNTIF(Matriz!#REF!,A13)</f>
        <v>#REF!</v>
      </c>
    </row>
  </sheetData>
  <pageMargins left="0.7" right="0.7" top="0.75" bottom="0.75" header="0.3" footer="0.3"/>
  <pageSetup orientation="portrait" horizontalDpi="0" verticalDpi="0"/>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10</vt:i4>
      </vt:variant>
      <vt:variant>
        <vt:lpstr>Rangos con nombre</vt:lpstr>
      </vt:variant>
      <vt:variant>
        <vt:i4>11</vt:i4>
      </vt:variant>
    </vt:vector>
  </HeadingPairs>
  <TitlesOfParts>
    <vt:vector size="21" baseType="lpstr">
      <vt:lpstr>Control de Cambios</vt:lpstr>
      <vt:lpstr>Criterios </vt:lpstr>
      <vt:lpstr>Factores de riesgo</vt:lpstr>
      <vt:lpstr>Hoja2</vt:lpstr>
      <vt:lpstr>MATRIZ (EJEMPLO)</vt:lpstr>
      <vt:lpstr>Matriz</vt:lpstr>
      <vt:lpstr>Clasificación Psicosocial</vt:lpstr>
      <vt:lpstr>Medidas de intervención</vt:lpstr>
      <vt:lpstr>INDICE</vt:lpstr>
      <vt:lpstr>Hoja1</vt:lpstr>
      <vt:lpstr>Clasificación</vt:lpstr>
      <vt:lpstr>'Medidas de intervención'!Controles</vt:lpstr>
      <vt:lpstr>'Medidas de intervención'!Daños</vt:lpstr>
      <vt:lpstr>'Medidas de intervención'!Eliminación</vt:lpstr>
      <vt:lpstr>'Medidas de intervención'!epp</vt:lpstr>
      <vt:lpstr>Factores</vt:lpstr>
      <vt:lpstr>'Factores de riesgo'!Procesos</vt:lpstr>
      <vt:lpstr>'Medidas de intervención'!Señalización</vt:lpstr>
      <vt:lpstr>'Medidas de intervención'!Sustitución</vt:lpstr>
      <vt:lpstr>'Criterios '!Títulos_a_imprimir</vt:lpstr>
      <vt:lpstr>'Medidas de intervención'!Títulos_a_imprimir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yuliana osorio</dc:creator>
  <cp:lastModifiedBy>SST Caritrans</cp:lastModifiedBy>
  <cp:lastPrinted>2018-09-18T16:20:32Z</cp:lastPrinted>
  <dcterms:created xsi:type="dcterms:W3CDTF">2011-04-01T01:25:58Z</dcterms:created>
  <dcterms:modified xsi:type="dcterms:W3CDTF">2026-06-18T14:13:37Z</dcterms:modified>
</cp:coreProperties>
</file>