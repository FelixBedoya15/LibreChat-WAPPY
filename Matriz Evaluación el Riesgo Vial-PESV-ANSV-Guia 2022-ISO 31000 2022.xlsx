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127" documentId="8_{7C8227A0-84B4-4503-823C-E7FDFDCDCDDE}" xr6:coauthVersionLast="47" xr6:coauthVersionMax="47" xr10:uidLastSave="{254AD6BD-AB9D-44B0-A200-8E81EF80F7B7}"/>
  <bookViews>
    <workbookView xWindow="-120" yWindow="-120" windowWidth="20730" windowHeight="11160" activeTab="2" xr2:uid="{00000000-000D-0000-FFFF-FFFF00000000}"/>
  </bookViews>
  <sheets>
    <sheet name="1-INICIO" sheetId="7" r:id="rId1"/>
    <sheet name="2-CARGOS" sheetId="8" r:id="rId2"/>
    <sheet name="3-MATRIZ" sheetId="9" r:id="rId3"/>
    <sheet name="3-1 CONTROL DE CAMBIOS" sheetId="13" r:id="rId4"/>
    <sheet name="4-PONDERACION" sheetId="2" r:id="rId5"/>
    <sheet name="6-LISTADOS" sheetId="5" r:id="rId6"/>
    <sheet name="5-CALIFICACION" sheetId="3" r:id="rId7"/>
    <sheet name="7-INSTRUCTIVO" sheetId="11" r:id="rId8"/>
    <sheet name="8-MARCO" sheetId="12" r:id="rId9"/>
  </sheets>
  <externalReferences>
    <externalReference r:id="rId10"/>
  </externalReferences>
  <definedNames>
    <definedName name="_xlnm._FilterDatabase" localSheetId="2" hidden="1">'3-MATRIZ'!$A$10:$WRT$608</definedName>
    <definedName name="consecuencia">[1]FORM!$B$2:$B$6</definedName>
    <definedName name="probabilidad">[1]FORM!$A$2:$A$6</definedName>
  </definedNames>
  <calcPr calcId="181029"/>
</workbook>
</file>

<file path=xl/calcChain.xml><?xml version="1.0" encoding="utf-8"?>
<calcChain xmlns="http://schemas.openxmlformats.org/spreadsheetml/2006/main">
  <c r="L33" i="9" l="1"/>
  <c r="J33" i="9"/>
  <c r="H33" i="9"/>
  <c r="L16" i="9"/>
  <c r="J16" i="9"/>
  <c r="H16" i="9"/>
  <c r="M16" i="9" s="1"/>
  <c r="M33" i="9" l="1"/>
  <c r="O16" i="9"/>
  <c r="N16" i="9"/>
  <c r="AM5" i="9"/>
  <c r="AF5" i="9"/>
  <c r="L78" i="9"/>
  <c r="J78" i="9"/>
  <c r="H78" i="9"/>
  <c r="L77" i="9"/>
  <c r="J77" i="9"/>
  <c r="L73" i="9"/>
  <c r="J73" i="9"/>
  <c r="H73" i="9"/>
  <c r="J72" i="9"/>
  <c r="H72" i="9"/>
  <c r="L71" i="9"/>
  <c r="J71" i="9"/>
  <c r="H71" i="9"/>
  <c r="L70" i="9"/>
  <c r="H70" i="9"/>
  <c r="M68" i="9"/>
  <c r="O68" i="9" s="1"/>
  <c r="L65" i="9"/>
  <c r="J65" i="9"/>
  <c r="H65" i="9"/>
  <c r="L63" i="9"/>
  <c r="J63" i="9"/>
  <c r="H63" i="9"/>
  <c r="L61" i="9"/>
  <c r="J61" i="9"/>
  <c r="H61" i="9"/>
  <c r="L60" i="9"/>
  <c r="J60" i="9"/>
  <c r="H60" i="9"/>
  <c r="L59" i="9"/>
  <c r="J59" i="9"/>
  <c r="L55" i="9"/>
  <c r="J55" i="9"/>
  <c r="H55" i="9"/>
  <c r="J54" i="9"/>
  <c r="H54" i="9"/>
  <c r="M50" i="9"/>
  <c r="N50" i="9" s="1"/>
  <c r="L52" i="9"/>
  <c r="H52" i="9"/>
  <c r="L47" i="9"/>
  <c r="J47" i="9"/>
  <c r="H47" i="9"/>
  <c r="L45" i="9"/>
  <c r="J45" i="9"/>
  <c r="H45" i="9"/>
  <c r="L53" i="9"/>
  <c r="J53" i="9"/>
  <c r="H53" i="9"/>
  <c r="L43" i="9"/>
  <c r="J43" i="9"/>
  <c r="H43" i="9"/>
  <c r="N33" i="9" l="1"/>
  <c r="O33" i="9"/>
  <c r="M70" i="9"/>
  <c r="O70" i="9" s="1"/>
  <c r="M77" i="9"/>
  <c r="N77" i="9" s="1"/>
  <c r="M78" i="9"/>
  <c r="O78" i="9" s="1"/>
  <c r="M71" i="9"/>
  <c r="N71" i="9" s="1"/>
  <c r="M72" i="9"/>
  <c r="O72" i="9" s="1"/>
  <c r="M73" i="9"/>
  <c r="O73" i="9" s="1"/>
  <c r="M65" i="9"/>
  <c r="O65" i="9" s="1"/>
  <c r="M61" i="9"/>
  <c r="N61" i="9" s="1"/>
  <c r="M63" i="9"/>
  <c r="N63" i="9" s="1"/>
  <c r="N68" i="9"/>
  <c r="M54" i="9"/>
  <c r="O54" i="9" s="1"/>
  <c r="M60" i="9"/>
  <c r="O60" i="9" s="1"/>
  <c r="M59" i="9"/>
  <c r="O59" i="9" s="1"/>
  <c r="O50" i="9"/>
  <c r="M55" i="9"/>
  <c r="M52" i="9"/>
  <c r="O52" i="9" s="1"/>
  <c r="M47" i="9"/>
  <c r="O47" i="9" s="1"/>
  <c r="M53" i="9"/>
  <c r="O53" i="9" s="1"/>
  <c r="M45" i="9"/>
  <c r="N45" i="9" s="1"/>
  <c r="M43" i="9"/>
  <c r="O43" i="9" s="1"/>
  <c r="O61" i="9" l="1"/>
  <c r="N70" i="9"/>
  <c r="N78" i="9"/>
  <c r="O71" i="9"/>
  <c r="O77" i="9"/>
  <c r="N73" i="9"/>
  <c r="N72" i="9"/>
  <c r="N65" i="9"/>
  <c r="N54" i="9"/>
  <c r="N60" i="9"/>
  <c r="N59" i="9"/>
  <c r="O55" i="9"/>
  <c r="N55" i="9"/>
  <c r="N52" i="9"/>
  <c r="N53" i="9"/>
  <c r="N47" i="9"/>
  <c r="N43" i="9"/>
  <c r="L24" i="9" l="1"/>
  <c r="J24" i="9"/>
  <c r="H23" i="9"/>
  <c r="M24" i="9" l="1"/>
  <c r="L21" i="9"/>
  <c r="J21" i="9"/>
  <c r="H21" i="9"/>
  <c r="L23" i="9"/>
  <c r="L15" i="9"/>
  <c r="J15" i="9"/>
  <c r="H15" i="9"/>
  <c r="H11" i="9"/>
  <c r="M17" i="9"/>
  <c r="O17" i="9" s="1"/>
  <c r="L80" i="9"/>
  <c r="J80" i="9"/>
  <c r="H80" i="9"/>
  <c r="L79" i="9"/>
  <c r="J79" i="9"/>
  <c r="H79" i="9"/>
  <c r="N24" i="9" l="1"/>
  <c r="O24" i="9"/>
  <c r="M21" i="9"/>
  <c r="N21" i="9" s="1"/>
  <c r="M23" i="9"/>
  <c r="N23" i="9" s="1"/>
  <c r="M15" i="9"/>
  <c r="M79" i="9"/>
  <c r="O79" i="9" s="1"/>
  <c r="M80" i="9"/>
  <c r="N80" i="9" s="1"/>
  <c r="O23" i="9" l="1"/>
  <c r="N79" i="9"/>
  <c r="O80" i="9"/>
  <c r="N15" i="9"/>
  <c r="J41" i="9"/>
  <c r="L41" i="9"/>
  <c r="H41" i="9"/>
  <c r="L40" i="9"/>
  <c r="J40" i="9"/>
  <c r="H40" i="9"/>
  <c r="L31" i="9"/>
  <c r="J31" i="9"/>
  <c r="C41" i="2"/>
  <c r="L34" i="9"/>
  <c r="J34" i="9"/>
  <c r="H34" i="9"/>
  <c r="C18" i="7"/>
  <c r="C56" i="2"/>
  <c r="C55" i="2"/>
  <c r="C54" i="2"/>
  <c r="C53" i="2"/>
  <c r="C52" i="2"/>
  <c r="C45" i="2"/>
  <c r="C49" i="2"/>
  <c r="C48" i="2"/>
  <c r="C47" i="2"/>
  <c r="C46" i="2"/>
  <c r="C42" i="2"/>
  <c r="C40" i="2"/>
  <c r="C39" i="2"/>
  <c r="C38" i="2"/>
  <c r="I29" i="2"/>
  <c r="H29" i="2"/>
  <c r="G29" i="2"/>
  <c r="F29" i="2"/>
  <c r="E29" i="2"/>
  <c r="I27" i="2"/>
  <c r="H27" i="2"/>
  <c r="G27" i="2"/>
  <c r="F27" i="2"/>
  <c r="E27" i="2"/>
  <c r="I25" i="2"/>
  <c r="H25" i="2"/>
  <c r="G25" i="2"/>
  <c r="F25" i="2"/>
  <c r="E25" i="2"/>
  <c r="I23" i="2"/>
  <c r="H23" i="2"/>
  <c r="G23" i="2"/>
  <c r="F23" i="2"/>
  <c r="E23" i="2"/>
  <c r="I21" i="2"/>
  <c r="H21" i="2"/>
  <c r="G21" i="2"/>
  <c r="F21" i="2"/>
  <c r="E21" i="2"/>
  <c r="L42" i="9"/>
  <c r="J42" i="9"/>
  <c r="H42" i="9"/>
  <c r="L39" i="9"/>
  <c r="J39" i="9"/>
  <c r="H39" i="9"/>
  <c r="L37" i="9"/>
  <c r="J37" i="9"/>
  <c r="H37" i="9"/>
  <c r="L36" i="9"/>
  <c r="J36" i="9"/>
  <c r="H36" i="9"/>
  <c r="L27" i="9"/>
  <c r="J27" i="9"/>
  <c r="H27" i="9"/>
  <c r="L11" i="9"/>
  <c r="J11" i="9"/>
  <c r="M27" i="9" l="1"/>
  <c r="O27" i="9" s="1"/>
  <c r="O15" i="9"/>
  <c r="M11" i="9"/>
  <c r="N11" i="9" s="1"/>
  <c r="M36" i="9"/>
  <c r="O36" i="9" s="1"/>
  <c r="M31" i="9"/>
  <c r="M37" i="9"/>
  <c r="N37" i="9" s="1"/>
  <c r="M40" i="9"/>
  <c r="M39" i="9"/>
  <c r="N39" i="9" s="1"/>
  <c r="M41" i="9"/>
  <c r="M42" i="9"/>
  <c r="M34" i="9"/>
  <c r="O34" i="9" s="1"/>
  <c r="O37" i="9" l="1"/>
  <c r="N27" i="9"/>
  <c r="N31" i="9"/>
  <c r="O31" i="9"/>
  <c r="N36" i="9"/>
  <c r="O40" i="9"/>
  <c r="N40" i="9"/>
  <c r="N34" i="9"/>
  <c r="O41" i="9"/>
  <c r="N41" i="9"/>
  <c r="O42" i="9"/>
  <c r="N42" i="9"/>
  <c r="O11" i="9"/>
  <c r="O39" i="9"/>
  <c r="N608" i="9" l="1"/>
  <c r="M608" i="9"/>
  <c r="N607" i="9"/>
  <c r="M607" i="9"/>
  <c r="N606" i="9"/>
  <c r="M606" i="9"/>
  <c r="N605" i="9"/>
  <c r="M605" i="9"/>
  <c r="N604" i="9"/>
  <c r="M604" i="9"/>
  <c r="N603" i="9"/>
  <c r="M603" i="9"/>
  <c r="N602" i="9"/>
  <c r="M602" i="9"/>
  <c r="N601" i="9"/>
  <c r="M601" i="9"/>
  <c r="N600" i="9"/>
  <c r="M600" i="9"/>
  <c r="N599" i="9"/>
  <c r="M599" i="9"/>
  <c r="N598" i="9"/>
  <c r="M598" i="9"/>
  <c r="N597" i="9"/>
  <c r="M597" i="9"/>
  <c r="N596" i="9"/>
  <c r="M596" i="9"/>
  <c r="N595" i="9"/>
  <c r="M595" i="9"/>
  <c r="N594" i="9"/>
  <c r="M594" i="9"/>
  <c r="N593" i="9"/>
  <c r="M593" i="9"/>
  <c r="N592" i="9"/>
  <c r="M592" i="9"/>
  <c r="N591" i="9"/>
  <c r="M591" i="9"/>
  <c r="N590" i="9"/>
  <c r="M590" i="9"/>
  <c r="N589" i="9"/>
  <c r="M589" i="9"/>
  <c r="N588" i="9"/>
  <c r="M588" i="9"/>
  <c r="N587" i="9"/>
  <c r="M587" i="9"/>
  <c r="N586" i="9"/>
  <c r="M586" i="9"/>
  <c r="N585" i="9"/>
  <c r="M585" i="9"/>
  <c r="N584" i="9"/>
  <c r="M584" i="9"/>
  <c r="N583" i="9"/>
  <c r="M583" i="9"/>
  <c r="N582" i="9"/>
  <c r="M582" i="9"/>
  <c r="N581" i="9"/>
  <c r="M581" i="9"/>
  <c r="N580" i="9"/>
  <c r="M580" i="9"/>
  <c r="N579" i="9"/>
  <c r="M579" i="9"/>
  <c r="N578" i="9"/>
  <c r="M578" i="9"/>
  <c r="N577" i="9"/>
  <c r="M577" i="9"/>
  <c r="N576" i="9"/>
  <c r="M576" i="9"/>
  <c r="N575" i="9"/>
  <c r="M575" i="9"/>
  <c r="N574" i="9"/>
  <c r="M574" i="9"/>
  <c r="N573" i="9"/>
  <c r="M573" i="9"/>
  <c r="N572" i="9"/>
  <c r="M572" i="9"/>
  <c r="N571" i="9"/>
  <c r="M571" i="9"/>
  <c r="N570" i="9"/>
  <c r="M570" i="9"/>
  <c r="N569" i="9"/>
  <c r="M569" i="9"/>
  <c r="N568" i="9"/>
  <c r="M568" i="9"/>
  <c r="N567" i="9"/>
  <c r="M567" i="9"/>
  <c r="N566" i="9"/>
  <c r="M566" i="9"/>
  <c r="N565" i="9"/>
  <c r="M565" i="9"/>
  <c r="N564" i="9"/>
  <c r="M564" i="9"/>
  <c r="N563" i="9"/>
  <c r="M563" i="9"/>
  <c r="N562" i="9"/>
  <c r="M562" i="9"/>
  <c r="N561" i="9"/>
  <c r="M561" i="9"/>
  <c r="N560" i="9"/>
  <c r="M560" i="9"/>
  <c r="N559" i="9"/>
  <c r="M559" i="9"/>
  <c r="N558" i="9"/>
  <c r="M558" i="9"/>
  <c r="N557" i="9"/>
  <c r="M557" i="9"/>
  <c r="N556" i="9"/>
  <c r="M556" i="9"/>
  <c r="N555" i="9"/>
  <c r="M555" i="9"/>
  <c r="N554" i="9"/>
  <c r="M554" i="9"/>
  <c r="N553" i="9"/>
  <c r="M553" i="9"/>
  <c r="N552" i="9"/>
  <c r="M552" i="9"/>
  <c r="N551" i="9"/>
  <c r="M551" i="9"/>
  <c r="N550" i="9"/>
  <c r="M550" i="9"/>
  <c r="N549" i="9"/>
  <c r="M549" i="9"/>
  <c r="N548" i="9"/>
  <c r="M548" i="9"/>
  <c r="N547" i="9"/>
  <c r="M547" i="9"/>
  <c r="N546" i="9"/>
  <c r="M546" i="9"/>
  <c r="N545" i="9"/>
  <c r="M545" i="9"/>
  <c r="N544" i="9"/>
  <c r="M544" i="9"/>
  <c r="N543" i="9"/>
  <c r="M543" i="9"/>
  <c r="N542" i="9"/>
  <c r="M542" i="9"/>
  <c r="N541" i="9"/>
  <c r="M541" i="9"/>
  <c r="N540" i="9"/>
  <c r="M540" i="9"/>
  <c r="N539" i="9"/>
  <c r="M539" i="9"/>
  <c r="N538" i="9"/>
  <c r="M538" i="9"/>
  <c r="N537" i="9"/>
  <c r="M537" i="9"/>
  <c r="N536" i="9"/>
  <c r="M536" i="9"/>
  <c r="N535" i="9"/>
  <c r="M535" i="9"/>
  <c r="N534" i="9"/>
  <c r="M534" i="9"/>
  <c r="N533" i="9"/>
  <c r="M533" i="9"/>
  <c r="N532" i="9"/>
  <c r="M532" i="9"/>
  <c r="N531" i="9"/>
  <c r="M531" i="9"/>
  <c r="N530" i="9"/>
  <c r="M530" i="9"/>
  <c r="N529" i="9"/>
  <c r="M529" i="9"/>
  <c r="N528" i="9"/>
  <c r="M528" i="9"/>
  <c r="N527" i="9"/>
  <c r="M527" i="9"/>
  <c r="N526" i="9"/>
  <c r="M526" i="9"/>
  <c r="N525" i="9"/>
  <c r="M525" i="9"/>
  <c r="N524" i="9"/>
  <c r="M524" i="9"/>
  <c r="N523" i="9"/>
  <c r="M523" i="9"/>
  <c r="N522" i="9"/>
  <c r="M522" i="9"/>
  <c r="N521" i="9"/>
  <c r="M521" i="9"/>
  <c r="N520" i="9"/>
  <c r="M520" i="9"/>
  <c r="N519" i="9"/>
  <c r="M519" i="9"/>
  <c r="N518" i="9"/>
  <c r="M518" i="9"/>
  <c r="N517" i="9"/>
  <c r="M517" i="9"/>
  <c r="N516" i="9"/>
  <c r="M516" i="9"/>
  <c r="N515" i="9"/>
  <c r="M515" i="9"/>
  <c r="N514" i="9"/>
  <c r="M514" i="9"/>
  <c r="N513" i="9"/>
  <c r="M513" i="9"/>
  <c r="N512" i="9"/>
  <c r="M512" i="9"/>
  <c r="N511" i="9"/>
  <c r="M511" i="9"/>
  <c r="N510" i="9"/>
  <c r="M510" i="9"/>
  <c r="N509" i="9"/>
  <c r="M509" i="9"/>
  <c r="N508" i="9"/>
  <c r="M508" i="9"/>
  <c r="N507" i="9"/>
  <c r="M507" i="9"/>
  <c r="N506" i="9"/>
  <c r="M506" i="9"/>
  <c r="N505" i="9"/>
  <c r="M505" i="9"/>
  <c r="N504" i="9"/>
  <c r="M504" i="9"/>
  <c r="N503" i="9"/>
  <c r="M503" i="9"/>
  <c r="N502" i="9"/>
  <c r="M502" i="9"/>
  <c r="N501" i="9"/>
  <c r="M501" i="9"/>
  <c r="N500" i="9"/>
  <c r="M500" i="9"/>
  <c r="N499" i="9"/>
  <c r="M499" i="9"/>
  <c r="N498" i="9"/>
  <c r="M498" i="9"/>
  <c r="N497" i="9"/>
  <c r="M497" i="9"/>
  <c r="N496" i="9"/>
  <c r="M496" i="9"/>
  <c r="N495" i="9"/>
  <c r="M495" i="9"/>
  <c r="N494" i="9"/>
  <c r="M494" i="9"/>
  <c r="N493" i="9"/>
  <c r="M493" i="9"/>
  <c r="N492" i="9"/>
  <c r="M492" i="9"/>
  <c r="N491" i="9"/>
  <c r="M491" i="9"/>
  <c r="N490" i="9"/>
  <c r="M490" i="9"/>
  <c r="N489" i="9"/>
  <c r="M489" i="9"/>
  <c r="N488" i="9"/>
  <c r="M488" i="9"/>
  <c r="N487" i="9"/>
  <c r="M487" i="9"/>
  <c r="N486" i="9"/>
  <c r="M486" i="9"/>
  <c r="N485" i="9"/>
  <c r="M485" i="9"/>
  <c r="N484" i="9"/>
  <c r="M484" i="9"/>
  <c r="N483" i="9"/>
  <c r="M483" i="9"/>
  <c r="N482" i="9"/>
  <c r="M482" i="9"/>
  <c r="N481" i="9"/>
  <c r="M481" i="9"/>
  <c r="N480" i="9"/>
  <c r="M480" i="9"/>
  <c r="N479" i="9"/>
  <c r="M479" i="9"/>
  <c r="N478" i="9"/>
  <c r="M478" i="9"/>
  <c r="N477" i="9"/>
  <c r="M477" i="9"/>
  <c r="N476" i="9"/>
  <c r="M476" i="9"/>
  <c r="N475" i="9"/>
  <c r="M475" i="9"/>
  <c r="N474" i="9"/>
  <c r="M474" i="9"/>
  <c r="N473" i="9"/>
  <c r="M473" i="9"/>
  <c r="N472" i="9"/>
  <c r="M472" i="9"/>
  <c r="N471" i="9"/>
  <c r="M471" i="9"/>
  <c r="N470" i="9"/>
  <c r="M470" i="9"/>
  <c r="N469" i="9"/>
  <c r="M469" i="9"/>
  <c r="N468" i="9"/>
  <c r="M468" i="9"/>
  <c r="N467" i="9"/>
  <c r="M467" i="9"/>
  <c r="N466" i="9"/>
  <c r="M466" i="9"/>
  <c r="N465" i="9"/>
  <c r="M465" i="9"/>
  <c r="N464" i="9"/>
  <c r="M464" i="9"/>
  <c r="N463" i="9"/>
  <c r="M463" i="9"/>
  <c r="N462" i="9"/>
  <c r="M462" i="9"/>
  <c r="N461" i="9"/>
  <c r="M461" i="9"/>
  <c r="N460" i="9"/>
  <c r="M460" i="9"/>
  <c r="N459" i="9"/>
  <c r="M459" i="9"/>
  <c r="N458" i="9"/>
  <c r="M458" i="9"/>
  <c r="N457" i="9"/>
  <c r="M457" i="9"/>
  <c r="N456" i="9"/>
  <c r="M456" i="9"/>
  <c r="N455" i="9"/>
  <c r="M455" i="9"/>
  <c r="N454" i="9"/>
  <c r="M454" i="9"/>
  <c r="N453" i="9"/>
  <c r="M453" i="9"/>
  <c r="N452" i="9"/>
  <c r="M452" i="9"/>
  <c r="N451" i="9"/>
  <c r="M451" i="9"/>
  <c r="N450" i="9"/>
  <c r="M450" i="9"/>
  <c r="N449" i="9"/>
  <c r="M449" i="9"/>
  <c r="N448" i="9"/>
  <c r="M448" i="9"/>
  <c r="N447" i="9"/>
  <c r="M447" i="9"/>
  <c r="N446" i="9"/>
  <c r="M446" i="9"/>
  <c r="N445" i="9"/>
  <c r="M445" i="9"/>
  <c r="N444" i="9"/>
  <c r="M444" i="9"/>
  <c r="N443" i="9"/>
  <c r="M443" i="9"/>
  <c r="N442" i="9"/>
  <c r="M442" i="9"/>
  <c r="N441" i="9"/>
  <c r="M441" i="9"/>
  <c r="N440" i="9"/>
  <c r="M440" i="9"/>
  <c r="N439" i="9"/>
  <c r="M439" i="9"/>
  <c r="N438" i="9"/>
  <c r="M438" i="9"/>
  <c r="N437" i="9"/>
  <c r="M437" i="9"/>
  <c r="N436" i="9"/>
  <c r="M436" i="9"/>
  <c r="N435" i="9"/>
  <c r="M435" i="9"/>
  <c r="N434" i="9"/>
  <c r="M434" i="9"/>
  <c r="N433" i="9"/>
  <c r="M433" i="9"/>
  <c r="N432" i="9"/>
  <c r="M432" i="9"/>
  <c r="N431" i="9"/>
  <c r="M431" i="9"/>
  <c r="N430" i="9"/>
  <c r="M430" i="9"/>
  <c r="N429" i="9"/>
  <c r="M429" i="9"/>
  <c r="N428" i="9"/>
  <c r="M428" i="9"/>
  <c r="N427" i="9"/>
  <c r="M427" i="9"/>
  <c r="N426" i="9"/>
  <c r="M426" i="9"/>
  <c r="N425" i="9"/>
  <c r="M425" i="9"/>
  <c r="N424" i="9"/>
  <c r="M424" i="9"/>
  <c r="N423" i="9"/>
  <c r="M423" i="9"/>
  <c r="N422" i="9"/>
  <c r="M422" i="9"/>
  <c r="N421" i="9"/>
  <c r="M421" i="9"/>
  <c r="N420" i="9"/>
  <c r="M420" i="9"/>
  <c r="N419" i="9"/>
  <c r="M419" i="9"/>
  <c r="N418" i="9"/>
  <c r="M418" i="9"/>
  <c r="N417" i="9"/>
  <c r="M417" i="9"/>
  <c r="N416" i="9"/>
  <c r="M416" i="9"/>
  <c r="N415" i="9"/>
  <c r="M415" i="9"/>
  <c r="N414" i="9"/>
  <c r="M414" i="9"/>
  <c r="N413" i="9"/>
  <c r="M413" i="9"/>
  <c r="N412" i="9"/>
  <c r="M412" i="9"/>
  <c r="N411" i="9"/>
  <c r="M411" i="9"/>
  <c r="N410" i="9"/>
  <c r="M410" i="9"/>
  <c r="N409" i="9"/>
  <c r="M409" i="9"/>
  <c r="N408" i="9"/>
  <c r="M408" i="9"/>
  <c r="N407" i="9"/>
  <c r="M407" i="9"/>
  <c r="N406" i="9"/>
  <c r="M406" i="9"/>
  <c r="N405" i="9"/>
  <c r="M405" i="9"/>
  <c r="N404" i="9"/>
  <c r="M404" i="9"/>
  <c r="N403" i="9"/>
  <c r="M403" i="9"/>
  <c r="N402" i="9"/>
  <c r="M402" i="9"/>
  <c r="N401" i="9"/>
  <c r="M401" i="9"/>
  <c r="N400" i="9"/>
  <c r="M400" i="9"/>
  <c r="N399" i="9"/>
  <c r="M399" i="9"/>
  <c r="N398" i="9"/>
  <c r="M398" i="9"/>
  <c r="N397" i="9"/>
  <c r="M397" i="9"/>
  <c r="N396" i="9"/>
  <c r="M396" i="9"/>
  <c r="N395" i="9"/>
  <c r="M395" i="9"/>
  <c r="N394" i="9"/>
  <c r="M394" i="9"/>
  <c r="N393" i="9"/>
  <c r="M393" i="9"/>
  <c r="N392" i="9"/>
  <c r="M392" i="9"/>
  <c r="N391" i="9"/>
  <c r="M391" i="9"/>
  <c r="N390" i="9"/>
  <c r="M390" i="9"/>
  <c r="N389" i="9"/>
  <c r="M389" i="9"/>
  <c r="N388" i="9"/>
  <c r="M388" i="9"/>
  <c r="N387" i="9"/>
  <c r="M387" i="9"/>
  <c r="N386" i="9"/>
  <c r="M386" i="9"/>
  <c r="N385" i="9"/>
  <c r="M385" i="9"/>
  <c r="N384" i="9"/>
  <c r="M384" i="9"/>
  <c r="N383" i="9"/>
  <c r="M383" i="9"/>
  <c r="N382" i="9"/>
  <c r="M382" i="9"/>
  <c r="N381" i="9"/>
  <c r="M381" i="9"/>
  <c r="N380" i="9"/>
  <c r="M380" i="9"/>
  <c r="N379" i="9"/>
  <c r="M379" i="9"/>
  <c r="N378" i="9"/>
  <c r="M378" i="9"/>
  <c r="N377" i="9"/>
  <c r="M377" i="9"/>
  <c r="N376" i="9"/>
  <c r="M376" i="9"/>
  <c r="N375" i="9"/>
  <c r="M375" i="9"/>
  <c r="N374" i="9"/>
  <c r="M374" i="9"/>
  <c r="N373" i="9"/>
  <c r="M373" i="9"/>
  <c r="N372" i="9"/>
  <c r="M372" i="9"/>
  <c r="N371" i="9"/>
  <c r="M371" i="9"/>
  <c r="N370" i="9"/>
  <c r="M370" i="9"/>
  <c r="N369" i="9"/>
  <c r="M369" i="9"/>
  <c r="N368" i="9"/>
  <c r="M368" i="9"/>
  <c r="N367" i="9"/>
  <c r="M367" i="9"/>
  <c r="N366" i="9"/>
  <c r="M366" i="9"/>
  <c r="N365" i="9"/>
  <c r="M365" i="9"/>
  <c r="N364" i="9"/>
  <c r="M364" i="9"/>
  <c r="N363" i="9"/>
  <c r="M363" i="9"/>
  <c r="N362" i="9"/>
  <c r="M362" i="9"/>
  <c r="N361" i="9"/>
  <c r="M361" i="9"/>
  <c r="N360" i="9"/>
  <c r="M360" i="9"/>
  <c r="N359" i="9"/>
  <c r="M359" i="9"/>
  <c r="N358" i="9"/>
  <c r="M358" i="9"/>
  <c r="N357" i="9"/>
  <c r="M357" i="9"/>
  <c r="N356" i="9"/>
  <c r="M356" i="9"/>
  <c r="N355" i="9"/>
  <c r="M355" i="9"/>
  <c r="N354" i="9"/>
  <c r="M354" i="9"/>
  <c r="N353" i="9"/>
  <c r="M353" i="9"/>
  <c r="N352" i="9"/>
  <c r="M352" i="9"/>
  <c r="N351" i="9"/>
  <c r="M351" i="9"/>
  <c r="N350" i="9"/>
  <c r="M350" i="9"/>
  <c r="N349" i="9"/>
  <c r="M349" i="9"/>
  <c r="N348" i="9"/>
  <c r="M348" i="9"/>
  <c r="N347" i="9"/>
  <c r="M347" i="9"/>
  <c r="N346" i="9"/>
  <c r="M346" i="9"/>
  <c r="N345" i="9"/>
  <c r="M345" i="9"/>
  <c r="N344" i="9"/>
  <c r="M344" i="9"/>
  <c r="N343" i="9"/>
  <c r="M343" i="9"/>
  <c r="N342" i="9"/>
  <c r="M342" i="9"/>
  <c r="N341" i="9"/>
  <c r="M341" i="9"/>
  <c r="N340" i="9"/>
  <c r="M340" i="9"/>
  <c r="N339" i="9"/>
  <c r="M339" i="9"/>
  <c r="N338" i="9"/>
  <c r="M338" i="9"/>
  <c r="N337" i="9"/>
  <c r="M337" i="9"/>
  <c r="N336" i="9"/>
  <c r="M336" i="9"/>
  <c r="N335" i="9"/>
  <c r="M335" i="9"/>
  <c r="N334" i="9"/>
  <c r="M334" i="9"/>
  <c r="N333" i="9"/>
  <c r="M333" i="9"/>
  <c r="N332" i="9"/>
  <c r="M332" i="9"/>
  <c r="N331" i="9"/>
  <c r="M331" i="9"/>
  <c r="N330" i="9"/>
  <c r="M330" i="9"/>
  <c r="N329" i="9"/>
  <c r="M329" i="9"/>
  <c r="N328" i="9"/>
  <c r="M328" i="9"/>
  <c r="N327" i="9"/>
  <c r="M327" i="9"/>
  <c r="N326" i="9"/>
  <c r="M326" i="9"/>
  <c r="N325" i="9"/>
  <c r="M325" i="9"/>
  <c r="N324" i="9"/>
  <c r="M324" i="9"/>
  <c r="N323" i="9"/>
  <c r="M323" i="9"/>
  <c r="N322" i="9"/>
  <c r="M322" i="9"/>
  <c r="N321" i="9"/>
  <c r="M321" i="9"/>
  <c r="N320" i="9"/>
  <c r="M320" i="9"/>
  <c r="N319" i="9"/>
  <c r="M319" i="9"/>
  <c r="N318" i="9"/>
  <c r="M318" i="9"/>
  <c r="N317" i="9"/>
  <c r="M317" i="9"/>
  <c r="N316" i="9"/>
  <c r="M316" i="9"/>
  <c r="N315" i="9"/>
  <c r="M315" i="9"/>
  <c r="N314" i="9"/>
  <c r="M314" i="9"/>
  <c r="N313" i="9"/>
  <c r="M313" i="9"/>
  <c r="N312" i="9"/>
  <c r="M312" i="9"/>
  <c r="N311" i="9"/>
  <c r="M311" i="9"/>
  <c r="N310" i="9"/>
  <c r="M310" i="9"/>
  <c r="N309" i="9"/>
  <c r="M309" i="9"/>
  <c r="N308" i="9"/>
  <c r="M308" i="9"/>
  <c r="N307" i="9"/>
  <c r="M307" i="9"/>
  <c r="N306" i="9"/>
  <c r="M306" i="9"/>
  <c r="N305" i="9"/>
  <c r="M305" i="9"/>
  <c r="N304" i="9"/>
  <c r="M304" i="9"/>
  <c r="N303" i="9"/>
  <c r="M303" i="9"/>
  <c r="N302" i="9"/>
  <c r="M302" i="9"/>
  <c r="N301" i="9"/>
  <c r="M301" i="9"/>
  <c r="N300" i="9"/>
  <c r="M300" i="9"/>
  <c r="N299" i="9"/>
  <c r="M299" i="9"/>
  <c r="N298" i="9"/>
  <c r="M298" i="9"/>
  <c r="N297" i="9"/>
  <c r="M297" i="9"/>
  <c r="N296" i="9"/>
  <c r="M296" i="9"/>
  <c r="N295" i="9"/>
  <c r="M295" i="9"/>
  <c r="N294" i="9"/>
  <c r="M294" i="9"/>
  <c r="N293" i="9"/>
  <c r="M293" i="9"/>
  <c r="N292" i="9"/>
  <c r="M292" i="9"/>
  <c r="N291" i="9"/>
  <c r="M291" i="9"/>
  <c r="N290" i="9"/>
  <c r="M290" i="9"/>
  <c r="N289" i="9"/>
  <c r="M289" i="9"/>
  <c r="N288" i="9"/>
  <c r="M288" i="9"/>
  <c r="N287" i="9"/>
  <c r="M287" i="9"/>
  <c r="N286" i="9"/>
  <c r="M286" i="9"/>
  <c r="N285" i="9"/>
  <c r="M285" i="9"/>
  <c r="N284" i="9"/>
  <c r="M284" i="9"/>
  <c r="N283" i="9"/>
  <c r="M283" i="9"/>
  <c r="N282" i="9"/>
  <c r="M282" i="9"/>
  <c r="N281" i="9"/>
  <c r="M281" i="9"/>
  <c r="N280" i="9"/>
  <c r="M280" i="9"/>
  <c r="N279" i="9"/>
  <c r="M279" i="9"/>
  <c r="N278" i="9"/>
  <c r="M278" i="9"/>
  <c r="N277" i="9"/>
  <c r="M277" i="9"/>
  <c r="N276" i="9"/>
  <c r="M276" i="9"/>
  <c r="N275" i="9"/>
  <c r="M275" i="9"/>
  <c r="N274" i="9"/>
  <c r="M274" i="9"/>
  <c r="N273" i="9"/>
  <c r="M273" i="9"/>
  <c r="N272" i="9"/>
  <c r="M272" i="9"/>
  <c r="N271" i="9"/>
  <c r="M271" i="9"/>
  <c r="N270" i="9"/>
  <c r="M270" i="9"/>
  <c r="N269" i="9"/>
  <c r="M269" i="9"/>
  <c r="N268" i="9"/>
  <c r="M268" i="9"/>
  <c r="N267" i="9"/>
  <c r="M267" i="9"/>
  <c r="N266" i="9"/>
  <c r="M266" i="9"/>
  <c r="N265" i="9"/>
  <c r="M265" i="9"/>
  <c r="N264" i="9"/>
  <c r="M264" i="9"/>
  <c r="N263" i="9"/>
  <c r="M263" i="9"/>
  <c r="N262" i="9"/>
  <c r="M262" i="9"/>
  <c r="N261" i="9"/>
  <c r="M261" i="9"/>
  <c r="N260" i="9"/>
  <c r="M260" i="9"/>
  <c r="N259" i="9"/>
  <c r="M259" i="9"/>
  <c r="N258" i="9"/>
  <c r="M258" i="9"/>
  <c r="N257" i="9"/>
  <c r="M257" i="9"/>
  <c r="N256" i="9"/>
  <c r="M256" i="9"/>
  <c r="N255" i="9"/>
  <c r="M255" i="9"/>
  <c r="N254" i="9"/>
  <c r="M254" i="9"/>
  <c r="N253" i="9"/>
  <c r="M253" i="9"/>
  <c r="N252" i="9"/>
  <c r="M252" i="9"/>
  <c r="N251" i="9"/>
  <c r="M251" i="9"/>
  <c r="N250" i="9"/>
  <c r="M250" i="9"/>
  <c r="N249" i="9"/>
  <c r="M249" i="9"/>
  <c r="N248" i="9"/>
  <c r="M248" i="9"/>
  <c r="N247" i="9"/>
  <c r="M247" i="9"/>
  <c r="N246" i="9"/>
  <c r="M246" i="9"/>
  <c r="N245" i="9"/>
  <c r="M245" i="9"/>
  <c r="N244" i="9"/>
  <c r="M244" i="9"/>
  <c r="N243" i="9"/>
  <c r="M243" i="9"/>
  <c r="N242" i="9"/>
  <c r="M242" i="9"/>
  <c r="N241" i="9"/>
  <c r="M241" i="9"/>
  <c r="N240" i="9"/>
  <c r="M240" i="9"/>
  <c r="N239" i="9"/>
  <c r="M239" i="9"/>
  <c r="N238" i="9"/>
  <c r="M238" i="9"/>
  <c r="N237" i="9"/>
  <c r="M237" i="9"/>
  <c r="N236" i="9"/>
  <c r="M236" i="9"/>
  <c r="N235" i="9"/>
  <c r="M235" i="9"/>
  <c r="N234" i="9"/>
  <c r="M234" i="9"/>
  <c r="N233" i="9"/>
  <c r="M233" i="9"/>
  <c r="N232" i="9"/>
  <c r="M232" i="9"/>
  <c r="N231" i="9"/>
  <c r="M231" i="9"/>
  <c r="N230" i="9"/>
  <c r="M230" i="9"/>
  <c r="N229" i="9"/>
  <c r="M229" i="9"/>
  <c r="N228" i="9"/>
  <c r="M228" i="9"/>
  <c r="N227" i="9"/>
  <c r="M227" i="9"/>
  <c r="N226" i="9"/>
  <c r="M226" i="9"/>
  <c r="N225" i="9"/>
  <c r="M225" i="9"/>
  <c r="N224" i="9"/>
  <c r="M224" i="9"/>
  <c r="N223" i="9"/>
  <c r="M223" i="9"/>
  <c r="N222" i="9"/>
  <c r="M222" i="9"/>
  <c r="N221" i="9"/>
  <c r="M221" i="9"/>
  <c r="N220" i="9"/>
  <c r="M220" i="9"/>
  <c r="N219" i="9"/>
  <c r="M219" i="9"/>
  <c r="N218" i="9"/>
  <c r="M218" i="9"/>
  <c r="N217" i="9"/>
  <c r="M217" i="9"/>
  <c r="N216" i="9"/>
  <c r="M216" i="9"/>
  <c r="N215" i="9"/>
  <c r="M215" i="9"/>
  <c r="N214" i="9"/>
  <c r="M214" i="9"/>
  <c r="N213" i="9"/>
  <c r="M213" i="9"/>
  <c r="N212" i="9"/>
  <c r="M212" i="9"/>
  <c r="N211" i="9"/>
  <c r="M211" i="9"/>
  <c r="N210" i="9"/>
  <c r="M210" i="9"/>
  <c r="N209" i="9"/>
  <c r="M209" i="9"/>
  <c r="N208" i="9"/>
  <c r="M208" i="9"/>
  <c r="N207" i="9"/>
  <c r="M207" i="9"/>
  <c r="N206" i="9"/>
  <c r="M206" i="9"/>
  <c r="N205" i="9"/>
  <c r="M205" i="9"/>
  <c r="N204" i="9"/>
  <c r="M204" i="9"/>
  <c r="N203" i="9"/>
  <c r="M203" i="9"/>
  <c r="N202" i="9"/>
  <c r="M202" i="9"/>
  <c r="N201" i="9"/>
  <c r="M201" i="9"/>
  <c r="N200" i="9"/>
  <c r="M200" i="9"/>
  <c r="N199" i="9"/>
  <c r="M199" i="9"/>
  <c r="N198" i="9"/>
  <c r="M198" i="9"/>
  <c r="N197" i="9"/>
  <c r="M197" i="9"/>
  <c r="N196" i="9"/>
  <c r="M196" i="9"/>
  <c r="N195" i="9"/>
  <c r="M195" i="9"/>
  <c r="N194" i="9"/>
  <c r="M194" i="9"/>
  <c r="N193" i="9"/>
  <c r="M193" i="9"/>
  <c r="N192" i="9"/>
  <c r="M192" i="9"/>
  <c r="N191" i="9"/>
  <c r="M191" i="9"/>
  <c r="N190" i="9"/>
  <c r="M190" i="9"/>
  <c r="N189" i="9"/>
  <c r="M189" i="9"/>
  <c r="N188" i="9"/>
  <c r="M188" i="9"/>
  <c r="N187" i="9"/>
  <c r="M187" i="9"/>
  <c r="N186" i="9"/>
  <c r="M186" i="9"/>
  <c r="N185" i="9"/>
  <c r="M185" i="9"/>
  <c r="N184" i="9"/>
  <c r="M184" i="9"/>
  <c r="N183" i="9"/>
  <c r="M183" i="9"/>
  <c r="N182" i="9"/>
  <c r="M182" i="9"/>
  <c r="N181" i="9"/>
  <c r="M181" i="9"/>
  <c r="N180" i="9"/>
  <c r="M180" i="9"/>
  <c r="N179" i="9"/>
  <c r="M179" i="9"/>
  <c r="N178" i="9"/>
  <c r="M178" i="9"/>
  <c r="N177" i="9"/>
  <c r="M177" i="9"/>
  <c r="N176" i="9"/>
  <c r="M176" i="9"/>
  <c r="N175" i="9"/>
  <c r="M175" i="9"/>
  <c r="N174" i="9"/>
  <c r="M174" i="9"/>
  <c r="N173" i="9"/>
  <c r="M173" i="9"/>
  <c r="N172" i="9"/>
  <c r="M172" i="9"/>
  <c r="N171" i="9"/>
  <c r="M171" i="9"/>
  <c r="N170" i="9"/>
  <c r="M170" i="9"/>
  <c r="N169" i="9"/>
  <c r="M169" i="9"/>
  <c r="N168" i="9"/>
  <c r="M168" i="9"/>
  <c r="N167" i="9"/>
  <c r="M167" i="9"/>
  <c r="N166" i="9"/>
  <c r="M166" i="9"/>
  <c r="N165" i="9"/>
  <c r="M165" i="9"/>
  <c r="N164" i="9"/>
  <c r="M164" i="9"/>
  <c r="N163" i="9"/>
  <c r="M163" i="9"/>
  <c r="N162" i="9"/>
  <c r="M162" i="9"/>
  <c r="N161" i="9"/>
  <c r="M161" i="9"/>
  <c r="N160" i="9"/>
  <c r="M160" i="9"/>
  <c r="N159" i="9"/>
  <c r="M159" i="9"/>
  <c r="N158" i="9"/>
  <c r="M158" i="9"/>
  <c r="N157" i="9"/>
  <c r="M157" i="9"/>
  <c r="N156" i="9"/>
  <c r="M156" i="9"/>
  <c r="N155" i="9"/>
  <c r="M155" i="9"/>
  <c r="N154" i="9"/>
  <c r="M154" i="9"/>
  <c r="N153" i="9"/>
  <c r="M153" i="9"/>
  <c r="N152" i="9"/>
  <c r="M152" i="9"/>
  <c r="N151" i="9"/>
  <c r="M151" i="9"/>
  <c r="N150" i="9"/>
  <c r="M150" i="9"/>
  <c r="N149" i="9"/>
  <c r="M149" i="9"/>
  <c r="N148" i="9"/>
  <c r="M148" i="9"/>
  <c r="N147" i="9"/>
  <c r="M147" i="9"/>
  <c r="N146" i="9"/>
  <c r="M146" i="9"/>
  <c r="N145" i="9"/>
  <c r="M145" i="9"/>
  <c r="N144" i="9"/>
  <c r="M144" i="9"/>
  <c r="N143" i="9"/>
  <c r="M143" i="9"/>
  <c r="N142" i="9"/>
  <c r="M142" i="9"/>
  <c r="N141" i="9"/>
  <c r="M141" i="9"/>
  <c r="N140" i="9"/>
  <c r="M140" i="9"/>
  <c r="N139" i="9"/>
  <c r="M139" i="9"/>
  <c r="N138" i="9"/>
  <c r="M138" i="9"/>
  <c r="N137" i="9"/>
  <c r="M137" i="9"/>
  <c r="N136" i="9"/>
  <c r="M136" i="9"/>
  <c r="N135" i="9"/>
  <c r="M135" i="9"/>
  <c r="N134" i="9"/>
  <c r="M134" i="9"/>
  <c r="N133" i="9"/>
  <c r="M133" i="9"/>
  <c r="N132" i="9"/>
  <c r="M132" i="9"/>
  <c r="N131" i="9"/>
  <c r="M131" i="9"/>
  <c r="N130" i="9"/>
  <c r="M130" i="9"/>
  <c r="N129" i="9"/>
  <c r="M129" i="9"/>
  <c r="N128" i="9"/>
  <c r="M128" i="9"/>
  <c r="N127" i="9"/>
  <c r="M127" i="9"/>
  <c r="N126" i="9"/>
  <c r="M126" i="9"/>
  <c r="N125" i="9"/>
  <c r="M125" i="9"/>
  <c r="N124" i="9"/>
  <c r="M124" i="9"/>
  <c r="N123" i="9"/>
  <c r="M123" i="9"/>
  <c r="N122" i="9"/>
  <c r="M122" i="9"/>
  <c r="N121" i="9"/>
  <c r="M121" i="9"/>
  <c r="N120" i="9"/>
  <c r="M120" i="9"/>
  <c r="N119" i="9"/>
  <c r="M119" i="9"/>
  <c r="N118" i="9"/>
  <c r="M118" i="9"/>
  <c r="N117" i="9"/>
  <c r="M117" i="9"/>
  <c r="N116" i="9"/>
  <c r="M116" i="9"/>
  <c r="N115" i="9"/>
  <c r="M115" i="9"/>
  <c r="N114" i="9"/>
  <c r="M114" i="9"/>
  <c r="N113" i="9"/>
  <c r="M113" i="9"/>
  <c r="N112" i="9"/>
  <c r="M112" i="9"/>
  <c r="N111" i="9"/>
  <c r="M111" i="9"/>
  <c r="N110" i="9"/>
  <c r="M110" i="9"/>
  <c r="N109" i="9"/>
  <c r="M109" i="9"/>
  <c r="N108" i="9"/>
  <c r="M108" i="9"/>
  <c r="N107" i="9"/>
  <c r="M107" i="9"/>
  <c r="N106" i="9"/>
  <c r="M106" i="9"/>
  <c r="N105" i="9"/>
  <c r="M105" i="9"/>
  <c r="N104" i="9"/>
  <c r="M104" i="9"/>
  <c r="N103" i="9"/>
  <c r="M103" i="9"/>
  <c r="N102" i="9"/>
  <c r="M102" i="9"/>
  <c r="N101" i="9"/>
  <c r="M101" i="9"/>
  <c r="N100" i="9"/>
  <c r="M100" i="9"/>
  <c r="N99" i="9"/>
  <c r="M99" i="9"/>
  <c r="N98" i="9"/>
  <c r="M98" i="9"/>
  <c r="N97" i="9"/>
  <c r="M97" i="9"/>
  <c r="N96" i="9"/>
  <c r="M96" i="9"/>
  <c r="N95" i="9"/>
  <c r="M95" i="9"/>
  <c r="N94" i="9"/>
  <c r="M94" i="9"/>
  <c r="N93" i="9"/>
  <c r="M93" i="9"/>
  <c r="N92" i="9"/>
  <c r="M92" i="9"/>
  <c r="N91" i="9"/>
  <c r="M91" i="9"/>
  <c r="N90" i="9"/>
  <c r="M90" i="9"/>
  <c r="N89" i="9"/>
  <c r="M89" i="9"/>
  <c r="N88" i="9"/>
  <c r="M88" i="9"/>
  <c r="N87" i="9"/>
  <c r="M87" i="9"/>
  <c r="N86" i="9"/>
  <c r="M86" i="9"/>
  <c r="N85" i="9"/>
  <c r="M85" i="9"/>
  <c r="N84" i="9"/>
  <c r="M84" i="9"/>
  <c r="N83" i="9"/>
  <c r="M83" i="9"/>
  <c r="N82" i="9"/>
  <c r="M8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M3" authorId="0" shapeId="0" xr:uid="{74735C3A-9F0D-4D12-BBDE-FDB7D56081DF}">
      <text>
        <r>
          <rPr>
            <b/>
            <sz val="9"/>
            <color indexed="81"/>
            <rFont val="Tahoma"/>
            <family val="2"/>
          </rPr>
          <t>Autor:</t>
        </r>
        <r>
          <rPr>
            <sz val="9"/>
            <color indexed="81"/>
            <rFont val="Tahoma"/>
            <family val="2"/>
          </rPr>
          <t xml:space="preserve">
ACEPTABILIDAD DEL RIEGO: 
- No aceptable: 5 
- Aceptable con control especifico: 14</t>
        </r>
      </text>
    </comment>
  </commentList>
</comments>
</file>

<file path=xl/sharedStrings.xml><?xml version="1.0" encoding="utf-8"?>
<sst xmlns="http://schemas.openxmlformats.org/spreadsheetml/2006/main" count="948" uniqueCount="407">
  <si>
    <t>GRUPO DE TRABAJO</t>
  </si>
  <si>
    <t>PROBABILIDAD</t>
  </si>
  <si>
    <t>CONSECUENCIA</t>
  </si>
  <si>
    <t>CALIFICACION</t>
  </si>
  <si>
    <t>PELIGROS</t>
  </si>
  <si>
    <t>PEATON</t>
  </si>
  <si>
    <t>VEHICULO</t>
  </si>
  <si>
    <t>Clima</t>
  </si>
  <si>
    <t>PONDERACION</t>
  </si>
  <si>
    <t>PROBABLE</t>
  </si>
  <si>
    <t>INSIGNIFICANTE</t>
  </si>
  <si>
    <t>MODERADO</t>
  </si>
  <si>
    <t>Rango</t>
  </si>
  <si>
    <t>Calificación</t>
  </si>
  <si>
    <t>Color</t>
  </si>
  <si>
    <t>Verde</t>
  </si>
  <si>
    <t>Amarillo</t>
  </si>
  <si>
    <t>Rojo</t>
  </si>
  <si>
    <t>VALOR</t>
  </si>
  <si>
    <t>DESCRIPCION CUANTITATIVA</t>
  </si>
  <si>
    <t>IMPACTO FACTOR HUMANO</t>
  </si>
  <si>
    <t>Perdidas hasta el 5% del requerimiento de capital</t>
  </si>
  <si>
    <t>Pérdidas de entre 5.01% hasta 25% del requerimiento de capital</t>
  </si>
  <si>
    <t>Pérdidas de entre 25.01% hasta 75% del requerimiento de capital</t>
  </si>
  <si>
    <t>Pérdidas de entre 75.01% y 95% del requerimiento de capital</t>
  </si>
  <si>
    <t>Pérdidas de hasta 100% del requerimiento de capital</t>
  </si>
  <si>
    <t>CONDUCTOR</t>
  </si>
  <si>
    <t xml:space="preserve">OPERATIVO </t>
  </si>
  <si>
    <t>TECNICO</t>
  </si>
  <si>
    <t>ADMINISTRATIVO</t>
  </si>
  <si>
    <t>COMERCIAL</t>
  </si>
  <si>
    <t>EJECUTIVO</t>
  </si>
  <si>
    <t>ROL EN LA VIA</t>
  </si>
  <si>
    <t>FACTORES DE RIESGO HUMANO</t>
  </si>
  <si>
    <t>FACTORES DE RIESGO VEHICULO</t>
  </si>
  <si>
    <t>FACTORES DE RIESGO VIA Y ENTORNO</t>
  </si>
  <si>
    <t>CICLISTA</t>
  </si>
  <si>
    <t>Mi propia conducción</t>
  </si>
  <si>
    <t>Velocidad</t>
  </si>
  <si>
    <t>Uso de alcohol o drogas</t>
  </si>
  <si>
    <t>No respetar las señales</t>
  </si>
  <si>
    <t>Distracción</t>
  </si>
  <si>
    <t>FRECUENTE</t>
  </si>
  <si>
    <t>OCASIONAL</t>
  </si>
  <si>
    <t>Ausencia de señales</t>
  </si>
  <si>
    <t>Falta de mantenimiento</t>
  </si>
  <si>
    <t>Mal estado de la vía</t>
  </si>
  <si>
    <t>Mal estado</t>
  </si>
  <si>
    <t>PASAJERO-OCUPANTE</t>
  </si>
  <si>
    <t>Sueño / Fatiga</t>
  </si>
  <si>
    <t>Ninguna</t>
  </si>
  <si>
    <t>Intolerancia</t>
  </si>
  <si>
    <t>DATOS DE LA EMPRESA</t>
  </si>
  <si>
    <t>Empresa:</t>
  </si>
  <si>
    <t>Contenido</t>
  </si>
  <si>
    <t>EVALUACIÓN DEL RIESGO VIAL</t>
  </si>
  <si>
    <t>Matriz</t>
  </si>
  <si>
    <t>Ponderación</t>
  </si>
  <si>
    <t>Lista de Cargos</t>
  </si>
  <si>
    <t>Listas</t>
  </si>
  <si>
    <t>EVALUACIÓN DE RIESGO VIALES Y CARGOS EN LA ORGANIZACIÓN</t>
  </si>
  <si>
    <t>CARGOS EN LA EMPRESA</t>
  </si>
  <si>
    <t>Liste todos los cargos de la empresa, que van a ser valorados desde el rol mas representativo en la via</t>
  </si>
  <si>
    <t>LISTADOS - MATRIZ</t>
  </si>
  <si>
    <t>PARAMETROS Y CRITERIOS (NTC ISO 31000:2011 - GTC 137)</t>
  </si>
  <si>
    <t>Logo Empresa:</t>
  </si>
  <si>
    <t>Mal estado del Vehículo</t>
  </si>
  <si>
    <t>Deficiencia sistemas de Seguridad Activa</t>
  </si>
  <si>
    <t>Repuestos inadecuados</t>
  </si>
  <si>
    <t>Mala Señalización</t>
  </si>
  <si>
    <t>Desconocimiento Normativo</t>
  </si>
  <si>
    <t>Personal inexperto</t>
  </si>
  <si>
    <t>Falta de iluminación</t>
  </si>
  <si>
    <t>No cumplir las Normas</t>
  </si>
  <si>
    <t>Talleres inadecuados</t>
  </si>
  <si>
    <t xml:space="preserve">EMPRESA: </t>
  </si>
  <si>
    <t>FECHA DE ELABORACIÓN:</t>
  </si>
  <si>
    <t xml:space="preserve">FECHA DE ACTUALIZACIÓN </t>
  </si>
  <si>
    <t>Clasificación Grupos de trabajo</t>
  </si>
  <si>
    <t>Rol en la via</t>
  </si>
  <si>
    <t>Peligros</t>
  </si>
  <si>
    <t>PLAN DE ACCIÓN</t>
  </si>
  <si>
    <t>Observaciones</t>
  </si>
  <si>
    <t>Interpretación</t>
  </si>
  <si>
    <t>ACEPTABILIDAD DEL RIEGO</t>
  </si>
  <si>
    <t>Controles - MEDIO</t>
  </si>
  <si>
    <t>Cotroles - INDIVIDUO</t>
  </si>
  <si>
    <t>Responsable</t>
  </si>
  <si>
    <t>Fecha programación</t>
  </si>
  <si>
    <t>Estado</t>
  </si>
  <si>
    <t>Factor de riesgo humano</t>
  </si>
  <si>
    <t xml:space="preserve">Factor de riesgo vehiculos </t>
  </si>
  <si>
    <t>Control bimensual al mantenimiento de los vehiculos por parte del Comité de Seguridad Vial.</t>
  </si>
  <si>
    <t>Factor de riesgo vía y entorno</t>
  </si>
  <si>
    <t xml:space="preserve">Vias en mal estado </t>
  </si>
  <si>
    <t>PROFESIONAL OPERATIVO</t>
  </si>
  <si>
    <t>INSTRUCTIVO PARA EL DILIGENCIAMIENTO DE EVALUACION DEL RIESGO DE SEGURIDAD VIAL</t>
  </si>
  <si>
    <t>Para el diligenciamiento de la evaluacion del Riesgo de Seguridad Vial, se seguira el siguiente instructivo:</t>
  </si>
  <si>
    <t xml:space="preserve">
</t>
  </si>
  <si>
    <t>FACTORES HUMANOS</t>
  </si>
  <si>
    <t>VIA Y ENTORNO</t>
  </si>
  <si>
    <t>Sueño/Fatiga</t>
  </si>
  <si>
    <t>Capacidad insuficiente de las vías</t>
  </si>
  <si>
    <t>Deficiencia de sistemas de seguridad</t>
  </si>
  <si>
    <t>Sobrecarga y sobrecupo del vehículo</t>
  </si>
  <si>
    <t>Uso de alcohol y drogas</t>
  </si>
  <si>
    <t>Alto flujo vehicular</t>
  </si>
  <si>
    <t>Vías estrechas</t>
  </si>
  <si>
    <t>Iluminación nocturna deficiente</t>
  </si>
  <si>
    <t>Animales en la vía</t>
  </si>
  <si>
    <t>Fuente adaptada NTC- ISO 31000:2011</t>
  </si>
  <si>
    <t>Falta de control de Autoridades</t>
  </si>
  <si>
    <t>DIRECTIVO</t>
  </si>
  <si>
    <t>Cargos individuales (lista)</t>
  </si>
  <si>
    <t>Instrucutivo</t>
  </si>
  <si>
    <t>Paso 6. Caracterización, evaluación y control de riesgos (Aplica para todos los niveles)</t>
  </si>
  <si>
    <t>MATRIZ DE IDENTIFICACION, ANALISIS Y VALORACION DEL RIESGO VIAL - PESV - CICLO PHVA</t>
  </si>
  <si>
    <r>
      <rPr>
        <b/>
        <sz val="14"/>
        <color theme="1"/>
        <rFont val="Arial"/>
        <family val="2"/>
      </rPr>
      <t>2. Análisis del riesgo:</t>
    </r>
    <r>
      <rPr>
        <sz val="14"/>
        <color theme="1"/>
        <rFont val="Arial"/>
        <family val="2"/>
      </rPr>
      <t xml:space="preserve">
El propósito del análisis del riesgo en seguridad vial es comprender la naturaleza del riesgo y sus características, por ello, al menos debe considerar factores de exposición, frecuencia, deficiencia y probabilidad.
Algunas herramientas que se pueden utilizar para analizar los riesgos son: el análisis pajarita para riesgos críticos (cualitativa), la Matriz de probabilidad/consecuencia (cualitativa), el análisis de los modos de fallo y de los efectos (semicuantitativa) o las estadísticas y redes Bayesianas (cuantitativa).
</t>
    </r>
    <r>
      <rPr>
        <b/>
        <sz val="14"/>
        <color theme="1"/>
        <rFont val="Arial"/>
        <family val="2"/>
      </rPr>
      <t>3. Valoración del riesgo:</t>
    </r>
    <r>
      <rPr>
        <sz val="14"/>
        <color theme="1"/>
        <rFont val="Arial"/>
        <family val="2"/>
      </rPr>
      <t xml:space="preserve">
El propósito de la valoración del riesgo en seguridad vial es obtener información suficiente o necesaria para facilitar la toma de decisiones, en la valoración se comparan los resultados del análisis con los criterios del riesgo.
La herramienta que se puede utilizar para valorar los riesgos es el mapa de calor que se basa en términos de probabilidad y exposición, teniendo en cuenta que el nivel de consecuencia para seguridad vial siempre va a ser crítico debido a que el riesgo es dinámico. La construcción del mapa de calor se inicia definiendo el nivel de exposición (frecuente, ocasional o esporádica) con respecto al tiempo de la exposición al riesgo vial:
Luego se define el nivel de probabilidad con respecto a los controles que se tienen implementados para reducir el riesgo vial como se muestra en el siguiente ejemplo:
Nota: en el ejemplo no se muestra el nivel de consecuencia debido a que, en seguridad vial siempre va a ser crítico y afectaría la gestión que se puede realizar sobre cada variable.
Finalmente se elabora el mapa de calor teniendo en cuenta el nivel de exposición y el nivel de probabilidad para identificar los riesgos críticos, como se muestra en el siguiente ejemplo:</t>
    </r>
  </si>
  <si>
    <r>
      <t xml:space="preserve">
</t>
    </r>
    <r>
      <rPr>
        <b/>
        <sz val="14"/>
        <color theme="1"/>
        <rFont val="Arial"/>
        <family val="2"/>
      </rPr>
      <t xml:space="preserve">
4. Tratamiento de los riesgos</t>
    </r>
    <r>
      <rPr>
        <sz val="14"/>
        <color theme="1"/>
        <rFont val="Arial"/>
        <family val="2"/>
      </rPr>
      <t xml:space="preserve">
El propósito del tratamiento del riesgo en seguridad vial es seleccionar e implementar controles y acciones para abordarlo.
Las acciones que puede tomar la organización frente al riesgo son: Evitarlo, aceptarlo, eliminar la fuente que lo ocasiona, modificar los factores de exposición (frecuencia, deficiencia y probabilidad).
La evaluación y control de los riesgos se debe actualizar como mínimo una (1) vez al año y/o cada vez que ocurra un accidente de tránsito en el cual resulte involucrado un vehículo de la organización o puesto al servicio de ella y a consecuencia del mismo se causen fatalidades o lesiones; o cuando se presente un accidente de tránsito de un miembro de la comunidad de la organización al interior o en su entorno, o cuando se presenten cambios en las actividades misionales relacionadas con el transporte.
La caracterización, evaluación y control de riesgos del PESV, se encuentran establecidos en los requisitos del SG-SST y en la norma ISO 39001, así:
La caracterización, evaluación y control de riesgos del PESV se puede articular con la identificación de peligros, evaluación y valoración de riesgos del SG-SST, siempre y cuando se tengan en cuenta las diferencias en el alcance frente al riesgo (en lo laboral es un riesgo estático diferente al riesgo dinámico en la seguridad vial) y se cumpla con lo establecido en el presente documento.</t>
    </r>
  </si>
  <si>
    <r>
      <t xml:space="preserve">La organización define y aplica un procedimiento de evaluación y control de riesgos en seguridad vial, que tiene alcance sobre todos los procesos, funciones y actividades relacionadas con el tránsito para el cumplimiento de la misión; dicho procedimiento permitir identificar, analizar y valorar los riesgos en seguridad vial de la organización, donde se incluyen desplazamientos laborales, el entorno próximo de la organización (vecinos y vías aledañas) y los trayectos en itinere, con alcance a toda la comunidad de la organización, con el fin que se pueda priorizar e implementar los controles necesarios para prevenir los riesgos de seguridad vial.
La organización analiza sus actividades, productos y servicios así como los impactos en la seguridad vial que genera (por ejemplo, una concesión vial gestiona el riesgo vial de sus colaboradores y el riesgo vial de los usuarios de su infraestructura vial; un supermercado gestiona el riesgo que genera el tráfico para acceder y salir de sus instalaciones; una empresa que transporta mercancías peligrosas gestiona el riesgo del tránsito de acuerdo con la naturaleza y la compatibilidad de la carga, un colegio gestiona los riesgos para el ingreso y salida de estudiantes.).
Existen variedad de técnicas de gestión del riesgo, algunas son cualitativas y/o cuantitativas, su implementación depende del conocimiento, de los recursos y de los datos que aporte la organización, teniendo en cuenta que en seguridad vial el riesgo es dinámico ya que se presenta por temporalidad y espacialidad, debido al cambio del entorno y asociado a la velocidad de los desplazamientos, donde cada segundo cambia las condiciones de riesgo.
El procedimiento de evaluación y control de riesgos en seguridad vial al menos debe contener:
</t>
    </r>
    <r>
      <rPr>
        <b/>
        <sz val="14"/>
        <rFont val="Arial"/>
        <family val="2"/>
      </rPr>
      <t>1. Identificación del riesgo:</t>
    </r>
    <r>
      <rPr>
        <sz val="14"/>
        <rFont val="Arial"/>
        <family val="2"/>
      </rPr>
      <t xml:space="preserve">
El propósito de la identificación del riesgo en seguridad vial es encontrar, reconocer y describir los riesgos de la seguridad vial, teniendo en cuenta a todos los colaboradores de la organización (peatones/pasajeros y conductores de vehículos motorizados y no motorizados), con enfoque en los desplazamientos en misión y con influencia en los desplazamientos diferentes a los misionales.
Algunas herramientas que se pueden utilizar para identificar los riesgos son: el análisis de las causas de los accidentes de tránsito, las encuestas para identificar la percepción de los colaboradores o la lluvia de ideas con expertos.
</t>
    </r>
  </si>
  <si>
    <t>Tipo de Desplazamiento (seleccione)</t>
  </si>
  <si>
    <t>Socializacion de estandares de Seguridad Vial para peatones
Capacitación actores viales</t>
  </si>
  <si>
    <t>CRITICO</t>
  </si>
  <si>
    <t>IDENTIFICACION</t>
  </si>
  <si>
    <t>VALORACION DEL RIESGO</t>
  </si>
  <si>
    <t>ANALISIS</t>
  </si>
  <si>
    <t>MATRIZ DE RIESGOS VIALES 
EVALUACION DEL RIESGO POR CARGOS, ROLES, DESPLAZAMIENTOS Y FACTORES
DENTIFICACION, ANALISIS Y VALORACION 
Matriz de probabilidad/consecuencia (cualitativa)</t>
  </si>
  <si>
    <t>Nivel de Probabilidad</t>
  </si>
  <si>
    <t>Nivel de Consecuencia</t>
  </si>
  <si>
    <t>Nivel de Exposición</t>
  </si>
  <si>
    <t>EXPOSICION</t>
  </si>
  <si>
    <t>ESPORADICO</t>
  </si>
  <si>
    <t>CONSTANTE</t>
  </si>
  <si>
    <t>MINIMA</t>
  </si>
  <si>
    <t>MUY PROBABLE</t>
  </si>
  <si>
    <t>NO ES PROBABLE</t>
  </si>
  <si>
    <t>POCO PROBABLE</t>
  </si>
  <si>
    <t>MEDIANAMENTE PROBABLE</t>
  </si>
  <si>
    <t>PELIGROSO</t>
  </si>
  <si>
    <t>MARGINAL</t>
  </si>
  <si>
    <t>Desplazamiento en Misón Laboral</t>
  </si>
  <si>
    <t>Revisión de Comparendos</t>
  </si>
  <si>
    <t>Divulgacion de programas de Gestión</t>
  </si>
  <si>
    <t>Reporte GPS</t>
  </si>
  <si>
    <t>Realizar pruebas teoricas</t>
  </si>
  <si>
    <t>Realizar pruebas practicas</t>
  </si>
  <si>
    <t>Proceso de Formación</t>
  </si>
  <si>
    <t>Matenimiento preventivo y correctivo.</t>
  </si>
  <si>
    <t>Seguimiento a infracciones de tránsito.</t>
  </si>
  <si>
    <t>Auditoria a las Inspecciones</t>
  </si>
  <si>
    <t>Auditoria a proveedores</t>
  </si>
  <si>
    <t>Capacitacion en señales de transito y comportamiento en las vias.</t>
  </si>
  <si>
    <t>Generar campaña de sensibilizacion sobre excesos de velocidad.</t>
  </si>
  <si>
    <t xml:space="preserve">Revison y control a los CDA autorizados </t>
  </si>
  <si>
    <t>Socializacion de estandares de Seguridad Vial para pasajeros</t>
  </si>
  <si>
    <t>TRATAMIENTO</t>
  </si>
  <si>
    <t>ACCIONES</t>
  </si>
  <si>
    <t>Acciones</t>
  </si>
  <si>
    <t>Controles</t>
  </si>
  <si>
    <t>CONTROLES</t>
  </si>
  <si>
    <t>EVITARLO</t>
  </si>
  <si>
    <t>ACEPTARLO</t>
  </si>
  <si>
    <t>ELIMINAR LA FUENTE QUE OCASIONA</t>
  </si>
  <si>
    <t>MODIFICAR FACTRES (Frecu-Defici-Probabi)</t>
  </si>
  <si>
    <t xml:space="preserve">MEDIO </t>
  </si>
  <si>
    <t>INDIVIDUO</t>
  </si>
  <si>
    <t>MEDIO-INDIVIDUO</t>
  </si>
  <si>
    <t>3 a 7</t>
  </si>
  <si>
    <t>8 a 11</t>
  </si>
  <si>
    <t>12 a 15</t>
  </si>
  <si>
    <t>III: Bajo</t>
  </si>
  <si>
    <t>CRITERIO</t>
  </si>
  <si>
    <t>Las exposicion al riesgo se presenta entre 2 y 4 horas al dia</t>
  </si>
  <si>
    <t>Las exposicion al riesgo se presenta entre 4 y 6 horas al día</t>
  </si>
  <si>
    <t>Las exposicion al riesgo se presenta entre 6 y 8 horas al día</t>
  </si>
  <si>
    <t>Se presenta mas de 8  horas al dia</t>
  </si>
  <si>
    <t>Se presenta menos de 2  horas al dia</t>
  </si>
  <si>
    <t>Cansancio, fatiga, estrés, lesiones, muerte</t>
  </si>
  <si>
    <t>No se tienen controles establecidos</t>
  </si>
  <si>
    <t>Se tienen controles establecidos y eficaces</t>
  </si>
  <si>
    <t>Se tienen controles,  pero su eficacia es baja</t>
  </si>
  <si>
    <t>Se tienen solo algunos controles</t>
  </si>
  <si>
    <t>Solo daños leves</t>
  </si>
  <si>
    <t>Daños graves y/o lesionados</t>
  </si>
  <si>
    <t>Daños leves y/o lesionados</t>
  </si>
  <si>
    <t>Daños graves y/o víctima mortal</t>
  </si>
  <si>
    <t>Perdidas altas y/o victimas mortales</t>
  </si>
  <si>
    <t>Nivel de Riesgo</t>
  </si>
  <si>
    <t>I: Crítico o Alto</t>
  </si>
  <si>
    <t>II: Moderado o Medio</t>
  </si>
  <si>
    <t>Consiste entonces en cruzar el eje X (gravedad-consecuencia) con el eje Y (probabilidad), con el eje Y (exposicion) y ponderar el grado de riesgo (alto, medio, bajo)  para su posterior tratamiento.</t>
  </si>
  <si>
    <r>
      <rPr>
        <b/>
        <sz val="11"/>
        <color indexed="8"/>
        <rFont val="Arial"/>
        <family val="2"/>
      </rPr>
      <t xml:space="preserve">DIAGNOSTICO: </t>
    </r>
    <r>
      <rPr>
        <sz val="11"/>
        <color theme="1"/>
        <rFont val="Arial"/>
        <family val="2"/>
      </rPr>
      <t>El diagnóstico constituye una herramienta de análisis utilizada para conocer la situación actual de una organización y los problemas que pueden poner en riesgo a sus miembros y a sus bienes cuando hacen uso de los modos y medios de transporte, en ejercicio de funciones o actividades propias de ella, útil para definir un plan de acción que prevenga y corrija las situaciones peligrosas.</t>
    </r>
  </si>
  <si>
    <r>
      <rPr>
        <b/>
        <sz val="11"/>
        <color indexed="8"/>
        <rFont val="Arial"/>
        <family val="2"/>
      </rPr>
      <t xml:space="preserve">UTILIDAD DEL DIAGNOSTICO: </t>
    </r>
    <r>
      <rPr>
        <sz val="11"/>
        <color theme="1"/>
        <rFont val="Arial"/>
        <family val="2"/>
      </rPr>
      <t>El diagnóstico nos permite conocer la situación actual, establecer la existencia de debilidades y fortalezas, entender las relaciones entre los distintos actores de la organización cuando se desenvuelven en un sistema de movilidad, identificar los problemas, riesgos potenciales, consecuencias, prioridades, diseñar estrategias, alternativas y acciones.</t>
    </r>
  </si>
  <si>
    <r>
      <t xml:space="preserve">EMPRESA:  </t>
    </r>
    <r>
      <rPr>
        <sz val="11"/>
        <color theme="1"/>
        <rFont val="Arial"/>
        <family val="2"/>
      </rPr>
      <t xml:space="preserve">Hace referencia al nombre de la empresa que esta realizando la evaluacion del riesgo de seguridad vial. </t>
    </r>
  </si>
  <si>
    <r>
      <rPr>
        <b/>
        <sz val="11"/>
        <color indexed="8"/>
        <rFont val="Arial"/>
        <family val="2"/>
      </rPr>
      <t>FECHA:</t>
    </r>
    <r>
      <rPr>
        <sz val="11"/>
        <color theme="1"/>
        <rFont val="Arial"/>
        <family val="2"/>
      </rPr>
      <t xml:space="preserve">  Escriba la fecha correspondiente en la que realiza la evaluacion del riesgo.</t>
    </r>
  </si>
  <si>
    <r>
      <t xml:space="preserve">PORCENTAJE CUMPLIMIENTO PLAN DE ACCION: </t>
    </r>
    <r>
      <rPr>
        <sz val="11"/>
        <color theme="1"/>
        <rFont val="Arial"/>
        <family val="2"/>
      </rPr>
      <t>No llene este item, dato que automaticmente se actualiza con el estado del plan de accion.</t>
    </r>
  </si>
  <si>
    <r>
      <t xml:space="preserve">CARGO: </t>
    </r>
    <r>
      <rPr>
        <sz val="11"/>
        <color theme="1"/>
        <rFont val="Arial"/>
        <family val="2"/>
      </rPr>
      <t xml:space="preserve"> Consigne los oficios que desempeñan los empleados en los grupos de trabajo definidos.</t>
    </r>
  </si>
  <si>
    <r>
      <rPr>
        <b/>
        <sz val="11"/>
        <color indexed="8"/>
        <rFont val="Arial"/>
        <family val="2"/>
      </rPr>
      <t xml:space="preserve">ROL EN LA VIA:  </t>
    </r>
    <r>
      <rPr>
        <sz val="11"/>
        <color theme="1"/>
        <rFont val="Arial"/>
        <family val="2"/>
      </rPr>
      <t>Se refiere a la forma de actuacion e interrelacion de la persona frente a la via asi:</t>
    </r>
  </si>
  <si>
    <r>
      <t xml:space="preserve">CONDUCTOR:  </t>
    </r>
    <r>
      <rPr>
        <sz val="11"/>
        <color theme="1"/>
        <rFont val="Arial"/>
        <family val="2"/>
      </rPr>
      <t>Es la persona habilitada y capacitada técnica y teóricamente para operar un vehículo (CNT, 2002).</t>
    </r>
  </si>
  <si>
    <r>
      <rPr>
        <b/>
        <sz val="11"/>
        <color indexed="8"/>
        <rFont val="Arial"/>
        <family val="2"/>
      </rPr>
      <t xml:space="preserve">PEATON:  </t>
    </r>
    <r>
      <rPr>
        <sz val="11"/>
        <color theme="1"/>
        <rFont val="Arial"/>
        <family val="2"/>
      </rPr>
      <t>Persona que transita a pie por una vía (CNT, 2002).</t>
    </r>
  </si>
  <si>
    <r>
      <rPr>
        <b/>
        <sz val="11"/>
        <color indexed="8"/>
        <rFont val="Arial"/>
        <family val="2"/>
      </rPr>
      <t>PASAJERO:</t>
    </r>
    <r>
      <rPr>
        <sz val="11"/>
        <color theme="1"/>
        <rFont val="Arial"/>
        <family val="2"/>
      </rPr>
      <t xml:space="preserve">  Persona distinta del conductor que se transporta en un vehículo público (CNT, 2002).</t>
    </r>
  </si>
  <si>
    <r>
      <t xml:space="preserve">PELIGRO: </t>
    </r>
    <r>
      <rPr>
        <sz val="11"/>
        <color theme="1"/>
        <rFont val="Arial"/>
        <family val="2"/>
      </rPr>
      <t>Son las  fuentes de error del sistema, éstos podrían incluir: el equipo, el entorno operativo (incluyendo las condiciones físicas, la infraestructura vial y el diseño de las ruta), los operadores humanos, la interfaz hombre-vehículo), los procedimientos operacionales, los procedimientos de mantenimiento y los servicios externos. Un peligro es cualquier condición real o potencial que puede causar lesiones o la muerte a personas, daños a vehículos o a la propiedad y pérdidas a la organización. Un peligro es una condición prerrequisito para un accidente o incidente.</t>
    </r>
  </si>
  <si>
    <r>
      <t xml:space="preserve">PROBABILIDAD:  </t>
    </r>
    <r>
      <rPr>
        <sz val="11"/>
        <color theme="1"/>
        <rFont val="Arial"/>
        <family val="2"/>
      </rPr>
      <t>La probabilidad del riesgo se define con respectro a los controles que se tienen implementados para reducir el riesgo vial</t>
    </r>
  </si>
  <si>
    <r>
      <t xml:space="preserve">CONSECUENCIA DEL RIESGO: </t>
    </r>
    <r>
      <rPr>
        <sz val="11"/>
        <rFont val="Arial"/>
        <family val="2"/>
      </rPr>
      <t>Se define como la magnitud de los daños que razonablemente se puedan producir como consecuencia o resultado de los peligros identificados, en términos de muertes y lesiones (empleados, pasajeros, transeúntes y público en general) o de daños (vehículos o la propiedad).</t>
    </r>
  </si>
  <si>
    <r>
      <rPr>
        <b/>
        <sz val="11"/>
        <color theme="1"/>
        <rFont val="Arial"/>
        <family val="2"/>
      </rPr>
      <t>EXPOSICION AL RIESGO:</t>
    </r>
    <r>
      <rPr>
        <sz val="11"/>
        <color theme="1"/>
        <rFont val="Arial"/>
        <family val="2"/>
      </rPr>
      <t xml:space="preserve"> Se define por el numero de horas de exposicion al riesgo y a factores en via, entorno, vehiculo y humano durante el dia</t>
    </r>
  </si>
  <si>
    <r>
      <t xml:space="preserve">EVALUACION DEL RIESGO:  (relacion entre probabilidad, consecuencia, exposicion, calificacion, interpretacion).   </t>
    </r>
    <r>
      <rPr>
        <sz val="11"/>
        <color theme="1"/>
        <rFont val="Arial"/>
        <family val="2"/>
      </rPr>
      <t>En esta fase, el riesgo que ofrece cada peligro identificado se compara y representa en una matriz de aceptabilidad del riesgo previamente planificada, como la que se muestra en latabla a continuacion.  La prioridad de un riesgo se determina por su ubicación en la matriz de riesgos. Los riesgos de mayor prioridad reciben la mayor atención en el tratamiento del riesgo.</t>
    </r>
  </si>
  <si>
    <r>
      <t xml:space="preserve">PLAN DE ACCION: </t>
    </r>
    <r>
      <rPr>
        <sz val="11"/>
        <color theme="1"/>
        <rFont val="Arial"/>
        <family val="2"/>
      </rPr>
      <t>En esta fase, se desarrollan estrategias para manejar el riesgo de un peligro. Estas estrategias se convierten en acciones para reducir el riesgo de que se produzcan efectos en el sistema. La mayoría de estrategias de gestión del riesgo se orientan hacia los peligros que representa un riesgo alto o medio. Aquellos con riesgo bajo, por definición, son adecuadamente controlados.</t>
    </r>
    <r>
      <rPr>
        <b/>
        <sz val="11"/>
        <color indexed="8"/>
        <rFont val="Arial"/>
        <family val="2"/>
      </rPr>
      <t xml:space="preserve">
</t>
    </r>
  </si>
  <si>
    <r>
      <t xml:space="preserve">DESCRIPCION:  </t>
    </r>
    <r>
      <rPr>
        <sz val="11"/>
        <color theme="1"/>
        <rFont val="Arial"/>
        <family val="2"/>
      </rPr>
      <t>Corresponde a las actividades que se plantean como medida de intervencion de los riesgos de seguridad vial.</t>
    </r>
  </si>
  <si>
    <r>
      <t xml:space="preserve">RESPONSABLE:  </t>
    </r>
    <r>
      <rPr>
        <sz val="11"/>
        <color theme="1"/>
        <rFont val="Arial"/>
        <family val="2"/>
      </rPr>
      <t>Consigne Nombres y Apellidos de las personas encargadas de implementar las actividades que se porponen como intervencion.</t>
    </r>
  </si>
  <si>
    <r>
      <t xml:space="preserve">FECHA PROGRAMACION:  </t>
    </r>
    <r>
      <rPr>
        <sz val="11"/>
        <color theme="1"/>
        <rFont val="Arial"/>
        <family val="2"/>
      </rPr>
      <t>Se describe la fecha de cumplimiento de la implementacion de las actividades de intervencion del riesgo de seguridad vial.</t>
    </r>
  </si>
  <si>
    <r>
      <t xml:space="preserve">ESTADO:  </t>
    </r>
    <r>
      <rPr>
        <sz val="11"/>
        <color theme="1"/>
        <rFont val="Arial"/>
        <family val="2"/>
      </rPr>
      <t>Planeado cuando esta pendiente por cumplir o cerrar.  Ejecutado cuando ya esta cumplido, este item generar el indicador de gestión</t>
    </r>
  </si>
  <si>
    <t>CRITERIO ( pensar en lo que pueda llegar a pasar asi no se halla materializado)</t>
  </si>
  <si>
    <t xml:space="preserve">Capacitaciones y/o sensibilizaciones en seguridad vial </t>
  </si>
  <si>
    <t xml:space="preserve">Sanciones </t>
  </si>
  <si>
    <t>SST</t>
  </si>
  <si>
    <t>Observaciones de Comportamiento por medio de la central de monitoreo</t>
  </si>
  <si>
    <t xml:space="preserve">Ver plan de capacitacion </t>
  </si>
  <si>
    <t>Permanente</t>
  </si>
  <si>
    <t>SST-Comite de seguridad vial</t>
  </si>
  <si>
    <t>Operaciones</t>
  </si>
  <si>
    <t>Deplazamiento Intinere</t>
  </si>
  <si>
    <t>Divulgacion estandares de seguridad vial</t>
  </si>
  <si>
    <t>Zonas de descanso</t>
  </si>
  <si>
    <t>Campañas e inspeccion de cascos</t>
  </si>
  <si>
    <t>Falta de inspeccion en los vehículos</t>
  </si>
  <si>
    <t>Generar programaciones para inspecciones rutinarias</t>
  </si>
  <si>
    <t>Mantenimiento</t>
  </si>
  <si>
    <t xml:space="preserve">Congestion en vias </t>
  </si>
  <si>
    <t xml:space="preserve">ESTE RIESGO SE EVALUA POR FALTA DE OPORTUNIDAD DE ATENCIÓN POR LA AUTORIDAD </t>
  </si>
  <si>
    <t xml:space="preserve">hurto, atracos  en la via </t>
  </si>
  <si>
    <t>Acercamiento con la autoridad y entidades públicas</t>
  </si>
  <si>
    <t>Rotacion en programacion para garantizar el descanso</t>
  </si>
  <si>
    <t xml:space="preserve">SE HAN ESTABLECIDO CONTROLES A TRAVES DE CAMARAS EN VEHÍCULOS, PERO AUN SE EVIDENCIAN CASOS DE ATRACO Y HURTOS </t>
  </si>
  <si>
    <t xml:space="preserve">Camaras de seguridad </t>
  </si>
  <si>
    <t>Central de monitoreo</t>
  </si>
  <si>
    <t>Divulgacion de protocolos</t>
  </si>
  <si>
    <t>LOS PEATONES EN OCASIONES NO RESPETAN LAS SEÑALAES, NO USAN LAS ACERAS, LOS CONDUCTORES NO ESTAN TAN EXPUESTOS A SER PEATONES</t>
  </si>
  <si>
    <t>SE EVIDENCIAS ALGUNAS VIAS DE CIRCULACION DEL PEATON EN MAL ESTADO ( ALCANTARILLAS DESATAPADAS, HUECOS, ETC)</t>
  </si>
  <si>
    <t>NO SE TENIDO CASOS DE ACCIDENTES EN BICICLETA, LOS DESPLAZAMIENTOS SON MÍNIMOS</t>
  </si>
  <si>
    <t>Se tienen controles,  pero su eficacia es buena/ Pocos antecedentes o sin antecedentes</t>
  </si>
  <si>
    <t>TODOS LOS CARGOS</t>
  </si>
  <si>
    <t>Ejecucion de actividades programas de gestion del riesgo</t>
  </si>
  <si>
    <t>Ver programa de gestion del riesgo</t>
  </si>
  <si>
    <t xml:space="preserve">SE EVIDENCIA ALGUNOS CONDUCTORES EN LAS VIAS CON POCA EXPERIENCIA </t>
  </si>
  <si>
    <t xml:space="preserve">Divulgación del PESV o programas de gestion de riesgos criticos </t>
  </si>
  <si>
    <t>Registro Exceso de velocidad</t>
  </si>
  <si>
    <t>Seguimiento al cumpliimiento de programas  de gestion del riesgo</t>
  </si>
  <si>
    <t>Ver  planes y programas de sst</t>
  </si>
  <si>
    <t>Vigilancia y control por personal de mantenimiento</t>
  </si>
  <si>
    <t>Vigilancia y control por parte del personal de mantenimiento</t>
  </si>
  <si>
    <t>Sensibilizacion y capacitacion</t>
  </si>
  <si>
    <t>Autoridad de transito, camaras fotomulta</t>
  </si>
  <si>
    <t xml:space="preserve">Pico y placa </t>
  </si>
  <si>
    <t xml:space="preserve">Ver programa de capacitacion </t>
  </si>
  <si>
    <t xml:space="preserve">Ver programa de capacitacoin </t>
  </si>
  <si>
    <t>CONTROL DE DESCANSOS A CONDUCTORES</t>
  </si>
  <si>
    <t xml:space="preserve">Permanente </t>
  </si>
  <si>
    <r>
      <rPr>
        <b/>
        <sz val="22"/>
        <color theme="0"/>
        <rFont val="Arial"/>
        <family val="2"/>
      </rPr>
      <t>PESV</t>
    </r>
    <r>
      <rPr>
        <sz val="12"/>
        <color theme="0"/>
        <rFont val="Arial"/>
        <family val="2"/>
      </rPr>
      <t xml:space="preserve">
</t>
    </r>
    <r>
      <rPr>
        <b/>
        <sz val="12"/>
        <color theme="0"/>
        <rFont val="Arial"/>
        <family val="2"/>
      </rPr>
      <t xml:space="preserve"> Decreto 2106 (Articulo 110), Ley 2050 de 2020 y Decreto 1252 de 2021, Resolución 40595 de 2022 </t>
    </r>
  </si>
  <si>
    <t>Lider PESV - Comite de segurdad vial</t>
  </si>
  <si>
    <t xml:space="preserve">Programacion de conductores, descanso a condcutores </t>
  </si>
  <si>
    <t>NIVEL DE RIESGO ALTO o CRITICO</t>
  </si>
  <si>
    <t>Comite de segurdad vial- Seguridad vial</t>
  </si>
  <si>
    <t>Comite de segurdad vial-seguridad vial</t>
  </si>
  <si>
    <t>Comite de segurdad vial-seguridad vial sst</t>
  </si>
  <si>
    <t>Seguridad vial</t>
  </si>
  <si>
    <t>SST, Seguridad vial</t>
  </si>
  <si>
    <t xml:space="preserve">
SI EL PEATON VA DISTRAIDO NO REACCIONA DE FORMA SEGURA EN CASO DE ACCIDENTE</t>
  </si>
  <si>
    <t>EL MAL ESTADO DE LA VIA PUEDE GENERAR UNA CAIDA AL PEATON DENTRO DE LAS INSTALACIONES DE LA EMPRESA</t>
  </si>
  <si>
    <t>SOLUCIONES ENVIEXPRESA SAS</t>
  </si>
  <si>
    <t>Exceso de Velocidad</t>
  </si>
  <si>
    <t>Poca experticia del conductor</t>
  </si>
  <si>
    <t xml:space="preserve">NOMBRE DE LA EMPRESA: CARITRANS </t>
  </si>
  <si>
    <t>NIT: 890906878</t>
  </si>
  <si>
    <t>ARL: SEGUROS BOLIVAR</t>
  </si>
  <si>
    <t>CIUDAD SEDE: MEDELLÍN</t>
  </si>
  <si>
    <t xml:space="preserve">DIRECCIÓN: CARRERA 43 # 31 - 89 </t>
  </si>
  <si>
    <t xml:space="preserve">TELÉFONO: 604 232 55 77 </t>
  </si>
  <si>
    <t>CARGO: GERENTE DE OPERACIONES Y RESPONSABLE PESV</t>
  </si>
  <si>
    <t xml:space="preserve">PERSONA DE CONTACTO: DAVID LONDOÑO </t>
  </si>
  <si>
    <t>CARITRANS</t>
  </si>
  <si>
    <t xml:space="preserve">CARITRANS </t>
  </si>
  <si>
    <t>MT-SST-09</t>
  </si>
  <si>
    <t>GERENTE GENERAL</t>
  </si>
  <si>
    <t>GERENTE ADMINISTRATIVO Y FINANCIERO</t>
  </si>
  <si>
    <t>GERENTE COMERCIAL</t>
  </si>
  <si>
    <t>GERENTE DE OPERACIONES</t>
  </si>
  <si>
    <t>DIRECTORA DE DESARROLLO CORPORATIVO</t>
  </si>
  <si>
    <t>JEFE DE SEGURIDAD</t>
  </si>
  <si>
    <t>LÍDER CONTABLE</t>
  </si>
  <si>
    <t>REVISOR FISCAL</t>
  </si>
  <si>
    <t>DIRECTOR DE AGENCIA</t>
  </si>
  <si>
    <t>LÍDER DE TESORERÍA</t>
  </si>
  <si>
    <t>LÍDER ADMINISTRATIVA</t>
  </si>
  <si>
    <t>LÍDER DE FLOTA PROPIA</t>
  </si>
  <si>
    <t>LÍDER DE SST</t>
  </si>
  <si>
    <t>ANALISTA CONTABLE</t>
  </si>
  <si>
    <t>COORDINADOR DE CONTROL TRÁFICO</t>
  </si>
  <si>
    <t>ANALISTA DE SERVICIO AL CLIENTE</t>
  </si>
  <si>
    <t>LÍDER DE TI</t>
  </si>
  <si>
    <t>ANALISTA DE FACTURACIÓN</t>
  </si>
  <si>
    <t>ANALISTA DE OPERACIONES</t>
  </si>
  <si>
    <t>AUXILIAR ADMINISTRATIVA</t>
  </si>
  <si>
    <t>AUXILIAR DE TI</t>
  </si>
  <si>
    <t>APOYO OPERACIONAL</t>
  </si>
  <si>
    <t>EMBARCADOR</t>
  </si>
  <si>
    <t>AUXILIAR CONTABLE</t>
  </si>
  <si>
    <t>AUXILIAR DE SERVICIOS GENERALES</t>
  </si>
  <si>
    <t>CONTROLADOR DE TRÁFICO</t>
  </si>
  <si>
    <t>AUXILIAR DE MANTENIMIENTO</t>
  </si>
  <si>
    <t>AUXILIAR DE OFICIOS VARIOS</t>
  </si>
  <si>
    <t>COORDINADOR DE OPERACIONES</t>
  </si>
  <si>
    <t>AUXILIAR DE OPERACIONES</t>
  </si>
  <si>
    <t>EJECUTIVO COMERCIAL</t>
  </si>
  <si>
    <t>MAYORDOMO</t>
  </si>
  <si>
    <t>ANALISTA DE TESORERÍA</t>
  </si>
  <si>
    <t>AUXILIAR DE SERVICIOS GENERALES Y OPERACIONES</t>
  </si>
  <si>
    <t>EJECUTIVO DE SERVICIO</t>
  </si>
  <si>
    <t>Líder de flota propia (flota propia), comité de seguridad vial, control tráfico (terceros)</t>
  </si>
  <si>
    <t>Cámara 360° o de monitoreo en ruta</t>
  </si>
  <si>
    <t>Gestion Humana, líder de flota propia, directores de agencia</t>
  </si>
  <si>
    <t xml:space="preserve">Reglamento interno
Manual de contratistas </t>
  </si>
  <si>
    <t xml:space="preserve">Vigilancia y control de comparendos </t>
  </si>
  <si>
    <t xml:space="preserve">Jefe de seguridad, líderes de procesos aliados </t>
  </si>
  <si>
    <t xml:space="preserve">Mensual </t>
  </si>
  <si>
    <t>SE CUENTA CON UNA CENTRAL DE MONITOREO QUE REALIZA EL SEGUIMIENTO A LOS EXCESOS DE VELOCIDAD PRESENTADOS POR LOS CONDUCTORES; SIN EMBARGO, NO SE LLEVA UN CONTROL DE LAS JORNADAS DE TRABAJO Y CONDUCCIÓN, ASPECTO QUE DEBE CONSIDERARSE EN LA PLANEACIÓN Y PROGRAMACIÓN DE RUTAS.</t>
  </si>
  <si>
    <t>Generar campaña de sensibilizacion sobre señales de tránsito.</t>
  </si>
  <si>
    <t>NO ACEPTABLE</t>
  </si>
  <si>
    <t>SE CUENTA CON PROGRAMA DE PPA</t>
  </si>
  <si>
    <t xml:space="preserve">Realización de pruebas de alchol y drogas </t>
  </si>
  <si>
    <t xml:space="preserve">IPS, SST </t>
  </si>
  <si>
    <t>Ver programa de PPA</t>
  </si>
  <si>
    <t>Capacitaciones y/o sensibilizaciones en adicciones</t>
  </si>
  <si>
    <t xml:space="preserve">Ver cronograma de capacitaciones </t>
  </si>
  <si>
    <t xml:space="preserve">OMISIÓN DE SEÑALES DE TRÁNSITO </t>
  </si>
  <si>
    <t>FALLAS EN LA PROGRAMACION PARA LA REVISION Y/O INSPECCION DEL VEHÍCULO</t>
  </si>
  <si>
    <t>Establecer un registro de control y trazabilidad de repuestos (fecha, proveedor, tipo de repuesto, vehículo asignado, observaciones).</t>
  </si>
  <si>
    <t>Capacitar al personal de mantenimiento y compras en verificación de calidad de repuestos y criterios de selección de proveedores.</t>
  </si>
  <si>
    <t>POSIBLES MANTENIMIENTOS EN TALLERES NO CERTIFICADOS</t>
  </si>
  <si>
    <t xml:space="preserve">
LOS PROVEEDORES DE REPUESTOS NO ESTÁN VERIFICADOS Y NO SE REALIZA SEGUIMIENTO A LA CALIDAD DE LOS PRODUCTOS ADQUIRIDOS.
</t>
  </si>
  <si>
    <t>Realizar alianzas con talleres o almacenes que garanticen la calidad, trazabilidad y originalidad de los repuestos utilizados en los vehículos de la empresa.</t>
  </si>
  <si>
    <t>Sensibilizar al personal de mantenimiento sobre la importancia de utilizar únicamente proveedores aliados o certificados.</t>
  </si>
  <si>
    <t xml:space="preserve">Lider PESV - Mantenimiento </t>
  </si>
  <si>
    <t>Definir y formalizar los criterios de documentación obligatoria para los proveedores que suministren repuestos, asegurando el cumplimiento de requisitos legales, técnicos y de calidad.</t>
  </si>
  <si>
    <t xml:space="preserve">TODOS LOS CARGOS </t>
  </si>
  <si>
    <t>ANALISTA DE OPERACIONES (2)
COORDINADOR DE OPERACIONES (1)</t>
  </si>
  <si>
    <t>EL TRABJADOR TIENE QUE TRANSITAR FRECUENTEMENTE LAS VIAS PARA REALIZAR SU LABOR</t>
  </si>
  <si>
    <t xml:space="preserve">COORDINADOR DE OPERACIONES (1)
EMBARCADOR (2)
ANALISTA DE OPERACIONES (3)
AUXILIAR DE OPERACIONES/MENSAJERO  (1)
APOYO OPERACIONAL/MENSAJERIA (1)
AUXILIAR DE MANTENIMIENTO (2)
</t>
  </si>
  <si>
    <t xml:space="preserve">CONDUCTOR CARRO PARTICULAR </t>
  </si>
  <si>
    <t>NO SE TENIDO CASOS DE ACCIDENTES EN CARROS PARTICULARES, LOS DESPLAZAMIENTOS SON MÍNIMOS</t>
  </si>
  <si>
    <t xml:space="preserve">LOS CASOS PRESENTADOS SON MINIMOS Y SE CUENTA CON PROGRAMA DE PPA </t>
  </si>
  <si>
    <t xml:space="preserve">Comite de segurdad vial-seguridad vial, líder de PESV, Líder de SST </t>
  </si>
  <si>
    <t>ACEPTABLE</t>
  </si>
  <si>
    <t xml:space="preserve">DESPLAZAMIENTOS MINIMOS POR HACER VISITAS POR DEMANDA Y DENTRO DE SU JORNADA LABORAL </t>
  </si>
  <si>
    <t>Promoción del uso de rutas seguras y conocidas, evitando trayectos prolongados o de alto riesgo vial.</t>
  </si>
  <si>
    <r>
      <t>Promoción del uso de rutas seguras y conocidas</t>
    </r>
    <r>
      <rPr>
        <sz val="11"/>
        <color theme="1"/>
        <rFont val="Calibri"/>
        <family val="2"/>
        <scheme val="minor"/>
      </rPr>
      <t>, evitando trayectos prolongados o de alto riesgo vial.</t>
    </r>
  </si>
  <si>
    <r>
      <t>Divulgación de pausas recomendadas</t>
    </r>
    <r>
      <rPr>
        <sz val="11"/>
        <color theme="1"/>
        <rFont val="Calibri"/>
        <family val="2"/>
        <scheme val="minor"/>
      </rPr>
      <t xml:space="preserve"> en desplazamientos largos (paradas cada 2 horas o 150–200 km)</t>
    </r>
  </si>
  <si>
    <r>
      <t>Campañas de sensibilización vial</t>
    </r>
    <r>
      <rPr>
        <sz val="11"/>
        <color theme="1"/>
        <rFont val="Calibri"/>
        <family val="2"/>
        <scheme val="minor"/>
      </rPr>
      <t xml:space="preserve"> sobre riesgos asociados al sueño y la fatiga en la conducción.</t>
    </r>
  </si>
  <si>
    <t>Divulgación de pausas recomendadas en desplazamientos largos (paradas cada 2 horas o 150–200 km)</t>
  </si>
  <si>
    <t>Campañas de sensibilización vial sobre riesgos asociados al sueño y la fatiga en la conducción.</t>
  </si>
  <si>
    <t xml:space="preserve">Capacitar en habitos saludables y control de fatiga </t>
  </si>
  <si>
    <t xml:space="preserve">Rutogramas </t>
  </si>
  <si>
    <t xml:space="preserve">SE REALIZAN CAPACITACIONES DE PREVENCIÓN EN EXCESOS DE VELOCIDAD, SIN EMBRAGO, NO SE CUENTA CON UN CONTROL EN EL VEHICULOS NI EN LAS ACTIVIDADES DE DESPLAZAMIENTOS LABORALES </t>
  </si>
  <si>
    <t xml:space="preserve">NO SE TIENEN CONTROLES PERMANENTES EN MANTENIMIENTOS  DE VEHICULOS, SIN EMBARGO SE CUENTA CON LA RENOVACIÓN DE RTM </t>
  </si>
  <si>
    <t xml:space="preserve">Actualización periódica de documentación legal del vehículo </t>
  </si>
  <si>
    <t xml:space="preserve">Vigilancia y control de las inspecciones preoperativas </t>
  </si>
  <si>
    <t>Proceso de Formación y campañas</t>
  </si>
  <si>
    <t xml:space="preserve">CSV </t>
  </si>
  <si>
    <t>LA EXPOSICIÓN ES OCASIONAL Y LAS CONSECUENCIAS POTENCIALES SON INSIGNIFICANTES. AUNQUE PUEDE GENERAR RETRASOS, ESTRÉS O INCOMODIDAD, NO SE IDENTIFICAN IMPACTOS SEVEROS SOBRE LA SEGURIDAD VIAL DEL CONDUCTOR.</t>
  </si>
  <si>
    <t>EL RIESGO PUEDE VERSE INFLUENCIADO POR FACTORES EXTERNOS COMO LA ZONA DE TRÁNSITO, HORARIOS Y CONDICIONES DEL ENTORNO VIAL. SE MANTIENE BAJO CONTROL MEDIANTE LA ADOPCIÓN DE MEDIDAS PREVENTIVAS Y COMPORTAMIENTOS SEGUROS POR PARTE DEL CONDUCTOR</t>
  </si>
  <si>
    <t>Planificación de rutas seguras, difusión de información vial, horarios flexibles y lineamientos de seguridad vial.</t>
  </si>
  <si>
    <t xml:space="preserve">Seguridad </t>
  </si>
  <si>
    <r>
      <t xml:space="preserve">Capacitación en </t>
    </r>
    <r>
      <rPr>
        <sz val="11"/>
        <color theme="1"/>
        <rFont val="Calibri"/>
        <family val="2"/>
        <scheme val="minor"/>
      </rPr>
      <t>conducción preventiva y manejo del riesgo vial.</t>
    </r>
  </si>
  <si>
    <t xml:space="preserve">CONDUCTOR MOTOCICLETA </t>
  </si>
  <si>
    <t xml:space="preserve">TRABAJADORES NO EXCEDEN LA JORNADA LABORAL </t>
  </si>
  <si>
    <t>4</t>
  </si>
  <si>
    <t>DIRECTOR DE AGENCIA (4)
GERENTE DE OPERACIONES (1)
LÍDER DE FLOTA PROPIA (1)
GERENTE COMERCIAL (1)
GERENTE ADMINISTRATIVO Y FINANCIERO (1)</t>
  </si>
  <si>
    <t>RSVI (Riesgos de seguridad vial identificados)</t>
  </si>
  <si>
    <t>GRV(Gestión de riesgos viales)</t>
  </si>
  <si>
    <t>RI(ia)</t>
  </si>
  <si>
    <t>RIESGOS IDENTIFICADOS AL INICIO DE AÑO</t>
  </si>
  <si>
    <t>RVA(ia)</t>
  </si>
  <si>
    <t>RIESGOS  IDENTIFICADOS CON VALORACIÓN ALTA AL INICIO  DE AÑO</t>
  </si>
  <si>
    <t>RI(fa)</t>
  </si>
  <si>
    <t>RIESGOS IDENTIFICADOS AL FINAL DE AÑO</t>
  </si>
  <si>
    <t>RVA(fa)</t>
  </si>
  <si>
    <t>RIESGOS  IDENTIFICADOS CON VALORACIÓN ALTA A FINAL DE AÑO</t>
  </si>
  <si>
    <t>RSVI = RI(fa) - RI(ia) =</t>
  </si>
  <si>
    <t>GRV = RVA(fa) - RVA(ia) =</t>
  </si>
  <si>
    <r>
      <t xml:space="preserve">RIESGOS </t>
    </r>
    <r>
      <rPr>
        <b/>
        <i/>
        <sz val="14"/>
        <color rgb="FFC00000"/>
        <rFont val="Calibri (Cuerpo)"/>
      </rPr>
      <t>CRÍTICOS</t>
    </r>
    <r>
      <rPr>
        <b/>
        <sz val="14"/>
        <color rgb="FF000000"/>
        <rFont val="Calibri"/>
        <family val="2"/>
        <scheme val="minor"/>
      </rPr>
      <t xml:space="preserve"> IDENTIFICADOS EN LA MATRIZ</t>
    </r>
  </si>
  <si>
    <t>Fecha</t>
  </si>
  <si>
    <t>Descripción del cambio</t>
  </si>
  <si>
    <t xml:space="preserve">SE IDENTIFICA UN SOLO CASO POR ESTE FACTOR DE RIESGO. LO CUAL SE ESTABLECE CONTROLES EN LA VERIFICACIÓN DE SELECCIÓN </t>
  </si>
  <si>
    <t xml:space="preserve">Procedimiento de selección de contración de provedores. </t>
  </si>
  <si>
    <t xml:space="preserve">Analista de despachos
Control tráfico y Ajustes de Hojas de Vida </t>
  </si>
  <si>
    <t xml:space="preserve">Permanentes </t>
  </si>
  <si>
    <t>PLANEADA</t>
  </si>
  <si>
    <t>CERRADA</t>
  </si>
  <si>
    <t xml:space="preserve">Verificación de la acredicación de experiencia de la conducción </t>
  </si>
  <si>
    <t>CSV
SST</t>
  </si>
  <si>
    <r>
      <t xml:space="preserve">Se identifica nuevo riesgo por factor humano </t>
    </r>
    <r>
      <rPr>
        <b/>
        <sz val="11"/>
        <color rgb="FFFF0000"/>
        <rFont val="Calibri"/>
        <family val="2"/>
        <scheme val="minor"/>
      </rPr>
      <t>(Poca experiencia del conductor)</t>
    </r>
    <r>
      <rPr>
        <sz val="11"/>
        <color theme="1"/>
        <rFont val="Calibri"/>
        <family val="2"/>
        <scheme val="minor"/>
      </rPr>
      <t xml:space="preserve"> , debido al accidente ocurrido el día 27/01/2025, lo cual se establecieron controles del mismo. </t>
    </r>
  </si>
  <si>
    <t xml:space="preserve">SE IDENTIFICAN CONDUCTORES MANIPULANDO EL CELULAR CUANDO CONDUCEN, LOS CONDUCTORES NO SE ORILLAN EN LUGARES INDICADOS, DISTRACCIÓN POR ACOMPAÑANTES. 
NO ESTAR ATENTOS AL ENTORNO DE LA VIA. </t>
  </si>
  <si>
    <t xml:space="preserve">Se revisa el control de riesgo por factor de distraccion (Falta de distancia suficiente), lo cual loc controles siguien siendo los mismo. </t>
  </si>
  <si>
    <t>Actor vial imprudente</t>
  </si>
  <si>
    <t>SE HAN ESTABLECIDO CONTROLES PARA LOS VEHICULOS SIN EMBARGO, LA IMPRUDENCIA DE LOS ACTORES VIALES FACILITA LA MATERIALIZACIÓN DEL RIESGO, EN ESPECIFICO LOS PUNTOS MUERTOS DE LOS VEHÍCULOS .</t>
  </si>
  <si>
    <t xml:space="preserve">CONTAR CON LA SEÑALIZACIÓN PREVENTIVA PARA REALIZAR LA MANIOBRAS (KIT DE CARRETERA) </t>
  </si>
  <si>
    <t xml:space="preserve">PERSONAL PROPIO (SST)
PERSONAL TERCERO (ANALISTA DE DESPACHOS Y DIRECTORES DE AGENCIA) </t>
  </si>
  <si>
    <r>
      <t xml:space="preserve">Se identifica nuevo riesgo por factor Vía y entorno  </t>
    </r>
    <r>
      <rPr>
        <b/>
        <sz val="11"/>
        <color rgb="FFFF0000"/>
        <rFont val="Calibri"/>
        <family val="2"/>
        <scheme val="minor"/>
      </rPr>
      <t>(actor vial imprudente)</t>
    </r>
    <r>
      <rPr>
        <sz val="11"/>
        <color theme="1"/>
        <rFont val="Calibri"/>
        <family val="2"/>
        <scheme val="minor"/>
      </rPr>
      <t xml:space="preserve"> , debido al accidente ocurrido el día 26/01/2025, lo cual se establecieron controles del mismo.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</si>
</sst>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General"/>
  </numFmts>
  <fonts count="58">
    <font>
      <sz val="11"/>
      <color theme="1"/>
      <name val="Calibri"/>
      <family val="2"/>
      <scheme val="minor"/>
    </font>
    <font>
      <sz val="10"/>
      <name val="Arial"/>
      <family val="2"/>
    </font>
    <font>
      <sz val="11"/>
      <color theme="1"/>
      <name val="Arial"/>
      <family val="2"/>
    </font>
    <font>
      <b/>
      <sz val="9"/>
      <color theme="1"/>
      <name val="Arial"/>
      <family val="2"/>
    </font>
    <font>
      <b/>
      <sz val="9"/>
      <color rgb="FFFF0000"/>
      <name val="Arial"/>
      <family val="2"/>
    </font>
    <font>
      <sz val="9"/>
      <color theme="1"/>
      <name val="Arial"/>
      <family val="2"/>
    </font>
    <font>
      <sz val="12"/>
      <color theme="1"/>
      <name val="Arial"/>
      <family val="2"/>
    </font>
    <font>
      <sz val="10"/>
      <color theme="1"/>
      <name val="Arial"/>
      <family val="2"/>
    </font>
    <font>
      <b/>
      <sz val="11"/>
      <color theme="1"/>
      <name val="Arial"/>
      <family val="2"/>
    </font>
    <font>
      <b/>
      <sz val="14"/>
      <color theme="1"/>
      <name val="Arial"/>
      <family val="2"/>
    </font>
    <font>
      <b/>
      <sz val="12"/>
      <color theme="1"/>
      <name val="Arial"/>
      <family val="2"/>
    </font>
    <font>
      <b/>
      <sz val="18"/>
      <color theme="1"/>
      <name val="Arial"/>
      <family val="2"/>
    </font>
    <font>
      <b/>
      <sz val="16"/>
      <color theme="1"/>
      <name val="Arial"/>
      <family val="2"/>
    </font>
    <font>
      <b/>
      <sz val="22"/>
      <color theme="1"/>
      <name val="Arial"/>
      <family val="2"/>
    </font>
    <font>
      <sz val="18"/>
      <color theme="1"/>
      <name val="Arial"/>
      <family val="2"/>
    </font>
    <font>
      <b/>
      <sz val="12"/>
      <color rgb="FFFF0000"/>
      <name val="Arial"/>
      <family val="2"/>
    </font>
    <font>
      <b/>
      <sz val="16"/>
      <color rgb="FFFF0000"/>
      <name val="Arial"/>
      <family val="2"/>
    </font>
    <font>
      <b/>
      <sz val="18"/>
      <color theme="0"/>
      <name val="Arial"/>
      <family val="2"/>
    </font>
    <font>
      <sz val="11"/>
      <color rgb="FF000000"/>
      <name val="Arial"/>
      <family val="2"/>
    </font>
    <font>
      <sz val="18"/>
      <color rgb="FF000000"/>
      <name val="Arial"/>
      <family val="2"/>
    </font>
    <font>
      <b/>
      <sz val="18"/>
      <color rgb="FF000000"/>
      <name val="Arial"/>
      <family val="2"/>
    </font>
    <font>
      <sz val="14"/>
      <color theme="1"/>
      <name val="Arial"/>
      <family val="2"/>
    </font>
    <font>
      <b/>
      <sz val="14"/>
      <name val="Arial"/>
      <family val="2"/>
    </font>
    <font>
      <b/>
      <sz val="11"/>
      <name val="Arial"/>
      <family val="2"/>
    </font>
    <font>
      <b/>
      <sz val="16"/>
      <color theme="0"/>
      <name val="Arial"/>
      <family val="2"/>
    </font>
    <font>
      <b/>
      <sz val="28"/>
      <color theme="1"/>
      <name val="Arial"/>
      <family val="2"/>
    </font>
    <font>
      <sz val="12"/>
      <name val="Arial"/>
      <family val="2"/>
    </font>
    <font>
      <sz val="12"/>
      <color theme="0"/>
      <name val="Arial"/>
      <family val="2"/>
    </font>
    <font>
      <b/>
      <sz val="22"/>
      <color theme="0"/>
      <name val="Arial"/>
      <family val="2"/>
    </font>
    <font>
      <b/>
      <sz val="12"/>
      <color theme="0"/>
      <name val="Arial"/>
      <family val="2"/>
    </font>
    <font>
      <sz val="14"/>
      <name val="Arial"/>
      <family val="2"/>
    </font>
    <font>
      <b/>
      <sz val="16"/>
      <name val="Arial"/>
      <family val="2"/>
    </font>
    <font>
      <sz val="16"/>
      <color theme="1"/>
      <name val="Arial"/>
      <family val="2"/>
    </font>
    <font>
      <b/>
      <sz val="16"/>
      <color indexed="8"/>
      <name val="Arial"/>
      <family val="2"/>
    </font>
    <font>
      <sz val="16"/>
      <name val="Arial"/>
      <family val="2"/>
    </font>
    <font>
      <sz val="16"/>
      <color indexed="8"/>
      <name val="Arial"/>
      <family val="2"/>
    </font>
    <font>
      <b/>
      <sz val="18"/>
      <color indexed="8"/>
      <name val="Arial"/>
      <family val="2"/>
    </font>
    <font>
      <b/>
      <sz val="20"/>
      <color theme="0"/>
      <name val="Arial"/>
      <family val="2"/>
    </font>
    <font>
      <b/>
      <sz val="22"/>
      <color rgb="FFFF0000"/>
      <name val="Arial"/>
      <family val="2"/>
    </font>
    <font>
      <sz val="14"/>
      <color theme="0"/>
      <name val="Arial"/>
      <family val="2"/>
    </font>
    <font>
      <b/>
      <sz val="11"/>
      <color indexed="8"/>
      <name val="Arial"/>
      <family val="2"/>
    </font>
    <font>
      <sz val="11"/>
      <name val="Arial"/>
      <family val="2"/>
    </font>
    <font>
      <b/>
      <sz val="11"/>
      <color theme="0"/>
      <name val="Arial"/>
      <family val="2"/>
    </font>
    <font>
      <b/>
      <sz val="11"/>
      <color rgb="FF000000"/>
      <name val="Arial"/>
      <family val="2"/>
    </font>
    <font>
      <sz val="12"/>
      <color rgb="FF000000"/>
      <name val="Arial1"/>
    </font>
    <font>
      <sz val="12"/>
      <color theme="1"/>
      <name val="Arial1"/>
    </font>
    <font>
      <sz val="11"/>
      <color rgb="FF9C0006"/>
      <name val="Calibri"/>
      <family val="2"/>
      <scheme val="minor"/>
    </font>
    <font>
      <b/>
      <sz val="11"/>
      <color theme="1"/>
      <name val="Calibri"/>
      <family val="2"/>
      <scheme val="minor"/>
    </font>
    <font>
      <b/>
      <sz val="12"/>
      <color theme="0"/>
      <name val="Calibri"/>
      <family val="2"/>
      <scheme val="minor"/>
    </font>
    <font>
      <b/>
      <i/>
      <sz val="11"/>
      <color theme="1"/>
      <name val="Calibri"/>
      <family val="2"/>
      <scheme val="minor"/>
    </font>
    <font>
      <sz val="12"/>
      <color theme="1"/>
      <name val="Calibri"/>
      <family val="2"/>
      <scheme val="minor"/>
    </font>
    <font>
      <b/>
      <sz val="14"/>
      <color rgb="FF000000"/>
      <name val="Calibri"/>
      <family val="2"/>
      <scheme val="minor"/>
    </font>
    <font>
      <b/>
      <i/>
      <sz val="14"/>
      <color rgb="FFC00000"/>
      <name val="Calibri (Cuerpo)"/>
    </font>
    <font>
      <b/>
      <i/>
      <sz val="20"/>
      <color rgb="FF9C0006"/>
      <name val="Calibri"/>
      <family val="2"/>
      <scheme val="minor"/>
    </font>
    <font>
      <sz val="9"/>
      <color indexed="81"/>
      <name val="Tahoma"/>
      <family val="2"/>
    </font>
    <font>
      <b/>
      <sz val="9"/>
      <color indexed="81"/>
      <name val="Tahoma"/>
      <family val="2"/>
    </font>
    <font>
      <b/>
      <sz val="10"/>
      <name val="Century Gothic"/>
      <family val="2"/>
    </font>
    <font>
      <b/>
      <sz val="11"/>
      <color rgb="FFFF0000"/>
      <name val="Calibri"/>
      <family val="2"/>
      <scheme val="minor"/>
    </font>
  </fonts>
  <fills count="31">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rgb="FFC0C0C0"/>
        <bgColor indexed="64"/>
      </patternFill>
    </fill>
    <fill>
      <patternFill patternType="solid">
        <fgColor indexed="9"/>
        <bgColor indexed="10"/>
      </patternFill>
    </fill>
    <fill>
      <patternFill patternType="solid">
        <fgColor theme="0" tint="-0.249977111117893"/>
        <bgColor indexed="64"/>
      </patternFill>
    </fill>
    <fill>
      <patternFill patternType="solid">
        <fgColor theme="1"/>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499984740745262"/>
        <bgColor indexed="64"/>
      </patternFill>
    </fill>
    <fill>
      <patternFill patternType="solid">
        <fgColor theme="2" tint="-0.749992370372631"/>
        <bgColor indexed="64"/>
      </patternFill>
    </fill>
    <fill>
      <patternFill patternType="solid">
        <fgColor theme="3" tint="0.39997558519241921"/>
        <bgColor indexed="64"/>
      </patternFill>
    </fill>
    <fill>
      <patternFill patternType="solid">
        <fgColor theme="3"/>
        <bgColor indexed="64"/>
      </patternFill>
    </fill>
    <fill>
      <patternFill patternType="solid">
        <fgColor theme="4" tint="-0.249977111117893"/>
        <bgColor indexed="64"/>
      </patternFill>
    </fill>
    <fill>
      <patternFill patternType="solid">
        <fgColor rgb="FFFFC7CE"/>
      </patternFill>
    </fill>
  </fills>
  <borders count="4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0"/>
    <xf numFmtId="0" fontId="44" fillId="0" borderId="0"/>
    <xf numFmtId="164" fontId="45" fillId="0" borderId="0"/>
    <xf numFmtId="0" fontId="46" fillId="30" borderId="0" applyNumberFormat="0" applyBorder="0" applyAlignment="0" applyProtection="0"/>
    <xf numFmtId="0" fontId="50" fillId="0" borderId="0"/>
  </cellStyleXfs>
  <cellXfs count="344">
    <xf numFmtId="0" fontId="0" fillId="0" borderId="0" xfId="0"/>
    <xf numFmtId="0" fontId="2" fillId="0" borderId="0" xfId="0" applyFont="1"/>
    <xf numFmtId="0" fontId="2" fillId="0" borderId="1" xfId="0" applyFont="1" applyBorder="1"/>
    <xf numFmtId="0" fontId="7" fillId="3" borderId="1" xfId="0" applyFont="1" applyFill="1" applyBorder="1" applyAlignment="1">
      <alignment vertical="center" wrapText="1"/>
    </xf>
    <xf numFmtId="0" fontId="8" fillId="4" borderId="1" xfId="0" applyFont="1" applyFill="1" applyBorder="1" applyAlignment="1">
      <alignment horizontal="center" vertical="center" wrapText="1"/>
    </xf>
    <xf numFmtId="0" fontId="6" fillId="0" borderId="0" xfId="0" applyFont="1"/>
    <xf numFmtId="0" fontId="2" fillId="0" borderId="1" xfId="0" applyFont="1" applyBorder="1" applyAlignment="1">
      <alignment horizontal="center"/>
    </xf>
    <xf numFmtId="0" fontId="2" fillId="16" borderId="0" xfId="0" applyFont="1" applyFill="1"/>
    <xf numFmtId="0" fontId="0" fillId="17" borderId="0" xfId="0" applyFill="1"/>
    <xf numFmtId="0" fontId="2" fillId="17" borderId="0" xfId="0" applyFont="1" applyFill="1"/>
    <xf numFmtId="0" fontId="6" fillId="17" borderId="0" xfId="0" applyFont="1" applyFill="1" applyAlignment="1">
      <alignment vertical="center"/>
    </xf>
    <xf numFmtId="0" fontId="0" fillId="0" borderId="0" xfId="0" applyAlignment="1">
      <alignment vertical="center"/>
    </xf>
    <xf numFmtId="0" fontId="0" fillId="17" borderId="0" xfId="0" applyFill="1" applyAlignment="1">
      <alignment vertical="center"/>
    </xf>
    <xf numFmtId="0" fontId="2" fillId="0" borderId="0" xfId="0" applyFont="1" applyAlignment="1">
      <alignment vertical="center"/>
    </xf>
    <xf numFmtId="0" fontId="18" fillId="17" borderId="0" xfId="0" applyFont="1" applyFill="1" applyAlignment="1">
      <alignment vertical="center"/>
    </xf>
    <xf numFmtId="0" fontId="19" fillId="18" borderId="4" xfId="0" applyFont="1" applyFill="1" applyBorder="1" applyAlignment="1">
      <alignment horizontal="center" vertical="center" wrapText="1"/>
    </xf>
    <xf numFmtId="0" fontId="19" fillId="18" borderId="3" xfId="0" applyFont="1" applyFill="1" applyBorder="1" applyAlignment="1">
      <alignment horizontal="center" vertical="center" wrapText="1"/>
    </xf>
    <xf numFmtId="16" fontId="19" fillId="0" borderId="4" xfId="0" applyNumberFormat="1" applyFont="1" applyBorder="1" applyAlignment="1">
      <alignment horizontal="center" vertical="center" wrapText="1"/>
    </xf>
    <xf numFmtId="0" fontId="20" fillId="0" borderId="3" xfId="0" applyFont="1" applyBorder="1" applyAlignment="1">
      <alignment horizontal="center" vertical="center" wrapText="1"/>
    </xf>
    <xf numFmtId="0" fontId="19" fillId="9" borderId="3" xfId="0" applyFont="1" applyFill="1" applyBorder="1" applyAlignment="1">
      <alignment horizontal="center" vertical="center" wrapText="1"/>
    </xf>
    <xf numFmtId="0" fontId="19" fillId="0" borderId="4" xfId="0" applyFont="1" applyBorder="1" applyAlignment="1">
      <alignment horizontal="center" vertical="center" wrapText="1"/>
    </xf>
    <xf numFmtId="0" fontId="19" fillId="7" borderId="3"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2" fillId="0" borderId="22" xfId="0" applyFont="1" applyBorder="1"/>
    <xf numFmtId="0" fontId="7" fillId="3" borderId="23" xfId="0" applyFont="1" applyFill="1" applyBorder="1" applyAlignment="1">
      <alignment vertical="center" wrapText="1"/>
    </xf>
    <xf numFmtId="0" fontId="18" fillId="0" borderId="1" xfId="0" applyFont="1" applyBorder="1" applyAlignment="1">
      <alignment vertical="center" wrapText="1"/>
    </xf>
    <xf numFmtId="0" fontId="18" fillId="0" borderId="1" xfId="0" applyFont="1" applyBorder="1" applyAlignment="1">
      <alignment vertical="center"/>
    </xf>
    <xf numFmtId="0" fontId="2" fillId="0" borderId="1" xfId="0" applyFont="1" applyBorder="1" applyAlignment="1">
      <alignment vertical="center"/>
    </xf>
    <xf numFmtId="0" fontId="2" fillId="16" borderId="17" xfId="0" applyFont="1" applyFill="1" applyBorder="1" applyAlignment="1">
      <alignment horizontal="center"/>
    </xf>
    <xf numFmtId="0" fontId="8" fillId="0" borderId="1" xfId="0" applyFont="1" applyBorder="1" applyAlignment="1">
      <alignment horizontal="center"/>
    </xf>
    <xf numFmtId="0" fontId="32" fillId="0" borderId="0" xfId="0" applyFont="1" applyAlignment="1" applyProtection="1">
      <alignment horizontal="left" wrapText="1"/>
      <protection locked="0"/>
    </xf>
    <xf numFmtId="0" fontId="32" fillId="0" borderId="0" xfId="0" applyFont="1" applyAlignment="1" applyProtection="1">
      <alignment horizontal="center" wrapText="1"/>
      <protection locked="0"/>
    </xf>
    <xf numFmtId="0" fontId="32" fillId="0" borderId="0" xfId="0" applyFont="1" applyAlignment="1" applyProtection="1">
      <alignment horizontal="center"/>
      <protection locked="0"/>
    </xf>
    <xf numFmtId="0" fontId="33" fillId="0" borderId="1" xfId="0" applyFont="1" applyBorder="1" applyAlignment="1" applyProtection="1">
      <alignment horizontal="left" vertical="center" wrapText="1"/>
      <protection locked="0"/>
    </xf>
    <xf numFmtId="0" fontId="33" fillId="0" borderId="0" xfId="0" applyFont="1" applyAlignment="1" applyProtection="1">
      <alignment horizontal="center"/>
      <protection locked="0"/>
    </xf>
    <xf numFmtId="0" fontId="33" fillId="6" borderId="0" xfId="0" applyFont="1" applyFill="1" applyAlignment="1" applyProtection="1">
      <alignment horizontal="center"/>
      <protection locked="0"/>
    </xf>
    <xf numFmtId="0" fontId="32" fillId="0" borderId="0" xfId="0" applyFont="1" applyAlignment="1" applyProtection="1">
      <alignment horizontal="left" wrapText="1"/>
      <protection locked="0" hidden="1"/>
    </xf>
    <xf numFmtId="0" fontId="35" fillId="0" borderId="0" xfId="0" applyFont="1" applyAlignment="1" applyProtection="1">
      <alignment horizontal="left" wrapText="1"/>
      <protection locked="0"/>
    </xf>
    <xf numFmtId="0" fontId="32" fillId="0" borderId="0" xfId="0" applyFont="1" applyAlignment="1" applyProtection="1">
      <alignment horizontal="center" wrapText="1"/>
      <protection hidden="1"/>
    </xf>
    <xf numFmtId="0" fontId="32" fillId="0" borderId="0" xfId="0" applyFont="1" applyAlignment="1" applyProtection="1">
      <alignment horizontal="center" vertical="center" wrapText="1"/>
      <protection hidden="1"/>
    </xf>
    <xf numFmtId="0" fontId="32" fillId="0" borderId="0" xfId="0" applyFont="1" applyAlignment="1" applyProtection="1">
      <alignment horizontal="center" wrapText="1"/>
      <protection locked="0" hidden="1"/>
    </xf>
    <xf numFmtId="0" fontId="35" fillId="0" borderId="0" xfId="0" applyFont="1" applyAlignment="1" applyProtection="1">
      <alignment horizontal="center" wrapText="1"/>
      <protection locked="0"/>
    </xf>
    <xf numFmtId="0" fontId="32" fillId="0" borderId="0" xfId="0" applyFont="1" applyAlignment="1" applyProtection="1">
      <alignment horizontal="center" vertical="center" wrapText="1"/>
      <protection locked="0"/>
    </xf>
    <xf numFmtId="0" fontId="18" fillId="0" borderId="23" xfId="0" applyFont="1" applyBorder="1" applyAlignment="1">
      <alignment vertical="center"/>
    </xf>
    <xf numFmtId="0" fontId="8" fillId="7" borderId="1" xfId="0" applyFont="1" applyFill="1" applyBorder="1" applyAlignment="1">
      <alignment horizontal="center" vertical="center"/>
    </xf>
    <xf numFmtId="0" fontId="26" fillId="6" borderId="23" xfId="0" applyFont="1" applyFill="1" applyBorder="1" applyAlignment="1" applyProtection="1">
      <alignment wrapText="1"/>
      <protection locked="0"/>
    </xf>
    <xf numFmtId="0" fontId="26" fillId="6" borderId="22" xfId="0" applyFont="1" applyFill="1" applyBorder="1" applyProtection="1">
      <protection locked="0"/>
    </xf>
    <xf numFmtId="0" fontId="3" fillId="0" borderId="1"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1" xfId="0" applyFont="1" applyFill="1" applyBorder="1" applyAlignment="1">
      <alignment horizontal="justify" vertical="center" wrapText="1"/>
    </xf>
    <xf numFmtId="0" fontId="6" fillId="3" borderId="1" xfId="0" applyFont="1" applyFill="1" applyBorder="1" applyAlignment="1">
      <alignment horizontal="center" vertical="center" wrapText="1"/>
    </xf>
    <xf numFmtId="0" fontId="43" fillId="15" borderId="22" xfId="0" applyFont="1" applyFill="1" applyBorder="1" applyAlignment="1">
      <alignment vertical="center"/>
    </xf>
    <xf numFmtId="0" fontId="43" fillId="15" borderId="34" xfId="0" applyFont="1" applyFill="1" applyBorder="1" applyAlignment="1">
      <alignment vertical="center"/>
    </xf>
    <xf numFmtId="0" fontId="43" fillId="15" borderId="23" xfId="0" applyFont="1" applyFill="1" applyBorder="1" applyAlignment="1">
      <alignment vertical="center"/>
    </xf>
    <xf numFmtId="14" fontId="32" fillId="0" borderId="1" xfId="0" applyNumberFormat="1" applyFont="1" applyBorder="1" applyAlignment="1" applyProtection="1">
      <alignment horizontal="center" vertical="center" wrapText="1"/>
      <protection locked="0"/>
    </xf>
    <xf numFmtId="14" fontId="33" fillId="0" borderId="1" xfId="0" applyNumberFormat="1" applyFont="1" applyBorder="1" applyAlignment="1" applyProtection="1">
      <alignment horizontal="center" vertical="center" wrapText="1"/>
      <protection locked="0"/>
    </xf>
    <xf numFmtId="0" fontId="5" fillId="7" borderId="1" xfId="0" applyFont="1" applyFill="1" applyBorder="1" applyAlignment="1">
      <alignment horizontal="justify" vertical="center" wrapText="1"/>
    </xf>
    <xf numFmtId="0" fontId="34" fillId="13" borderId="1" xfId="0" applyFont="1" applyFill="1" applyBorder="1" applyAlignment="1" applyProtection="1">
      <alignment horizontal="center" vertical="center" wrapText="1"/>
      <protection locked="0"/>
    </xf>
    <xf numFmtId="0" fontId="26" fillId="6" borderId="0" xfId="0" applyFont="1" applyFill="1" applyProtection="1">
      <protection locked="0"/>
    </xf>
    <xf numFmtId="0" fontId="26" fillId="6" borderId="0" xfId="0" applyFont="1" applyFill="1" applyAlignment="1" applyProtection="1">
      <alignment wrapText="1"/>
      <protection locked="0"/>
    </xf>
    <xf numFmtId="0" fontId="26" fillId="6" borderId="1" xfId="0" applyFont="1" applyFill="1" applyBorder="1" applyProtection="1">
      <protection locked="0"/>
    </xf>
    <xf numFmtId="0" fontId="26" fillId="6" borderId="1" xfId="0" applyFont="1" applyFill="1" applyBorder="1" applyAlignment="1" applyProtection="1">
      <alignment wrapText="1"/>
      <protection locked="0"/>
    </xf>
    <xf numFmtId="0" fontId="26" fillId="6" borderId="34" xfId="0" applyFont="1" applyFill="1" applyBorder="1" applyAlignment="1" applyProtection="1">
      <alignment wrapText="1"/>
      <protection locked="0"/>
    </xf>
    <xf numFmtId="0" fontId="26" fillId="6" borderId="20" xfId="0" applyFont="1" applyFill="1" applyBorder="1" applyProtection="1">
      <protection locked="0"/>
    </xf>
    <xf numFmtId="0" fontId="26" fillId="6" borderId="21" xfId="0" applyFont="1" applyFill="1" applyBorder="1" applyAlignment="1" applyProtection="1">
      <alignment wrapText="1"/>
      <protection locked="0"/>
    </xf>
    <xf numFmtId="0" fontId="32" fillId="14" borderId="1" xfId="0" applyFont="1" applyFill="1" applyBorder="1" applyAlignment="1">
      <alignment horizontal="center" vertical="center" wrapText="1"/>
    </xf>
    <xf numFmtId="0" fontId="32" fillId="14" borderId="1" xfId="0" applyFont="1" applyFill="1" applyBorder="1" applyAlignment="1" applyProtection="1">
      <alignment horizontal="center" vertical="center" wrapText="1"/>
      <protection hidden="1"/>
    </xf>
    <xf numFmtId="0" fontId="32" fillId="9" borderId="1" xfId="0" applyFont="1" applyFill="1" applyBorder="1" applyAlignment="1" applyProtection="1">
      <alignment horizontal="center" vertical="center" wrapText="1"/>
      <protection hidden="1"/>
    </xf>
    <xf numFmtId="0" fontId="32" fillId="12" borderId="1" xfId="0" applyFont="1" applyFill="1" applyBorder="1" applyAlignment="1" applyProtection="1">
      <alignment horizontal="center" vertical="center" wrapText="1"/>
      <protection hidden="1"/>
    </xf>
    <xf numFmtId="0" fontId="34" fillId="15" borderId="1" xfId="0" applyFont="1" applyFill="1" applyBorder="1" applyAlignment="1" applyProtection="1">
      <alignment horizontal="center" vertical="center" wrapText="1"/>
      <protection locked="0"/>
    </xf>
    <xf numFmtId="0" fontId="37" fillId="23" borderId="1" xfId="0" applyFont="1" applyFill="1" applyBorder="1" applyAlignment="1" applyProtection="1">
      <alignment horizontal="center" vertical="center" wrapText="1"/>
      <protection locked="0"/>
    </xf>
    <xf numFmtId="0" fontId="37" fillId="26" borderId="1" xfId="0" applyFont="1" applyFill="1" applyBorder="1" applyAlignment="1" applyProtection="1">
      <alignment horizontal="center" vertical="center" wrapText="1"/>
      <protection locked="0"/>
    </xf>
    <xf numFmtId="0" fontId="37" fillId="25" borderId="1" xfId="0" applyFont="1" applyFill="1" applyBorder="1" applyAlignment="1" applyProtection="1">
      <alignment horizontal="center" vertical="center" wrapText="1"/>
      <protection locked="0"/>
    </xf>
    <xf numFmtId="0" fontId="17" fillId="24" borderId="1" xfId="0" applyFont="1" applyFill="1" applyBorder="1" applyAlignment="1" applyProtection="1">
      <alignment horizontal="center" vertical="center" wrapText="1"/>
      <protection locked="0"/>
    </xf>
    <xf numFmtId="0" fontId="17" fillId="25" borderId="1" xfId="0" applyFont="1" applyFill="1" applyBorder="1" applyAlignment="1" applyProtection="1">
      <alignment horizontal="center" vertical="center" wrapText="1"/>
      <protection locked="0"/>
    </xf>
    <xf numFmtId="0" fontId="17" fillId="26" borderId="1" xfId="0" applyFont="1" applyFill="1" applyBorder="1" applyAlignment="1" applyProtection="1">
      <alignment horizontal="center" vertical="center" wrapText="1"/>
      <protection locked="0"/>
    </xf>
    <xf numFmtId="0" fontId="32" fillId="14" borderId="5" xfId="0" applyFont="1" applyFill="1" applyBorder="1" applyAlignment="1">
      <alignment horizontal="center" vertical="center" wrapText="1"/>
    </xf>
    <xf numFmtId="0" fontId="34" fillId="15" borderId="5" xfId="0" applyFont="1" applyFill="1" applyBorder="1" applyAlignment="1" applyProtection="1">
      <alignment horizontal="center" vertical="center" wrapText="1"/>
      <protection locked="0"/>
    </xf>
    <xf numFmtId="0" fontId="6" fillId="0" borderId="1" xfId="0" applyFont="1" applyBorder="1" applyAlignment="1">
      <alignment horizontal="left"/>
    </xf>
    <xf numFmtId="0" fontId="34" fillId="13" borderId="5" xfId="0" applyFont="1" applyFill="1" applyBorder="1" applyAlignment="1" applyProtection="1">
      <alignment horizontal="center" vertical="center" wrapText="1"/>
      <protection locked="0"/>
    </xf>
    <xf numFmtId="0" fontId="31" fillId="6" borderId="1" xfId="0" applyFont="1" applyFill="1" applyBorder="1" applyAlignment="1" applyProtection="1">
      <alignment horizontal="center" vertical="center"/>
      <protection locked="0"/>
    </xf>
    <xf numFmtId="0" fontId="47" fillId="0" borderId="0" xfId="0" applyFont="1" applyAlignment="1">
      <alignment vertical="center"/>
    </xf>
    <xf numFmtId="0" fontId="0" fillId="0" borderId="0" xfId="0" applyAlignment="1">
      <alignment horizontal="center" vertical="center"/>
    </xf>
    <xf numFmtId="0" fontId="47" fillId="0" borderId="4" xfId="0" applyFont="1" applyBorder="1" applyAlignment="1">
      <alignment horizontal="center" vertical="center"/>
    </xf>
    <xf numFmtId="0" fontId="47" fillId="0" borderId="47" xfId="0" applyFont="1" applyBorder="1" applyAlignment="1">
      <alignment horizontal="center" vertical="center"/>
    </xf>
    <xf numFmtId="0" fontId="6" fillId="0" borderId="0" xfId="5" applyFont="1"/>
    <xf numFmtId="0" fontId="53" fillId="30" borderId="47" xfId="4" applyFont="1" applyBorder="1" applyAlignment="1">
      <alignment horizontal="center" vertical="center"/>
    </xf>
    <xf numFmtId="0" fontId="56" fillId="13" borderId="1" xfId="1" applyFont="1" applyFill="1" applyBorder="1" applyAlignment="1">
      <alignment horizontal="center" vertical="center"/>
    </xf>
    <xf numFmtId="0" fontId="0" fillId="0" borderId="0" xfId="0" applyAlignment="1">
      <alignment horizontal="left" vertical="center"/>
    </xf>
    <xf numFmtId="14" fontId="0" fillId="0" borderId="1" xfId="0" applyNumberFormat="1" applyBorder="1" applyAlignment="1">
      <alignment horizontal="left" vertical="center"/>
    </xf>
    <xf numFmtId="0" fontId="0" fillId="0" borderId="1" xfId="0" applyBorder="1" applyAlignment="1">
      <alignment horizontal="left" vertical="center" wrapText="1"/>
    </xf>
    <xf numFmtId="14" fontId="0" fillId="0" borderId="1" xfId="0" applyNumberFormat="1" applyBorder="1"/>
    <xf numFmtId="0" fontId="0" fillId="0" borderId="1" xfId="0" applyBorder="1" applyAlignment="1">
      <alignment wrapText="1"/>
    </xf>
    <xf numFmtId="0" fontId="27" fillId="21" borderId="0" xfId="0" applyFont="1" applyFill="1" applyAlignment="1">
      <alignment horizontal="center" vertical="center" wrapText="1"/>
    </xf>
    <xf numFmtId="0" fontId="27" fillId="21" borderId="0" xfId="0" applyFont="1" applyFill="1" applyAlignment="1">
      <alignment horizontal="center" vertical="center"/>
    </xf>
    <xf numFmtId="0" fontId="6" fillId="0" borderId="0" xfId="0" applyFont="1" applyAlignment="1">
      <alignment horizontal="center"/>
    </xf>
    <xf numFmtId="0" fontId="6" fillId="12" borderId="9" xfId="0" applyFont="1" applyFill="1" applyBorder="1" applyAlignment="1">
      <alignment horizontal="center"/>
    </xf>
    <xf numFmtId="0" fontId="6" fillId="12" borderId="10" xfId="0" applyFont="1" applyFill="1" applyBorder="1" applyAlignment="1">
      <alignment horizontal="center"/>
    </xf>
    <xf numFmtId="0" fontId="6" fillId="12" borderId="11" xfId="0" applyFont="1" applyFill="1" applyBorder="1" applyAlignment="1">
      <alignment horizontal="center"/>
    </xf>
    <xf numFmtId="0" fontId="6" fillId="12" borderId="12" xfId="0" applyFont="1" applyFill="1" applyBorder="1" applyAlignment="1">
      <alignment horizontal="center"/>
    </xf>
    <xf numFmtId="0" fontId="6" fillId="12" borderId="13"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0" fontId="17" fillId="21" borderId="0" xfId="0" applyFont="1" applyFill="1" applyAlignment="1">
      <alignment horizontal="center" vertical="center"/>
    </xf>
    <xf numFmtId="0" fontId="29" fillId="29" borderId="0" xfId="0" applyFont="1" applyFill="1" applyAlignment="1">
      <alignment horizontal="center" vertical="center"/>
    </xf>
    <xf numFmtId="0" fontId="24" fillId="22" borderId="0" xfId="0" applyFont="1" applyFill="1" applyAlignment="1">
      <alignment horizontal="center" vertical="center"/>
    </xf>
    <xf numFmtId="0" fontId="6" fillId="12" borderId="0" xfId="0" applyFont="1" applyFill="1" applyAlignment="1">
      <alignment horizontal="center"/>
    </xf>
    <xf numFmtId="0" fontId="10" fillId="6" borderId="0" xfId="0" applyFont="1" applyFill="1" applyAlignment="1">
      <alignment horizontal="left" vertical="center"/>
    </xf>
    <xf numFmtId="0" fontId="10" fillId="13" borderId="0" xfId="0" applyFont="1" applyFill="1" applyAlignment="1" applyProtection="1">
      <alignment horizontal="left" vertical="center"/>
      <protection locked="0"/>
    </xf>
    <xf numFmtId="0" fontId="10" fillId="15" borderId="0" xfId="0" applyFont="1" applyFill="1" applyAlignment="1">
      <alignment horizontal="center" vertical="center"/>
    </xf>
    <xf numFmtId="3" fontId="10" fillId="13" borderId="0" xfId="0" applyNumberFormat="1" applyFont="1" applyFill="1" applyAlignment="1" applyProtection="1">
      <alignment horizontal="left" vertical="center"/>
      <protection locked="0"/>
    </xf>
    <xf numFmtId="0" fontId="6" fillId="14" borderId="0" xfId="0" applyFont="1" applyFill="1" applyAlignment="1">
      <alignment horizontal="center" vertical="center"/>
    </xf>
    <xf numFmtId="0" fontId="6" fillId="15" borderId="0" xfId="0" applyFont="1" applyFill="1" applyAlignment="1">
      <alignment horizontal="center" vertical="center"/>
    </xf>
    <xf numFmtId="0" fontId="10" fillId="13" borderId="0" xfId="0" applyFont="1" applyFill="1" applyAlignment="1" applyProtection="1">
      <alignment horizontal="left" vertical="center" wrapText="1"/>
      <protection locked="0"/>
    </xf>
    <xf numFmtId="0" fontId="10" fillId="16" borderId="0" xfId="0" applyFont="1" applyFill="1" applyAlignment="1">
      <alignment horizontal="center" vertical="center"/>
    </xf>
    <xf numFmtId="0" fontId="10" fillId="13" borderId="0" xfId="0" applyFont="1" applyFill="1" applyAlignment="1">
      <alignment horizontal="center"/>
    </xf>
    <xf numFmtId="0" fontId="6" fillId="12" borderId="8" xfId="0" applyFont="1" applyFill="1" applyBorder="1" applyAlignment="1">
      <alignment horizontal="center"/>
    </xf>
    <xf numFmtId="0" fontId="6" fillId="5" borderId="0" xfId="0" applyFont="1" applyFill="1" applyAlignment="1">
      <alignment horizontal="center" vertical="center"/>
    </xf>
    <xf numFmtId="0" fontId="6" fillId="10" borderId="0" xfId="0" applyFont="1" applyFill="1" applyAlignment="1">
      <alignment horizontal="center" vertical="center"/>
    </xf>
    <xf numFmtId="0" fontId="6" fillId="11" borderId="0" xfId="0" applyFont="1" applyFill="1" applyAlignment="1">
      <alignment horizontal="center" vertical="center"/>
    </xf>
    <xf numFmtId="0" fontId="6" fillId="13" borderId="0" xfId="0" applyFont="1" applyFill="1" applyAlignment="1">
      <alignment horizontal="center" vertical="center"/>
    </xf>
    <xf numFmtId="0" fontId="25" fillId="5" borderId="0" xfId="0" applyFont="1" applyFill="1" applyAlignment="1">
      <alignment horizontal="center" vertical="center" wrapText="1"/>
    </xf>
    <xf numFmtId="0" fontId="10" fillId="11" borderId="0" xfId="0" applyFont="1" applyFill="1" applyAlignment="1">
      <alignment horizontal="center"/>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2" fillId="16" borderId="0" xfId="0" applyFont="1" applyFill="1" applyAlignment="1">
      <alignment horizontal="center"/>
    </xf>
    <xf numFmtId="0" fontId="11" fillId="16" borderId="14" xfId="0" applyFont="1" applyFill="1" applyBorder="1" applyAlignment="1">
      <alignment horizontal="center" vertical="center" wrapText="1"/>
    </xf>
    <xf numFmtId="0" fontId="11" fillId="16" borderId="0" xfId="0" applyFont="1" applyFill="1" applyAlignment="1">
      <alignment horizontal="center" vertical="center" wrapText="1"/>
    </xf>
    <xf numFmtId="0" fontId="13" fillId="0" borderId="1" xfId="0" applyFont="1" applyBorder="1" applyAlignment="1">
      <alignment horizontal="center" vertical="center" wrapText="1"/>
    </xf>
    <xf numFmtId="0" fontId="2" fillId="0" borderId="1" xfId="0" applyFont="1" applyBorder="1" applyAlignment="1">
      <alignment horizontal="center"/>
    </xf>
    <xf numFmtId="0" fontId="12" fillId="0" borderId="8" xfId="0" applyFont="1" applyBorder="1" applyAlignment="1" applyProtection="1">
      <alignment horizontal="center"/>
      <protection locked="0"/>
    </xf>
    <xf numFmtId="0" fontId="48" fillId="28" borderId="44" xfId="0" applyFont="1" applyFill="1" applyBorder="1" applyAlignment="1">
      <alignment horizontal="center" vertical="center"/>
    </xf>
    <xf numFmtId="0" fontId="48" fillId="28" borderId="45" xfId="0" applyFont="1" applyFill="1" applyBorder="1" applyAlignment="1">
      <alignment horizontal="center" vertical="center"/>
    </xf>
    <xf numFmtId="0" fontId="48" fillId="28" borderId="46" xfId="0" applyFont="1" applyFill="1" applyBorder="1" applyAlignment="1">
      <alignment horizontal="center" vertical="center"/>
    </xf>
    <xf numFmtId="0" fontId="49" fillId="0" borderId="0" xfId="0" applyFont="1" applyAlignment="1">
      <alignment horizontal="right" vertical="center"/>
    </xf>
    <xf numFmtId="0" fontId="49" fillId="0" borderId="0" xfId="0" applyFont="1" applyAlignment="1">
      <alignment horizontal="center" vertical="center" wrapText="1"/>
    </xf>
    <xf numFmtId="0" fontId="49" fillId="0" borderId="2" xfId="0" applyFont="1" applyBorder="1" applyAlignment="1">
      <alignment horizontal="center" vertical="center" wrapText="1"/>
    </xf>
    <xf numFmtId="0" fontId="0" fillId="0" borderId="0" xfId="0" applyAlignment="1">
      <alignment horizontal="right" vertical="center"/>
    </xf>
    <xf numFmtId="0" fontId="0" fillId="0" borderId="2" xfId="0" applyBorder="1" applyAlignment="1">
      <alignment horizontal="right" vertical="center"/>
    </xf>
    <xf numFmtId="0" fontId="32" fillId="14" borderId="5" xfId="0" applyFont="1" applyFill="1" applyBorder="1" applyAlignment="1">
      <alignment horizontal="center" vertical="center" wrapText="1"/>
    </xf>
    <xf numFmtId="0" fontId="32" fillId="14" borderId="7" xfId="0" applyFont="1" applyFill="1" applyBorder="1" applyAlignment="1">
      <alignment horizontal="center" vertical="center" wrapText="1"/>
    </xf>
    <xf numFmtId="0" fontId="51" fillId="0" borderId="0" xfId="0" applyFont="1" applyAlignment="1">
      <alignment horizontal="left" vertical="center" wrapText="1"/>
    </xf>
    <xf numFmtId="0" fontId="32" fillId="14" borderId="6"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0" fontId="32" fillId="10" borderId="1" xfId="0" applyFont="1" applyFill="1" applyBorder="1" applyAlignment="1" applyProtection="1">
      <alignment horizontal="center" vertical="center" wrapText="1"/>
      <protection locked="0" hidden="1"/>
    </xf>
    <xf numFmtId="0" fontId="34" fillId="13" borderId="5" xfId="0" applyFont="1" applyFill="1" applyBorder="1" applyAlignment="1" applyProtection="1">
      <alignment horizontal="center" vertical="center" wrapText="1"/>
      <protection locked="0"/>
    </xf>
    <xf numFmtId="0" fontId="34" fillId="13" borderId="6" xfId="0" applyFont="1" applyFill="1" applyBorder="1" applyAlignment="1" applyProtection="1">
      <alignment horizontal="center" vertical="center" wrapText="1"/>
      <protection locked="0"/>
    </xf>
    <xf numFmtId="0" fontId="34" fillId="13" borderId="7" xfId="0" applyFont="1" applyFill="1" applyBorder="1" applyAlignment="1" applyProtection="1">
      <alignment horizontal="center" vertical="center" wrapText="1"/>
      <protection locked="0"/>
    </xf>
    <xf numFmtId="0" fontId="34" fillId="15" borderId="5" xfId="0" applyFont="1" applyFill="1" applyBorder="1" applyAlignment="1" applyProtection="1">
      <alignment horizontal="center" vertical="center" wrapText="1"/>
      <protection locked="0"/>
    </xf>
    <xf numFmtId="0" fontId="34" fillId="15" borderId="6" xfId="0" applyFont="1" applyFill="1" applyBorder="1" applyAlignment="1" applyProtection="1">
      <alignment horizontal="center" vertical="center" wrapText="1"/>
      <protection locked="0"/>
    </xf>
    <xf numFmtId="0" fontId="34" fillId="15" borderId="7" xfId="0" applyFont="1" applyFill="1" applyBorder="1" applyAlignment="1" applyProtection="1">
      <alignment horizontal="center" vertical="center" wrapText="1"/>
      <protection locked="0"/>
    </xf>
    <xf numFmtId="0" fontId="32" fillId="12" borderId="5" xfId="0" applyFont="1" applyFill="1" applyBorder="1" applyAlignment="1" applyProtection="1">
      <alignment horizontal="center" vertical="center" wrapText="1"/>
      <protection hidden="1"/>
    </xf>
    <xf numFmtId="0" fontId="32" fillId="12" borderId="6" xfId="0" applyFont="1" applyFill="1" applyBorder="1" applyAlignment="1" applyProtection="1">
      <alignment horizontal="center" vertical="center" wrapText="1"/>
      <protection hidden="1"/>
    </xf>
    <xf numFmtId="0" fontId="32" fillId="12" borderId="7" xfId="0" applyFont="1" applyFill="1" applyBorder="1" applyAlignment="1" applyProtection="1">
      <alignment horizontal="center" vertical="center" wrapText="1"/>
      <protection hidden="1"/>
    </xf>
    <xf numFmtId="0" fontId="32" fillId="14" borderId="5" xfId="0" applyFont="1" applyFill="1" applyBorder="1" applyAlignment="1" applyProtection="1">
      <alignment horizontal="center" vertical="center" wrapText="1"/>
      <protection hidden="1"/>
    </xf>
    <xf numFmtId="0" fontId="32" fillId="14" borderId="6" xfId="0" applyFont="1" applyFill="1" applyBorder="1" applyAlignment="1" applyProtection="1">
      <alignment horizontal="center" vertical="center" wrapText="1"/>
      <protection hidden="1"/>
    </xf>
    <xf numFmtId="0" fontId="32" fillId="14" borderId="7" xfId="0" applyFont="1" applyFill="1" applyBorder="1" applyAlignment="1" applyProtection="1">
      <alignment horizontal="center" vertical="center" wrapText="1"/>
      <protection hidden="1"/>
    </xf>
    <xf numFmtId="0" fontId="31" fillId="6" borderId="1" xfId="0" applyFont="1" applyFill="1" applyBorder="1" applyAlignment="1" applyProtection="1">
      <alignment horizontal="center" vertical="center"/>
      <protection locked="0"/>
    </xf>
    <xf numFmtId="0" fontId="34" fillId="15" borderId="1" xfId="0" applyFont="1" applyFill="1" applyBorder="1" applyAlignment="1" applyProtection="1">
      <alignment horizontal="center" vertical="center" wrapText="1"/>
      <protection locked="0"/>
    </xf>
    <xf numFmtId="0" fontId="32" fillId="14" borderId="1" xfId="0" applyFont="1" applyFill="1" applyBorder="1" applyAlignment="1">
      <alignment horizontal="center" vertical="center" wrapText="1"/>
    </xf>
    <xf numFmtId="0" fontId="32" fillId="14" borderId="1" xfId="0" applyFont="1" applyFill="1" applyBorder="1" applyAlignment="1" applyProtection="1">
      <alignment horizontal="center" vertical="center" wrapText="1"/>
      <protection hidden="1"/>
    </xf>
    <xf numFmtId="0" fontId="32" fillId="9" borderId="1" xfId="0" applyFont="1" applyFill="1" applyBorder="1" applyAlignment="1" applyProtection="1">
      <alignment horizontal="center" vertical="center" wrapText="1"/>
      <protection hidden="1"/>
    </xf>
    <xf numFmtId="0" fontId="32" fillId="12" borderId="1" xfId="0" applyFont="1" applyFill="1" applyBorder="1" applyAlignment="1" applyProtection="1">
      <alignment horizontal="center" vertical="center" wrapText="1"/>
      <protection hidden="1"/>
    </xf>
    <xf numFmtId="0" fontId="34" fillId="13" borderId="1" xfId="0" applyFont="1" applyFill="1" applyBorder="1" applyAlignment="1" applyProtection="1">
      <alignment horizontal="center" vertical="center" wrapText="1"/>
      <protection locked="0"/>
    </xf>
    <xf numFmtId="0" fontId="32" fillId="9" borderId="5" xfId="0" applyFont="1" applyFill="1" applyBorder="1" applyAlignment="1" applyProtection="1">
      <alignment horizontal="center" vertical="center" wrapText="1"/>
      <protection hidden="1"/>
    </xf>
    <xf numFmtId="0" fontId="32" fillId="9" borderId="7" xfId="0" applyFont="1" applyFill="1" applyBorder="1" applyAlignment="1" applyProtection="1">
      <alignment horizontal="center" vertical="center" wrapText="1"/>
      <protection hidden="1"/>
    </xf>
    <xf numFmtId="0" fontId="32" fillId="9" borderId="6" xfId="0" applyFont="1" applyFill="1" applyBorder="1" applyAlignment="1" applyProtection="1">
      <alignment horizontal="center" vertical="center" wrapText="1"/>
      <protection hidden="1"/>
    </xf>
    <xf numFmtId="0" fontId="37" fillId="25" borderId="1" xfId="0" applyFont="1" applyFill="1" applyBorder="1" applyAlignment="1" applyProtection="1">
      <alignment horizontal="center" vertical="center" wrapText="1"/>
      <protection locked="0"/>
    </xf>
    <xf numFmtId="0" fontId="37" fillId="23" borderId="1" xfId="0" applyFont="1" applyFill="1" applyBorder="1" applyAlignment="1" applyProtection="1">
      <alignment horizontal="center" vertical="center" wrapText="1"/>
      <protection locked="0"/>
    </xf>
    <xf numFmtId="0" fontId="17" fillId="24" borderId="1" xfId="0" applyFont="1" applyFill="1" applyBorder="1" applyAlignment="1" applyProtection="1">
      <alignment horizontal="center" vertical="center" wrapText="1"/>
      <protection locked="0"/>
    </xf>
    <xf numFmtId="0" fontId="32" fillId="0" borderId="5" xfId="0" applyFont="1" applyBorder="1" applyAlignment="1" applyProtection="1">
      <alignment horizontal="center" vertical="center" wrapText="1"/>
      <protection hidden="1"/>
    </xf>
    <xf numFmtId="0" fontId="32" fillId="0" borderId="7" xfId="0" applyFont="1" applyBorder="1" applyAlignment="1" applyProtection="1">
      <alignment horizontal="center" vertical="center" wrapText="1"/>
      <protection hidden="1"/>
    </xf>
    <xf numFmtId="0" fontId="24" fillId="22" borderId="1" xfId="0" applyFont="1" applyFill="1" applyBorder="1" applyAlignment="1" applyProtection="1">
      <alignment horizontal="center" vertical="center" wrapText="1"/>
      <protection locked="0"/>
    </xf>
    <xf numFmtId="0" fontId="37" fillId="24" borderId="1" xfId="0" applyFont="1" applyFill="1" applyBorder="1" applyAlignment="1" applyProtection="1">
      <alignment horizontal="center" vertical="center" wrapText="1"/>
      <protection locked="0"/>
    </xf>
    <xf numFmtId="0" fontId="32" fillId="10" borderId="5" xfId="0" applyFont="1" applyFill="1" applyBorder="1" applyAlignment="1" applyProtection="1">
      <alignment horizontal="center" vertical="center" wrapText="1"/>
      <protection locked="0"/>
    </xf>
    <xf numFmtId="0" fontId="32" fillId="10" borderId="6" xfId="0" applyFont="1" applyFill="1" applyBorder="1" applyAlignment="1" applyProtection="1">
      <alignment horizontal="center" vertical="center" wrapText="1"/>
      <protection locked="0"/>
    </xf>
    <xf numFmtId="0" fontId="32" fillId="10" borderId="7" xfId="0" applyFont="1" applyFill="1" applyBorder="1" applyAlignment="1" applyProtection="1">
      <alignment horizontal="center" vertical="center" wrapText="1"/>
      <protection locked="0"/>
    </xf>
    <xf numFmtId="0" fontId="32" fillId="0" borderId="31" xfId="0" applyFont="1" applyBorder="1" applyAlignment="1" applyProtection="1">
      <alignment horizontal="center" wrapText="1"/>
      <protection locked="0"/>
    </xf>
    <xf numFmtId="0" fontId="32" fillId="0" borderId="1" xfId="0" applyFont="1" applyBorder="1" applyAlignment="1" applyProtection="1">
      <alignment horizontal="center" wrapText="1"/>
      <protection locked="0"/>
    </xf>
    <xf numFmtId="0" fontId="32" fillId="0" borderId="30" xfId="0" applyFont="1" applyBorder="1" applyAlignment="1" applyProtection="1">
      <alignment horizontal="center" wrapText="1"/>
      <protection locked="0"/>
    </xf>
    <xf numFmtId="14" fontId="32" fillId="0" borderId="1" xfId="0" applyNumberFormat="1" applyFont="1" applyBorder="1" applyAlignment="1" applyProtection="1">
      <alignment horizontal="left" vertical="center" wrapText="1"/>
      <protection locked="0"/>
    </xf>
    <xf numFmtId="14" fontId="33" fillId="19" borderId="1" xfId="1" applyNumberFormat="1" applyFont="1" applyFill="1" applyBorder="1" applyAlignment="1" applyProtection="1">
      <alignment horizontal="center" vertical="center" wrapText="1"/>
      <protection hidden="1"/>
    </xf>
    <xf numFmtId="14" fontId="33" fillId="19" borderId="30" xfId="1" applyNumberFormat="1" applyFont="1" applyFill="1" applyBorder="1" applyAlignment="1" applyProtection="1">
      <alignment horizontal="center" vertical="center" wrapText="1"/>
      <protection hidden="1"/>
    </xf>
    <xf numFmtId="0" fontId="32" fillId="0" borderId="10" xfId="0" applyFont="1" applyBorder="1" applyAlignment="1" applyProtection="1">
      <alignment horizontal="center" vertical="center" wrapText="1"/>
      <protection locked="0"/>
    </xf>
    <xf numFmtId="0" fontId="32" fillId="0" borderId="17" xfId="0" applyFont="1" applyBorder="1" applyAlignment="1" applyProtection="1">
      <alignment horizontal="center" vertical="center" wrapText="1"/>
      <protection locked="0"/>
    </xf>
    <xf numFmtId="0" fontId="32" fillId="0" borderId="35" xfId="0" applyFont="1" applyBorder="1" applyAlignment="1" applyProtection="1">
      <alignment horizontal="center" vertical="center" wrapText="1"/>
      <protection locked="0"/>
    </xf>
    <xf numFmtId="0" fontId="32" fillId="0" borderId="19" xfId="0" applyFont="1" applyBorder="1" applyAlignment="1" applyProtection="1">
      <alignment horizontal="center" vertical="center" wrapText="1"/>
      <protection locked="0"/>
    </xf>
    <xf numFmtId="0" fontId="36" fillId="6" borderId="36" xfId="0" applyFont="1" applyFill="1" applyBorder="1" applyAlignment="1" applyProtection="1">
      <alignment horizontal="center" vertical="center" wrapText="1"/>
      <protection locked="0"/>
    </xf>
    <xf numFmtId="0" fontId="36" fillId="6" borderId="12" xfId="0" applyFont="1" applyFill="1" applyBorder="1" applyAlignment="1" applyProtection="1">
      <alignment horizontal="center" vertical="center" wrapText="1"/>
      <protection locked="0"/>
    </xf>
    <xf numFmtId="0" fontId="36" fillId="6" borderId="37" xfId="0" applyFont="1" applyFill="1" applyBorder="1" applyAlignment="1" applyProtection="1">
      <alignment horizontal="center" vertical="center" wrapText="1"/>
      <protection locked="0"/>
    </xf>
    <xf numFmtId="0" fontId="36" fillId="6" borderId="16" xfId="0" applyFont="1" applyFill="1" applyBorder="1" applyAlignment="1" applyProtection="1">
      <alignment horizontal="center" vertical="center" wrapText="1"/>
      <protection locked="0"/>
    </xf>
    <xf numFmtId="0" fontId="36" fillId="6" borderId="0" xfId="0" applyFont="1" applyFill="1" applyAlignment="1" applyProtection="1">
      <alignment horizontal="center" vertical="center" wrapText="1"/>
      <protection locked="0"/>
    </xf>
    <xf numFmtId="0" fontId="36" fillId="6" borderId="17" xfId="0" applyFont="1" applyFill="1" applyBorder="1" applyAlignment="1" applyProtection="1">
      <alignment horizontal="center" vertical="center" wrapText="1"/>
      <protection locked="0"/>
    </xf>
    <xf numFmtId="0" fontId="36" fillId="6" borderId="18" xfId="0" applyFont="1" applyFill="1" applyBorder="1" applyAlignment="1" applyProtection="1">
      <alignment horizontal="center" vertical="center" wrapText="1"/>
      <protection locked="0"/>
    </xf>
    <xf numFmtId="0" fontId="36" fillId="6" borderId="15" xfId="0" applyFont="1" applyFill="1" applyBorder="1" applyAlignment="1" applyProtection="1">
      <alignment horizontal="center" vertical="center" wrapText="1"/>
      <protection locked="0"/>
    </xf>
    <xf numFmtId="0" fontId="36" fillId="6" borderId="19" xfId="0" applyFont="1" applyFill="1" applyBorder="1" applyAlignment="1" applyProtection="1">
      <alignment horizontal="center" vertical="center" wrapText="1"/>
      <protection locked="0"/>
    </xf>
    <xf numFmtId="0" fontId="13" fillId="0" borderId="22" xfId="0" applyFont="1" applyBorder="1" applyAlignment="1" applyProtection="1">
      <alignment horizontal="center" vertical="center" wrapText="1"/>
      <protection locked="0"/>
    </xf>
    <xf numFmtId="0" fontId="13" fillId="0" borderId="34" xfId="0" applyFont="1" applyBorder="1" applyAlignment="1" applyProtection="1">
      <alignment horizontal="center" vertical="center" wrapText="1"/>
      <protection locked="0"/>
    </xf>
    <xf numFmtId="0" fontId="33" fillId="0" borderId="38" xfId="0" applyFont="1" applyBorder="1" applyAlignment="1" applyProtection="1">
      <alignment horizontal="center" vertical="center" wrapText="1"/>
      <protection locked="0"/>
    </xf>
    <xf numFmtId="0" fontId="33" fillId="0" borderId="23" xfId="0" applyFont="1" applyBorder="1" applyAlignment="1" applyProtection="1">
      <alignment horizontal="center" vertical="center" wrapText="1"/>
      <protection locked="0"/>
    </xf>
    <xf numFmtId="0" fontId="33" fillId="0" borderId="22" xfId="0" applyFont="1" applyBorder="1" applyAlignment="1" applyProtection="1">
      <alignment horizontal="center" vertical="center" wrapText="1"/>
      <protection locked="0"/>
    </xf>
    <xf numFmtId="0" fontId="33" fillId="0" borderId="36" xfId="0" applyFont="1" applyBorder="1" applyAlignment="1" applyProtection="1">
      <alignment horizontal="center" vertical="center" wrapText="1"/>
      <protection locked="0"/>
    </xf>
    <xf numFmtId="0" fontId="33" fillId="0" borderId="13" xfId="0" applyFont="1" applyBorder="1" applyAlignment="1" applyProtection="1">
      <alignment horizontal="center" vertical="center" wrapText="1"/>
      <protection locked="0"/>
    </xf>
    <xf numFmtId="0" fontId="33" fillId="0" borderId="16" xfId="0" applyFont="1" applyBorder="1" applyAlignment="1" applyProtection="1">
      <alignment horizontal="center" vertical="center" wrapText="1"/>
      <protection locked="0"/>
    </xf>
    <xf numFmtId="0" fontId="33" fillId="0" borderId="2" xfId="0" applyFont="1" applyBorder="1" applyAlignment="1" applyProtection="1">
      <alignment horizontal="center" vertical="center" wrapText="1"/>
      <protection locked="0"/>
    </xf>
    <xf numFmtId="0" fontId="33" fillId="0" borderId="18" xfId="0" applyFont="1" applyBorder="1" applyAlignment="1" applyProtection="1">
      <alignment horizontal="center" vertical="center" wrapText="1"/>
      <protection locked="0"/>
    </xf>
    <xf numFmtId="0" fontId="33" fillId="0" borderId="43" xfId="0" applyFont="1" applyBorder="1" applyAlignment="1" applyProtection="1">
      <alignment horizontal="center" vertical="center" wrapText="1"/>
      <protection locked="0"/>
    </xf>
    <xf numFmtId="0" fontId="32" fillId="10" borderId="5" xfId="0" applyFont="1" applyFill="1" applyBorder="1" applyAlignment="1" applyProtection="1">
      <alignment horizontal="center" vertical="center" wrapText="1"/>
      <protection locked="0" hidden="1"/>
    </xf>
    <xf numFmtId="0" fontId="32" fillId="10" borderId="6" xfId="0" applyFont="1" applyFill="1" applyBorder="1" applyAlignment="1" applyProtection="1">
      <alignment horizontal="center" vertical="center" wrapText="1"/>
      <protection locked="0" hidden="1"/>
    </xf>
    <xf numFmtId="0" fontId="32" fillId="10" borderId="7" xfId="0" applyFont="1" applyFill="1" applyBorder="1" applyAlignment="1" applyProtection="1">
      <alignment horizontal="center" vertical="center" wrapText="1"/>
      <protection locked="0" hidden="1"/>
    </xf>
    <xf numFmtId="0" fontId="31" fillId="20" borderId="1" xfId="0" applyFont="1" applyFill="1" applyBorder="1" applyAlignment="1" applyProtection="1">
      <alignment horizontal="center" vertical="center"/>
      <protection locked="0"/>
    </xf>
    <xf numFmtId="0" fontId="31" fillId="6" borderId="5" xfId="0" applyFont="1" applyFill="1" applyBorder="1" applyAlignment="1" applyProtection="1">
      <alignment horizontal="center" vertical="center"/>
      <protection locked="0"/>
    </xf>
    <xf numFmtId="0" fontId="31" fillId="6" borderId="6" xfId="0" applyFont="1" applyFill="1" applyBorder="1" applyAlignment="1" applyProtection="1">
      <alignment horizontal="center" vertical="center"/>
      <protection locked="0"/>
    </xf>
    <xf numFmtId="0" fontId="31" fillId="6" borderId="7" xfId="0" applyFont="1" applyFill="1" applyBorder="1" applyAlignment="1" applyProtection="1">
      <alignment horizontal="center" vertical="center"/>
      <protection locked="0"/>
    </xf>
    <xf numFmtId="0" fontId="37" fillId="26" borderId="1" xfId="0" applyFont="1" applyFill="1" applyBorder="1" applyAlignment="1" applyProtection="1">
      <alignment horizontal="center" vertical="center" wrapText="1"/>
      <protection locked="0"/>
    </xf>
    <xf numFmtId="0" fontId="12" fillId="7" borderId="7"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1" fillId="0" borderId="39"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30" xfId="0" applyFont="1" applyBorder="1" applyAlignment="1">
      <alignment horizontal="center" vertical="center" wrapText="1"/>
    </xf>
    <xf numFmtId="0" fontId="2" fillId="17" borderId="0" xfId="0" applyFont="1" applyFill="1" applyAlignment="1">
      <alignment horizontal="center"/>
    </xf>
    <xf numFmtId="0" fontId="12" fillId="7" borderId="0" xfId="0" applyFont="1" applyFill="1" applyAlignment="1">
      <alignment horizontal="center" vertical="center"/>
    </xf>
    <xf numFmtId="0" fontId="16" fillId="0" borderId="20" xfId="0" applyFont="1" applyBorder="1" applyAlignment="1">
      <alignment horizontal="center" vertical="center"/>
    </xf>
    <xf numFmtId="0" fontId="16" fillId="0" borderId="14" xfId="0" applyFont="1" applyBorder="1" applyAlignment="1">
      <alignment horizontal="center" vertical="center"/>
    </xf>
    <xf numFmtId="0" fontId="16" fillId="0" borderId="21" xfId="0" applyFont="1" applyBorder="1" applyAlignment="1">
      <alignment horizontal="center" vertical="center"/>
    </xf>
    <xf numFmtId="0" fontId="17" fillId="17" borderId="0" xfId="0" applyFont="1" applyFill="1" applyAlignment="1">
      <alignment horizontal="center" vertical="center" wrapText="1"/>
    </xf>
    <xf numFmtId="0" fontId="2" fillId="17" borderId="16" xfId="0" applyFont="1" applyFill="1" applyBorder="1" applyAlignment="1">
      <alignment horizontal="center"/>
    </xf>
    <xf numFmtId="0" fontId="2" fillId="0" borderId="0" xfId="0" applyFont="1" applyAlignment="1">
      <alignment horizontal="center"/>
    </xf>
    <xf numFmtId="0" fontId="15" fillId="0" borderId="24"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33"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7" xfId="0" applyFont="1" applyBorder="1" applyAlignment="1">
      <alignment horizontal="center" vertical="center" wrapText="1"/>
    </xf>
    <xf numFmtId="0" fontId="12" fillId="8" borderId="1" xfId="0" applyFont="1" applyFill="1" applyBorder="1" applyAlignment="1">
      <alignment horizontal="center" vertical="center" wrapText="1"/>
    </xf>
    <xf numFmtId="0" fontId="12" fillId="9" borderId="23"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9" borderId="19" xfId="0" applyFont="1" applyFill="1" applyBorder="1" applyAlignment="1">
      <alignment horizontal="center" vertical="center" wrapText="1"/>
    </xf>
    <xf numFmtId="0" fontId="12" fillId="9" borderId="7" xfId="0" applyFont="1" applyFill="1" applyBorder="1" applyAlignment="1">
      <alignment horizontal="center" vertical="center" wrapText="1"/>
    </xf>
    <xf numFmtId="0" fontId="11" fillId="0" borderId="40"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33" xfId="0" applyFont="1" applyBorder="1" applyAlignment="1">
      <alignment horizontal="center" vertical="center" wrapText="1"/>
    </xf>
    <xf numFmtId="0" fontId="12" fillId="8" borderId="5" xfId="0" applyFont="1" applyFill="1" applyBorder="1" applyAlignment="1">
      <alignment horizontal="center" vertical="center" wrapText="1"/>
    </xf>
    <xf numFmtId="0" fontId="12" fillId="9" borderId="21"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38" fillId="6" borderId="1" xfId="0" applyFont="1" applyFill="1" applyBorder="1" applyAlignment="1">
      <alignment horizontal="center" vertical="center"/>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3" fillId="3" borderId="22" xfId="0" applyFont="1" applyFill="1" applyBorder="1" applyAlignment="1">
      <alignment horizontal="left" vertical="center" wrapText="1"/>
    </xf>
    <xf numFmtId="0" fontId="3" fillId="3" borderId="23" xfId="0" applyFont="1" applyFill="1" applyBorder="1" applyAlignment="1">
      <alignment horizontal="left" vertical="center" wrapText="1"/>
    </xf>
    <xf numFmtId="0" fontId="31" fillId="7" borderId="1" xfId="0" applyFont="1" applyFill="1" applyBorder="1" applyAlignment="1" applyProtection="1">
      <alignment horizontal="center" vertical="center" wrapText="1"/>
      <protection locked="0"/>
    </xf>
    <xf numFmtId="0" fontId="11" fillId="16" borderId="15" xfId="0" applyFont="1" applyFill="1" applyBorder="1" applyAlignment="1">
      <alignment horizontal="center" vertical="center" wrapText="1"/>
    </xf>
    <xf numFmtId="0" fontId="9" fillId="0" borderId="1" xfId="0" applyFont="1" applyBorder="1" applyAlignment="1">
      <alignment horizontal="center" vertical="center"/>
    </xf>
    <xf numFmtId="0" fontId="13" fillId="0" borderId="16" xfId="0" applyFont="1" applyBorder="1" applyAlignment="1">
      <alignment horizontal="center" vertical="center" wrapText="1"/>
    </xf>
    <xf numFmtId="0" fontId="13" fillId="0" borderId="0" xfId="0" applyFont="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9" xfId="0" applyFont="1" applyBorder="1" applyAlignment="1">
      <alignment horizontal="center" vertical="center" wrapText="1"/>
    </xf>
    <xf numFmtId="0" fontId="17" fillId="17" borderId="14" xfId="0" applyFont="1" applyFill="1" applyBorder="1" applyAlignment="1">
      <alignment horizontal="center" vertical="center" wrapText="1"/>
    </xf>
    <xf numFmtId="0" fontId="17" fillId="17" borderId="8"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7" xfId="0" applyFont="1" applyBorder="1" applyAlignment="1">
      <alignment horizontal="center" vertical="center"/>
    </xf>
    <xf numFmtId="0" fontId="16" fillId="0" borderId="19" xfId="0" applyFont="1" applyBorder="1" applyAlignment="1">
      <alignment horizontal="center" vertical="center"/>
    </xf>
    <xf numFmtId="0" fontId="40" fillId="0" borderId="22" xfId="0" applyFont="1" applyBorder="1" applyAlignment="1">
      <alignment horizontal="left"/>
    </xf>
    <xf numFmtId="0" fontId="40" fillId="0" borderId="34" xfId="0" applyFont="1" applyBorder="1" applyAlignment="1">
      <alignment horizontal="left"/>
    </xf>
    <xf numFmtId="0" fontId="40" fillId="0" borderId="23" xfId="0" applyFont="1" applyBorder="1" applyAlignment="1">
      <alignment horizontal="left"/>
    </xf>
    <xf numFmtId="0" fontId="39" fillId="26" borderId="0" xfId="0" applyFont="1" applyFill="1" applyAlignment="1">
      <alignment horizontal="center" vertical="center"/>
    </xf>
    <xf numFmtId="0" fontId="2" fillId="13" borderId="1" xfId="0" applyFont="1" applyFill="1" applyBorder="1" applyAlignment="1">
      <alignment horizontal="left" vertical="center" wrapText="1"/>
    </xf>
    <xf numFmtId="0" fontId="39" fillId="28" borderId="0" xfId="0" applyFont="1" applyFill="1" applyAlignment="1">
      <alignment horizontal="center"/>
    </xf>
    <xf numFmtId="0" fontId="40" fillId="0" borderId="0" xfId="0" applyFont="1" applyAlignment="1">
      <alignment horizontal="center"/>
    </xf>
    <xf numFmtId="0" fontId="2" fillId="0" borderId="22" xfId="0" applyFont="1" applyBorder="1" applyAlignment="1">
      <alignment horizontal="left"/>
    </xf>
    <xf numFmtId="0" fontId="2" fillId="0" borderId="34" xfId="0" applyFont="1" applyBorder="1" applyAlignment="1">
      <alignment horizontal="left"/>
    </xf>
    <xf numFmtId="0" fontId="2" fillId="0" borderId="23" xfId="0" applyFont="1" applyBorder="1" applyAlignment="1">
      <alignment horizontal="left"/>
    </xf>
    <xf numFmtId="0" fontId="40" fillId="0" borderId="22" xfId="0" applyFont="1" applyBorder="1" applyAlignment="1">
      <alignment horizontal="left" vertical="center" wrapText="1"/>
    </xf>
    <xf numFmtId="0" fontId="2" fillId="0" borderId="34" xfId="0" applyFont="1" applyBorder="1" applyAlignment="1">
      <alignment horizontal="left" vertical="center"/>
    </xf>
    <xf numFmtId="0" fontId="2" fillId="0" borderId="23" xfId="0" applyFont="1" applyBorder="1" applyAlignment="1">
      <alignment horizontal="left" vertical="center"/>
    </xf>
    <xf numFmtId="0" fontId="40" fillId="0" borderId="22" xfId="0" applyFont="1" applyBorder="1" applyAlignment="1">
      <alignment horizontal="left" wrapText="1"/>
    </xf>
    <xf numFmtId="0" fontId="2" fillId="0" borderId="34" xfId="0" applyFont="1" applyBorder="1" applyAlignment="1">
      <alignment horizontal="left" wrapText="1"/>
    </xf>
    <xf numFmtId="0" fontId="2" fillId="0" borderId="23" xfId="0" applyFont="1" applyBorder="1" applyAlignment="1">
      <alignment horizontal="left" wrapText="1"/>
    </xf>
    <xf numFmtId="0" fontId="40" fillId="0" borderId="0" xfId="0" applyFont="1" applyAlignment="1">
      <alignment horizontal="center" wrapText="1"/>
    </xf>
    <xf numFmtId="0" fontId="23" fillId="0" borderId="22" xfId="0" applyFont="1" applyBorder="1" applyAlignment="1">
      <alignment horizontal="left" vertical="center" wrapText="1"/>
    </xf>
    <xf numFmtId="0" fontId="23" fillId="0" borderId="34" xfId="0" applyFont="1" applyBorder="1" applyAlignment="1">
      <alignment horizontal="left" vertical="center" wrapText="1"/>
    </xf>
    <xf numFmtId="0" fontId="23" fillId="0" borderId="23" xfId="0" applyFont="1" applyBorder="1" applyAlignment="1">
      <alignment horizontal="left" vertical="center" wrapText="1"/>
    </xf>
    <xf numFmtId="0" fontId="40" fillId="0" borderId="0" xfId="0" applyFont="1" applyAlignment="1">
      <alignment horizontal="center" vertical="center" wrapText="1"/>
    </xf>
    <xf numFmtId="0" fontId="2" fillId="0" borderId="0" xfId="0" applyFont="1" applyAlignment="1">
      <alignment horizontal="left" wrapText="1"/>
    </xf>
    <xf numFmtId="0" fontId="2" fillId="0" borderId="0" xfId="0" applyFont="1" applyAlignment="1">
      <alignment horizontal="left"/>
    </xf>
    <xf numFmtId="0" fontId="40" fillId="0" borderId="34" xfId="0" applyFont="1" applyBorder="1" applyAlignment="1">
      <alignment horizontal="left" vertical="center" wrapText="1"/>
    </xf>
    <xf numFmtId="0" fontId="40" fillId="0" borderId="23" xfId="0" applyFont="1" applyBorder="1" applyAlignment="1">
      <alignment horizontal="left" vertical="center" wrapText="1"/>
    </xf>
    <xf numFmtId="0" fontId="42" fillId="27" borderId="0" xfId="0" applyFont="1" applyFill="1" applyAlignment="1">
      <alignment horizontal="center" vertical="center" wrapText="1"/>
    </xf>
    <xf numFmtId="0" fontId="42" fillId="25" borderId="1" xfId="0" applyFont="1" applyFill="1" applyBorder="1" applyAlignment="1">
      <alignment horizontal="center" vertical="center" wrapText="1"/>
    </xf>
    <xf numFmtId="0" fontId="40" fillId="15" borderId="1"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40" fillId="14" borderId="1" xfId="0" applyFont="1" applyFill="1" applyBorder="1" applyAlignment="1">
      <alignment horizontal="center" vertical="center" wrapText="1"/>
    </xf>
    <xf numFmtId="0" fontId="40" fillId="14" borderId="1" xfId="0" applyFont="1" applyFill="1" applyBorder="1" applyAlignment="1">
      <alignment vertical="center" wrapText="1"/>
    </xf>
    <xf numFmtId="0" fontId="40" fillId="15" borderId="1" xfId="0" applyFont="1" applyFill="1" applyBorder="1" applyAlignment="1">
      <alignment horizontal="left" vertical="center" wrapText="1"/>
    </xf>
    <xf numFmtId="0" fontId="40" fillId="5" borderId="1" xfId="0" applyFont="1" applyFill="1" applyBorder="1" applyAlignment="1">
      <alignment vertical="center" wrapText="1"/>
    </xf>
    <xf numFmtId="0" fontId="8" fillId="14" borderId="22" xfId="0" applyFont="1" applyFill="1" applyBorder="1" applyAlignment="1">
      <alignment vertical="center"/>
    </xf>
    <xf numFmtId="0" fontId="8" fillId="14" borderId="23" xfId="0" applyFont="1" applyFill="1" applyBorder="1" applyAlignment="1">
      <alignment vertical="center"/>
    </xf>
    <xf numFmtId="0" fontId="43" fillId="5" borderId="22" xfId="0" applyFont="1" applyFill="1" applyBorder="1" applyAlignment="1">
      <alignment horizontal="center" vertical="center"/>
    </xf>
    <xf numFmtId="0" fontId="43" fillId="5" borderId="34" xfId="0" applyFont="1" applyFill="1" applyBorder="1" applyAlignment="1">
      <alignment horizontal="center" vertical="center"/>
    </xf>
    <xf numFmtId="0" fontId="43" fillId="5" borderId="23" xfId="0" applyFont="1" applyFill="1" applyBorder="1" applyAlignment="1">
      <alignment horizontal="center" vertical="center"/>
    </xf>
    <xf numFmtId="0" fontId="43" fillId="5" borderId="22" xfId="0" applyFont="1" applyFill="1" applyBorder="1" applyAlignment="1">
      <alignment vertical="center"/>
    </xf>
    <xf numFmtId="0" fontId="43" fillId="5" borderId="34" xfId="0" applyFont="1" applyFill="1" applyBorder="1" applyAlignment="1">
      <alignment vertical="center"/>
    </xf>
    <xf numFmtId="0" fontId="43" fillId="5" borderId="23" xfId="0" applyFont="1" applyFill="1" applyBorder="1" applyAlignment="1">
      <alignment vertical="center"/>
    </xf>
    <xf numFmtId="0" fontId="43" fillId="5" borderId="22" xfId="0" applyFont="1" applyFill="1" applyBorder="1" applyAlignment="1">
      <alignment vertical="center" wrapText="1"/>
    </xf>
    <xf numFmtId="0" fontId="43" fillId="5" borderId="34" xfId="0" applyFont="1" applyFill="1" applyBorder="1" applyAlignment="1">
      <alignment vertical="center" wrapText="1"/>
    </xf>
    <xf numFmtId="0" fontId="43" fillId="5" borderId="23" xfId="0" applyFont="1" applyFill="1" applyBorder="1" applyAlignment="1">
      <alignment vertical="center" wrapText="1"/>
    </xf>
    <xf numFmtId="0" fontId="29" fillId="28" borderId="0" xfId="0" applyFont="1" applyFill="1" applyAlignment="1">
      <alignment horizontal="center"/>
    </xf>
    <xf numFmtId="0" fontId="18" fillId="14" borderId="22" xfId="0" applyFont="1" applyFill="1" applyBorder="1" applyAlignment="1">
      <alignment horizontal="center" vertical="center" wrapText="1"/>
    </xf>
    <xf numFmtId="0" fontId="18" fillId="14" borderId="23" xfId="0" applyFont="1" applyFill="1" applyBorder="1" applyAlignment="1">
      <alignment horizontal="center" vertical="center" wrapText="1"/>
    </xf>
    <xf numFmtId="0" fontId="43" fillId="15" borderId="22" xfId="0" applyFont="1" applyFill="1" applyBorder="1" applyAlignment="1">
      <alignment horizontal="left" vertical="center"/>
    </xf>
    <xf numFmtId="0" fontId="43" fillId="15" borderId="34" xfId="0" applyFont="1" applyFill="1" applyBorder="1" applyAlignment="1">
      <alignment horizontal="left" vertical="center"/>
    </xf>
    <xf numFmtId="0" fontId="43" fillId="15" borderId="23" xfId="0" applyFont="1" applyFill="1" applyBorder="1" applyAlignment="1">
      <alignment horizontal="left" vertical="center"/>
    </xf>
    <xf numFmtId="0" fontId="21" fillId="6" borderId="20" xfId="0" applyFont="1" applyFill="1" applyBorder="1" applyAlignment="1">
      <alignment horizontal="left" vertical="top" wrapText="1"/>
    </xf>
    <xf numFmtId="0" fontId="21" fillId="6" borderId="21" xfId="0" applyFont="1" applyFill="1" applyBorder="1" applyAlignment="1">
      <alignment horizontal="left" vertical="top" wrapText="1"/>
    </xf>
    <xf numFmtId="0" fontId="21" fillId="6" borderId="16" xfId="0" applyFont="1" applyFill="1" applyBorder="1" applyAlignment="1">
      <alignment horizontal="left" vertical="top" wrapText="1"/>
    </xf>
    <xf numFmtId="0" fontId="21" fillId="6" borderId="17" xfId="0" applyFont="1" applyFill="1" applyBorder="1" applyAlignment="1">
      <alignment horizontal="left" vertical="top" wrapText="1"/>
    </xf>
    <xf numFmtId="0" fontId="21" fillId="6" borderId="18" xfId="0" applyFont="1" applyFill="1" applyBorder="1" applyAlignment="1">
      <alignment horizontal="left" vertical="top" wrapText="1"/>
    </xf>
    <xf numFmtId="0" fontId="21" fillId="6" borderId="19" xfId="0" applyFont="1" applyFill="1" applyBorder="1" applyAlignment="1">
      <alignment horizontal="left" vertical="top" wrapText="1"/>
    </xf>
    <xf numFmtId="0" fontId="30" fillId="0" borderId="14" xfId="1" applyFont="1" applyBorder="1" applyAlignment="1">
      <alignment horizontal="left" vertical="top" wrapText="1"/>
    </xf>
    <xf numFmtId="0" fontId="30" fillId="0" borderId="0" xfId="1" applyFont="1" applyAlignment="1">
      <alignment horizontal="left" vertical="top" wrapText="1"/>
    </xf>
    <xf numFmtId="0" fontId="30" fillId="0" borderId="15" xfId="1" applyFont="1" applyBorder="1" applyAlignment="1">
      <alignment horizontal="left" vertical="top" wrapText="1"/>
    </xf>
    <xf numFmtId="0" fontId="2" fillId="16" borderId="17" xfId="0" applyFont="1" applyFill="1" applyBorder="1" applyAlignment="1">
      <alignment horizontal="center"/>
    </xf>
    <xf numFmtId="0" fontId="21" fillId="0" borderId="5" xfId="0" applyFont="1" applyBorder="1" applyAlignment="1">
      <alignment horizontal="left" vertical="top" wrapText="1"/>
    </xf>
    <xf numFmtId="0" fontId="21" fillId="0" borderId="6" xfId="0" applyFont="1" applyBorder="1" applyAlignment="1">
      <alignment horizontal="left" vertical="top" wrapText="1"/>
    </xf>
    <xf numFmtId="0" fontId="21" fillId="0" borderId="7" xfId="0" applyFont="1" applyBorder="1" applyAlignment="1">
      <alignment horizontal="left" vertical="top" wrapText="1"/>
    </xf>
  </cellXfs>
  <cellStyles count="6">
    <cellStyle name="Excel Built-in Normal" xfId="3" xr:uid="{564A4D5A-3ED8-46AE-858C-F7EE89415283}"/>
    <cellStyle name="Excel Built-in Normal 1" xfId="2" xr:uid="{C201517A-3EDB-4273-91B6-8F0494140A99}"/>
    <cellStyle name="Incorrecto" xfId="4" builtinId="27"/>
    <cellStyle name="Normal" xfId="0" builtinId="0"/>
    <cellStyle name="Normal 2" xfId="1" xr:uid="{00000000-0005-0000-0000-000001000000}"/>
    <cellStyle name="Normal 9" xfId="5" xr:uid="{A0C1E9AD-C8EE-4F33-999C-98B76A142871}"/>
  </cellStyles>
  <dxfs count="87">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dxf>
    <dxf>
      <font>
        <b/>
        <i val="0"/>
        <color auto="1"/>
      </font>
      <fill>
        <patternFill>
          <bgColor rgb="FFFF0000"/>
        </patternFill>
      </fill>
    </dxf>
    <dxf>
      <font>
        <b/>
        <i val="0"/>
      </font>
      <fill>
        <patternFill>
          <bgColor rgb="FFFFFF00"/>
        </patternFill>
      </fill>
    </dxf>
    <dxf>
      <font>
        <b/>
        <i val="0"/>
      </font>
      <fill>
        <patternFill>
          <bgColor rgb="FF00B050"/>
        </patternFill>
      </fill>
    </dxf>
    <dxf>
      <font>
        <b/>
        <i val="0"/>
      </font>
      <fill>
        <patternFill>
          <bgColor rgb="FF00B050"/>
        </patternFill>
      </fill>
    </dxf>
    <dxf>
      <font>
        <b/>
        <i val="0"/>
      </font>
      <fill>
        <patternFill>
          <bgColor rgb="FFFFFF00"/>
        </patternFill>
      </fill>
    </dxf>
    <dxf>
      <font>
        <b/>
        <i val="0"/>
        <color auto="1"/>
      </font>
      <fill>
        <patternFill>
          <bgColor rgb="FFFF0000"/>
        </patternFill>
      </fill>
    </dxf>
    <dxf>
      <font>
        <b/>
        <i val="0"/>
      </font>
      <fill>
        <patternFill>
          <bgColor rgb="FF00B050"/>
        </patternFill>
      </fill>
    </dxf>
    <dxf>
      <font>
        <b/>
        <i val="0"/>
      </font>
      <fill>
        <patternFill>
          <bgColor rgb="FFFFFF00"/>
        </patternFill>
      </fill>
    </dxf>
    <dxf>
      <font>
        <b/>
        <i val="0"/>
        <color auto="1"/>
      </font>
      <fill>
        <patternFill>
          <bgColor rgb="FFFF0000"/>
        </patternFill>
      </fill>
    </dxf>
    <dxf>
      <font>
        <b/>
        <i val="0"/>
        <color auto="1"/>
      </font>
      <fill>
        <patternFill>
          <bgColor rgb="FFFF0000"/>
        </patternFill>
      </fill>
    </dxf>
    <dxf>
      <font>
        <b/>
        <i val="0"/>
      </font>
      <fill>
        <patternFill>
          <bgColor rgb="FF00B050"/>
        </patternFill>
      </fill>
    </dxf>
    <dxf>
      <font>
        <b/>
        <i val="0"/>
      </font>
      <fill>
        <patternFill>
          <bgColor rgb="FFFFFF00"/>
        </patternFill>
      </fill>
    </dxf>
    <dxf>
      <font>
        <b/>
        <i val="0"/>
        <color auto="1"/>
      </font>
      <fill>
        <patternFill>
          <bgColor rgb="FFFF0000"/>
        </patternFill>
      </fill>
    </dxf>
    <dxf>
      <font>
        <b/>
        <i val="0"/>
      </font>
      <fill>
        <patternFill>
          <bgColor rgb="FFFFFF00"/>
        </patternFill>
      </fill>
    </dxf>
    <dxf>
      <font>
        <b/>
        <i val="0"/>
      </font>
      <fill>
        <patternFill>
          <bgColor rgb="FF00B050"/>
        </patternFill>
      </fill>
    </dxf>
    <dxf>
      <font>
        <b/>
        <i val="0"/>
        <color auto="1"/>
      </font>
      <fill>
        <patternFill>
          <bgColor rgb="FFFF0000"/>
        </patternFill>
      </fill>
    </dxf>
    <dxf>
      <font>
        <b/>
        <i val="0"/>
      </font>
      <fill>
        <patternFill>
          <bgColor rgb="FFFFFF00"/>
        </patternFill>
      </fill>
    </dxf>
    <dxf>
      <font>
        <b/>
        <i val="0"/>
      </font>
      <fill>
        <patternFill>
          <bgColor rgb="FF00B050"/>
        </patternFill>
      </fill>
    </dxf>
    <dxf>
      <font>
        <b/>
        <i val="0"/>
        <color auto="1"/>
      </font>
      <fill>
        <patternFill>
          <bgColor rgb="FFFF0000"/>
        </patternFill>
      </fill>
    </dxf>
    <dxf>
      <font>
        <b/>
        <i val="0"/>
      </font>
      <fill>
        <patternFill>
          <bgColor rgb="FF00B050"/>
        </patternFill>
      </fill>
    </dxf>
    <dxf>
      <font>
        <b/>
        <i val="0"/>
      </font>
      <fill>
        <patternFill>
          <bgColor rgb="FFFFFF00"/>
        </patternFill>
      </fill>
    </dxf>
    <dxf>
      <font>
        <b/>
        <i val="0"/>
      </font>
      <fill>
        <patternFill>
          <bgColor rgb="FF00B050"/>
        </patternFill>
      </fill>
    </dxf>
    <dxf>
      <font>
        <b/>
        <i val="0"/>
      </font>
      <fill>
        <patternFill>
          <bgColor rgb="FFFFFF00"/>
        </patternFill>
      </fill>
    </dxf>
    <dxf>
      <font>
        <b/>
        <i val="0"/>
        <color auto="1"/>
      </font>
      <fill>
        <patternFill>
          <bgColor rgb="FFFF0000"/>
        </patternFill>
      </fill>
    </dxf>
    <dxf>
      <font>
        <b/>
        <i val="0"/>
        <color auto="1"/>
      </font>
      <fill>
        <patternFill>
          <bgColor rgb="FFFF0000"/>
        </patternFill>
      </fill>
    </dxf>
    <dxf>
      <font>
        <b/>
        <i val="0"/>
      </font>
      <fill>
        <patternFill>
          <bgColor rgb="FFFFFF00"/>
        </patternFill>
      </fill>
    </dxf>
    <dxf>
      <font>
        <b/>
        <i val="0"/>
      </font>
      <fill>
        <patternFill>
          <bgColor rgb="FF00B050"/>
        </patternFill>
      </fill>
    </dxf>
    <dxf>
      <font>
        <color theme="0"/>
      </font>
    </dxf>
    <dxf>
      <font>
        <b/>
        <i val="0"/>
      </font>
      <fill>
        <patternFill>
          <bgColor rgb="FF00B050"/>
        </patternFill>
      </fill>
    </dxf>
    <dxf>
      <font>
        <color theme="0"/>
      </font>
    </dxf>
    <dxf>
      <font>
        <b/>
        <i val="0"/>
        <color auto="1"/>
      </font>
      <fill>
        <patternFill>
          <bgColor rgb="FFFF0000"/>
        </patternFill>
      </fill>
    </dxf>
    <dxf>
      <font>
        <b/>
        <i val="0"/>
      </font>
      <fill>
        <patternFill>
          <bgColor rgb="FFFFFF00"/>
        </patternFill>
      </fill>
    </dxf>
    <dxf>
      <font>
        <b/>
        <i val="0"/>
      </font>
      <fill>
        <patternFill>
          <bgColor rgb="FFFFFF00"/>
        </patternFill>
      </fill>
    </dxf>
    <dxf>
      <font>
        <b/>
        <i val="0"/>
      </font>
      <fill>
        <patternFill>
          <bgColor rgb="FF00B050"/>
        </patternFill>
      </fill>
    </dxf>
    <dxf>
      <font>
        <b/>
        <i val="0"/>
        <color auto="1"/>
      </font>
      <fill>
        <patternFill>
          <bgColor rgb="FFFF0000"/>
        </patternFill>
      </fill>
    </dxf>
    <dxf>
      <font>
        <b/>
        <i val="0"/>
      </font>
      <fill>
        <patternFill>
          <bgColor rgb="FFFFFF00"/>
        </patternFill>
      </fill>
    </dxf>
    <dxf>
      <font>
        <b/>
        <i val="0"/>
        <color auto="1"/>
      </font>
      <fill>
        <patternFill>
          <bgColor rgb="FFFF0000"/>
        </patternFill>
      </fill>
    </dxf>
    <dxf>
      <font>
        <b/>
        <i val="0"/>
      </font>
      <fill>
        <patternFill>
          <bgColor rgb="FF00B050"/>
        </patternFill>
      </fill>
    </dxf>
    <dxf>
      <font>
        <color theme="0"/>
      </font>
    </dxf>
    <dxf>
      <font>
        <b/>
        <i val="0"/>
      </font>
      <fill>
        <patternFill>
          <bgColor rgb="FF00B050"/>
        </patternFill>
      </fill>
    </dxf>
    <dxf>
      <font>
        <b/>
        <i val="0"/>
      </font>
      <fill>
        <patternFill>
          <bgColor rgb="FFFFFF00"/>
        </patternFill>
      </fill>
    </dxf>
    <dxf>
      <font>
        <b/>
        <i val="0"/>
        <color auto="1"/>
      </font>
      <fill>
        <patternFill>
          <bgColor rgb="FFFF0000"/>
        </patternFill>
      </fill>
    </dxf>
    <dxf>
      <font>
        <b/>
        <i val="0"/>
        <color auto="1"/>
      </font>
      <fill>
        <patternFill>
          <bgColor rgb="FFFF0000"/>
        </patternFill>
      </fill>
    </dxf>
    <dxf>
      <font>
        <b/>
        <i val="0"/>
      </font>
      <fill>
        <patternFill>
          <bgColor rgb="FFFFFF00"/>
        </patternFill>
      </fill>
    </dxf>
    <dxf>
      <font>
        <b/>
        <i val="0"/>
      </font>
      <fill>
        <patternFill>
          <bgColor rgb="FF00B050"/>
        </patternFill>
      </fill>
    </dxf>
    <dxf>
      <font>
        <color theme="0"/>
      </font>
    </dxf>
    <dxf>
      <font>
        <b/>
        <i val="0"/>
      </font>
      <fill>
        <patternFill>
          <bgColor rgb="FF00B050"/>
        </patternFill>
      </fill>
    </dxf>
    <dxf>
      <font>
        <b/>
        <i val="0"/>
        <color auto="1"/>
      </font>
      <fill>
        <patternFill>
          <bgColor rgb="FFFF0000"/>
        </patternFill>
      </fill>
    </dxf>
    <dxf>
      <font>
        <b/>
        <i val="0"/>
      </font>
      <fill>
        <patternFill>
          <bgColor rgb="FFFFFF00"/>
        </patternFill>
      </fill>
    </dxf>
    <dxf>
      <font>
        <b/>
        <i val="0"/>
        <color auto="1"/>
      </font>
      <fill>
        <patternFill>
          <bgColor rgb="FFFF0000"/>
        </patternFill>
      </fill>
    </dxf>
    <dxf>
      <font>
        <b/>
        <i val="0"/>
      </font>
      <fill>
        <patternFill>
          <bgColor rgb="FFFFFF00"/>
        </patternFill>
      </fill>
    </dxf>
    <dxf>
      <font>
        <b/>
        <i val="0"/>
      </font>
      <fill>
        <patternFill>
          <bgColor rgb="FF00B050"/>
        </patternFill>
      </fill>
    </dxf>
    <dxf>
      <font>
        <color theme="0"/>
      </font>
    </dxf>
    <dxf>
      <font>
        <b/>
        <i val="0"/>
        <color auto="1"/>
      </font>
      <fill>
        <patternFill>
          <bgColor rgb="FFFF0000"/>
        </patternFill>
      </fill>
    </dxf>
    <dxf>
      <font>
        <b/>
        <i val="0"/>
      </font>
      <fill>
        <patternFill>
          <bgColor rgb="FFFFFF00"/>
        </patternFill>
      </fill>
    </dxf>
    <dxf>
      <font>
        <b/>
        <i val="0"/>
      </font>
      <fill>
        <patternFill>
          <bgColor rgb="FF00B050"/>
        </patternFill>
      </fill>
    </dxf>
    <dxf>
      <font>
        <b/>
        <i val="0"/>
        <color auto="1"/>
      </font>
      <fill>
        <patternFill>
          <bgColor rgb="FFFF0000"/>
        </patternFill>
      </fill>
    </dxf>
    <dxf>
      <font>
        <b/>
        <i val="0"/>
      </font>
      <fill>
        <patternFill>
          <bgColor rgb="FFFFFF00"/>
        </patternFill>
      </fill>
    </dxf>
    <dxf>
      <font>
        <b/>
        <i val="0"/>
      </font>
      <fill>
        <patternFill>
          <bgColor rgb="FF00B050"/>
        </patternFill>
      </fill>
    </dxf>
    <dxf>
      <font>
        <b/>
        <i val="0"/>
      </font>
      <fill>
        <patternFill>
          <bgColor rgb="FFFFFF00"/>
        </patternFill>
      </fill>
    </dxf>
    <dxf>
      <font>
        <b/>
        <i val="0"/>
        <color auto="1"/>
      </font>
      <fill>
        <patternFill>
          <bgColor rgb="FFFF0000"/>
        </patternFill>
      </fill>
    </dxf>
    <dxf>
      <font>
        <b/>
        <i val="0"/>
      </font>
      <fill>
        <patternFill>
          <bgColor rgb="FF00B050"/>
        </patternFill>
      </fill>
    </dxf>
    <dxf>
      <font>
        <b/>
        <i val="0"/>
      </font>
      <fill>
        <patternFill>
          <bgColor rgb="FF00B050"/>
        </patternFill>
      </fill>
    </dxf>
    <dxf>
      <font>
        <b/>
        <i val="0"/>
      </font>
      <fill>
        <patternFill>
          <bgColor rgb="FFFFFF00"/>
        </patternFill>
      </fill>
    </dxf>
    <dxf>
      <font>
        <b/>
        <i val="0"/>
        <color auto="1"/>
      </font>
      <fill>
        <patternFill>
          <bgColor rgb="FFFF000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3-MATRIZ'!A1"/><Relationship Id="rId7" Type="http://schemas.openxmlformats.org/officeDocument/2006/relationships/hyperlink" Target="#'7-INFORME FINAL '!A1"/><Relationship Id="rId2" Type="http://schemas.openxmlformats.org/officeDocument/2006/relationships/image" Target="../media/image1.png"/><Relationship Id="rId1" Type="http://schemas.openxmlformats.org/officeDocument/2006/relationships/hyperlink" Target="#'2-CARGOS'!A1"/><Relationship Id="rId6" Type="http://schemas.openxmlformats.org/officeDocument/2006/relationships/hyperlink" Target="#'6-LISTADOS'!A1"/><Relationship Id="rId5" Type="http://schemas.openxmlformats.org/officeDocument/2006/relationships/hyperlink" Target="#'5-CALIFICACION'!A1"/><Relationship Id="rId10" Type="http://schemas.openxmlformats.org/officeDocument/2006/relationships/image" Target="../media/image4.png"/><Relationship Id="rId4" Type="http://schemas.openxmlformats.org/officeDocument/2006/relationships/hyperlink" Target="#'4-PONDERACION'!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hyperlink" Target="#'1-INICIO'!A1"/><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hyperlink" Target="#'1-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hyperlink" Target="#'1-INICIO'!A1"/></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hyperlink" Target="#'1-INICIO'!A1"/></Relationships>
</file>

<file path=xl/drawings/_rels/drawing7.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5.png"/><Relationship Id="rId1" Type="http://schemas.openxmlformats.org/officeDocument/2006/relationships/hyperlink" Target="#'1-INICIO'!A1"/><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15</xdr:col>
      <xdr:colOff>19050</xdr:colOff>
      <xdr:row>17</xdr:row>
      <xdr:rowOff>47625</xdr:rowOff>
    </xdr:from>
    <xdr:to>
      <xdr:col>15</xdr:col>
      <xdr:colOff>352425</xdr:colOff>
      <xdr:row>18</xdr:row>
      <xdr:rowOff>171450</xdr:rowOff>
    </xdr:to>
    <xdr:pic>
      <xdr:nvPicPr>
        <xdr:cNvPr id="4126" name="2 Imagen" descr="Resultado de imagen para icono ir a">
          <a:hlinkClick xmlns:r="http://schemas.openxmlformats.org/officeDocument/2006/relationships" r:id="rId1"/>
          <a:extLst>
            <a:ext uri="{FF2B5EF4-FFF2-40B4-BE49-F238E27FC236}">
              <a16:creationId xmlns:a16="http://schemas.microsoft.com/office/drawing/2014/main" id="{00000000-0008-0000-0000-00001E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29925" y="3362325"/>
          <a:ext cx="3333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19050</xdr:colOff>
      <xdr:row>19</xdr:row>
      <xdr:rowOff>47625</xdr:rowOff>
    </xdr:from>
    <xdr:to>
      <xdr:col>15</xdr:col>
      <xdr:colOff>352425</xdr:colOff>
      <xdr:row>20</xdr:row>
      <xdr:rowOff>180975</xdr:rowOff>
    </xdr:to>
    <xdr:pic>
      <xdr:nvPicPr>
        <xdr:cNvPr id="4127" name="3 Imagen" descr="Resultado de imagen para icono ir a">
          <a:hlinkClick xmlns:r="http://schemas.openxmlformats.org/officeDocument/2006/relationships" r:id="rId3"/>
          <a:extLst>
            <a:ext uri="{FF2B5EF4-FFF2-40B4-BE49-F238E27FC236}">
              <a16:creationId xmlns:a16="http://schemas.microsoft.com/office/drawing/2014/main" id="{00000000-0008-0000-0000-00001F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29925" y="3762375"/>
          <a:ext cx="3333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28575</xdr:colOff>
      <xdr:row>21</xdr:row>
      <xdr:rowOff>38100</xdr:rowOff>
    </xdr:from>
    <xdr:to>
      <xdr:col>15</xdr:col>
      <xdr:colOff>361950</xdr:colOff>
      <xdr:row>22</xdr:row>
      <xdr:rowOff>171450</xdr:rowOff>
    </xdr:to>
    <xdr:pic>
      <xdr:nvPicPr>
        <xdr:cNvPr id="4128" name="4 Imagen" descr="Resultado de imagen para icono ir a">
          <a:hlinkClick xmlns:r="http://schemas.openxmlformats.org/officeDocument/2006/relationships" r:id="rId4"/>
          <a:extLst>
            <a:ext uri="{FF2B5EF4-FFF2-40B4-BE49-F238E27FC236}">
              <a16:creationId xmlns:a16="http://schemas.microsoft.com/office/drawing/2014/main" id="{00000000-0008-0000-0000-000020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39450" y="4133850"/>
          <a:ext cx="3333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28575</xdr:colOff>
      <xdr:row>23</xdr:row>
      <xdr:rowOff>47625</xdr:rowOff>
    </xdr:from>
    <xdr:to>
      <xdr:col>15</xdr:col>
      <xdr:colOff>361950</xdr:colOff>
      <xdr:row>24</xdr:row>
      <xdr:rowOff>171450</xdr:rowOff>
    </xdr:to>
    <xdr:pic>
      <xdr:nvPicPr>
        <xdr:cNvPr id="4129" name="5 Imagen" descr="Resultado de imagen para icono ir a">
          <a:hlinkClick xmlns:r="http://schemas.openxmlformats.org/officeDocument/2006/relationships" r:id="rId5"/>
          <a:extLst>
            <a:ext uri="{FF2B5EF4-FFF2-40B4-BE49-F238E27FC236}">
              <a16:creationId xmlns:a16="http://schemas.microsoft.com/office/drawing/2014/main" id="{00000000-0008-0000-0000-000021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39450" y="45243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19050</xdr:colOff>
      <xdr:row>25</xdr:row>
      <xdr:rowOff>57150</xdr:rowOff>
    </xdr:from>
    <xdr:to>
      <xdr:col>15</xdr:col>
      <xdr:colOff>352425</xdr:colOff>
      <xdr:row>27</xdr:row>
      <xdr:rowOff>0</xdr:rowOff>
    </xdr:to>
    <xdr:pic>
      <xdr:nvPicPr>
        <xdr:cNvPr id="4130" name="6 Imagen" descr="Resultado de imagen para icono ir a">
          <a:hlinkClick xmlns:r="http://schemas.openxmlformats.org/officeDocument/2006/relationships" r:id="rId6"/>
          <a:extLst>
            <a:ext uri="{FF2B5EF4-FFF2-40B4-BE49-F238E27FC236}">
              <a16:creationId xmlns:a16="http://schemas.microsoft.com/office/drawing/2014/main" id="{00000000-0008-0000-0000-000022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29925" y="4914900"/>
          <a:ext cx="3333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19050</xdr:colOff>
      <xdr:row>27</xdr:row>
      <xdr:rowOff>57150</xdr:rowOff>
    </xdr:from>
    <xdr:to>
      <xdr:col>15</xdr:col>
      <xdr:colOff>352425</xdr:colOff>
      <xdr:row>27</xdr:row>
      <xdr:rowOff>381000</xdr:rowOff>
    </xdr:to>
    <xdr:pic>
      <xdr:nvPicPr>
        <xdr:cNvPr id="4131" name="7 Imagen" descr="Resultado de imagen para icono ir a">
          <a:hlinkClick xmlns:r="http://schemas.openxmlformats.org/officeDocument/2006/relationships" r:id="rId7"/>
          <a:extLst>
            <a:ext uri="{FF2B5EF4-FFF2-40B4-BE49-F238E27FC236}">
              <a16:creationId xmlns:a16="http://schemas.microsoft.com/office/drawing/2014/main" id="{00000000-0008-0000-0000-000023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29925" y="5295900"/>
          <a:ext cx="3333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627831</xdr:colOff>
      <xdr:row>19</xdr:row>
      <xdr:rowOff>104146</xdr:rowOff>
    </xdr:from>
    <xdr:to>
      <xdr:col>11</xdr:col>
      <xdr:colOff>276225</xdr:colOff>
      <xdr:row>24</xdr:row>
      <xdr:rowOff>0</xdr:rowOff>
    </xdr:to>
    <xdr:pic>
      <xdr:nvPicPr>
        <xdr:cNvPr id="9" name="Imagen 8" descr="Agencia Nacional de Seguridad Vial">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342706" y="3818896"/>
          <a:ext cx="2696394" cy="848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179217</xdr:colOff>
      <xdr:row>16</xdr:row>
      <xdr:rowOff>66674</xdr:rowOff>
    </xdr:from>
    <xdr:to>
      <xdr:col>11</xdr:col>
      <xdr:colOff>609600</xdr:colOff>
      <xdr:row>19</xdr:row>
      <xdr:rowOff>85723</xdr:rowOff>
    </xdr:to>
    <xdr:pic>
      <xdr:nvPicPr>
        <xdr:cNvPr id="10" name="Imagen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4894092" y="3181349"/>
          <a:ext cx="3478383" cy="619125"/>
        </a:xfrm>
        <a:prstGeom prst="rect">
          <a:avLst/>
        </a:prstGeom>
      </xdr:spPr>
    </xdr:pic>
    <xdr:clientData/>
  </xdr:twoCellAnchor>
  <xdr:twoCellAnchor editAs="oneCell">
    <xdr:from>
      <xdr:col>11</xdr:col>
      <xdr:colOff>707571</xdr:colOff>
      <xdr:row>8</xdr:row>
      <xdr:rowOff>190501</xdr:rowOff>
    </xdr:from>
    <xdr:to>
      <xdr:col>16</xdr:col>
      <xdr:colOff>716313</xdr:colOff>
      <xdr:row>14</xdr:row>
      <xdr:rowOff>15425</xdr:rowOff>
    </xdr:to>
    <xdr:pic>
      <xdr:nvPicPr>
        <xdr:cNvPr id="3" name="Imagen 2">
          <a:extLst>
            <a:ext uri="{FF2B5EF4-FFF2-40B4-BE49-F238E27FC236}">
              <a16:creationId xmlns:a16="http://schemas.microsoft.com/office/drawing/2014/main" id="{7ED39D11-EE40-4760-DB16-AD05DB914D0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694964" y="2803072"/>
          <a:ext cx="3818742" cy="1103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5</xdr:col>
      <xdr:colOff>0</xdr:colOff>
      <xdr:row>18</xdr:row>
      <xdr:rowOff>9172</xdr:rowOff>
    </xdr:to>
    <xdr:pic>
      <xdr:nvPicPr>
        <xdr:cNvPr id="7177" name="1 Imagen" descr="Resultado de imagen para inicio">
          <a:hlinkClick xmlns:r="http://schemas.openxmlformats.org/officeDocument/2006/relationships" r:id="rId1"/>
          <a:extLst>
            <a:ext uri="{FF2B5EF4-FFF2-40B4-BE49-F238E27FC236}">
              <a16:creationId xmlns:a16="http://schemas.microsoft.com/office/drawing/2014/main" id="{00000000-0008-0000-0100-0000091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4925" y="933450"/>
          <a:ext cx="0" cy="264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1545166</xdr:colOff>
      <xdr:row>19</xdr:row>
      <xdr:rowOff>70909</xdr:rowOff>
    </xdr:from>
    <xdr:to>
      <xdr:col>4</xdr:col>
      <xdr:colOff>2697691</xdr:colOff>
      <xdr:row>22</xdr:row>
      <xdr:rowOff>143934</xdr:rowOff>
    </xdr:to>
    <xdr:pic>
      <xdr:nvPicPr>
        <xdr:cNvPr id="7178" name="2 Imagen" descr="Resultado de imagen para inicio">
          <a:hlinkClick xmlns:r="http://schemas.openxmlformats.org/officeDocument/2006/relationships" r:id="rId1"/>
          <a:extLst>
            <a:ext uri="{FF2B5EF4-FFF2-40B4-BE49-F238E27FC236}">
              <a16:creationId xmlns:a16="http://schemas.microsoft.com/office/drawing/2014/main" id="{00000000-0008-0000-0100-00000A1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9249" y="3870326"/>
          <a:ext cx="1152525" cy="64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31750</xdr:colOff>
      <xdr:row>4</xdr:row>
      <xdr:rowOff>148164</xdr:rowOff>
    </xdr:from>
    <xdr:to>
      <xdr:col>4</xdr:col>
      <xdr:colOff>3672417</xdr:colOff>
      <xdr:row>10</xdr:row>
      <xdr:rowOff>121179</xdr:rowOff>
    </xdr:to>
    <xdr:pic>
      <xdr:nvPicPr>
        <xdr:cNvPr id="3" name="Imagen 2">
          <a:extLst>
            <a:ext uri="{FF2B5EF4-FFF2-40B4-BE49-F238E27FC236}">
              <a16:creationId xmlns:a16="http://schemas.microsoft.com/office/drawing/2014/main" id="{9F448828-DF16-4B6F-B17E-AFCF20226E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85833" y="1026581"/>
          <a:ext cx="3640667" cy="1052515"/>
        </a:xfrm>
        <a:prstGeom prst="rect">
          <a:avLst/>
        </a:prstGeom>
      </xdr:spPr>
    </xdr:pic>
    <xdr:clientData/>
  </xdr:twoCellAnchor>
  <xdr:twoCellAnchor editAs="oneCell">
    <xdr:from>
      <xdr:col>6</xdr:col>
      <xdr:colOff>211667</xdr:colOff>
      <xdr:row>14</xdr:row>
      <xdr:rowOff>52916</xdr:rowOff>
    </xdr:from>
    <xdr:to>
      <xdr:col>12</xdr:col>
      <xdr:colOff>367774</xdr:colOff>
      <xdr:row>25</xdr:row>
      <xdr:rowOff>179917</xdr:rowOff>
    </xdr:to>
    <xdr:pic>
      <xdr:nvPicPr>
        <xdr:cNvPr id="2" name="Imagen 1">
          <a:extLst>
            <a:ext uri="{FF2B5EF4-FFF2-40B4-BE49-F238E27FC236}">
              <a16:creationId xmlns:a16="http://schemas.microsoft.com/office/drawing/2014/main" id="{538CC822-E833-AAD4-C153-6454AD54848B}"/>
            </a:ext>
          </a:extLst>
        </xdr:cNvPr>
        <xdr:cNvPicPr>
          <a:picLocks noChangeAspect="1"/>
        </xdr:cNvPicPr>
      </xdr:nvPicPr>
      <xdr:blipFill>
        <a:blip xmlns:r="http://schemas.openxmlformats.org/officeDocument/2006/relationships" r:embed="rId4"/>
        <a:stretch>
          <a:fillRect/>
        </a:stretch>
      </xdr:blipFill>
      <xdr:spPr>
        <a:xfrm>
          <a:off x="9800167" y="2772833"/>
          <a:ext cx="4209524" cy="22225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166687</xdr:colOff>
      <xdr:row>0</xdr:row>
      <xdr:rowOff>119062</xdr:rowOff>
    </xdr:from>
    <xdr:to>
      <xdr:col>1</xdr:col>
      <xdr:colOff>2524123</xdr:colOff>
      <xdr:row>4</xdr:row>
      <xdr:rowOff>249071</xdr:rowOff>
    </xdr:to>
    <xdr:pic>
      <xdr:nvPicPr>
        <xdr:cNvPr id="3" name="Imagen 2">
          <a:extLst>
            <a:ext uri="{FF2B5EF4-FFF2-40B4-BE49-F238E27FC236}">
              <a16:creationId xmlns:a16="http://schemas.microsoft.com/office/drawing/2014/main" id="{1963BAD6-6630-D0A7-CCA4-CB7BA632CD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687" y="119062"/>
          <a:ext cx="4238624" cy="12253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1657350</xdr:colOff>
      <xdr:row>5</xdr:row>
      <xdr:rowOff>114300</xdr:rowOff>
    </xdr:from>
    <xdr:to>
      <xdr:col>6</xdr:col>
      <xdr:colOff>1748270</xdr:colOff>
      <xdr:row>11</xdr:row>
      <xdr:rowOff>19050</xdr:rowOff>
    </xdr:to>
    <xdr:pic>
      <xdr:nvPicPr>
        <xdr:cNvPr id="2058" name="2 Imagen" descr="Resultado de imagen para inicio">
          <a:hlinkClick xmlns:r="http://schemas.openxmlformats.org/officeDocument/2006/relationships" r:id="rId1"/>
          <a:extLst>
            <a:ext uri="{FF2B5EF4-FFF2-40B4-BE49-F238E27FC236}">
              <a16:creationId xmlns:a16="http://schemas.microsoft.com/office/drawing/2014/main" id="{00000000-0008-0000-0300-00000A080000}"/>
            </a:ext>
          </a:extLst>
        </xdr:cNvPr>
        <xdr:cNvPicPr>
          <a:picLocks noChangeAspect="1" noChangeArrowheads="1"/>
        </xdr:cNvPicPr>
      </xdr:nvPicPr>
      <xdr:blipFill>
        <a:blip xmlns:r="http://schemas.openxmlformats.org/officeDocument/2006/relationships" r:embed="rId2">
          <a:lum bright="70000" contrast="-70000"/>
          <a:extLst>
            <a:ext uri="{28A0092B-C50C-407E-A947-70E740481C1C}">
              <a14:useLocalDpi xmlns:a14="http://schemas.microsoft.com/office/drawing/2010/main" val="0"/>
            </a:ext>
          </a:extLst>
        </a:blip>
        <a:srcRect/>
        <a:stretch>
          <a:fillRect/>
        </a:stretch>
      </xdr:blipFill>
      <xdr:spPr bwMode="auto">
        <a:xfrm>
          <a:off x="8658225" y="1619250"/>
          <a:ext cx="17621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571500</xdr:colOff>
      <xdr:row>4</xdr:row>
      <xdr:rowOff>111124</xdr:rowOff>
    </xdr:from>
    <xdr:to>
      <xdr:col>8</xdr:col>
      <xdr:colOff>2356421</xdr:colOff>
      <xdr:row>11</xdr:row>
      <xdr:rowOff>87995</xdr:rowOff>
    </xdr:to>
    <xdr:pic>
      <xdr:nvPicPr>
        <xdr:cNvPr id="3" name="Imagen 2">
          <a:extLst>
            <a:ext uri="{FF2B5EF4-FFF2-40B4-BE49-F238E27FC236}">
              <a16:creationId xmlns:a16="http://schemas.microsoft.com/office/drawing/2014/main" id="{1901257C-7FFF-DBCD-CA8D-1420EF31D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06125" y="984249"/>
          <a:ext cx="4642421" cy="13421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693965</xdr:colOff>
      <xdr:row>6</xdr:row>
      <xdr:rowOff>144235</xdr:rowOff>
    </xdr:from>
    <xdr:to>
      <xdr:col>5</xdr:col>
      <xdr:colOff>1959430</xdr:colOff>
      <xdr:row>10</xdr:row>
      <xdr:rowOff>68035</xdr:rowOff>
    </xdr:to>
    <xdr:pic>
      <xdr:nvPicPr>
        <xdr:cNvPr id="6149" name="2 Imagen" descr="Resultado de imagen para inicio">
          <a:hlinkClick xmlns:r="http://schemas.openxmlformats.org/officeDocument/2006/relationships" r:id="rId1"/>
          <a:extLst>
            <a:ext uri="{FF2B5EF4-FFF2-40B4-BE49-F238E27FC236}">
              <a16:creationId xmlns:a16="http://schemas.microsoft.com/office/drawing/2014/main" id="{00000000-0008-0000-0500-0000051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5036" y="1749878"/>
          <a:ext cx="1265465" cy="6313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3119438</xdr:colOff>
      <xdr:row>3</xdr:row>
      <xdr:rowOff>137446</xdr:rowOff>
    </xdr:from>
    <xdr:to>
      <xdr:col>7</xdr:col>
      <xdr:colOff>2202656</xdr:colOff>
      <xdr:row>11</xdr:row>
      <xdr:rowOff>175308</xdr:rowOff>
    </xdr:to>
    <xdr:pic>
      <xdr:nvPicPr>
        <xdr:cNvPr id="3" name="Imagen 2">
          <a:extLst>
            <a:ext uri="{FF2B5EF4-FFF2-40B4-BE49-F238E27FC236}">
              <a16:creationId xmlns:a16="http://schemas.microsoft.com/office/drawing/2014/main" id="{7A814C16-5FF3-CA3E-1CFD-A52F4A1F05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775782" y="1173290"/>
          <a:ext cx="5155405" cy="14904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2562225</xdr:colOff>
      <xdr:row>12</xdr:row>
      <xdr:rowOff>85725</xdr:rowOff>
    </xdr:from>
    <xdr:to>
      <xdr:col>4</xdr:col>
      <xdr:colOff>3638550</xdr:colOff>
      <xdr:row>14</xdr:row>
      <xdr:rowOff>161925</xdr:rowOff>
    </xdr:to>
    <xdr:pic>
      <xdr:nvPicPr>
        <xdr:cNvPr id="5125" name="1 Imagen" descr="Resultado de imagen para inicio">
          <a:hlinkClick xmlns:r="http://schemas.openxmlformats.org/officeDocument/2006/relationships" r:id="rId1"/>
          <a:extLst>
            <a:ext uri="{FF2B5EF4-FFF2-40B4-BE49-F238E27FC236}">
              <a16:creationId xmlns:a16="http://schemas.microsoft.com/office/drawing/2014/main" id="{00000000-0008-0000-0400-000005140000}"/>
            </a:ext>
          </a:extLst>
        </xdr:cNvPr>
        <xdr:cNvPicPr>
          <a:picLocks noChangeAspect="1" noChangeArrowheads="1"/>
        </xdr:cNvPicPr>
      </xdr:nvPicPr>
      <xdr:blipFill>
        <a:blip xmlns:r="http://schemas.openxmlformats.org/officeDocument/2006/relationships" r:embed="rId2">
          <a:lum bright="70000" contrast="-70000"/>
          <a:extLst>
            <a:ext uri="{28A0092B-C50C-407E-A947-70E740481C1C}">
              <a14:useLocalDpi xmlns:a14="http://schemas.microsoft.com/office/drawing/2010/main" val="0"/>
            </a:ext>
          </a:extLst>
        </a:blip>
        <a:srcRect/>
        <a:stretch>
          <a:fillRect/>
        </a:stretch>
      </xdr:blipFill>
      <xdr:spPr bwMode="auto">
        <a:xfrm>
          <a:off x="9467850" y="2724150"/>
          <a:ext cx="10763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127000</xdr:colOff>
      <xdr:row>4</xdr:row>
      <xdr:rowOff>234332</xdr:rowOff>
    </xdr:from>
    <xdr:to>
      <xdr:col>4</xdr:col>
      <xdr:colOff>3794125</xdr:colOff>
      <xdr:row>10</xdr:row>
      <xdr:rowOff>103871</xdr:rowOff>
    </xdr:to>
    <xdr:pic>
      <xdr:nvPicPr>
        <xdr:cNvPr id="3" name="Imagen 2">
          <a:extLst>
            <a:ext uri="{FF2B5EF4-FFF2-40B4-BE49-F238E27FC236}">
              <a16:creationId xmlns:a16="http://schemas.microsoft.com/office/drawing/2014/main" id="{411E7F8B-910D-948A-324B-47FFD8469F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032625" y="1282082"/>
          <a:ext cx="3667125" cy="10601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5</xdr:col>
      <xdr:colOff>0</xdr:colOff>
      <xdr:row>18</xdr:row>
      <xdr:rowOff>65616</xdr:rowOff>
    </xdr:to>
    <xdr:pic>
      <xdr:nvPicPr>
        <xdr:cNvPr id="2" name="1 Imagen" descr="Resultado de imagen para inicio">
          <a:hlinkClick xmlns:r="http://schemas.openxmlformats.org/officeDocument/2006/relationships" r:id="rId1"/>
          <a:extLst>
            <a:ext uri="{FF2B5EF4-FFF2-40B4-BE49-F238E27FC236}">
              <a16:creationId xmlns:a16="http://schemas.microsoft.com/office/drawing/2014/main" id="{CCF42E60-8E04-426A-BCEF-7BC6522FF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9750" y="933450"/>
          <a:ext cx="0" cy="264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0</xdr:colOff>
      <xdr:row>4</xdr:row>
      <xdr:rowOff>0</xdr:rowOff>
    </xdr:from>
    <xdr:ext cx="0" cy="2637366"/>
    <xdr:pic>
      <xdr:nvPicPr>
        <xdr:cNvPr id="5" name="1 Imagen" descr="Resultado de imagen para inicio">
          <a:hlinkClick xmlns:r="http://schemas.openxmlformats.org/officeDocument/2006/relationships" r:id="rId1"/>
          <a:extLst>
            <a:ext uri="{FF2B5EF4-FFF2-40B4-BE49-F238E27FC236}">
              <a16:creationId xmlns:a16="http://schemas.microsoft.com/office/drawing/2014/main" id="{6F1E2FAD-7A6D-4693-90E4-94B06C400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9750" y="941917"/>
          <a:ext cx="0" cy="263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2243668</xdr:colOff>
      <xdr:row>6</xdr:row>
      <xdr:rowOff>59003</xdr:rowOff>
    </xdr:from>
    <xdr:ext cx="1152525" cy="644525"/>
    <xdr:pic>
      <xdr:nvPicPr>
        <xdr:cNvPr id="6" name="2 Imagen" descr="Resultado de imagen para inicio">
          <a:hlinkClick xmlns:r="http://schemas.openxmlformats.org/officeDocument/2006/relationships" r:id="rId1"/>
          <a:extLst>
            <a:ext uri="{FF2B5EF4-FFF2-40B4-BE49-F238E27FC236}">
              <a16:creationId xmlns:a16="http://schemas.microsoft.com/office/drawing/2014/main" id="{D797E30B-DB27-4E0D-995A-EB26D4BF0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40481" y="1356784"/>
          <a:ext cx="1152525" cy="64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38418</xdr:colOff>
      <xdr:row>53</xdr:row>
      <xdr:rowOff>110988</xdr:rowOff>
    </xdr:from>
    <xdr:to>
      <xdr:col>2</xdr:col>
      <xdr:colOff>5629489</xdr:colOff>
      <xdr:row>62</xdr:row>
      <xdr:rowOff>175685</xdr:rowOff>
    </xdr:to>
    <xdr:pic>
      <xdr:nvPicPr>
        <xdr:cNvPr id="8" name="Imagen 7">
          <a:extLst>
            <a:ext uri="{FF2B5EF4-FFF2-40B4-BE49-F238E27FC236}">
              <a16:creationId xmlns:a16="http://schemas.microsoft.com/office/drawing/2014/main" id="{85B563CD-E1ED-4368-BB93-736837A86EE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1426" y="9755051"/>
          <a:ext cx="5591071" cy="167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65817</xdr:colOff>
      <xdr:row>45</xdr:row>
      <xdr:rowOff>171978</xdr:rowOff>
    </xdr:from>
    <xdr:to>
      <xdr:col>4</xdr:col>
      <xdr:colOff>5754359</xdr:colOff>
      <xdr:row>56</xdr:row>
      <xdr:rowOff>126334</xdr:rowOff>
    </xdr:to>
    <xdr:pic>
      <xdr:nvPicPr>
        <xdr:cNvPr id="9" name="Imagen 8">
          <a:extLst>
            <a:ext uri="{FF2B5EF4-FFF2-40B4-BE49-F238E27FC236}">
              <a16:creationId xmlns:a16="http://schemas.microsoft.com/office/drawing/2014/main" id="{27D66744-CC31-4CC7-B038-C9327BB8BDD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12419" y="8387291"/>
          <a:ext cx="5688542" cy="1918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55892</xdr:colOff>
      <xdr:row>62</xdr:row>
      <xdr:rowOff>35116</xdr:rowOff>
    </xdr:from>
    <xdr:to>
      <xdr:col>4</xdr:col>
      <xdr:colOff>5730109</xdr:colOff>
      <xdr:row>72</xdr:row>
      <xdr:rowOff>127252</xdr:rowOff>
    </xdr:to>
    <xdr:pic>
      <xdr:nvPicPr>
        <xdr:cNvPr id="10" name="Imagen 9">
          <a:extLst>
            <a:ext uri="{FF2B5EF4-FFF2-40B4-BE49-F238E27FC236}">
              <a16:creationId xmlns:a16="http://schemas.microsoft.com/office/drawing/2014/main" id="{160942DB-1C03-4986-980B-F3A4E67854F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202494" y="11286522"/>
          <a:ext cx="5674217" cy="1878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79374</xdr:colOff>
      <xdr:row>14</xdr:row>
      <xdr:rowOff>84666</xdr:rowOff>
    </xdr:from>
    <xdr:to>
      <xdr:col>7</xdr:col>
      <xdr:colOff>5413375</xdr:colOff>
      <xdr:row>40</xdr:row>
      <xdr:rowOff>27064</xdr:rowOff>
    </xdr:to>
    <xdr:pic>
      <xdr:nvPicPr>
        <xdr:cNvPr id="11" name="Imagen 10">
          <a:extLst>
            <a:ext uri="{FF2B5EF4-FFF2-40B4-BE49-F238E27FC236}">
              <a16:creationId xmlns:a16="http://schemas.microsoft.com/office/drawing/2014/main" id="{DCBC5536-A391-46C9-8107-21C9AA602AF8}"/>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735" r="1507"/>
        <a:stretch/>
      </xdr:blipFill>
      <xdr:spPr bwMode="auto">
        <a:xfrm>
          <a:off x="12398374" y="2831041"/>
          <a:ext cx="5635625" cy="4482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46762</xdr:colOff>
      <xdr:row>66</xdr:row>
      <xdr:rowOff>75702</xdr:rowOff>
    </xdr:from>
    <xdr:to>
      <xdr:col>7</xdr:col>
      <xdr:colOff>5433853</xdr:colOff>
      <xdr:row>72</xdr:row>
      <xdr:rowOff>14847</xdr:rowOff>
    </xdr:to>
    <xdr:pic>
      <xdr:nvPicPr>
        <xdr:cNvPr id="12" name="Imagen 11">
          <a:extLst>
            <a:ext uri="{FF2B5EF4-FFF2-40B4-BE49-F238E27FC236}">
              <a16:creationId xmlns:a16="http://schemas.microsoft.com/office/drawing/2014/main" id="{CACC54AC-D882-45FC-8326-D4B48D6FAF7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44594" y="12419324"/>
          <a:ext cx="5678672" cy="1047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1016000</xdr:colOff>
      <xdr:row>5</xdr:row>
      <xdr:rowOff>23743</xdr:rowOff>
    </xdr:from>
    <xdr:to>
      <xdr:col>4</xdr:col>
      <xdr:colOff>4587875</xdr:colOff>
      <xdr:row>11</xdr:row>
      <xdr:rowOff>8620</xdr:rowOff>
    </xdr:to>
    <xdr:pic>
      <xdr:nvPicPr>
        <xdr:cNvPr id="4" name="Imagen 3">
          <a:extLst>
            <a:ext uri="{FF2B5EF4-FFF2-40B4-BE49-F238E27FC236}">
              <a16:creationId xmlns:a16="http://schemas.microsoft.com/office/drawing/2014/main" id="{7B2148E1-B0E6-09D4-AAAA-E925462A33F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175500" y="1055618"/>
          <a:ext cx="3571875" cy="10326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ohn%20Jairo%20Arboleda\Desktop\Matriz%20de%20Riesgos%20Via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UACION DEL RIESGO"/>
      <sheetName val="Verificación del riesgo"/>
      <sheetName val="FORM"/>
      <sheetName val="INSTRUCTIVO"/>
      <sheetName val="EVALUACION DEL RIESGO (2)"/>
    </sheetNames>
    <sheetDataSet>
      <sheetData sheetId="0"/>
      <sheetData sheetId="1"/>
      <sheetData sheetId="2">
        <row r="2">
          <cell r="A2" t="str">
            <v>FRECUENTE</v>
          </cell>
          <cell r="B2" t="str">
            <v>CATASTRÓFICO</v>
          </cell>
        </row>
        <row r="3">
          <cell r="A3" t="str">
            <v>OCASIONAL</v>
          </cell>
          <cell r="B3" t="str">
            <v>PELIGROSO</v>
          </cell>
        </row>
        <row r="4">
          <cell r="A4" t="str">
            <v>REMOTO</v>
          </cell>
          <cell r="B4" t="str">
            <v>MAYOR</v>
          </cell>
        </row>
        <row r="5">
          <cell r="A5" t="str">
            <v>IMPROBABLE</v>
          </cell>
          <cell r="B5" t="str">
            <v>MENOR</v>
          </cell>
        </row>
        <row r="6">
          <cell r="A6" t="str">
            <v>EXTREMADAMENTE IMPROBABLE</v>
          </cell>
          <cell r="B6" t="str">
            <v>INSIGNIFICANTE</v>
          </cell>
        </row>
        <row r="172">
          <cell r="G172" t="e">
            <v>#N/A</v>
          </cell>
          <cell r="H172" t="e">
            <v>#N/A</v>
          </cell>
        </row>
        <row r="173">
          <cell r="G173" t="e">
            <v>#N/A</v>
          </cell>
          <cell r="H173" t="e">
            <v>#N/A</v>
          </cell>
        </row>
        <row r="174">
          <cell r="G174" t="e">
            <v>#N/A</v>
          </cell>
          <cell r="H174" t="e">
            <v>#N/A</v>
          </cell>
        </row>
        <row r="175">
          <cell r="G175" t="e">
            <v>#N/A</v>
          </cell>
          <cell r="H175" t="e">
            <v>#N/A</v>
          </cell>
        </row>
        <row r="176">
          <cell r="G176" t="e">
            <v>#N/A</v>
          </cell>
          <cell r="H176" t="e">
            <v>#N/A</v>
          </cell>
        </row>
        <row r="177">
          <cell r="G177" t="e">
            <v>#N/A</v>
          </cell>
          <cell r="H177" t="e">
            <v>#N/A</v>
          </cell>
        </row>
        <row r="178">
          <cell r="G178" t="e">
            <v>#N/A</v>
          </cell>
          <cell r="H178" t="e">
            <v>#N/A</v>
          </cell>
        </row>
        <row r="179">
          <cell r="G179" t="e">
            <v>#N/A</v>
          </cell>
          <cell r="H179" t="e">
            <v>#N/A</v>
          </cell>
        </row>
        <row r="180">
          <cell r="G180" t="e">
            <v>#N/A</v>
          </cell>
          <cell r="H180" t="e">
            <v>#N/A</v>
          </cell>
        </row>
        <row r="181">
          <cell r="G181" t="e">
            <v>#N/A</v>
          </cell>
          <cell r="H181" t="e">
            <v>#N/A</v>
          </cell>
        </row>
        <row r="182">
          <cell r="G182" t="e">
            <v>#N/A</v>
          </cell>
          <cell r="H182" t="e">
            <v>#N/A</v>
          </cell>
        </row>
        <row r="183">
          <cell r="G183" t="e">
            <v>#N/A</v>
          </cell>
          <cell r="H183" t="e">
            <v>#N/A</v>
          </cell>
        </row>
        <row r="184">
          <cell r="G184" t="e">
            <v>#N/A</v>
          </cell>
          <cell r="H184" t="e">
            <v>#N/A</v>
          </cell>
        </row>
        <row r="185">
          <cell r="G185" t="e">
            <v>#N/A</v>
          </cell>
          <cell r="H185" t="e">
            <v>#N/A</v>
          </cell>
        </row>
        <row r="186">
          <cell r="G186" t="e">
            <v>#N/A</v>
          </cell>
          <cell r="H186" t="e">
            <v>#N/A</v>
          </cell>
        </row>
        <row r="187">
          <cell r="G187" t="e">
            <v>#N/A</v>
          </cell>
          <cell r="H187" t="e">
            <v>#N/A</v>
          </cell>
        </row>
        <row r="188">
          <cell r="G188" t="e">
            <v>#N/A</v>
          </cell>
          <cell r="H188" t="e">
            <v>#N/A</v>
          </cell>
        </row>
        <row r="189">
          <cell r="G189" t="e">
            <v>#N/A</v>
          </cell>
          <cell r="H189" t="e">
            <v>#N/A</v>
          </cell>
        </row>
        <row r="190">
          <cell r="G190" t="e">
            <v>#N/A</v>
          </cell>
          <cell r="H190" t="e">
            <v>#N/A</v>
          </cell>
        </row>
        <row r="191">
          <cell r="G191" t="e">
            <v>#N/A</v>
          </cell>
          <cell r="H191" t="e">
            <v>#N/A</v>
          </cell>
        </row>
        <row r="192">
          <cell r="G192" t="e">
            <v>#N/A</v>
          </cell>
          <cell r="H192" t="e">
            <v>#N/A</v>
          </cell>
        </row>
        <row r="193">
          <cell r="G193" t="e">
            <v>#N/A</v>
          </cell>
          <cell r="H193" t="e">
            <v>#N/A</v>
          </cell>
        </row>
        <row r="194">
          <cell r="G194" t="e">
            <v>#N/A</v>
          </cell>
          <cell r="H194" t="e">
            <v>#N/A</v>
          </cell>
        </row>
        <row r="195">
          <cell r="G195" t="e">
            <v>#N/A</v>
          </cell>
          <cell r="H195" t="e">
            <v>#N/A</v>
          </cell>
        </row>
        <row r="196">
          <cell r="G196" t="e">
            <v>#N/A</v>
          </cell>
          <cell r="H196" t="e">
            <v>#N/A</v>
          </cell>
        </row>
        <row r="197">
          <cell r="G197" t="e">
            <v>#N/A</v>
          </cell>
          <cell r="H197" t="e">
            <v>#N/A</v>
          </cell>
        </row>
        <row r="198">
          <cell r="G198" t="e">
            <v>#N/A</v>
          </cell>
          <cell r="H198" t="e">
            <v>#N/A</v>
          </cell>
        </row>
        <row r="199">
          <cell r="G199" t="e">
            <v>#N/A</v>
          </cell>
          <cell r="H199" t="e">
            <v>#N/A</v>
          </cell>
        </row>
        <row r="200">
          <cell r="G200" t="e">
            <v>#N/A</v>
          </cell>
          <cell r="H200" t="e">
            <v>#N/A</v>
          </cell>
        </row>
        <row r="201">
          <cell r="G201" t="e">
            <v>#N/A</v>
          </cell>
          <cell r="H201" t="e">
            <v>#N/A</v>
          </cell>
        </row>
        <row r="202">
          <cell r="G202" t="e">
            <v>#N/A</v>
          </cell>
          <cell r="H202" t="e">
            <v>#N/A</v>
          </cell>
        </row>
        <row r="203">
          <cell r="G203" t="e">
            <v>#N/A</v>
          </cell>
          <cell r="H203" t="e">
            <v>#N/A</v>
          </cell>
        </row>
        <row r="204">
          <cell r="G204" t="e">
            <v>#N/A</v>
          </cell>
          <cell r="H204" t="e">
            <v>#N/A</v>
          </cell>
        </row>
        <row r="205">
          <cell r="G205" t="e">
            <v>#N/A</v>
          </cell>
          <cell r="H205" t="e">
            <v>#N/A</v>
          </cell>
        </row>
        <row r="206">
          <cell r="G206" t="e">
            <v>#N/A</v>
          </cell>
          <cell r="H206" t="e">
            <v>#N/A</v>
          </cell>
        </row>
        <row r="207">
          <cell r="G207" t="e">
            <v>#N/A</v>
          </cell>
          <cell r="H207" t="e">
            <v>#N/A</v>
          </cell>
        </row>
        <row r="208">
          <cell r="G208" t="e">
            <v>#N/A</v>
          </cell>
          <cell r="H208" t="e">
            <v>#N/A</v>
          </cell>
        </row>
        <row r="209">
          <cell r="G209" t="e">
            <v>#N/A</v>
          </cell>
          <cell r="H209" t="e">
            <v>#N/A</v>
          </cell>
        </row>
        <row r="210">
          <cell r="G210" t="e">
            <v>#N/A</v>
          </cell>
          <cell r="H210" t="e">
            <v>#N/A</v>
          </cell>
        </row>
        <row r="211">
          <cell r="G211" t="e">
            <v>#N/A</v>
          </cell>
          <cell r="H211" t="e">
            <v>#N/A</v>
          </cell>
        </row>
        <row r="212">
          <cell r="G212" t="e">
            <v>#N/A</v>
          </cell>
          <cell r="H212" t="e">
            <v>#N/A</v>
          </cell>
        </row>
        <row r="213">
          <cell r="G213" t="e">
            <v>#N/A</v>
          </cell>
          <cell r="H213" t="e">
            <v>#N/A</v>
          </cell>
        </row>
        <row r="214">
          <cell r="G214" t="e">
            <v>#N/A</v>
          </cell>
          <cell r="H214" t="e">
            <v>#N/A</v>
          </cell>
        </row>
        <row r="215">
          <cell r="G215" t="e">
            <v>#N/A</v>
          </cell>
          <cell r="H215" t="e">
            <v>#N/A</v>
          </cell>
        </row>
        <row r="216">
          <cell r="G216" t="e">
            <v>#N/A</v>
          </cell>
          <cell r="H216" t="e">
            <v>#N/A</v>
          </cell>
        </row>
        <row r="217">
          <cell r="G217" t="e">
            <v>#N/A</v>
          </cell>
          <cell r="H217" t="e">
            <v>#N/A</v>
          </cell>
        </row>
        <row r="218">
          <cell r="G218" t="e">
            <v>#N/A</v>
          </cell>
          <cell r="H218" t="e">
            <v>#N/A</v>
          </cell>
        </row>
        <row r="219">
          <cell r="G219" t="e">
            <v>#N/A</v>
          </cell>
          <cell r="H219" t="e">
            <v>#N/A</v>
          </cell>
        </row>
        <row r="220">
          <cell r="G220" t="e">
            <v>#N/A</v>
          </cell>
          <cell r="H220" t="e">
            <v>#N/A</v>
          </cell>
        </row>
        <row r="221">
          <cell r="G221" t="e">
            <v>#N/A</v>
          </cell>
          <cell r="H221" t="e">
            <v>#N/A</v>
          </cell>
        </row>
        <row r="222">
          <cell r="G222" t="e">
            <v>#N/A</v>
          </cell>
          <cell r="H222" t="e">
            <v>#N/A</v>
          </cell>
        </row>
        <row r="223">
          <cell r="G223" t="e">
            <v>#N/A</v>
          </cell>
          <cell r="H223" t="e">
            <v>#N/A</v>
          </cell>
        </row>
        <row r="224">
          <cell r="G224" t="e">
            <v>#N/A</v>
          </cell>
          <cell r="H224" t="e">
            <v>#N/A</v>
          </cell>
        </row>
        <row r="225">
          <cell r="G225" t="e">
            <v>#N/A</v>
          </cell>
          <cell r="H225" t="e">
            <v>#N/A</v>
          </cell>
        </row>
        <row r="226">
          <cell r="G226" t="e">
            <v>#N/A</v>
          </cell>
          <cell r="H226" t="e">
            <v>#N/A</v>
          </cell>
        </row>
        <row r="227">
          <cell r="G227" t="e">
            <v>#N/A</v>
          </cell>
          <cell r="H227" t="e">
            <v>#N/A</v>
          </cell>
        </row>
        <row r="228">
          <cell r="G228" t="e">
            <v>#N/A</v>
          </cell>
          <cell r="H228" t="e">
            <v>#N/A</v>
          </cell>
        </row>
        <row r="229">
          <cell r="G229" t="e">
            <v>#N/A</v>
          </cell>
          <cell r="H229" t="e">
            <v>#N/A</v>
          </cell>
        </row>
        <row r="230">
          <cell r="G230" t="e">
            <v>#N/A</v>
          </cell>
          <cell r="H230" t="e">
            <v>#N/A</v>
          </cell>
        </row>
        <row r="231">
          <cell r="G231" t="e">
            <v>#N/A</v>
          </cell>
          <cell r="H231" t="e">
            <v>#N/A</v>
          </cell>
        </row>
        <row r="232">
          <cell r="G232" t="e">
            <v>#N/A</v>
          </cell>
          <cell r="H232" t="e">
            <v>#N/A</v>
          </cell>
        </row>
        <row r="233">
          <cell r="G233" t="e">
            <v>#N/A</v>
          </cell>
          <cell r="H233" t="e">
            <v>#N/A</v>
          </cell>
        </row>
        <row r="234">
          <cell r="G234" t="e">
            <v>#N/A</v>
          </cell>
          <cell r="H234" t="e">
            <v>#N/A</v>
          </cell>
        </row>
        <row r="235">
          <cell r="G235" t="e">
            <v>#N/A</v>
          </cell>
          <cell r="H235" t="e">
            <v>#N/A</v>
          </cell>
        </row>
        <row r="236">
          <cell r="G236" t="e">
            <v>#N/A</v>
          </cell>
          <cell r="H236" t="e">
            <v>#N/A</v>
          </cell>
        </row>
        <row r="237">
          <cell r="G237" t="e">
            <v>#N/A</v>
          </cell>
          <cell r="H237" t="e">
            <v>#N/A</v>
          </cell>
        </row>
        <row r="238">
          <cell r="G238" t="e">
            <v>#N/A</v>
          </cell>
          <cell r="H238" t="e">
            <v>#N/A</v>
          </cell>
        </row>
        <row r="239">
          <cell r="G239" t="e">
            <v>#N/A</v>
          </cell>
          <cell r="H239" t="e">
            <v>#N/A</v>
          </cell>
        </row>
        <row r="240">
          <cell r="G240" t="e">
            <v>#N/A</v>
          </cell>
          <cell r="H240" t="e">
            <v>#N/A</v>
          </cell>
        </row>
        <row r="241">
          <cell r="G241" t="e">
            <v>#N/A</v>
          </cell>
          <cell r="H241" t="e">
            <v>#N/A</v>
          </cell>
        </row>
        <row r="242">
          <cell r="G242" t="e">
            <v>#N/A</v>
          </cell>
          <cell r="H242" t="e">
            <v>#N/A</v>
          </cell>
        </row>
        <row r="243">
          <cell r="G243" t="e">
            <v>#N/A</v>
          </cell>
          <cell r="H243" t="e">
            <v>#N/A</v>
          </cell>
        </row>
        <row r="244">
          <cell r="G244" t="e">
            <v>#N/A</v>
          </cell>
          <cell r="H244" t="e">
            <v>#N/A</v>
          </cell>
        </row>
        <row r="245">
          <cell r="G245" t="e">
            <v>#N/A</v>
          </cell>
          <cell r="H245" t="e">
            <v>#N/A</v>
          </cell>
        </row>
        <row r="246">
          <cell r="G246" t="e">
            <v>#N/A</v>
          </cell>
          <cell r="H246" t="e">
            <v>#N/A</v>
          </cell>
        </row>
        <row r="247">
          <cell r="G247" t="e">
            <v>#N/A</v>
          </cell>
          <cell r="H247" t="e">
            <v>#N/A</v>
          </cell>
        </row>
        <row r="248">
          <cell r="G248" t="e">
            <v>#N/A</v>
          </cell>
          <cell r="H248" t="e">
            <v>#N/A</v>
          </cell>
        </row>
        <row r="249">
          <cell r="G249" t="e">
            <v>#N/A</v>
          </cell>
          <cell r="H249" t="e">
            <v>#N/A</v>
          </cell>
        </row>
        <row r="250">
          <cell r="G250" t="e">
            <v>#N/A</v>
          </cell>
          <cell r="H250" t="e">
            <v>#N/A</v>
          </cell>
        </row>
        <row r="251">
          <cell r="G251" t="e">
            <v>#N/A</v>
          </cell>
          <cell r="H251" t="e">
            <v>#N/A</v>
          </cell>
        </row>
        <row r="252">
          <cell r="G252" t="e">
            <v>#N/A</v>
          </cell>
          <cell r="H252" t="e">
            <v>#N/A</v>
          </cell>
        </row>
        <row r="253">
          <cell r="G253" t="e">
            <v>#N/A</v>
          </cell>
          <cell r="H253" t="e">
            <v>#N/A</v>
          </cell>
        </row>
        <row r="254">
          <cell r="G254" t="e">
            <v>#N/A</v>
          </cell>
          <cell r="H254" t="e">
            <v>#N/A</v>
          </cell>
        </row>
        <row r="255">
          <cell r="G255" t="e">
            <v>#N/A</v>
          </cell>
          <cell r="H255" t="e">
            <v>#N/A</v>
          </cell>
        </row>
        <row r="256">
          <cell r="G256" t="e">
            <v>#N/A</v>
          </cell>
          <cell r="H256" t="e">
            <v>#N/A</v>
          </cell>
        </row>
        <row r="257">
          <cell r="G257" t="e">
            <v>#N/A</v>
          </cell>
          <cell r="H257" t="e">
            <v>#N/A</v>
          </cell>
        </row>
        <row r="258">
          <cell r="G258" t="e">
            <v>#N/A</v>
          </cell>
          <cell r="H258" t="e">
            <v>#N/A</v>
          </cell>
        </row>
        <row r="259">
          <cell r="G259" t="e">
            <v>#N/A</v>
          </cell>
          <cell r="H259" t="e">
            <v>#N/A</v>
          </cell>
        </row>
        <row r="260">
          <cell r="G260" t="e">
            <v>#N/A</v>
          </cell>
          <cell r="H260" t="e">
            <v>#N/A</v>
          </cell>
        </row>
        <row r="261">
          <cell r="G261" t="e">
            <v>#N/A</v>
          </cell>
          <cell r="H261" t="e">
            <v>#N/A</v>
          </cell>
        </row>
        <row r="262">
          <cell r="G262" t="e">
            <v>#N/A</v>
          </cell>
          <cell r="H262" t="e">
            <v>#N/A</v>
          </cell>
        </row>
        <row r="263">
          <cell r="G263" t="e">
            <v>#N/A</v>
          </cell>
          <cell r="H263" t="e">
            <v>#N/A</v>
          </cell>
        </row>
        <row r="264">
          <cell r="G264" t="e">
            <v>#N/A</v>
          </cell>
          <cell r="H264" t="e">
            <v>#N/A</v>
          </cell>
        </row>
        <row r="265">
          <cell r="G265" t="e">
            <v>#N/A</v>
          </cell>
          <cell r="H265" t="e">
            <v>#N/A</v>
          </cell>
        </row>
        <row r="266">
          <cell r="G266" t="e">
            <v>#N/A</v>
          </cell>
          <cell r="H266" t="e">
            <v>#N/A</v>
          </cell>
        </row>
        <row r="267">
          <cell r="G267" t="e">
            <v>#N/A</v>
          </cell>
          <cell r="H267" t="e">
            <v>#N/A</v>
          </cell>
        </row>
        <row r="268">
          <cell r="G268" t="e">
            <v>#N/A</v>
          </cell>
          <cell r="H268" t="e">
            <v>#N/A</v>
          </cell>
        </row>
        <row r="269">
          <cell r="G269" t="e">
            <v>#N/A</v>
          </cell>
          <cell r="H269" t="e">
            <v>#N/A</v>
          </cell>
        </row>
        <row r="270">
          <cell r="G270" t="e">
            <v>#N/A</v>
          </cell>
          <cell r="H270" t="e">
            <v>#N/A</v>
          </cell>
        </row>
        <row r="271">
          <cell r="G271" t="e">
            <v>#N/A</v>
          </cell>
          <cell r="H271" t="e">
            <v>#N/A</v>
          </cell>
        </row>
        <row r="272">
          <cell r="G272" t="e">
            <v>#N/A</v>
          </cell>
          <cell r="H272" t="e">
            <v>#N/A</v>
          </cell>
        </row>
        <row r="273">
          <cell r="G273" t="e">
            <v>#N/A</v>
          </cell>
          <cell r="H273" t="e">
            <v>#N/A</v>
          </cell>
        </row>
        <row r="274">
          <cell r="G274" t="e">
            <v>#N/A</v>
          </cell>
          <cell r="H274" t="e">
            <v>#N/A</v>
          </cell>
        </row>
        <row r="275">
          <cell r="G275" t="e">
            <v>#N/A</v>
          </cell>
          <cell r="H275" t="e">
            <v>#N/A</v>
          </cell>
        </row>
        <row r="276">
          <cell r="G276" t="e">
            <v>#N/A</v>
          </cell>
          <cell r="H276" t="e">
            <v>#N/A</v>
          </cell>
        </row>
        <row r="277">
          <cell r="G277" t="e">
            <v>#N/A</v>
          </cell>
          <cell r="H277" t="e">
            <v>#N/A</v>
          </cell>
        </row>
        <row r="278">
          <cell r="G278" t="e">
            <v>#N/A</v>
          </cell>
          <cell r="H278" t="e">
            <v>#N/A</v>
          </cell>
        </row>
        <row r="279">
          <cell r="G279" t="e">
            <v>#N/A</v>
          </cell>
          <cell r="H279" t="e">
            <v>#N/A</v>
          </cell>
        </row>
        <row r="280">
          <cell r="G280" t="e">
            <v>#N/A</v>
          </cell>
          <cell r="H280" t="e">
            <v>#N/A</v>
          </cell>
        </row>
        <row r="281">
          <cell r="G281" t="e">
            <v>#N/A</v>
          </cell>
          <cell r="H281" t="e">
            <v>#N/A</v>
          </cell>
        </row>
        <row r="282">
          <cell r="G282" t="e">
            <v>#N/A</v>
          </cell>
          <cell r="H282" t="e">
            <v>#N/A</v>
          </cell>
        </row>
        <row r="283">
          <cell r="G283" t="e">
            <v>#N/A</v>
          </cell>
          <cell r="H283" t="e">
            <v>#N/A</v>
          </cell>
        </row>
        <row r="284">
          <cell r="G284" t="e">
            <v>#N/A</v>
          </cell>
          <cell r="H284" t="e">
            <v>#N/A</v>
          </cell>
        </row>
        <row r="285">
          <cell r="G285" t="e">
            <v>#N/A</v>
          </cell>
          <cell r="H285" t="e">
            <v>#N/A</v>
          </cell>
        </row>
        <row r="286">
          <cell r="G286" t="e">
            <v>#N/A</v>
          </cell>
          <cell r="H286" t="e">
            <v>#N/A</v>
          </cell>
        </row>
        <row r="287">
          <cell r="G287" t="e">
            <v>#N/A</v>
          </cell>
          <cell r="H287" t="e">
            <v>#N/A</v>
          </cell>
        </row>
        <row r="288">
          <cell r="G288" t="e">
            <v>#N/A</v>
          </cell>
          <cell r="H288" t="e">
            <v>#N/A</v>
          </cell>
        </row>
        <row r="289">
          <cell r="G289" t="e">
            <v>#N/A</v>
          </cell>
          <cell r="H289" t="e">
            <v>#N/A</v>
          </cell>
        </row>
        <row r="290">
          <cell r="G290" t="e">
            <v>#N/A</v>
          </cell>
          <cell r="H290" t="e">
            <v>#N/A</v>
          </cell>
        </row>
        <row r="291">
          <cell r="G291" t="e">
            <v>#N/A</v>
          </cell>
          <cell r="H291" t="e">
            <v>#N/A</v>
          </cell>
        </row>
        <row r="292">
          <cell r="G292" t="e">
            <v>#N/A</v>
          </cell>
          <cell r="H292" t="e">
            <v>#N/A</v>
          </cell>
        </row>
        <row r="293">
          <cell r="G293" t="e">
            <v>#N/A</v>
          </cell>
          <cell r="H293" t="e">
            <v>#N/A</v>
          </cell>
        </row>
        <row r="294">
          <cell r="G294" t="e">
            <v>#N/A</v>
          </cell>
          <cell r="H294" t="e">
            <v>#N/A</v>
          </cell>
        </row>
        <row r="295">
          <cell r="G295" t="e">
            <v>#N/A</v>
          </cell>
          <cell r="H295" t="e">
            <v>#N/A</v>
          </cell>
        </row>
        <row r="296">
          <cell r="G296" t="e">
            <v>#N/A</v>
          </cell>
          <cell r="H296" t="e">
            <v>#N/A</v>
          </cell>
        </row>
        <row r="297">
          <cell r="G297" t="e">
            <v>#N/A</v>
          </cell>
          <cell r="H297" t="e">
            <v>#N/A</v>
          </cell>
        </row>
        <row r="298">
          <cell r="G298" t="e">
            <v>#N/A</v>
          </cell>
          <cell r="H298" t="e">
            <v>#N/A</v>
          </cell>
        </row>
        <row r="299">
          <cell r="G299" t="e">
            <v>#N/A</v>
          </cell>
          <cell r="H299" t="e">
            <v>#N/A</v>
          </cell>
        </row>
        <row r="300">
          <cell r="G300" t="e">
            <v>#N/A</v>
          </cell>
          <cell r="H300" t="e">
            <v>#N/A</v>
          </cell>
        </row>
        <row r="301">
          <cell r="G301" t="e">
            <v>#N/A</v>
          </cell>
          <cell r="H301" t="e">
            <v>#N/A</v>
          </cell>
        </row>
        <row r="302">
          <cell r="G302" t="e">
            <v>#N/A</v>
          </cell>
          <cell r="H302" t="e">
            <v>#N/A</v>
          </cell>
        </row>
        <row r="303">
          <cell r="G303" t="e">
            <v>#N/A</v>
          </cell>
          <cell r="H303" t="e">
            <v>#N/A</v>
          </cell>
        </row>
        <row r="304">
          <cell r="G304" t="e">
            <v>#N/A</v>
          </cell>
          <cell r="H304" t="e">
            <v>#N/A</v>
          </cell>
        </row>
        <row r="305">
          <cell r="G305" t="e">
            <v>#N/A</v>
          </cell>
          <cell r="H305" t="e">
            <v>#N/A</v>
          </cell>
        </row>
        <row r="306">
          <cell r="G306" t="e">
            <v>#N/A</v>
          </cell>
          <cell r="H306" t="e">
            <v>#N/A</v>
          </cell>
        </row>
        <row r="307">
          <cell r="G307" t="e">
            <v>#N/A</v>
          </cell>
          <cell r="H307" t="e">
            <v>#N/A</v>
          </cell>
        </row>
        <row r="308">
          <cell r="G308" t="e">
            <v>#N/A</v>
          </cell>
          <cell r="H308" t="e">
            <v>#N/A</v>
          </cell>
        </row>
        <row r="309">
          <cell r="G309" t="e">
            <v>#N/A</v>
          </cell>
          <cell r="H309" t="e">
            <v>#N/A</v>
          </cell>
        </row>
        <row r="310">
          <cell r="G310" t="e">
            <v>#N/A</v>
          </cell>
          <cell r="H310" t="e">
            <v>#N/A</v>
          </cell>
        </row>
        <row r="311">
          <cell r="G311" t="e">
            <v>#N/A</v>
          </cell>
          <cell r="H311" t="e">
            <v>#N/A</v>
          </cell>
        </row>
        <row r="312">
          <cell r="G312" t="e">
            <v>#N/A</v>
          </cell>
          <cell r="H312" t="e">
            <v>#N/A</v>
          </cell>
        </row>
        <row r="313">
          <cell r="G313" t="e">
            <v>#N/A</v>
          </cell>
          <cell r="H313" t="e">
            <v>#N/A</v>
          </cell>
        </row>
        <row r="314">
          <cell r="G314" t="e">
            <v>#N/A</v>
          </cell>
          <cell r="H314" t="e">
            <v>#N/A</v>
          </cell>
        </row>
        <row r="315">
          <cell r="G315" t="e">
            <v>#N/A</v>
          </cell>
          <cell r="H315" t="e">
            <v>#N/A</v>
          </cell>
        </row>
        <row r="316">
          <cell r="G316" t="e">
            <v>#N/A</v>
          </cell>
          <cell r="H316" t="e">
            <v>#N/A</v>
          </cell>
        </row>
        <row r="317">
          <cell r="G317" t="e">
            <v>#N/A</v>
          </cell>
          <cell r="H317" t="e">
            <v>#N/A</v>
          </cell>
        </row>
        <row r="318">
          <cell r="G318" t="e">
            <v>#N/A</v>
          </cell>
          <cell r="H318" t="e">
            <v>#N/A</v>
          </cell>
        </row>
        <row r="319">
          <cell r="G319" t="e">
            <v>#N/A</v>
          </cell>
          <cell r="H319" t="e">
            <v>#N/A</v>
          </cell>
        </row>
        <row r="320">
          <cell r="G320" t="e">
            <v>#N/A</v>
          </cell>
          <cell r="H320" t="e">
            <v>#N/A</v>
          </cell>
        </row>
        <row r="321">
          <cell r="G321" t="e">
            <v>#N/A</v>
          </cell>
          <cell r="H321" t="e">
            <v>#N/A</v>
          </cell>
        </row>
        <row r="322">
          <cell r="G322" t="e">
            <v>#N/A</v>
          </cell>
          <cell r="H322" t="e">
            <v>#N/A</v>
          </cell>
        </row>
        <row r="323">
          <cell r="G323" t="e">
            <v>#N/A</v>
          </cell>
          <cell r="H323" t="e">
            <v>#N/A</v>
          </cell>
        </row>
        <row r="324">
          <cell r="G324" t="e">
            <v>#N/A</v>
          </cell>
          <cell r="H324" t="e">
            <v>#N/A</v>
          </cell>
        </row>
        <row r="325">
          <cell r="G325" t="e">
            <v>#N/A</v>
          </cell>
          <cell r="H325" t="e">
            <v>#N/A</v>
          </cell>
        </row>
        <row r="326">
          <cell r="G326" t="e">
            <v>#N/A</v>
          </cell>
          <cell r="H326" t="e">
            <v>#N/A</v>
          </cell>
        </row>
        <row r="327">
          <cell r="G327" t="e">
            <v>#N/A</v>
          </cell>
          <cell r="H327" t="e">
            <v>#N/A</v>
          </cell>
        </row>
        <row r="328">
          <cell r="G328" t="e">
            <v>#N/A</v>
          </cell>
          <cell r="H328" t="e">
            <v>#N/A</v>
          </cell>
        </row>
        <row r="329">
          <cell r="G329" t="e">
            <v>#N/A</v>
          </cell>
          <cell r="H329" t="e">
            <v>#N/A</v>
          </cell>
        </row>
        <row r="330">
          <cell r="G330" t="e">
            <v>#N/A</v>
          </cell>
          <cell r="H330" t="e">
            <v>#N/A</v>
          </cell>
        </row>
        <row r="331">
          <cell r="G331" t="e">
            <v>#N/A</v>
          </cell>
          <cell r="H331" t="e">
            <v>#N/A</v>
          </cell>
        </row>
        <row r="332">
          <cell r="G332" t="e">
            <v>#N/A</v>
          </cell>
          <cell r="H332" t="e">
            <v>#N/A</v>
          </cell>
        </row>
        <row r="333">
          <cell r="G333" t="e">
            <v>#N/A</v>
          </cell>
          <cell r="H333" t="e">
            <v>#N/A</v>
          </cell>
        </row>
        <row r="334">
          <cell r="G334" t="e">
            <v>#N/A</v>
          </cell>
          <cell r="H334" t="e">
            <v>#N/A</v>
          </cell>
        </row>
        <row r="335">
          <cell r="G335" t="e">
            <v>#N/A</v>
          </cell>
          <cell r="H335" t="e">
            <v>#N/A</v>
          </cell>
        </row>
        <row r="336">
          <cell r="G336" t="e">
            <v>#N/A</v>
          </cell>
          <cell r="H336" t="e">
            <v>#N/A</v>
          </cell>
        </row>
        <row r="337">
          <cell r="G337" t="e">
            <v>#N/A</v>
          </cell>
          <cell r="H337" t="e">
            <v>#N/A</v>
          </cell>
        </row>
        <row r="338">
          <cell r="G338" t="e">
            <v>#N/A</v>
          </cell>
          <cell r="H338" t="e">
            <v>#N/A</v>
          </cell>
        </row>
        <row r="339">
          <cell r="G339" t="e">
            <v>#N/A</v>
          </cell>
          <cell r="H339" t="e">
            <v>#N/A</v>
          </cell>
        </row>
        <row r="340">
          <cell r="G340" t="e">
            <v>#N/A</v>
          </cell>
          <cell r="H340" t="e">
            <v>#N/A</v>
          </cell>
        </row>
        <row r="341">
          <cell r="G341" t="e">
            <v>#N/A</v>
          </cell>
          <cell r="H341" t="e">
            <v>#N/A</v>
          </cell>
        </row>
        <row r="342">
          <cell r="G342" t="e">
            <v>#N/A</v>
          </cell>
          <cell r="H342" t="e">
            <v>#N/A</v>
          </cell>
        </row>
        <row r="343">
          <cell r="G343" t="e">
            <v>#N/A</v>
          </cell>
          <cell r="H343" t="e">
            <v>#N/A</v>
          </cell>
        </row>
        <row r="344">
          <cell r="G344" t="e">
            <v>#N/A</v>
          </cell>
          <cell r="H344" t="e">
            <v>#N/A</v>
          </cell>
        </row>
        <row r="345">
          <cell r="G345" t="e">
            <v>#N/A</v>
          </cell>
          <cell r="H345" t="e">
            <v>#N/A</v>
          </cell>
        </row>
        <row r="346">
          <cell r="G346" t="e">
            <v>#N/A</v>
          </cell>
          <cell r="H346" t="e">
            <v>#N/A</v>
          </cell>
        </row>
        <row r="347">
          <cell r="G347" t="e">
            <v>#N/A</v>
          </cell>
          <cell r="H347" t="e">
            <v>#N/A</v>
          </cell>
        </row>
        <row r="348">
          <cell r="G348" t="e">
            <v>#N/A</v>
          </cell>
          <cell r="H348" t="e">
            <v>#N/A</v>
          </cell>
        </row>
        <row r="349">
          <cell r="G349" t="e">
            <v>#N/A</v>
          </cell>
          <cell r="H349" t="e">
            <v>#N/A</v>
          </cell>
        </row>
        <row r="350">
          <cell r="G350" t="e">
            <v>#N/A</v>
          </cell>
          <cell r="H350" t="e">
            <v>#N/A</v>
          </cell>
        </row>
        <row r="351">
          <cell r="G351" t="e">
            <v>#N/A</v>
          </cell>
          <cell r="H351" t="e">
            <v>#N/A</v>
          </cell>
        </row>
        <row r="352">
          <cell r="G352" t="e">
            <v>#N/A</v>
          </cell>
          <cell r="H352" t="e">
            <v>#N/A</v>
          </cell>
        </row>
        <row r="353">
          <cell r="G353" t="e">
            <v>#N/A</v>
          </cell>
          <cell r="H353" t="e">
            <v>#N/A</v>
          </cell>
        </row>
        <row r="354">
          <cell r="G354" t="e">
            <v>#N/A</v>
          </cell>
          <cell r="H354" t="e">
            <v>#N/A</v>
          </cell>
        </row>
        <row r="355">
          <cell r="G355" t="e">
            <v>#N/A</v>
          </cell>
          <cell r="H355" t="e">
            <v>#N/A</v>
          </cell>
        </row>
        <row r="356">
          <cell r="G356" t="e">
            <v>#N/A</v>
          </cell>
          <cell r="H356" t="e">
            <v>#N/A</v>
          </cell>
        </row>
        <row r="357">
          <cell r="G357" t="e">
            <v>#N/A</v>
          </cell>
          <cell r="H357" t="e">
            <v>#N/A</v>
          </cell>
        </row>
        <row r="358">
          <cell r="G358" t="e">
            <v>#N/A</v>
          </cell>
          <cell r="H358" t="e">
            <v>#N/A</v>
          </cell>
        </row>
        <row r="359">
          <cell r="G359" t="e">
            <v>#N/A</v>
          </cell>
          <cell r="H359" t="e">
            <v>#N/A</v>
          </cell>
        </row>
        <row r="360">
          <cell r="G360" t="e">
            <v>#N/A</v>
          </cell>
          <cell r="H360" t="e">
            <v>#N/A</v>
          </cell>
        </row>
        <row r="361">
          <cell r="G361" t="e">
            <v>#N/A</v>
          </cell>
          <cell r="H361" t="e">
            <v>#N/A</v>
          </cell>
        </row>
        <row r="362">
          <cell r="G362" t="e">
            <v>#N/A</v>
          </cell>
          <cell r="H362" t="e">
            <v>#N/A</v>
          </cell>
        </row>
        <row r="363">
          <cell r="G363" t="e">
            <v>#N/A</v>
          </cell>
          <cell r="H363" t="e">
            <v>#N/A</v>
          </cell>
        </row>
        <row r="364">
          <cell r="G364" t="e">
            <v>#N/A</v>
          </cell>
          <cell r="H364" t="e">
            <v>#N/A</v>
          </cell>
        </row>
        <row r="365">
          <cell r="G365" t="e">
            <v>#N/A</v>
          </cell>
          <cell r="H365" t="e">
            <v>#N/A</v>
          </cell>
        </row>
        <row r="366">
          <cell r="G366" t="e">
            <v>#N/A</v>
          </cell>
          <cell r="H366" t="e">
            <v>#N/A</v>
          </cell>
        </row>
        <row r="367">
          <cell r="G367" t="e">
            <v>#N/A</v>
          </cell>
          <cell r="H367" t="e">
            <v>#N/A</v>
          </cell>
        </row>
        <row r="368">
          <cell r="G368" t="e">
            <v>#N/A</v>
          </cell>
          <cell r="H368" t="e">
            <v>#N/A</v>
          </cell>
        </row>
        <row r="369">
          <cell r="G369" t="e">
            <v>#N/A</v>
          </cell>
          <cell r="H369" t="e">
            <v>#N/A</v>
          </cell>
        </row>
        <row r="370">
          <cell r="G370" t="e">
            <v>#N/A</v>
          </cell>
          <cell r="H370" t="e">
            <v>#N/A</v>
          </cell>
        </row>
        <row r="371">
          <cell r="G371" t="e">
            <v>#N/A</v>
          </cell>
          <cell r="H371" t="e">
            <v>#N/A</v>
          </cell>
        </row>
        <row r="372">
          <cell r="G372" t="e">
            <v>#N/A</v>
          </cell>
          <cell r="H372" t="e">
            <v>#N/A</v>
          </cell>
        </row>
        <row r="373">
          <cell r="G373" t="e">
            <v>#N/A</v>
          </cell>
          <cell r="H373" t="e">
            <v>#N/A</v>
          </cell>
        </row>
        <row r="374">
          <cell r="G374" t="e">
            <v>#N/A</v>
          </cell>
          <cell r="H374" t="e">
            <v>#N/A</v>
          </cell>
        </row>
        <row r="375">
          <cell r="G375" t="e">
            <v>#N/A</v>
          </cell>
          <cell r="H375" t="e">
            <v>#N/A</v>
          </cell>
        </row>
        <row r="376">
          <cell r="G376" t="e">
            <v>#N/A</v>
          </cell>
          <cell r="H376" t="e">
            <v>#N/A</v>
          </cell>
        </row>
        <row r="377">
          <cell r="G377" t="e">
            <v>#N/A</v>
          </cell>
          <cell r="H377" t="e">
            <v>#N/A</v>
          </cell>
        </row>
        <row r="378">
          <cell r="G378" t="e">
            <v>#N/A</v>
          </cell>
          <cell r="H378" t="e">
            <v>#N/A</v>
          </cell>
        </row>
        <row r="379">
          <cell r="G379" t="e">
            <v>#N/A</v>
          </cell>
          <cell r="H379" t="e">
            <v>#N/A</v>
          </cell>
        </row>
        <row r="380">
          <cell r="G380" t="e">
            <v>#N/A</v>
          </cell>
          <cell r="H380" t="e">
            <v>#N/A</v>
          </cell>
        </row>
        <row r="381">
          <cell r="G381" t="e">
            <v>#N/A</v>
          </cell>
          <cell r="H381" t="e">
            <v>#N/A</v>
          </cell>
        </row>
        <row r="382">
          <cell r="G382" t="e">
            <v>#N/A</v>
          </cell>
          <cell r="H382" t="e">
            <v>#N/A</v>
          </cell>
        </row>
        <row r="383">
          <cell r="G383" t="e">
            <v>#N/A</v>
          </cell>
          <cell r="H383" t="e">
            <v>#N/A</v>
          </cell>
        </row>
        <row r="384">
          <cell r="G384" t="e">
            <v>#N/A</v>
          </cell>
          <cell r="H384" t="e">
            <v>#N/A</v>
          </cell>
        </row>
        <row r="385">
          <cell r="G385" t="e">
            <v>#N/A</v>
          </cell>
          <cell r="H385" t="e">
            <v>#N/A</v>
          </cell>
        </row>
        <row r="386">
          <cell r="G386" t="e">
            <v>#N/A</v>
          </cell>
          <cell r="H386" t="e">
            <v>#N/A</v>
          </cell>
        </row>
        <row r="387">
          <cell r="G387" t="e">
            <v>#N/A</v>
          </cell>
          <cell r="H387" t="e">
            <v>#N/A</v>
          </cell>
        </row>
        <row r="388">
          <cell r="G388" t="e">
            <v>#N/A</v>
          </cell>
          <cell r="H388" t="e">
            <v>#N/A</v>
          </cell>
        </row>
        <row r="389">
          <cell r="G389" t="e">
            <v>#N/A</v>
          </cell>
          <cell r="H389" t="e">
            <v>#N/A</v>
          </cell>
        </row>
        <row r="390">
          <cell r="G390" t="e">
            <v>#N/A</v>
          </cell>
          <cell r="H390" t="e">
            <v>#N/A</v>
          </cell>
        </row>
        <row r="391">
          <cell r="G391" t="e">
            <v>#N/A</v>
          </cell>
          <cell r="H391" t="e">
            <v>#N/A</v>
          </cell>
        </row>
        <row r="392">
          <cell r="G392" t="e">
            <v>#N/A</v>
          </cell>
          <cell r="H392" t="e">
            <v>#N/A</v>
          </cell>
        </row>
        <row r="393">
          <cell r="G393" t="e">
            <v>#N/A</v>
          </cell>
          <cell r="H393" t="e">
            <v>#N/A</v>
          </cell>
        </row>
        <row r="394">
          <cell r="G394" t="e">
            <v>#N/A</v>
          </cell>
          <cell r="H394" t="e">
            <v>#N/A</v>
          </cell>
        </row>
        <row r="395">
          <cell r="G395" t="e">
            <v>#N/A</v>
          </cell>
          <cell r="H395" t="e">
            <v>#N/A</v>
          </cell>
        </row>
        <row r="396">
          <cell r="G396" t="e">
            <v>#N/A</v>
          </cell>
          <cell r="H396" t="e">
            <v>#N/A</v>
          </cell>
        </row>
        <row r="397">
          <cell r="G397" t="e">
            <v>#N/A</v>
          </cell>
          <cell r="H397" t="e">
            <v>#N/A</v>
          </cell>
        </row>
        <row r="398">
          <cell r="G398" t="e">
            <v>#N/A</v>
          </cell>
          <cell r="H398" t="e">
            <v>#N/A</v>
          </cell>
        </row>
        <row r="399">
          <cell r="G399" t="e">
            <v>#N/A</v>
          </cell>
          <cell r="H399" t="e">
            <v>#N/A</v>
          </cell>
        </row>
        <row r="400">
          <cell r="G400" t="e">
            <v>#N/A</v>
          </cell>
          <cell r="H400" t="e">
            <v>#N/A</v>
          </cell>
        </row>
        <row r="401">
          <cell r="G401" t="e">
            <v>#N/A</v>
          </cell>
          <cell r="H401" t="e">
            <v>#N/A</v>
          </cell>
        </row>
        <row r="402">
          <cell r="G402" t="e">
            <v>#N/A</v>
          </cell>
          <cell r="H402" t="e">
            <v>#N/A</v>
          </cell>
        </row>
        <row r="403">
          <cell r="G403" t="e">
            <v>#N/A</v>
          </cell>
          <cell r="H403" t="e">
            <v>#N/A</v>
          </cell>
        </row>
        <row r="404">
          <cell r="G404" t="e">
            <v>#N/A</v>
          </cell>
          <cell r="H404" t="e">
            <v>#N/A</v>
          </cell>
        </row>
        <row r="405">
          <cell r="G405" t="e">
            <v>#N/A</v>
          </cell>
          <cell r="H405" t="e">
            <v>#N/A</v>
          </cell>
        </row>
        <row r="406">
          <cell r="G406" t="e">
            <v>#N/A</v>
          </cell>
          <cell r="H406" t="e">
            <v>#N/A</v>
          </cell>
        </row>
        <row r="407">
          <cell r="G407" t="e">
            <v>#N/A</v>
          </cell>
          <cell r="H407" t="e">
            <v>#N/A</v>
          </cell>
        </row>
        <row r="408">
          <cell r="G408" t="e">
            <v>#N/A</v>
          </cell>
          <cell r="H408" t="e">
            <v>#N/A</v>
          </cell>
        </row>
        <row r="409">
          <cell r="G409" t="e">
            <v>#N/A</v>
          </cell>
          <cell r="H409" t="e">
            <v>#N/A</v>
          </cell>
        </row>
        <row r="410">
          <cell r="G410" t="e">
            <v>#N/A</v>
          </cell>
          <cell r="H410" t="e">
            <v>#N/A</v>
          </cell>
        </row>
        <row r="411">
          <cell r="G411" t="e">
            <v>#N/A</v>
          </cell>
          <cell r="H411" t="e">
            <v>#N/A</v>
          </cell>
        </row>
        <row r="412">
          <cell r="G412" t="e">
            <v>#N/A</v>
          </cell>
          <cell r="H412" t="e">
            <v>#N/A</v>
          </cell>
        </row>
        <row r="413">
          <cell r="G413" t="e">
            <v>#N/A</v>
          </cell>
          <cell r="H413" t="e">
            <v>#N/A</v>
          </cell>
        </row>
        <row r="414">
          <cell r="G414" t="e">
            <v>#N/A</v>
          </cell>
          <cell r="H414" t="e">
            <v>#N/A</v>
          </cell>
        </row>
        <row r="415">
          <cell r="G415" t="e">
            <v>#N/A</v>
          </cell>
          <cell r="H415" t="e">
            <v>#N/A</v>
          </cell>
        </row>
        <row r="416">
          <cell r="G416" t="e">
            <v>#N/A</v>
          </cell>
          <cell r="H416" t="e">
            <v>#N/A</v>
          </cell>
        </row>
        <row r="417">
          <cell r="G417" t="e">
            <v>#N/A</v>
          </cell>
          <cell r="H417" t="e">
            <v>#N/A</v>
          </cell>
        </row>
        <row r="418">
          <cell r="G418" t="e">
            <v>#N/A</v>
          </cell>
          <cell r="H418" t="e">
            <v>#N/A</v>
          </cell>
        </row>
        <row r="419">
          <cell r="G419" t="e">
            <v>#N/A</v>
          </cell>
          <cell r="H419" t="e">
            <v>#N/A</v>
          </cell>
        </row>
        <row r="420">
          <cell r="G420" t="e">
            <v>#N/A</v>
          </cell>
          <cell r="H420" t="e">
            <v>#N/A</v>
          </cell>
        </row>
        <row r="421">
          <cell r="G421" t="e">
            <v>#N/A</v>
          </cell>
          <cell r="H421" t="e">
            <v>#N/A</v>
          </cell>
        </row>
        <row r="422">
          <cell r="G422" t="e">
            <v>#N/A</v>
          </cell>
          <cell r="H422" t="e">
            <v>#N/A</v>
          </cell>
        </row>
        <row r="423">
          <cell r="G423" t="e">
            <v>#N/A</v>
          </cell>
          <cell r="H423" t="e">
            <v>#N/A</v>
          </cell>
        </row>
        <row r="424">
          <cell r="G424" t="e">
            <v>#N/A</v>
          </cell>
          <cell r="H424" t="e">
            <v>#N/A</v>
          </cell>
        </row>
        <row r="425">
          <cell r="G425" t="e">
            <v>#N/A</v>
          </cell>
          <cell r="H425" t="e">
            <v>#N/A</v>
          </cell>
        </row>
        <row r="426">
          <cell r="G426" t="e">
            <v>#N/A</v>
          </cell>
          <cell r="H426" t="e">
            <v>#N/A</v>
          </cell>
        </row>
        <row r="427">
          <cell r="G427" t="e">
            <v>#N/A</v>
          </cell>
          <cell r="H427" t="e">
            <v>#N/A</v>
          </cell>
        </row>
        <row r="428">
          <cell r="G428" t="e">
            <v>#N/A</v>
          </cell>
          <cell r="H428" t="e">
            <v>#N/A</v>
          </cell>
        </row>
        <row r="429">
          <cell r="G429" t="e">
            <v>#N/A</v>
          </cell>
          <cell r="H429" t="e">
            <v>#N/A</v>
          </cell>
        </row>
        <row r="430">
          <cell r="G430" t="e">
            <v>#N/A</v>
          </cell>
          <cell r="H430" t="e">
            <v>#N/A</v>
          </cell>
        </row>
        <row r="431">
          <cell r="G431" t="e">
            <v>#N/A</v>
          </cell>
          <cell r="H431" t="e">
            <v>#N/A</v>
          </cell>
        </row>
        <row r="432">
          <cell r="G432" t="e">
            <v>#N/A</v>
          </cell>
          <cell r="H432" t="e">
            <v>#N/A</v>
          </cell>
        </row>
        <row r="433">
          <cell r="G433" t="e">
            <v>#N/A</v>
          </cell>
          <cell r="H433" t="e">
            <v>#N/A</v>
          </cell>
        </row>
        <row r="434">
          <cell r="G434" t="e">
            <v>#N/A</v>
          </cell>
          <cell r="H434" t="e">
            <v>#N/A</v>
          </cell>
        </row>
        <row r="435">
          <cell r="G435" t="e">
            <v>#N/A</v>
          </cell>
          <cell r="H435" t="e">
            <v>#N/A</v>
          </cell>
        </row>
        <row r="436">
          <cell r="G436" t="e">
            <v>#N/A</v>
          </cell>
          <cell r="H436" t="e">
            <v>#N/A</v>
          </cell>
        </row>
        <row r="437">
          <cell r="G437" t="e">
            <v>#N/A</v>
          </cell>
          <cell r="H437" t="e">
            <v>#N/A</v>
          </cell>
        </row>
        <row r="438">
          <cell r="G438" t="e">
            <v>#N/A</v>
          </cell>
          <cell r="H438" t="e">
            <v>#N/A</v>
          </cell>
        </row>
        <row r="439">
          <cell r="G439" t="e">
            <v>#N/A</v>
          </cell>
          <cell r="H439" t="e">
            <v>#N/A</v>
          </cell>
        </row>
        <row r="440">
          <cell r="G440" t="e">
            <v>#N/A</v>
          </cell>
          <cell r="H440" t="e">
            <v>#N/A</v>
          </cell>
        </row>
        <row r="441">
          <cell r="G441" t="e">
            <v>#N/A</v>
          </cell>
          <cell r="H441" t="e">
            <v>#N/A</v>
          </cell>
        </row>
        <row r="442">
          <cell r="G442" t="e">
            <v>#N/A</v>
          </cell>
          <cell r="H442" t="e">
            <v>#N/A</v>
          </cell>
        </row>
        <row r="443">
          <cell r="G443" t="e">
            <v>#N/A</v>
          </cell>
          <cell r="H443" t="e">
            <v>#N/A</v>
          </cell>
        </row>
        <row r="444">
          <cell r="G444" t="e">
            <v>#N/A</v>
          </cell>
          <cell r="H444" t="e">
            <v>#N/A</v>
          </cell>
        </row>
        <row r="445">
          <cell r="G445" t="e">
            <v>#N/A</v>
          </cell>
          <cell r="H445" t="e">
            <v>#N/A</v>
          </cell>
        </row>
        <row r="446">
          <cell r="G446" t="e">
            <v>#N/A</v>
          </cell>
          <cell r="H446" t="e">
            <v>#N/A</v>
          </cell>
        </row>
        <row r="447">
          <cell r="G447" t="e">
            <v>#N/A</v>
          </cell>
          <cell r="H447" t="e">
            <v>#N/A</v>
          </cell>
        </row>
        <row r="448">
          <cell r="G448" t="e">
            <v>#N/A</v>
          </cell>
          <cell r="H448" t="e">
            <v>#N/A</v>
          </cell>
        </row>
        <row r="449">
          <cell r="G449" t="e">
            <v>#N/A</v>
          </cell>
          <cell r="H449" t="e">
            <v>#N/A</v>
          </cell>
        </row>
        <row r="450">
          <cell r="G450" t="e">
            <v>#N/A</v>
          </cell>
          <cell r="H450" t="e">
            <v>#N/A</v>
          </cell>
        </row>
        <row r="451">
          <cell r="G451" t="e">
            <v>#N/A</v>
          </cell>
          <cell r="H451" t="e">
            <v>#N/A</v>
          </cell>
        </row>
        <row r="452">
          <cell r="G452" t="e">
            <v>#N/A</v>
          </cell>
          <cell r="H452" t="e">
            <v>#N/A</v>
          </cell>
        </row>
        <row r="453">
          <cell r="G453" t="e">
            <v>#N/A</v>
          </cell>
          <cell r="H453" t="e">
            <v>#N/A</v>
          </cell>
        </row>
        <row r="454">
          <cell r="G454" t="e">
            <v>#N/A</v>
          </cell>
          <cell r="H454" t="e">
            <v>#N/A</v>
          </cell>
        </row>
        <row r="455">
          <cell r="G455" t="e">
            <v>#N/A</v>
          </cell>
          <cell r="H455" t="e">
            <v>#N/A</v>
          </cell>
        </row>
        <row r="456">
          <cell r="G456" t="e">
            <v>#N/A</v>
          </cell>
          <cell r="H456" t="e">
            <v>#N/A</v>
          </cell>
        </row>
        <row r="457">
          <cell r="G457" t="e">
            <v>#N/A</v>
          </cell>
          <cell r="H457" t="e">
            <v>#N/A</v>
          </cell>
        </row>
        <row r="458">
          <cell r="G458" t="e">
            <v>#N/A</v>
          </cell>
          <cell r="H458" t="e">
            <v>#N/A</v>
          </cell>
        </row>
        <row r="459">
          <cell r="G459" t="e">
            <v>#N/A</v>
          </cell>
          <cell r="H459" t="e">
            <v>#N/A</v>
          </cell>
        </row>
        <row r="460">
          <cell r="G460" t="e">
            <v>#N/A</v>
          </cell>
          <cell r="H460" t="e">
            <v>#N/A</v>
          </cell>
        </row>
        <row r="461">
          <cell r="G461" t="e">
            <v>#N/A</v>
          </cell>
          <cell r="H461" t="e">
            <v>#N/A</v>
          </cell>
        </row>
        <row r="462">
          <cell r="G462" t="e">
            <v>#N/A</v>
          </cell>
          <cell r="H462" t="e">
            <v>#N/A</v>
          </cell>
        </row>
        <row r="463">
          <cell r="G463" t="e">
            <v>#N/A</v>
          </cell>
          <cell r="H463" t="e">
            <v>#N/A</v>
          </cell>
        </row>
        <row r="464">
          <cell r="G464" t="e">
            <v>#N/A</v>
          </cell>
          <cell r="H464" t="e">
            <v>#N/A</v>
          </cell>
        </row>
        <row r="465">
          <cell r="G465" t="e">
            <v>#N/A</v>
          </cell>
          <cell r="H465" t="e">
            <v>#N/A</v>
          </cell>
        </row>
        <row r="466">
          <cell r="G466" t="e">
            <v>#N/A</v>
          </cell>
          <cell r="H466" t="e">
            <v>#N/A</v>
          </cell>
        </row>
        <row r="467">
          <cell r="G467" t="e">
            <v>#N/A</v>
          </cell>
          <cell r="H467" t="e">
            <v>#N/A</v>
          </cell>
        </row>
        <row r="468">
          <cell r="G468" t="e">
            <v>#N/A</v>
          </cell>
          <cell r="H468" t="e">
            <v>#N/A</v>
          </cell>
        </row>
        <row r="469">
          <cell r="G469" t="e">
            <v>#N/A</v>
          </cell>
          <cell r="H469" t="e">
            <v>#N/A</v>
          </cell>
        </row>
        <row r="470">
          <cell r="G470" t="e">
            <v>#N/A</v>
          </cell>
          <cell r="H470" t="e">
            <v>#N/A</v>
          </cell>
        </row>
        <row r="471">
          <cell r="G471" t="e">
            <v>#N/A</v>
          </cell>
          <cell r="H471" t="e">
            <v>#N/A</v>
          </cell>
        </row>
        <row r="472">
          <cell r="G472" t="e">
            <v>#N/A</v>
          </cell>
          <cell r="H472" t="e">
            <v>#N/A</v>
          </cell>
        </row>
        <row r="473">
          <cell r="G473" t="e">
            <v>#N/A</v>
          </cell>
          <cell r="H473" t="e">
            <v>#N/A</v>
          </cell>
        </row>
        <row r="474">
          <cell r="G474" t="e">
            <v>#N/A</v>
          </cell>
          <cell r="H474" t="e">
            <v>#N/A</v>
          </cell>
        </row>
        <row r="475">
          <cell r="G475" t="e">
            <v>#N/A</v>
          </cell>
          <cell r="H475" t="e">
            <v>#N/A</v>
          </cell>
        </row>
        <row r="476">
          <cell r="G476" t="e">
            <v>#N/A</v>
          </cell>
          <cell r="H476" t="e">
            <v>#N/A</v>
          </cell>
        </row>
        <row r="477">
          <cell r="G477" t="e">
            <v>#N/A</v>
          </cell>
          <cell r="H477" t="e">
            <v>#N/A</v>
          </cell>
        </row>
        <row r="478">
          <cell r="G478" t="e">
            <v>#N/A</v>
          </cell>
          <cell r="H478" t="e">
            <v>#N/A</v>
          </cell>
        </row>
        <row r="479">
          <cell r="G479" t="e">
            <v>#N/A</v>
          </cell>
          <cell r="H479" t="e">
            <v>#N/A</v>
          </cell>
        </row>
        <row r="480">
          <cell r="G480" t="e">
            <v>#N/A</v>
          </cell>
          <cell r="H480" t="e">
            <v>#N/A</v>
          </cell>
        </row>
        <row r="481">
          <cell r="G481" t="e">
            <v>#N/A</v>
          </cell>
          <cell r="H481" t="e">
            <v>#N/A</v>
          </cell>
        </row>
        <row r="482">
          <cell r="G482" t="e">
            <v>#N/A</v>
          </cell>
          <cell r="H482" t="e">
            <v>#N/A</v>
          </cell>
        </row>
        <row r="483">
          <cell r="G483" t="e">
            <v>#N/A</v>
          </cell>
          <cell r="H483" t="e">
            <v>#N/A</v>
          </cell>
        </row>
        <row r="484">
          <cell r="G484" t="e">
            <v>#N/A</v>
          </cell>
          <cell r="H484" t="e">
            <v>#N/A</v>
          </cell>
        </row>
        <row r="485">
          <cell r="G485" t="e">
            <v>#N/A</v>
          </cell>
          <cell r="H485" t="e">
            <v>#N/A</v>
          </cell>
        </row>
        <row r="486">
          <cell r="G486" t="e">
            <v>#N/A</v>
          </cell>
          <cell r="H486" t="e">
            <v>#N/A</v>
          </cell>
        </row>
        <row r="487">
          <cell r="G487" t="e">
            <v>#N/A</v>
          </cell>
          <cell r="H487" t="e">
            <v>#N/A</v>
          </cell>
        </row>
        <row r="488">
          <cell r="G488" t="e">
            <v>#N/A</v>
          </cell>
          <cell r="H488" t="e">
            <v>#N/A</v>
          </cell>
        </row>
        <row r="489">
          <cell r="G489" t="e">
            <v>#N/A</v>
          </cell>
          <cell r="H489" t="e">
            <v>#N/A</v>
          </cell>
        </row>
        <row r="490">
          <cell r="G490" t="e">
            <v>#N/A</v>
          </cell>
          <cell r="H490" t="e">
            <v>#N/A</v>
          </cell>
        </row>
        <row r="491">
          <cell r="G491" t="e">
            <v>#N/A</v>
          </cell>
          <cell r="H491" t="e">
            <v>#N/A</v>
          </cell>
        </row>
        <row r="492">
          <cell r="G492" t="e">
            <v>#N/A</v>
          </cell>
          <cell r="H492" t="e">
            <v>#N/A</v>
          </cell>
        </row>
        <row r="493">
          <cell r="G493" t="e">
            <v>#N/A</v>
          </cell>
          <cell r="H493" t="e">
            <v>#N/A</v>
          </cell>
        </row>
        <row r="494">
          <cell r="G494" t="e">
            <v>#N/A</v>
          </cell>
          <cell r="H494" t="e">
            <v>#N/A</v>
          </cell>
        </row>
        <row r="495">
          <cell r="G495" t="e">
            <v>#N/A</v>
          </cell>
          <cell r="H495" t="e">
            <v>#N/A</v>
          </cell>
        </row>
        <row r="496">
          <cell r="G496" t="e">
            <v>#N/A</v>
          </cell>
          <cell r="H496" t="e">
            <v>#N/A</v>
          </cell>
        </row>
        <row r="497">
          <cell r="G497" t="e">
            <v>#N/A</v>
          </cell>
          <cell r="H497" t="e">
            <v>#N/A</v>
          </cell>
        </row>
        <row r="498">
          <cell r="G498" t="e">
            <v>#N/A</v>
          </cell>
          <cell r="H498" t="e">
            <v>#N/A</v>
          </cell>
        </row>
        <row r="499">
          <cell r="G499" t="e">
            <v>#N/A</v>
          </cell>
          <cell r="H499" t="e">
            <v>#N/A</v>
          </cell>
        </row>
        <row r="500">
          <cell r="G500" t="e">
            <v>#N/A</v>
          </cell>
          <cell r="H500" t="e">
            <v>#N/A</v>
          </cell>
        </row>
        <row r="501">
          <cell r="G501" t="e">
            <v>#N/A</v>
          </cell>
          <cell r="H501" t="e">
            <v>#N/A</v>
          </cell>
        </row>
        <row r="502">
          <cell r="G502" t="e">
            <v>#N/A</v>
          </cell>
          <cell r="H502" t="e">
            <v>#N/A</v>
          </cell>
        </row>
        <row r="503">
          <cell r="G503" t="e">
            <v>#N/A</v>
          </cell>
          <cell r="H503" t="e">
            <v>#N/A</v>
          </cell>
        </row>
        <row r="504">
          <cell r="G504" t="e">
            <v>#N/A</v>
          </cell>
          <cell r="H504" t="e">
            <v>#N/A</v>
          </cell>
        </row>
        <row r="505">
          <cell r="G505" t="e">
            <v>#N/A</v>
          </cell>
          <cell r="H505" t="e">
            <v>#N/A</v>
          </cell>
        </row>
        <row r="506">
          <cell r="G506" t="e">
            <v>#N/A</v>
          </cell>
          <cell r="H506" t="e">
            <v>#N/A</v>
          </cell>
        </row>
        <row r="507">
          <cell r="G507" t="e">
            <v>#N/A</v>
          </cell>
          <cell r="H507" t="e">
            <v>#N/A</v>
          </cell>
        </row>
        <row r="508">
          <cell r="G508" t="e">
            <v>#N/A</v>
          </cell>
          <cell r="H508" t="e">
            <v>#N/A</v>
          </cell>
        </row>
        <row r="509">
          <cell r="G509" t="e">
            <v>#N/A</v>
          </cell>
          <cell r="H509" t="e">
            <v>#N/A</v>
          </cell>
        </row>
        <row r="510">
          <cell r="G510" t="e">
            <v>#N/A</v>
          </cell>
          <cell r="H510" t="e">
            <v>#N/A</v>
          </cell>
        </row>
        <row r="511">
          <cell r="G511" t="e">
            <v>#N/A</v>
          </cell>
          <cell r="H511" t="e">
            <v>#N/A</v>
          </cell>
        </row>
        <row r="512">
          <cell r="G512" t="e">
            <v>#N/A</v>
          </cell>
          <cell r="H512" t="e">
            <v>#N/A</v>
          </cell>
        </row>
        <row r="513">
          <cell r="G513" t="e">
            <v>#N/A</v>
          </cell>
          <cell r="H513" t="e">
            <v>#N/A</v>
          </cell>
        </row>
        <row r="514">
          <cell r="G514" t="e">
            <v>#N/A</v>
          </cell>
          <cell r="H514" t="e">
            <v>#N/A</v>
          </cell>
        </row>
        <row r="515">
          <cell r="G515" t="e">
            <v>#N/A</v>
          </cell>
          <cell r="H515" t="e">
            <v>#N/A</v>
          </cell>
        </row>
        <row r="516">
          <cell r="G516" t="e">
            <v>#N/A</v>
          </cell>
          <cell r="H516" t="e">
            <v>#N/A</v>
          </cell>
        </row>
        <row r="517">
          <cell r="G517" t="e">
            <v>#N/A</v>
          </cell>
          <cell r="H517" t="e">
            <v>#N/A</v>
          </cell>
        </row>
        <row r="518">
          <cell r="G518" t="e">
            <v>#N/A</v>
          </cell>
          <cell r="H518" t="e">
            <v>#N/A</v>
          </cell>
        </row>
        <row r="519">
          <cell r="G519" t="e">
            <v>#N/A</v>
          </cell>
          <cell r="H519" t="e">
            <v>#N/A</v>
          </cell>
        </row>
        <row r="520">
          <cell r="G520" t="e">
            <v>#N/A</v>
          </cell>
          <cell r="H520" t="e">
            <v>#N/A</v>
          </cell>
        </row>
        <row r="521">
          <cell r="G521" t="e">
            <v>#N/A</v>
          </cell>
          <cell r="H521" t="e">
            <v>#N/A</v>
          </cell>
        </row>
        <row r="522">
          <cell r="G522" t="e">
            <v>#N/A</v>
          </cell>
          <cell r="H522" t="e">
            <v>#N/A</v>
          </cell>
        </row>
        <row r="523">
          <cell r="G523" t="e">
            <v>#N/A</v>
          </cell>
          <cell r="H523" t="e">
            <v>#N/A</v>
          </cell>
        </row>
        <row r="524">
          <cell r="G524" t="e">
            <v>#N/A</v>
          </cell>
          <cell r="H524" t="e">
            <v>#N/A</v>
          </cell>
        </row>
        <row r="525">
          <cell r="G525" t="e">
            <v>#N/A</v>
          </cell>
          <cell r="H525" t="e">
            <v>#N/A</v>
          </cell>
        </row>
        <row r="526">
          <cell r="G526" t="e">
            <v>#N/A</v>
          </cell>
          <cell r="H526" t="e">
            <v>#N/A</v>
          </cell>
        </row>
        <row r="527">
          <cell r="G527" t="e">
            <v>#N/A</v>
          </cell>
          <cell r="H527" t="e">
            <v>#N/A</v>
          </cell>
        </row>
        <row r="528">
          <cell r="G528" t="e">
            <v>#N/A</v>
          </cell>
          <cell r="H528" t="e">
            <v>#N/A</v>
          </cell>
        </row>
        <row r="529">
          <cell r="G529" t="e">
            <v>#N/A</v>
          </cell>
          <cell r="H529" t="e">
            <v>#N/A</v>
          </cell>
        </row>
        <row r="530">
          <cell r="G530" t="e">
            <v>#N/A</v>
          </cell>
          <cell r="H530" t="e">
            <v>#N/A</v>
          </cell>
        </row>
        <row r="531">
          <cell r="G531" t="e">
            <v>#N/A</v>
          </cell>
          <cell r="H531" t="e">
            <v>#N/A</v>
          </cell>
        </row>
        <row r="532">
          <cell r="G532" t="e">
            <v>#N/A</v>
          </cell>
          <cell r="H532" t="e">
            <v>#N/A</v>
          </cell>
        </row>
        <row r="533">
          <cell r="G533" t="e">
            <v>#N/A</v>
          </cell>
          <cell r="H533" t="e">
            <v>#N/A</v>
          </cell>
        </row>
        <row r="534">
          <cell r="G534" t="e">
            <v>#N/A</v>
          </cell>
          <cell r="H534" t="e">
            <v>#N/A</v>
          </cell>
        </row>
        <row r="535">
          <cell r="G535" t="e">
            <v>#N/A</v>
          </cell>
          <cell r="H535" t="e">
            <v>#N/A</v>
          </cell>
        </row>
        <row r="536">
          <cell r="G536" t="e">
            <v>#N/A</v>
          </cell>
          <cell r="H536" t="e">
            <v>#N/A</v>
          </cell>
        </row>
        <row r="537">
          <cell r="G537" t="e">
            <v>#N/A</v>
          </cell>
          <cell r="H537" t="e">
            <v>#N/A</v>
          </cell>
        </row>
        <row r="538">
          <cell r="G538" t="e">
            <v>#N/A</v>
          </cell>
          <cell r="H538" t="e">
            <v>#N/A</v>
          </cell>
        </row>
        <row r="539">
          <cell r="G539" t="e">
            <v>#N/A</v>
          </cell>
          <cell r="H539" t="e">
            <v>#N/A</v>
          </cell>
        </row>
        <row r="540">
          <cell r="G540" t="e">
            <v>#N/A</v>
          </cell>
          <cell r="H540" t="e">
            <v>#N/A</v>
          </cell>
        </row>
        <row r="541">
          <cell r="G541" t="e">
            <v>#N/A</v>
          </cell>
          <cell r="H541" t="e">
            <v>#N/A</v>
          </cell>
        </row>
        <row r="542">
          <cell r="G542" t="e">
            <v>#N/A</v>
          </cell>
          <cell r="H542" t="e">
            <v>#N/A</v>
          </cell>
        </row>
        <row r="543">
          <cell r="G543" t="e">
            <v>#N/A</v>
          </cell>
          <cell r="H543" t="e">
            <v>#N/A</v>
          </cell>
        </row>
        <row r="544">
          <cell r="G544" t="e">
            <v>#N/A</v>
          </cell>
          <cell r="H544" t="e">
            <v>#N/A</v>
          </cell>
        </row>
        <row r="545">
          <cell r="G545" t="e">
            <v>#N/A</v>
          </cell>
          <cell r="H545" t="e">
            <v>#N/A</v>
          </cell>
        </row>
        <row r="546">
          <cell r="G546" t="e">
            <v>#N/A</v>
          </cell>
          <cell r="H546" t="e">
            <v>#N/A</v>
          </cell>
        </row>
        <row r="547">
          <cell r="G547" t="e">
            <v>#N/A</v>
          </cell>
          <cell r="H547" t="e">
            <v>#N/A</v>
          </cell>
        </row>
        <row r="548">
          <cell r="G548" t="e">
            <v>#N/A</v>
          </cell>
          <cell r="H548" t="e">
            <v>#N/A</v>
          </cell>
        </row>
        <row r="549">
          <cell r="G549" t="e">
            <v>#N/A</v>
          </cell>
          <cell r="H549" t="e">
            <v>#N/A</v>
          </cell>
        </row>
        <row r="550">
          <cell r="G550" t="e">
            <v>#N/A</v>
          </cell>
          <cell r="H550" t="e">
            <v>#N/A</v>
          </cell>
        </row>
        <row r="551">
          <cell r="G551" t="e">
            <v>#N/A</v>
          </cell>
          <cell r="H551" t="e">
            <v>#N/A</v>
          </cell>
        </row>
        <row r="552">
          <cell r="G552" t="e">
            <v>#N/A</v>
          </cell>
          <cell r="H552" t="e">
            <v>#N/A</v>
          </cell>
        </row>
        <row r="553">
          <cell r="G553" t="e">
            <v>#N/A</v>
          </cell>
          <cell r="H553" t="e">
            <v>#N/A</v>
          </cell>
        </row>
        <row r="554">
          <cell r="G554" t="e">
            <v>#N/A</v>
          </cell>
          <cell r="H554" t="e">
            <v>#N/A</v>
          </cell>
        </row>
        <row r="555">
          <cell r="G555" t="e">
            <v>#N/A</v>
          </cell>
          <cell r="H555" t="e">
            <v>#N/A</v>
          </cell>
        </row>
        <row r="556">
          <cell r="G556" t="e">
            <v>#N/A</v>
          </cell>
          <cell r="H556" t="e">
            <v>#N/A</v>
          </cell>
        </row>
        <row r="557">
          <cell r="G557" t="e">
            <v>#N/A</v>
          </cell>
          <cell r="H557" t="e">
            <v>#N/A</v>
          </cell>
        </row>
        <row r="558">
          <cell r="G558" t="e">
            <v>#N/A</v>
          </cell>
          <cell r="H558" t="e">
            <v>#N/A</v>
          </cell>
        </row>
        <row r="559">
          <cell r="G559" t="e">
            <v>#N/A</v>
          </cell>
          <cell r="H559" t="e">
            <v>#N/A</v>
          </cell>
        </row>
        <row r="560">
          <cell r="G560" t="e">
            <v>#N/A</v>
          </cell>
          <cell r="H560" t="e">
            <v>#N/A</v>
          </cell>
        </row>
        <row r="561">
          <cell r="G561" t="e">
            <v>#N/A</v>
          </cell>
          <cell r="H561" t="e">
            <v>#N/A</v>
          </cell>
        </row>
        <row r="562">
          <cell r="G562" t="e">
            <v>#N/A</v>
          </cell>
          <cell r="H562" t="e">
            <v>#N/A</v>
          </cell>
        </row>
        <row r="563">
          <cell r="G563" t="e">
            <v>#N/A</v>
          </cell>
          <cell r="H563" t="e">
            <v>#N/A</v>
          </cell>
        </row>
        <row r="564">
          <cell r="G564" t="e">
            <v>#N/A</v>
          </cell>
          <cell r="H564" t="e">
            <v>#N/A</v>
          </cell>
        </row>
        <row r="565">
          <cell r="G565" t="e">
            <v>#N/A</v>
          </cell>
          <cell r="H565" t="e">
            <v>#N/A</v>
          </cell>
        </row>
        <row r="566">
          <cell r="G566" t="e">
            <v>#N/A</v>
          </cell>
          <cell r="H566" t="e">
            <v>#N/A</v>
          </cell>
        </row>
        <row r="567">
          <cell r="G567" t="e">
            <v>#N/A</v>
          </cell>
          <cell r="H567" t="e">
            <v>#N/A</v>
          </cell>
        </row>
        <row r="568">
          <cell r="G568" t="e">
            <v>#N/A</v>
          </cell>
          <cell r="H568" t="e">
            <v>#N/A</v>
          </cell>
        </row>
        <row r="569">
          <cell r="G569" t="e">
            <v>#N/A</v>
          </cell>
          <cell r="H569" t="e">
            <v>#N/A</v>
          </cell>
        </row>
        <row r="570">
          <cell r="G570" t="e">
            <v>#N/A</v>
          </cell>
          <cell r="H570" t="e">
            <v>#N/A</v>
          </cell>
        </row>
        <row r="571">
          <cell r="G571" t="e">
            <v>#N/A</v>
          </cell>
          <cell r="H571" t="e">
            <v>#N/A</v>
          </cell>
        </row>
        <row r="572">
          <cell r="G572" t="e">
            <v>#N/A</v>
          </cell>
          <cell r="H572" t="e">
            <v>#N/A</v>
          </cell>
        </row>
        <row r="573">
          <cell r="G573" t="e">
            <v>#N/A</v>
          </cell>
          <cell r="H573" t="e">
            <v>#N/A</v>
          </cell>
        </row>
        <row r="574">
          <cell r="G574" t="e">
            <v>#N/A</v>
          </cell>
          <cell r="H574" t="e">
            <v>#N/A</v>
          </cell>
        </row>
        <row r="575">
          <cell r="G575" t="e">
            <v>#N/A</v>
          </cell>
          <cell r="H575" t="e">
            <v>#N/A</v>
          </cell>
        </row>
        <row r="576">
          <cell r="G576" t="e">
            <v>#N/A</v>
          </cell>
          <cell r="H576" t="e">
            <v>#N/A</v>
          </cell>
        </row>
        <row r="577">
          <cell r="G577" t="e">
            <v>#N/A</v>
          </cell>
          <cell r="H577" t="e">
            <v>#N/A</v>
          </cell>
        </row>
        <row r="578">
          <cell r="G578" t="e">
            <v>#N/A</v>
          </cell>
          <cell r="H578" t="e">
            <v>#N/A</v>
          </cell>
        </row>
        <row r="579">
          <cell r="G579" t="e">
            <v>#N/A</v>
          </cell>
          <cell r="H579" t="e">
            <v>#N/A</v>
          </cell>
        </row>
        <row r="580">
          <cell r="G580" t="e">
            <v>#N/A</v>
          </cell>
          <cell r="H580" t="e">
            <v>#N/A</v>
          </cell>
        </row>
        <row r="581">
          <cell r="G581" t="e">
            <v>#N/A</v>
          </cell>
          <cell r="H581" t="e">
            <v>#N/A</v>
          </cell>
        </row>
        <row r="582">
          <cell r="G582" t="e">
            <v>#N/A</v>
          </cell>
          <cell r="H582" t="e">
            <v>#N/A</v>
          </cell>
        </row>
        <row r="583">
          <cell r="G583" t="e">
            <v>#N/A</v>
          </cell>
          <cell r="H583" t="e">
            <v>#N/A</v>
          </cell>
        </row>
        <row r="584">
          <cell r="G584" t="e">
            <v>#N/A</v>
          </cell>
          <cell r="H584" t="e">
            <v>#N/A</v>
          </cell>
        </row>
        <row r="585">
          <cell r="G585" t="e">
            <v>#N/A</v>
          </cell>
          <cell r="H585" t="e">
            <v>#N/A</v>
          </cell>
        </row>
        <row r="586">
          <cell r="G586" t="e">
            <v>#N/A</v>
          </cell>
          <cell r="H586" t="e">
            <v>#N/A</v>
          </cell>
        </row>
        <row r="587">
          <cell r="G587" t="e">
            <v>#N/A</v>
          </cell>
          <cell r="H587" t="e">
            <v>#N/A</v>
          </cell>
        </row>
        <row r="588">
          <cell r="G588" t="e">
            <v>#N/A</v>
          </cell>
          <cell r="H588" t="e">
            <v>#N/A</v>
          </cell>
        </row>
        <row r="589">
          <cell r="G589" t="e">
            <v>#N/A</v>
          </cell>
          <cell r="H589" t="e">
            <v>#N/A</v>
          </cell>
        </row>
        <row r="590">
          <cell r="G590" t="e">
            <v>#N/A</v>
          </cell>
          <cell r="H590" t="e">
            <v>#N/A</v>
          </cell>
        </row>
        <row r="591">
          <cell r="G591" t="e">
            <v>#N/A</v>
          </cell>
          <cell r="H591" t="e">
            <v>#N/A</v>
          </cell>
        </row>
        <row r="592">
          <cell r="G592" t="e">
            <v>#N/A</v>
          </cell>
          <cell r="H592" t="e">
            <v>#N/A</v>
          </cell>
        </row>
        <row r="593">
          <cell r="G593" t="e">
            <v>#N/A</v>
          </cell>
          <cell r="H593" t="e">
            <v>#N/A</v>
          </cell>
        </row>
        <row r="594">
          <cell r="G594" t="e">
            <v>#N/A</v>
          </cell>
          <cell r="H594" t="e">
            <v>#N/A</v>
          </cell>
        </row>
        <row r="595">
          <cell r="G595" t="e">
            <v>#N/A</v>
          </cell>
          <cell r="H595" t="e">
            <v>#N/A</v>
          </cell>
        </row>
        <row r="596">
          <cell r="G596" t="e">
            <v>#N/A</v>
          </cell>
          <cell r="H596" t="e">
            <v>#N/A</v>
          </cell>
        </row>
        <row r="597">
          <cell r="G597" t="e">
            <v>#N/A</v>
          </cell>
          <cell r="H597" t="e">
            <v>#N/A</v>
          </cell>
        </row>
        <row r="598">
          <cell r="G598" t="e">
            <v>#N/A</v>
          </cell>
          <cell r="H598" t="e">
            <v>#N/A</v>
          </cell>
        </row>
        <row r="599">
          <cell r="G599" t="e">
            <v>#N/A</v>
          </cell>
          <cell r="H599" t="e">
            <v>#N/A</v>
          </cell>
        </row>
        <row r="600">
          <cell r="G600" t="e">
            <v>#N/A</v>
          </cell>
          <cell r="H600" t="e">
            <v>#N/A</v>
          </cell>
        </row>
        <row r="601">
          <cell r="G601" t="e">
            <v>#N/A</v>
          </cell>
          <cell r="H601" t="e">
            <v>#N/A</v>
          </cell>
        </row>
        <row r="602">
          <cell r="G602" t="e">
            <v>#N/A</v>
          </cell>
          <cell r="H602" t="e">
            <v>#N/A</v>
          </cell>
        </row>
        <row r="603">
          <cell r="G603" t="e">
            <v>#N/A</v>
          </cell>
          <cell r="H603" t="e">
            <v>#N/A</v>
          </cell>
        </row>
        <row r="604">
          <cell r="G604" t="e">
            <v>#N/A</v>
          </cell>
          <cell r="H604" t="e">
            <v>#N/A</v>
          </cell>
        </row>
        <row r="605">
          <cell r="G605" t="e">
            <v>#N/A</v>
          </cell>
          <cell r="H605" t="e">
            <v>#N/A</v>
          </cell>
        </row>
        <row r="606">
          <cell r="G606" t="e">
            <v>#N/A</v>
          </cell>
          <cell r="H606" t="e">
            <v>#N/A</v>
          </cell>
        </row>
        <row r="607">
          <cell r="G607" t="e">
            <v>#N/A</v>
          </cell>
          <cell r="H607" t="e">
            <v>#N/A</v>
          </cell>
        </row>
        <row r="608">
          <cell r="G608" t="e">
            <v>#N/A</v>
          </cell>
          <cell r="H608" t="e">
            <v>#N/A</v>
          </cell>
        </row>
        <row r="609">
          <cell r="G609" t="e">
            <v>#N/A</v>
          </cell>
          <cell r="H609" t="e">
            <v>#N/A</v>
          </cell>
        </row>
        <row r="610">
          <cell r="G610" t="e">
            <v>#N/A</v>
          </cell>
          <cell r="H610" t="e">
            <v>#N/A</v>
          </cell>
        </row>
        <row r="611">
          <cell r="G611" t="e">
            <v>#N/A</v>
          </cell>
          <cell r="H611" t="e">
            <v>#N/A</v>
          </cell>
        </row>
        <row r="612">
          <cell r="G612" t="e">
            <v>#N/A</v>
          </cell>
          <cell r="H612" t="e">
            <v>#N/A</v>
          </cell>
        </row>
        <row r="613">
          <cell r="G613" t="e">
            <v>#N/A</v>
          </cell>
          <cell r="H613" t="e">
            <v>#N/A</v>
          </cell>
        </row>
        <row r="614">
          <cell r="G614" t="e">
            <v>#N/A</v>
          </cell>
          <cell r="H614" t="e">
            <v>#N/A</v>
          </cell>
        </row>
        <row r="615">
          <cell r="G615" t="e">
            <v>#N/A</v>
          </cell>
          <cell r="H615" t="e">
            <v>#N/A</v>
          </cell>
        </row>
        <row r="616">
          <cell r="G616" t="e">
            <v>#N/A</v>
          </cell>
          <cell r="H616" t="e">
            <v>#N/A</v>
          </cell>
        </row>
        <row r="617">
          <cell r="G617" t="e">
            <v>#N/A</v>
          </cell>
          <cell r="H617" t="e">
            <v>#N/A</v>
          </cell>
        </row>
        <row r="618">
          <cell r="G618" t="e">
            <v>#N/A</v>
          </cell>
          <cell r="H618" t="e">
            <v>#N/A</v>
          </cell>
        </row>
        <row r="619">
          <cell r="G619" t="e">
            <v>#N/A</v>
          </cell>
          <cell r="H619" t="e">
            <v>#N/A</v>
          </cell>
        </row>
        <row r="620">
          <cell r="G620" t="e">
            <v>#N/A</v>
          </cell>
          <cell r="H620" t="e">
            <v>#N/A</v>
          </cell>
        </row>
        <row r="621">
          <cell r="G621" t="e">
            <v>#N/A</v>
          </cell>
          <cell r="H621" t="e">
            <v>#N/A</v>
          </cell>
        </row>
        <row r="622">
          <cell r="G622" t="e">
            <v>#N/A</v>
          </cell>
          <cell r="H622" t="e">
            <v>#N/A</v>
          </cell>
        </row>
        <row r="623">
          <cell r="G623" t="e">
            <v>#N/A</v>
          </cell>
          <cell r="H623" t="e">
            <v>#N/A</v>
          </cell>
        </row>
        <row r="624">
          <cell r="G624" t="e">
            <v>#N/A</v>
          </cell>
          <cell r="H624" t="e">
            <v>#N/A</v>
          </cell>
        </row>
        <row r="625">
          <cell r="G625" t="e">
            <v>#N/A</v>
          </cell>
          <cell r="H625" t="e">
            <v>#N/A</v>
          </cell>
        </row>
        <row r="626">
          <cell r="G626" t="e">
            <v>#N/A</v>
          </cell>
          <cell r="H626" t="e">
            <v>#N/A</v>
          </cell>
        </row>
        <row r="627">
          <cell r="G627" t="e">
            <v>#N/A</v>
          </cell>
          <cell r="H627" t="e">
            <v>#N/A</v>
          </cell>
        </row>
        <row r="628">
          <cell r="G628" t="e">
            <v>#N/A</v>
          </cell>
          <cell r="H628" t="e">
            <v>#N/A</v>
          </cell>
        </row>
        <row r="629">
          <cell r="G629" t="e">
            <v>#N/A</v>
          </cell>
          <cell r="H629" t="e">
            <v>#N/A</v>
          </cell>
        </row>
        <row r="630">
          <cell r="G630" t="e">
            <v>#N/A</v>
          </cell>
          <cell r="H630" t="e">
            <v>#N/A</v>
          </cell>
        </row>
        <row r="631">
          <cell r="G631" t="e">
            <v>#N/A</v>
          </cell>
          <cell r="H631" t="e">
            <v>#N/A</v>
          </cell>
        </row>
        <row r="632">
          <cell r="G632" t="e">
            <v>#N/A</v>
          </cell>
          <cell r="H632" t="e">
            <v>#N/A</v>
          </cell>
        </row>
        <row r="633">
          <cell r="G633" t="e">
            <v>#N/A</v>
          </cell>
          <cell r="H633" t="e">
            <v>#N/A</v>
          </cell>
        </row>
        <row r="634">
          <cell r="G634" t="e">
            <v>#N/A</v>
          </cell>
          <cell r="H634" t="e">
            <v>#N/A</v>
          </cell>
        </row>
        <row r="635">
          <cell r="G635" t="e">
            <v>#N/A</v>
          </cell>
          <cell r="H635" t="e">
            <v>#N/A</v>
          </cell>
        </row>
        <row r="636">
          <cell r="G636" t="e">
            <v>#N/A</v>
          </cell>
          <cell r="H636" t="e">
            <v>#N/A</v>
          </cell>
        </row>
        <row r="637">
          <cell r="G637" t="e">
            <v>#N/A</v>
          </cell>
          <cell r="H637" t="e">
            <v>#N/A</v>
          </cell>
        </row>
        <row r="638">
          <cell r="G638" t="e">
            <v>#N/A</v>
          </cell>
          <cell r="H638" t="e">
            <v>#N/A</v>
          </cell>
        </row>
        <row r="639">
          <cell r="G639" t="e">
            <v>#N/A</v>
          </cell>
          <cell r="H639" t="e">
            <v>#N/A</v>
          </cell>
        </row>
        <row r="640">
          <cell r="G640" t="e">
            <v>#N/A</v>
          </cell>
          <cell r="H640" t="e">
            <v>#N/A</v>
          </cell>
        </row>
        <row r="641">
          <cell r="G641" t="e">
            <v>#N/A</v>
          </cell>
          <cell r="H641" t="e">
            <v>#N/A</v>
          </cell>
        </row>
        <row r="642">
          <cell r="G642" t="e">
            <v>#N/A</v>
          </cell>
          <cell r="H642" t="e">
            <v>#N/A</v>
          </cell>
        </row>
        <row r="643">
          <cell r="G643" t="e">
            <v>#N/A</v>
          </cell>
          <cell r="H643" t="e">
            <v>#N/A</v>
          </cell>
        </row>
        <row r="644">
          <cell r="G644" t="e">
            <v>#N/A</v>
          </cell>
          <cell r="H644" t="e">
            <v>#N/A</v>
          </cell>
        </row>
        <row r="645">
          <cell r="G645" t="e">
            <v>#N/A</v>
          </cell>
          <cell r="H645" t="e">
            <v>#N/A</v>
          </cell>
        </row>
        <row r="646">
          <cell r="G646" t="e">
            <v>#N/A</v>
          </cell>
          <cell r="H646" t="e">
            <v>#N/A</v>
          </cell>
        </row>
        <row r="647">
          <cell r="G647" t="e">
            <v>#N/A</v>
          </cell>
          <cell r="H647" t="e">
            <v>#N/A</v>
          </cell>
        </row>
        <row r="648">
          <cell r="G648" t="e">
            <v>#N/A</v>
          </cell>
          <cell r="H648" t="e">
            <v>#N/A</v>
          </cell>
        </row>
        <row r="649">
          <cell r="G649" t="e">
            <v>#N/A</v>
          </cell>
          <cell r="H649" t="e">
            <v>#N/A</v>
          </cell>
        </row>
        <row r="650">
          <cell r="G650" t="e">
            <v>#N/A</v>
          </cell>
          <cell r="H650" t="e">
            <v>#N/A</v>
          </cell>
        </row>
        <row r="651">
          <cell r="G651" t="e">
            <v>#N/A</v>
          </cell>
          <cell r="H651" t="e">
            <v>#N/A</v>
          </cell>
        </row>
        <row r="652">
          <cell r="G652" t="e">
            <v>#N/A</v>
          </cell>
          <cell r="H652" t="e">
            <v>#N/A</v>
          </cell>
        </row>
        <row r="653">
          <cell r="G653" t="e">
            <v>#N/A</v>
          </cell>
          <cell r="H653" t="e">
            <v>#N/A</v>
          </cell>
        </row>
        <row r="654">
          <cell r="G654" t="e">
            <v>#N/A</v>
          </cell>
          <cell r="H654" t="e">
            <v>#N/A</v>
          </cell>
        </row>
        <row r="655">
          <cell r="G655" t="e">
            <v>#N/A</v>
          </cell>
          <cell r="H655" t="e">
            <v>#N/A</v>
          </cell>
        </row>
        <row r="656">
          <cell r="G656" t="e">
            <v>#N/A</v>
          </cell>
          <cell r="H656" t="e">
            <v>#N/A</v>
          </cell>
        </row>
        <row r="657">
          <cell r="G657" t="e">
            <v>#N/A</v>
          </cell>
          <cell r="H657" t="e">
            <v>#N/A</v>
          </cell>
        </row>
        <row r="658">
          <cell r="G658" t="e">
            <v>#N/A</v>
          </cell>
          <cell r="H658" t="e">
            <v>#N/A</v>
          </cell>
        </row>
        <row r="659">
          <cell r="G659" t="e">
            <v>#N/A</v>
          </cell>
          <cell r="H659" t="e">
            <v>#N/A</v>
          </cell>
        </row>
        <row r="660">
          <cell r="G660" t="e">
            <v>#N/A</v>
          </cell>
          <cell r="H660" t="e">
            <v>#N/A</v>
          </cell>
        </row>
        <row r="661">
          <cell r="G661" t="e">
            <v>#N/A</v>
          </cell>
          <cell r="H661" t="e">
            <v>#N/A</v>
          </cell>
        </row>
        <row r="662">
          <cell r="G662" t="e">
            <v>#N/A</v>
          </cell>
          <cell r="H662" t="e">
            <v>#N/A</v>
          </cell>
        </row>
        <row r="663">
          <cell r="G663" t="e">
            <v>#N/A</v>
          </cell>
          <cell r="H663" t="e">
            <v>#N/A</v>
          </cell>
        </row>
        <row r="664">
          <cell r="G664" t="e">
            <v>#N/A</v>
          </cell>
          <cell r="H664" t="e">
            <v>#N/A</v>
          </cell>
        </row>
        <row r="665">
          <cell r="G665" t="e">
            <v>#N/A</v>
          </cell>
          <cell r="H665" t="e">
            <v>#N/A</v>
          </cell>
        </row>
        <row r="666">
          <cell r="G666" t="e">
            <v>#N/A</v>
          </cell>
          <cell r="H666" t="e">
            <v>#N/A</v>
          </cell>
        </row>
        <row r="667">
          <cell r="G667" t="e">
            <v>#N/A</v>
          </cell>
          <cell r="H667" t="e">
            <v>#N/A</v>
          </cell>
        </row>
        <row r="668">
          <cell r="G668" t="e">
            <v>#N/A</v>
          </cell>
          <cell r="H668" t="e">
            <v>#N/A</v>
          </cell>
        </row>
        <row r="669">
          <cell r="G669" t="e">
            <v>#N/A</v>
          </cell>
          <cell r="H669" t="e">
            <v>#N/A</v>
          </cell>
        </row>
        <row r="670">
          <cell r="G670" t="e">
            <v>#N/A</v>
          </cell>
          <cell r="H670" t="e">
            <v>#N/A</v>
          </cell>
        </row>
        <row r="671">
          <cell r="G671" t="e">
            <v>#N/A</v>
          </cell>
          <cell r="H671" t="e">
            <v>#N/A</v>
          </cell>
        </row>
        <row r="672">
          <cell r="G672" t="e">
            <v>#N/A</v>
          </cell>
          <cell r="H672" t="e">
            <v>#N/A</v>
          </cell>
        </row>
        <row r="673">
          <cell r="G673" t="e">
            <v>#N/A</v>
          </cell>
          <cell r="H673" t="e">
            <v>#N/A</v>
          </cell>
        </row>
        <row r="674">
          <cell r="G674" t="e">
            <v>#N/A</v>
          </cell>
          <cell r="H674" t="e">
            <v>#N/A</v>
          </cell>
        </row>
        <row r="675">
          <cell r="G675" t="e">
            <v>#N/A</v>
          </cell>
          <cell r="H675" t="e">
            <v>#N/A</v>
          </cell>
        </row>
        <row r="676">
          <cell r="G676" t="e">
            <v>#N/A</v>
          </cell>
          <cell r="H676" t="e">
            <v>#N/A</v>
          </cell>
        </row>
        <row r="677">
          <cell r="G677" t="e">
            <v>#N/A</v>
          </cell>
          <cell r="H677" t="e">
            <v>#N/A</v>
          </cell>
        </row>
        <row r="678">
          <cell r="G678" t="e">
            <v>#N/A</v>
          </cell>
          <cell r="H678" t="e">
            <v>#N/A</v>
          </cell>
        </row>
        <row r="679">
          <cell r="G679" t="e">
            <v>#N/A</v>
          </cell>
          <cell r="H679" t="e">
            <v>#N/A</v>
          </cell>
        </row>
        <row r="680">
          <cell r="G680" t="e">
            <v>#N/A</v>
          </cell>
          <cell r="H680" t="e">
            <v>#N/A</v>
          </cell>
        </row>
        <row r="681">
          <cell r="G681" t="e">
            <v>#N/A</v>
          </cell>
          <cell r="H681" t="e">
            <v>#N/A</v>
          </cell>
        </row>
        <row r="682">
          <cell r="G682" t="e">
            <v>#N/A</v>
          </cell>
          <cell r="H682" t="e">
            <v>#N/A</v>
          </cell>
        </row>
        <row r="683">
          <cell r="G683" t="e">
            <v>#N/A</v>
          </cell>
          <cell r="H683" t="e">
            <v>#N/A</v>
          </cell>
        </row>
        <row r="684">
          <cell r="G684" t="e">
            <v>#N/A</v>
          </cell>
          <cell r="H684" t="e">
            <v>#N/A</v>
          </cell>
        </row>
        <row r="685">
          <cell r="G685" t="e">
            <v>#N/A</v>
          </cell>
          <cell r="H685" t="e">
            <v>#N/A</v>
          </cell>
        </row>
        <row r="686">
          <cell r="G686" t="e">
            <v>#N/A</v>
          </cell>
          <cell r="H686" t="e">
            <v>#N/A</v>
          </cell>
        </row>
        <row r="687">
          <cell r="G687" t="e">
            <v>#N/A</v>
          </cell>
          <cell r="H687" t="e">
            <v>#N/A</v>
          </cell>
        </row>
        <row r="688">
          <cell r="G688" t="e">
            <v>#N/A</v>
          </cell>
          <cell r="H688" t="e">
            <v>#N/A</v>
          </cell>
        </row>
        <row r="689">
          <cell r="G689" t="e">
            <v>#N/A</v>
          </cell>
          <cell r="H689" t="e">
            <v>#N/A</v>
          </cell>
        </row>
        <row r="690">
          <cell r="G690" t="e">
            <v>#N/A</v>
          </cell>
          <cell r="H690" t="e">
            <v>#N/A</v>
          </cell>
        </row>
        <row r="691">
          <cell r="G691" t="e">
            <v>#N/A</v>
          </cell>
          <cell r="H691" t="e">
            <v>#N/A</v>
          </cell>
        </row>
        <row r="692">
          <cell r="G692" t="e">
            <v>#N/A</v>
          </cell>
          <cell r="H692" t="e">
            <v>#N/A</v>
          </cell>
        </row>
        <row r="693">
          <cell r="G693" t="e">
            <v>#N/A</v>
          </cell>
          <cell r="H693" t="e">
            <v>#N/A</v>
          </cell>
        </row>
        <row r="694">
          <cell r="G694" t="e">
            <v>#N/A</v>
          </cell>
          <cell r="H694" t="e">
            <v>#N/A</v>
          </cell>
        </row>
        <row r="695">
          <cell r="G695" t="e">
            <v>#N/A</v>
          </cell>
          <cell r="H695" t="e">
            <v>#N/A</v>
          </cell>
        </row>
        <row r="696">
          <cell r="G696" t="e">
            <v>#N/A</v>
          </cell>
          <cell r="H696" t="e">
            <v>#N/A</v>
          </cell>
        </row>
        <row r="697">
          <cell r="G697" t="e">
            <v>#N/A</v>
          </cell>
          <cell r="H697" t="e">
            <v>#N/A</v>
          </cell>
        </row>
        <row r="698">
          <cell r="G698" t="e">
            <v>#N/A</v>
          </cell>
          <cell r="H698" t="e">
            <v>#N/A</v>
          </cell>
        </row>
      </sheetData>
      <sheetData sheetId="3"/>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29"/>
  <sheetViews>
    <sheetView view="pageBreakPreview" zoomScale="70" zoomScaleNormal="100" zoomScaleSheetLayoutView="70" workbookViewId="0">
      <selection activeCell="C4" sqref="C4:Q4"/>
    </sheetView>
  </sheetViews>
  <sheetFormatPr baseColWidth="10" defaultColWidth="11.42578125" defaultRowHeight="15"/>
  <cols>
    <col min="1" max="1" width="2.85546875" style="5" customWidth="1"/>
    <col min="2" max="2" width="4.28515625" style="5" customWidth="1"/>
    <col min="3" max="6" width="11.42578125" style="5"/>
    <col min="7" max="7" width="21.28515625" style="5" customWidth="1"/>
    <col min="8" max="17" width="11.42578125" style="5"/>
    <col min="18" max="18" width="4.5703125" style="5" customWidth="1"/>
    <col min="19" max="16384" width="11.42578125" style="5"/>
  </cols>
  <sheetData>
    <row r="1" spans="2:18" ht="15.75" thickBot="1"/>
    <row r="2" spans="2:18">
      <c r="B2" s="107"/>
      <c r="C2" s="110"/>
      <c r="D2" s="110"/>
      <c r="E2" s="110"/>
      <c r="F2" s="110"/>
      <c r="G2" s="110"/>
      <c r="H2" s="110"/>
      <c r="I2" s="110"/>
      <c r="J2" s="110"/>
      <c r="K2" s="110"/>
      <c r="L2" s="110"/>
      <c r="M2" s="110"/>
      <c r="N2" s="110"/>
      <c r="O2" s="110"/>
      <c r="P2" s="110"/>
      <c r="Q2" s="110"/>
      <c r="R2" s="111"/>
    </row>
    <row r="3" spans="2:18" ht="33" customHeight="1">
      <c r="B3" s="108"/>
      <c r="C3" s="114" t="s">
        <v>55</v>
      </c>
      <c r="D3" s="114"/>
      <c r="E3" s="114"/>
      <c r="F3" s="114"/>
      <c r="G3" s="114"/>
      <c r="H3" s="114"/>
      <c r="I3" s="114"/>
      <c r="J3" s="114"/>
      <c r="K3" s="114"/>
      <c r="L3" s="114"/>
      <c r="M3" s="114"/>
      <c r="N3" s="114"/>
      <c r="O3" s="114"/>
      <c r="P3" s="114"/>
      <c r="Q3" s="114"/>
      <c r="R3" s="112"/>
    </row>
    <row r="4" spans="2:18" ht="33" customHeight="1">
      <c r="B4" s="108"/>
      <c r="C4" s="125" t="s">
        <v>116</v>
      </c>
      <c r="D4" s="125"/>
      <c r="E4" s="125"/>
      <c r="F4" s="125"/>
      <c r="G4" s="125"/>
      <c r="H4" s="125"/>
      <c r="I4" s="125"/>
      <c r="J4" s="125"/>
      <c r="K4" s="125"/>
      <c r="L4" s="125"/>
      <c r="M4" s="125"/>
      <c r="N4" s="125"/>
      <c r="O4" s="125"/>
      <c r="P4" s="125"/>
      <c r="Q4" s="125"/>
      <c r="R4" s="112"/>
    </row>
    <row r="5" spans="2:18" ht="33" customHeight="1">
      <c r="B5" s="108"/>
      <c r="C5" s="115" t="s">
        <v>115</v>
      </c>
      <c r="D5" s="115"/>
      <c r="E5" s="115"/>
      <c r="F5" s="115"/>
      <c r="G5" s="115"/>
      <c r="H5" s="115"/>
      <c r="I5" s="115"/>
      <c r="J5" s="115"/>
      <c r="K5" s="115"/>
      <c r="L5" s="115"/>
      <c r="M5" s="115"/>
      <c r="N5" s="115"/>
      <c r="O5" s="115"/>
      <c r="P5" s="115"/>
      <c r="Q5" s="115"/>
      <c r="R5" s="112"/>
    </row>
    <row r="6" spans="2:18" ht="32.25" customHeight="1">
      <c r="B6" s="108"/>
      <c r="C6" s="116" t="s">
        <v>52</v>
      </c>
      <c r="D6" s="116"/>
      <c r="E6" s="116"/>
      <c r="F6" s="116"/>
      <c r="G6" s="116"/>
      <c r="H6" s="116"/>
      <c r="I6" s="116"/>
      <c r="J6" s="116"/>
      <c r="K6" s="116"/>
      <c r="L6" s="116"/>
      <c r="M6" s="116"/>
      <c r="N6" s="116"/>
      <c r="O6" s="116"/>
      <c r="P6" s="116"/>
      <c r="Q6" s="116"/>
      <c r="R6" s="112"/>
    </row>
    <row r="7" spans="2:18" ht="27" customHeight="1">
      <c r="B7" s="108"/>
      <c r="C7" s="117"/>
      <c r="D7" s="117"/>
      <c r="E7" s="117"/>
      <c r="F7" s="117"/>
      <c r="G7" s="117"/>
      <c r="H7" s="117"/>
      <c r="I7" s="117"/>
      <c r="J7" s="117"/>
      <c r="K7" s="117"/>
      <c r="L7" s="117"/>
      <c r="M7" s="117"/>
      <c r="N7" s="117"/>
      <c r="O7" s="117"/>
      <c r="P7" s="117"/>
      <c r="Q7" s="117"/>
      <c r="R7" s="112"/>
    </row>
    <row r="8" spans="2:18" ht="15.75">
      <c r="B8" s="108"/>
      <c r="C8" s="118" t="s">
        <v>271</v>
      </c>
      <c r="D8" s="118"/>
      <c r="E8" s="118"/>
      <c r="F8" s="118"/>
      <c r="G8" s="118"/>
      <c r="H8" s="119" t="s">
        <v>268</v>
      </c>
      <c r="I8" s="119"/>
      <c r="J8" s="119"/>
      <c r="K8" s="119"/>
      <c r="L8" s="119"/>
      <c r="M8" s="120" t="s">
        <v>65</v>
      </c>
      <c r="N8" s="120"/>
      <c r="O8" s="120"/>
      <c r="P8" s="120"/>
      <c r="Q8" s="120"/>
      <c r="R8" s="112"/>
    </row>
    <row r="9" spans="2:18" ht="15.75">
      <c r="B9" s="108"/>
      <c r="C9" s="118" t="s">
        <v>272</v>
      </c>
      <c r="D9" s="118"/>
      <c r="E9" s="118"/>
      <c r="F9" s="118"/>
      <c r="G9" s="118"/>
      <c r="H9" s="121"/>
      <c r="I9" s="121"/>
      <c r="J9" s="121"/>
      <c r="K9" s="121"/>
      <c r="L9" s="121"/>
      <c r="M9" s="106"/>
      <c r="N9" s="106"/>
      <c r="O9" s="106"/>
      <c r="P9" s="106"/>
      <c r="Q9" s="106"/>
      <c r="R9" s="112"/>
    </row>
    <row r="10" spans="2:18" ht="15.75">
      <c r="B10" s="108"/>
      <c r="C10" s="118" t="s">
        <v>273</v>
      </c>
      <c r="D10" s="118"/>
      <c r="E10" s="118"/>
      <c r="F10" s="118"/>
      <c r="G10" s="118"/>
      <c r="H10" s="119"/>
      <c r="I10" s="119"/>
      <c r="J10" s="119"/>
      <c r="K10" s="119"/>
      <c r="L10" s="119"/>
      <c r="M10" s="106"/>
      <c r="N10" s="106"/>
      <c r="O10" s="106"/>
      <c r="P10" s="106"/>
      <c r="Q10" s="106"/>
      <c r="R10" s="112"/>
    </row>
    <row r="11" spans="2:18" ht="15.75">
      <c r="B11" s="108"/>
      <c r="C11" s="118" t="s">
        <v>274</v>
      </c>
      <c r="D11" s="118"/>
      <c r="E11" s="118"/>
      <c r="F11" s="118"/>
      <c r="G11" s="118"/>
      <c r="H11" s="119"/>
      <c r="I11" s="119"/>
      <c r="J11" s="119"/>
      <c r="K11" s="119"/>
      <c r="L11" s="119"/>
      <c r="M11" s="106"/>
      <c r="N11" s="106"/>
      <c r="O11" s="106"/>
      <c r="P11" s="106"/>
      <c r="Q11" s="106"/>
      <c r="R11" s="112"/>
    </row>
    <row r="12" spans="2:18" ht="15.75">
      <c r="B12" s="108"/>
      <c r="C12" s="118" t="s">
        <v>275</v>
      </c>
      <c r="D12" s="118"/>
      <c r="E12" s="118"/>
      <c r="F12" s="118"/>
      <c r="G12" s="118"/>
      <c r="H12" s="119"/>
      <c r="I12" s="119"/>
      <c r="J12" s="119"/>
      <c r="K12" s="119"/>
      <c r="L12" s="119"/>
      <c r="M12" s="106"/>
      <c r="N12" s="106"/>
      <c r="O12" s="106"/>
      <c r="P12" s="106"/>
      <c r="Q12" s="106"/>
      <c r="R12" s="112"/>
    </row>
    <row r="13" spans="2:18" ht="15.75">
      <c r="B13" s="108"/>
      <c r="C13" s="118" t="s">
        <v>276</v>
      </c>
      <c r="D13" s="118"/>
      <c r="E13" s="118"/>
      <c r="F13" s="118"/>
      <c r="G13" s="118"/>
      <c r="H13" s="119"/>
      <c r="I13" s="119"/>
      <c r="J13" s="119"/>
      <c r="K13" s="119"/>
      <c r="L13" s="119"/>
      <c r="M13" s="106"/>
      <c r="N13" s="106"/>
      <c r="O13" s="106"/>
      <c r="P13" s="106"/>
      <c r="Q13" s="106"/>
      <c r="R13" s="112"/>
    </row>
    <row r="14" spans="2:18" ht="20.25" customHeight="1">
      <c r="B14" s="108"/>
      <c r="C14" s="118" t="s">
        <v>278</v>
      </c>
      <c r="D14" s="118"/>
      <c r="E14" s="118"/>
      <c r="F14" s="118"/>
      <c r="G14" s="118"/>
      <c r="H14" s="124"/>
      <c r="I14" s="124"/>
      <c r="J14" s="124"/>
      <c r="K14" s="124"/>
      <c r="L14" s="124"/>
      <c r="M14" s="106"/>
      <c r="N14" s="106"/>
      <c r="O14" s="106"/>
      <c r="P14" s="106"/>
      <c r="Q14" s="106"/>
      <c r="R14" s="112"/>
    </row>
    <row r="15" spans="2:18" ht="15.75">
      <c r="B15" s="108"/>
      <c r="C15" s="118" t="s">
        <v>277</v>
      </c>
      <c r="D15" s="118"/>
      <c r="E15" s="118"/>
      <c r="F15" s="118"/>
      <c r="G15" s="118"/>
      <c r="H15" s="124"/>
      <c r="I15" s="124"/>
      <c r="J15" s="124"/>
      <c r="K15" s="124"/>
      <c r="L15" s="124"/>
      <c r="M15" s="106"/>
      <c r="N15" s="106"/>
      <c r="O15" s="106"/>
      <c r="P15" s="106"/>
      <c r="Q15" s="106"/>
      <c r="R15" s="112"/>
    </row>
    <row r="16" spans="2:18" ht="25.5" customHeight="1">
      <c r="B16" s="108"/>
      <c r="C16" s="117"/>
      <c r="D16" s="117"/>
      <c r="E16" s="117"/>
      <c r="F16" s="117"/>
      <c r="G16" s="117"/>
      <c r="H16" s="117"/>
      <c r="I16" s="117"/>
      <c r="J16" s="117"/>
      <c r="K16" s="117"/>
      <c r="L16" s="117"/>
      <c r="M16" s="117"/>
      <c r="N16" s="117"/>
      <c r="O16" s="117"/>
      <c r="P16" s="117"/>
      <c r="Q16" s="117"/>
      <c r="R16" s="112"/>
    </row>
    <row r="17" spans="2:23" ht="15.75">
      <c r="B17" s="108"/>
      <c r="C17" s="126"/>
      <c r="D17" s="126"/>
      <c r="E17" s="126"/>
      <c r="F17" s="126"/>
      <c r="G17" s="126"/>
      <c r="H17" s="106"/>
      <c r="I17" s="106"/>
      <c r="J17" s="106"/>
      <c r="K17" s="106"/>
      <c r="L17" s="106"/>
      <c r="M17" s="133" t="s">
        <v>54</v>
      </c>
      <c r="N17" s="133"/>
      <c r="O17" s="133"/>
      <c r="P17" s="133"/>
      <c r="Q17" s="133"/>
      <c r="R17" s="112"/>
    </row>
    <row r="18" spans="2:23" ht="15.75" customHeight="1">
      <c r="B18" s="108"/>
      <c r="C18" s="132" t="str">
        <f>C8</f>
        <v xml:space="preserve">NOMBRE DE LA EMPRESA: CARITRANS </v>
      </c>
      <c r="D18" s="132"/>
      <c r="E18" s="132"/>
      <c r="F18" s="132"/>
      <c r="G18" s="132"/>
      <c r="H18" s="106"/>
      <c r="I18" s="106"/>
      <c r="J18" s="106"/>
      <c r="K18" s="106"/>
      <c r="L18" s="106"/>
      <c r="M18" s="122" t="s">
        <v>58</v>
      </c>
      <c r="N18" s="122"/>
      <c r="O18" s="122"/>
      <c r="P18" s="122"/>
      <c r="Q18" s="122"/>
      <c r="R18" s="112"/>
      <c r="W18"/>
    </row>
    <row r="19" spans="2:23" ht="15.75" customHeight="1">
      <c r="B19" s="108"/>
      <c r="C19" s="132"/>
      <c r="D19" s="132"/>
      <c r="E19" s="132"/>
      <c r="F19" s="132"/>
      <c r="G19" s="132"/>
      <c r="H19" s="106"/>
      <c r="I19" s="106"/>
      <c r="J19" s="106"/>
      <c r="K19" s="106"/>
      <c r="L19" s="106"/>
      <c r="M19" s="122"/>
      <c r="N19" s="122"/>
      <c r="O19" s="122"/>
      <c r="P19" s="122"/>
      <c r="Q19" s="122"/>
      <c r="R19" s="112"/>
      <c r="U19"/>
    </row>
    <row r="20" spans="2:23" ht="15" customHeight="1">
      <c r="B20" s="108"/>
      <c r="C20" s="132"/>
      <c r="D20" s="132"/>
      <c r="E20" s="132"/>
      <c r="F20" s="132"/>
      <c r="G20" s="132"/>
      <c r="H20" s="106"/>
      <c r="I20" s="106"/>
      <c r="J20" s="106"/>
      <c r="K20" s="106"/>
      <c r="L20" s="106"/>
      <c r="M20" s="123" t="s">
        <v>56</v>
      </c>
      <c r="N20" s="123"/>
      <c r="O20" s="123"/>
      <c r="P20" s="123"/>
      <c r="Q20" s="123"/>
      <c r="R20" s="112"/>
    </row>
    <row r="21" spans="2:23" ht="15" customHeight="1">
      <c r="B21" s="108"/>
      <c r="C21" s="132"/>
      <c r="D21" s="132"/>
      <c r="E21" s="132"/>
      <c r="F21" s="132"/>
      <c r="G21" s="132"/>
      <c r="H21" s="106"/>
      <c r="I21" s="106"/>
      <c r="J21" s="106"/>
      <c r="K21" s="106"/>
      <c r="L21" s="106"/>
      <c r="M21" s="123"/>
      <c r="N21" s="123"/>
      <c r="O21" s="123"/>
      <c r="P21" s="123"/>
      <c r="Q21" s="123"/>
      <c r="R21" s="112"/>
    </row>
    <row r="22" spans="2:23" ht="15" customHeight="1">
      <c r="B22" s="108"/>
      <c r="C22" s="132"/>
      <c r="D22" s="132"/>
      <c r="E22" s="132"/>
      <c r="F22" s="132"/>
      <c r="G22" s="132"/>
      <c r="H22" s="106"/>
      <c r="I22" s="106"/>
      <c r="J22" s="106"/>
      <c r="K22" s="106"/>
      <c r="L22" s="106"/>
      <c r="M22" s="128" t="s">
        <v>57</v>
      </c>
      <c r="N22" s="128"/>
      <c r="O22" s="128"/>
      <c r="P22" s="128"/>
      <c r="Q22" s="128"/>
      <c r="R22" s="112"/>
    </row>
    <row r="23" spans="2:23" ht="15" customHeight="1">
      <c r="B23" s="108"/>
      <c r="C23" s="132"/>
      <c r="D23" s="132"/>
      <c r="E23" s="132"/>
      <c r="F23" s="132"/>
      <c r="G23" s="132"/>
      <c r="H23" s="106"/>
      <c r="I23" s="106"/>
      <c r="J23" s="106"/>
      <c r="K23" s="106"/>
      <c r="L23" s="106"/>
      <c r="M23" s="128"/>
      <c r="N23" s="128"/>
      <c r="O23" s="128"/>
      <c r="P23" s="128"/>
      <c r="Q23" s="128"/>
      <c r="R23" s="112"/>
    </row>
    <row r="24" spans="2:23" ht="15" customHeight="1">
      <c r="B24" s="108"/>
      <c r="C24" s="132"/>
      <c r="D24" s="132"/>
      <c r="E24" s="132"/>
      <c r="F24" s="132"/>
      <c r="G24" s="132"/>
      <c r="H24" s="106"/>
      <c r="I24" s="106"/>
      <c r="J24" s="106"/>
      <c r="K24" s="106"/>
      <c r="L24" s="106"/>
      <c r="M24" s="129" t="s">
        <v>13</v>
      </c>
      <c r="N24" s="129"/>
      <c r="O24" s="129"/>
      <c r="P24" s="129"/>
      <c r="Q24" s="129"/>
      <c r="R24" s="112"/>
    </row>
    <row r="25" spans="2:23" ht="15" customHeight="1">
      <c r="B25" s="108"/>
      <c r="C25" s="132"/>
      <c r="D25" s="132"/>
      <c r="E25" s="132"/>
      <c r="F25" s="132"/>
      <c r="G25" s="132"/>
      <c r="H25" s="104" t="s">
        <v>257</v>
      </c>
      <c r="I25" s="105"/>
      <c r="J25" s="105"/>
      <c r="K25" s="105"/>
      <c r="L25" s="105"/>
      <c r="M25" s="129"/>
      <c r="N25" s="129"/>
      <c r="O25" s="129"/>
      <c r="P25" s="129"/>
      <c r="Q25" s="129"/>
      <c r="R25" s="112"/>
    </row>
    <row r="26" spans="2:23" ht="15" customHeight="1">
      <c r="B26" s="108"/>
      <c r="C26" s="132"/>
      <c r="D26" s="132"/>
      <c r="E26" s="132"/>
      <c r="F26" s="132"/>
      <c r="G26" s="132"/>
      <c r="H26" s="105"/>
      <c r="I26" s="105"/>
      <c r="J26" s="105"/>
      <c r="K26" s="105"/>
      <c r="L26" s="105"/>
      <c r="M26" s="130" t="s">
        <v>59</v>
      </c>
      <c r="N26" s="130"/>
      <c r="O26" s="130"/>
      <c r="P26" s="130"/>
      <c r="Q26" s="130"/>
      <c r="R26" s="112"/>
    </row>
    <row r="27" spans="2:23" ht="15" customHeight="1">
      <c r="B27" s="108"/>
      <c r="C27" s="132"/>
      <c r="D27" s="132"/>
      <c r="E27" s="132"/>
      <c r="F27" s="132"/>
      <c r="G27" s="132"/>
      <c r="H27" s="105"/>
      <c r="I27" s="105"/>
      <c r="J27" s="105"/>
      <c r="K27" s="105"/>
      <c r="L27" s="105"/>
      <c r="M27" s="130"/>
      <c r="N27" s="130"/>
      <c r="O27" s="130"/>
      <c r="P27" s="130"/>
      <c r="Q27" s="130"/>
      <c r="R27" s="112"/>
    </row>
    <row r="28" spans="2:23" ht="30.75" customHeight="1">
      <c r="B28" s="108"/>
      <c r="C28" s="132"/>
      <c r="D28" s="132"/>
      <c r="E28" s="132"/>
      <c r="F28" s="132"/>
      <c r="G28" s="132"/>
      <c r="H28" s="105"/>
      <c r="I28" s="105"/>
      <c r="J28" s="105"/>
      <c r="K28" s="105"/>
      <c r="L28" s="105"/>
      <c r="M28" s="131" t="s">
        <v>114</v>
      </c>
      <c r="N28" s="131"/>
      <c r="O28" s="131"/>
      <c r="P28" s="131"/>
      <c r="Q28" s="131"/>
      <c r="R28" s="112"/>
    </row>
    <row r="29" spans="2:23" ht="15.75" thickBot="1">
      <c r="B29" s="109"/>
      <c r="C29" s="127"/>
      <c r="D29" s="127"/>
      <c r="E29" s="127"/>
      <c r="F29" s="127"/>
      <c r="G29" s="127"/>
      <c r="H29" s="127"/>
      <c r="I29" s="127"/>
      <c r="J29" s="127"/>
      <c r="K29" s="127"/>
      <c r="L29" s="127"/>
      <c r="M29" s="127"/>
      <c r="N29" s="127"/>
      <c r="O29" s="127"/>
      <c r="P29" s="127"/>
      <c r="Q29" s="127"/>
      <c r="R29" s="113"/>
    </row>
  </sheetData>
  <mergeCells count="45">
    <mergeCell ref="C4:Q4"/>
    <mergeCell ref="P20:Q21"/>
    <mergeCell ref="C17:G17"/>
    <mergeCell ref="C16:Q16"/>
    <mergeCell ref="C29:Q29"/>
    <mergeCell ref="M22:O23"/>
    <mergeCell ref="P22:Q23"/>
    <mergeCell ref="M24:O25"/>
    <mergeCell ref="P24:Q25"/>
    <mergeCell ref="M26:O27"/>
    <mergeCell ref="P26:Q27"/>
    <mergeCell ref="M28:O28"/>
    <mergeCell ref="P28:Q28"/>
    <mergeCell ref="C18:G28"/>
    <mergeCell ref="M17:Q17"/>
    <mergeCell ref="M18:O19"/>
    <mergeCell ref="P18:Q19"/>
    <mergeCell ref="M20:O21"/>
    <mergeCell ref="C13:G13"/>
    <mergeCell ref="H13:L13"/>
    <mergeCell ref="C14:G14"/>
    <mergeCell ref="H14:L14"/>
    <mergeCell ref="C15:G15"/>
    <mergeCell ref="H15:L15"/>
    <mergeCell ref="H10:L10"/>
    <mergeCell ref="C11:G11"/>
    <mergeCell ref="H11:L11"/>
    <mergeCell ref="C12:G12"/>
    <mergeCell ref="H12:L12"/>
    <mergeCell ref="H25:L28"/>
    <mergeCell ref="H17:L24"/>
    <mergeCell ref="B2:B29"/>
    <mergeCell ref="C2:Q2"/>
    <mergeCell ref="R2:R29"/>
    <mergeCell ref="C3:Q3"/>
    <mergeCell ref="C5:Q5"/>
    <mergeCell ref="C6:Q6"/>
    <mergeCell ref="C7:Q7"/>
    <mergeCell ref="C8:G8"/>
    <mergeCell ref="H8:L8"/>
    <mergeCell ref="M8:Q8"/>
    <mergeCell ref="C9:G9"/>
    <mergeCell ref="H9:L9"/>
    <mergeCell ref="M9:Q15"/>
    <mergeCell ref="C10:G10"/>
  </mergeCells>
  <pageMargins left="0.7" right="0.7" top="0.75" bottom="0.75" header="0.3" footer="0.3"/>
  <pageSetup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2"/>
  <sheetViews>
    <sheetView topLeftCell="A11" zoomScale="90" zoomScaleNormal="90" workbookViewId="0">
      <selection activeCell="C15" sqref="C15:C50"/>
    </sheetView>
  </sheetViews>
  <sheetFormatPr baseColWidth="10" defaultColWidth="11.42578125" defaultRowHeight="14.25"/>
  <cols>
    <col min="1" max="1" width="1.140625" style="1" customWidth="1"/>
    <col min="2" max="2" width="3.140625" style="1" customWidth="1"/>
    <col min="3" max="3" width="68.5703125" style="1" customWidth="1"/>
    <col min="4" max="4" width="4.42578125" style="1" customWidth="1"/>
    <col min="5" max="5" width="62.85546875" style="1" customWidth="1"/>
    <col min="6" max="7" width="3.7109375" style="1" customWidth="1"/>
    <col min="8" max="16384" width="11.42578125" style="1"/>
  </cols>
  <sheetData>
    <row r="1" spans="2:6" ht="9.75" customHeight="1"/>
    <row r="2" spans="2:6" ht="15" customHeight="1">
      <c r="B2" s="136"/>
      <c r="C2" s="136"/>
      <c r="D2" s="136"/>
      <c r="E2" s="136"/>
      <c r="F2" s="136"/>
    </row>
    <row r="3" spans="2:6" ht="33.75" customHeight="1">
      <c r="B3" s="7"/>
      <c r="C3" s="116" t="s">
        <v>60</v>
      </c>
      <c r="D3" s="116"/>
      <c r="E3" s="116"/>
      <c r="F3" s="7"/>
    </row>
    <row r="4" spans="2:6" ht="9.75" customHeight="1">
      <c r="B4" s="7"/>
      <c r="C4" s="136"/>
      <c r="D4" s="136"/>
      <c r="E4" s="136"/>
      <c r="F4" s="7"/>
    </row>
    <row r="5" spans="2:6">
      <c r="B5" s="7"/>
      <c r="C5" s="6" t="s">
        <v>53</v>
      </c>
      <c r="D5" s="140"/>
      <c r="E5" s="140"/>
      <c r="F5" s="7"/>
    </row>
    <row r="6" spans="2:6">
      <c r="B6" s="7"/>
      <c r="C6" s="139" t="s">
        <v>279</v>
      </c>
      <c r="D6" s="140"/>
      <c r="E6" s="140"/>
      <c r="F6" s="7"/>
    </row>
    <row r="7" spans="2:6">
      <c r="B7" s="7"/>
      <c r="C7" s="139"/>
      <c r="D7" s="140"/>
      <c r="E7" s="140"/>
      <c r="F7" s="7"/>
    </row>
    <row r="8" spans="2:6">
      <c r="B8" s="7"/>
      <c r="C8" s="139"/>
      <c r="D8" s="140"/>
      <c r="E8" s="140"/>
      <c r="F8" s="7"/>
    </row>
    <row r="9" spans="2:6">
      <c r="B9" s="7"/>
      <c r="C9" s="139"/>
      <c r="D9" s="140"/>
      <c r="E9" s="140"/>
      <c r="F9" s="7"/>
    </row>
    <row r="10" spans="2:6">
      <c r="B10" s="7"/>
      <c r="C10" s="139"/>
      <c r="D10" s="140"/>
      <c r="E10" s="140"/>
      <c r="F10" s="7"/>
    </row>
    <row r="11" spans="2:6">
      <c r="B11" s="7"/>
      <c r="C11" s="139"/>
      <c r="D11" s="140"/>
      <c r="E11" s="140"/>
      <c r="F11" s="7"/>
    </row>
    <row r="12" spans="2:6">
      <c r="B12" s="7"/>
      <c r="C12" s="139"/>
      <c r="D12" s="140"/>
      <c r="E12" s="140"/>
      <c r="F12" s="7"/>
    </row>
    <row r="13" spans="2:6" ht="17.25" customHeight="1">
      <c r="B13" s="7"/>
      <c r="C13" s="137" t="s">
        <v>61</v>
      </c>
      <c r="D13" s="137"/>
      <c r="E13" s="137"/>
      <c r="F13" s="7"/>
    </row>
    <row r="14" spans="2:6" ht="14.25" customHeight="1">
      <c r="B14" s="7"/>
      <c r="C14" s="138"/>
      <c r="D14" s="138"/>
      <c r="E14" s="138"/>
      <c r="F14" s="7"/>
    </row>
    <row r="15" spans="2:6" ht="15">
      <c r="B15" s="7"/>
      <c r="C15" s="89" t="s">
        <v>295</v>
      </c>
      <c r="D15" s="28"/>
      <c r="E15" s="134" t="s">
        <v>62</v>
      </c>
      <c r="F15" s="7"/>
    </row>
    <row r="16" spans="2:6" ht="15">
      <c r="B16" s="7"/>
      <c r="C16" s="89" t="s">
        <v>299</v>
      </c>
      <c r="D16" s="28"/>
      <c r="E16" s="135"/>
      <c r="F16" s="7"/>
    </row>
    <row r="17" spans="2:6" ht="15">
      <c r="B17" s="7"/>
      <c r="C17" s="89" t="s">
        <v>300</v>
      </c>
      <c r="D17" s="28"/>
      <c r="E17" s="135"/>
      <c r="F17" s="7"/>
    </row>
    <row r="18" spans="2:6" ht="15">
      <c r="B18" s="7"/>
      <c r="C18" s="89" t="s">
        <v>297</v>
      </c>
      <c r="D18" s="28"/>
      <c r="E18" s="135"/>
      <c r="F18" s="7"/>
    </row>
    <row r="19" spans="2:6" ht="15">
      <c r="B19" s="7"/>
      <c r="C19" s="89" t="s">
        <v>314</v>
      </c>
      <c r="D19" s="28"/>
      <c r="E19" s="135"/>
      <c r="F19" s="7"/>
    </row>
    <row r="20" spans="2:6" ht="15">
      <c r="B20" s="7"/>
      <c r="C20" s="89" t="s">
        <v>303</v>
      </c>
      <c r="D20" s="28"/>
      <c r="E20" s="135"/>
      <c r="F20" s="7"/>
    </row>
    <row r="21" spans="2:6" ht="15">
      <c r="B21" s="7"/>
      <c r="C21" s="89" t="s">
        <v>301</v>
      </c>
      <c r="D21" s="28"/>
      <c r="E21" s="135"/>
      <c r="F21" s="7"/>
    </row>
    <row r="22" spans="2:6" ht="15">
      <c r="B22" s="7"/>
      <c r="C22" s="89" t="s">
        <v>305</v>
      </c>
      <c r="D22" s="28"/>
      <c r="E22" s="135"/>
      <c r="F22" s="7"/>
    </row>
    <row r="23" spans="2:6" ht="15">
      <c r="B23" s="7"/>
      <c r="C23" s="89" t="s">
        <v>308</v>
      </c>
      <c r="D23" s="28"/>
      <c r="E23" s="135"/>
      <c r="F23" s="7"/>
    </row>
    <row r="24" spans="2:6" ht="15">
      <c r="B24" s="7"/>
      <c r="C24" s="89" t="s">
        <v>309</v>
      </c>
      <c r="D24" s="28"/>
      <c r="E24" s="135"/>
      <c r="F24" s="7"/>
    </row>
    <row r="25" spans="2:6" ht="15">
      <c r="B25" s="7"/>
      <c r="C25" s="89" t="s">
        <v>311</v>
      </c>
      <c r="D25" s="28"/>
      <c r="E25" s="135"/>
      <c r="F25" s="7"/>
    </row>
    <row r="26" spans="2:6" ht="15">
      <c r="B26" s="7"/>
      <c r="C26" s="89" t="s">
        <v>306</v>
      </c>
      <c r="D26" s="28"/>
      <c r="E26" s="135"/>
      <c r="F26" s="7"/>
    </row>
    <row r="27" spans="2:6" ht="15">
      <c r="B27" s="7"/>
      <c r="C27" s="89" t="s">
        <v>315</v>
      </c>
      <c r="D27" s="28"/>
      <c r="E27" s="135"/>
      <c r="F27" s="7"/>
    </row>
    <row r="28" spans="2:6" ht="15">
      <c r="B28" s="7"/>
      <c r="C28" s="89" t="s">
        <v>302</v>
      </c>
      <c r="D28" s="28"/>
      <c r="E28" s="135"/>
      <c r="F28" s="7"/>
    </row>
    <row r="29" spans="2:6" ht="15">
      <c r="B29" s="7"/>
      <c r="C29" s="89" t="s">
        <v>26</v>
      </c>
      <c r="D29" s="28"/>
      <c r="E29" s="135"/>
      <c r="F29" s="7"/>
    </row>
    <row r="30" spans="2:6" ht="15">
      <c r="B30" s="7"/>
      <c r="C30" s="89" t="s">
        <v>307</v>
      </c>
      <c r="D30" s="28"/>
      <c r="E30" s="135"/>
      <c r="F30" s="7"/>
    </row>
    <row r="31" spans="2:6" ht="15">
      <c r="B31" s="7"/>
      <c r="C31" s="89" t="s">
        <v>296</v>
      </c>
      <c r="D31" s="28"/>
      <c r="E31" s="135"/>
      <c r="F31" s="7"/>
    </row>
    <row r="32" spans="2:6" ht="15">
      <c r="B32" s="7"/>
      <c r="C32" s="89" t="s">
        <v>310</v>
      </c>
      <c r="D32" s="28"/>
      <c r="E32" s="135"/>
      <c r="F32" s="7"/>
    </row>
    <row r="33" spans="2:6" ht="15">
      <c r="B33" s="7"/>
      <c r="C33" s="89" t="s">
        <v>290</v>
      </c>
      <c r="D33" s="28"/>
      <c r="E33" s="135"/>
      <c r="F33" s="7"/>
    </row>
    <row r="34" spans="2:6" ht="15">
      <c r="B34" s="7"/>
      <c r="C34" s="89" t="s">
        <v>286</v>
      </c>
      <c r="D34" s="28"/>
      <c r="E34" s="135"/>
      <c r="F34" s="7"/>
    </row>
    <row r="35" spans="2:6" ht="15">
      <c r="B35" s="7"/>
      <c r="C35" s="89" t="s">
        <v>312</v>
      </c>
      <c r="D35" s="28"/>
      <c r="E35" s="135"/>
      <c r="F35" s="7"/>
    </row>
    <row r="36" spans="2:6" ht="15">
      <c r="B36" s="7"/>
      <c r="C36" s="89" t="s">
        <v>316</v>
      </c>
      <c r="D36" s="28"/>
      <c r="E36" s="135"/>
      <c r="F36" s="7"/>
    </row>
    <row r="37" spans="2:6" ht="15">
      <c r="B37" s="7"/>
      <c r="C37" s="89" t="s">
        <v>304</v>
      </c>
      <c r="D37" s="28"/>
      <c r="E37" s="135"/>
      <c r="F37" s="7"/>
    </row>
    <row r="38" spans="2:6" ht="15">
      <c r="B38" s="7"/>
      <c r="C38" s="89" t="s">
        <v>283</v>
      </c>
      <c r="D38" s="28"/>
      <c r="E38" s="135"/>
      <c r="F38" s="7"/>
    </row>
    <row r="39" spans="2:6" ht="15">
      <c r="B39" s="7"/>
      <c r="C39" s="89" t="s">
        <v>284</v>
      </c>
      <c r="D39" s="28"/>
      <c r="E39" s="135"/>
      <c r="F39" s="7"/>
    </row>
    <row r="40" spans="2:6" ht="15">
      <c r="B40" s="7"/>
      <c r="C40" s="89" t="s">
        <v>285</v>
      </c>
      <c r="D40" s="28"/>
      <c r="E40" s="135"/>
      <c r="F40" s="7"/>
    </row>
    <row r="41" spans="2:6" ht="15">
      <c r="B41" s="7"/>
      <c r="C41" s="89" t="s">
        <v>282</v>
      </c>
      <c r="D41" s="28"/>
      <c r="E41" s="135"/>
      <c r="F41" s="7"/>
    </row>
    <row r="42" spans="2:6" ht="15">
      <c r="B42" s="7"/>
      <c r="C42" s="89" t="s">
        <v>287</v>
      </c>
      <c r="D42" s="28"/>
      <c r="E42" s="135"/>
      <c r="F42" s="7"/>
    </row>
    <row r="43" spans="2:6" ht="15">
      <c r="B43" s="7"/>
      <c r="C43" s="89" t="s">
        <v>292</v>
      </c>
      <c r="D43" s="28"/>
      <c r="E43" s="135"/>
      <c r="F43" s="7"/>
    </row>
    <row r="44" spans="2:6" ht="15">
      <c r="B44" s="7"/>
      <c r="C44" s="89" t="s">
        <v>288</v>
      </c>
      <c r="D44" s="28"/>
      <c r="E44" s="135"/>
      <c r="F44" s="7"/>
    </row>
    <row r="45" spans="2:6" ht="15">
      <c r="B45" s="7"/>
      <c r="C45" s="89" t="s">
        <v>293</v>
      </c>
      <c r="D45" s="28"/>
      <c r="E45" s="135"/>
      <c r="F45" s="7"/>
    </row>
    <row r="46" spans="2:6" ht="15">
      <c r="B46" s="7"/>
      <c r="C46" s="89" t="s">
        <v>294</v>
      </c>
      <c r="D46" s="28"/>
      <c r="E46" s="135"/>
      <c r="F46" s="7"/>
    </row>
    <row r="47" spans="2:6" ht="15">
      <c r="B47" s="7"/>
      <c r="C47" s="89" t="s">
        <v>291</v>
      </c>
      <c r="D47" s="28"/>
      <c r="E47" s="135"/>
      <c r="F47" s="7"/>
    </row>
    <row r="48" spans="2:6" ht="15">
      <c r="B48" s="7"/>
      <c r="C48" s="89" t="s">
        <v>298</v>
      </c>
      <c r="D48" s="28"/>
      <c r="E48" s="135"/>
      <c r="F48" s="7"/>
    </row>
    <row r="49" spans="2:6" ht="15">
      <c r="B49" s="7"/>
      <c r="C49" s="89" t="s">
        <v>313</v>
      </c>
      <c r="D49" s="28"/>
      <c r="E49" s="135"/>
      <c r="F49" s="7"/>
    </row>
    <row r="50" spans="2:6" ht="15">
      <c r="B50" s="7"/>
      <c r="C50" s="89" t="s">
        <v>289</v>
      </c>
      <c r="D50" s="28"/>
      <c r="E50" s="135"/>
      <c r="F50" s="7"/>
    </row>
    <row r="51" spans="2:6" ht="15">
      <c r="B51" s="7"/>
      <c r="C51" s="89" t="s">
        <v>343</v>
      </c>
      <c r="D51" s="28"/>
      <c r="E51" s="135"/>
      <c r="F51" s="7"/>
    </row>
    <row r="52" spans="2:6">
      <c r="B52" s="7"/>
      <c r="C52" s="7"/>
      <c r="D52" s="7"/>
      <c r="E52" s="7"/>
      <c r="F52" s="7"/>
    </row>
  </sheetData>
  <mergeCells count="7">
    <mergeCell ref="E15:E51"/>
    <mergeCell ref="B2:F2"/>
    <mergeCell ref="C13:E14"/>
    <mergeCell ref="C4:E4"/>
    <mergeCell ref="C3:E3"/>
    <mergeCell ref="C6:C12"/>
    <mergeCell ref="D5:E12"/>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608"/>
  <sheetViews>
    <sheetView showGridLines="0" tabSelected="1" zoomScale="55" zoomScaleNormal="55" workbookViewId="0">
      <selection activeCell="C1" sqref="C1:V5"/>
    </sheetView>
  </sheetViews>
  <sheetFormatPr baseColWidth="10" defaultRowHeight="20.25"/>
  <cols>
    <col min="1" max="1" width="28.140625" style="42" customWidth="1"/>
    <col min="2" max="2" width="66.28515625" style="31" customWidth="1"/>
    <col min="3" max="3" width="30.85546875" style="31" customWidth="1"/>
    <col min="4" max="4" width="27.85546875" style="40" customWidth="1"/>
    <col min="5" max="5" width="26.140625" style="40" customWidth="1"/>
    <col min="6" max="6" width="36" style="40" customWidth="1"/>
    <col min="7" max="7" width="36" style="41" customWidth="1"/>
    <col min="8" max="8" width="12" style="41" customWidth="1"/>
    <col min="9" max="9" width="22" style="31" customWidth="1"/>
    <col min="10" max="10" width="11.42578125" style="31" customWidth="1"/>
    <col min="11" max="11" width="29.140625" style="31" customWidth="1"/>
    <col min="12" max="12" width="11.42578125" style="31" bestFit="1" customWidth="1"/>
    <col min="13" max="13" width="21.5703125" style="38" customWidth="1"/>
    <col min="14" max="14" width="29.85546875" style="39" customWidth="1"/>
    <col min="15" max="15" width="26.85546875" style="39" customWidth="1"/>
    <col min="16" max="16" width="60" style="39" customWidth="1"/>
    <col min="17" max="17" width="22.140625" style="42" customWidth="1"/>
    <col min="18" max="18" width="29.42578125" style="42" customWidth="1"/>
    <col min="19" max="19" width="70" style="42" customWidth="1"/>
    <col min="20" max="20" width="58.5703125" style="42" customWidth="1"/>
    <col min="21" max="21" width="44" style="42" customWidth="1"/>
    <col min="22" max="22" width="36.5703125" style="42" customWidth="1"/>
    <col min="23" max="23" width="35.42578125" style="42" customWidth="1"/>
    <col min="24" max="24" width="52.140625" style="32" customWidth="1"/>
    <col min="25" max="27" width="11.42578125" style="32"/>
    <col min="28" max="31" width="18.7109375" style="32" customWidth="1"/>
    <col min="32" max="34" width="11.42578125" style="32"/>
    <col min="35" max="38" width="22" style="32" customWidth="1"/>
    <col min="39" max="145" width="11.42578125" style="32"/>
    <col min="146" max="146" width="36.140625" style="32" customWidth="1"/>
    <col min="147" max="147" width="45.28515625" style="32" customWidth="1"/>
    <col min="148" max="148" width="24" style="32" customWidth="1"/>
    <col min="149" max="149" width="31.140625" style="32" customWidth="1"/>
    <col min="150" max="150" width="50.42578125" style="32" customWidth="1"/>
    <col min="151" max="151" width="26.28515625" style="32" customWidth="1"/>
    <col min="152" max="152" width="7.28515625" style="32" customWidth="1"/>
    <col min="153" max="153" width="19.28515625" style="32" customWidth="1"/>
    <col min="154" max="154" width="11.7109375" style="32" customWidth="1"/>
    <col min="155" max="155" width="18.42578125" style="32" customWidth="1"/>
    <col min="156" max="157" width="22.5703125" style="32" customWidth="1"/>
    <col min="158" max="160" width="62" style="32" customWidth="1"/>
    <col min="161" max="161" width="31.42578125" style="32" customWidth="1"/>
    <col min="162" max="162" width="30.28515625" style="32" customWidth="1"/>
    <col min="163" max="163" width="25.7109375" style="32" customWidth="1"/>
    <col min="164" max="164" width="23.85546875" style="32" customWidth="1"/>
    <col min="165" max="401" width="11.42578125" style="32"/>
    <col min="402" max="402" width="36.140625" style="32" customWidth="1"/>
    <col min="403" max="403" width="45.28515625" style="32" customWidth="1"/>
    <col min="404" max="404" width="24" style="32" customWidth="1"/>
    <col min="405" max="405" width="31.140625" style="32" customWidth="1"/>
    <col min="406" max="406" width="50.42578125" style="32" customWidth="1"/>
    <col min="407" max="407" width="26.28515625" style="32" customWidth="1"/>
    <col min="408" max="408" width="7.28515625" style="32" customWidth="1"/>
    <col min="409" max="409" width="19.28515625" style="32" customWidth="1"/>
    <col min="410" max="410" width="11.7109375" style="32" customWidth="1"/>
    <col min="411" max="411" width="18.42578125" style="32" customWidth="1"/>
    <col min="412" max="413" width="22.5703125" style="32" customWidth="1"/>
    <col min="414" max="416" width="62" style="32" customWidth="1"/>
    <col min="417" max="417" width="31.42578125" style="32" customWidth="1"/>
    <col min="418" max="418" width="30.28515625" style="32" customWidth="1"/>
    <col min="419" max="419" width="25.7109375" style="32" customWidth="1"/>
    <col min="420" max="420" width="23.85546875" style="32" customWidth="1"/>
    <col min="421" max="657" width="11.42578125" style="32"/>
    <col min="658" max="658" width="36.140625" style="32" customWidth="1"/>
    <col min="659" max="659" width="45.28515625" style="32" customWidth="1"/>
    <col min="660" max="660" width="24" style="32" customWidth="1"/>
    <col min="661" max="661" width="31.140625" style="32" customWidth="1"/>
    <col min="662" max="662" width="50.42578125" style="32" customWidth="1"/>
    <col min="663" max="663" width="26.28515625" style="32" customWidth="1"/>
    <col min="664" max="664" width="7.28515625" style="32" customWidth="1"/>
    <col min="665" max="665" width="19.28515625" style="32" customWidth="1"/>
    <col min="666" max="666" width="11.7109375" style="32" customWidth="1"/>
    <col min="667" max="667" width="18.42578125" style="32" customWidth="1"/>
    <col min="668" max="669" width="22.5703125" style="32" customWidth="1"/>
    <col min="670" max="672" width="62" style="32" customWidth="1"/>
    <col min="673" max="673" width="31.42578125" style="32" customWidth="1"/>
    <col min="674" max="674" width="30.28515625" style="32" customWidth="1"/>
    <col min="675" max="675" width="25.7109375" style="32" customWidth="1"/>
    <col min="676" max="676" width="23.85546875" style="32" customWidth="1"/>
    <col min="677" max="913" width="11.42578125" style="32"/>
    <col min="914" max="914" width="36.140625" style="32" customWidth="1"/>
    <col min="915" max="915" width="45.28515625" style="32" customWidth="1"/>
    <col min="916" max="916" width="24" style="32" customWidth="1"/>
    <col min="917" max="917" width="31.140625" style="32" customWidth="1"/>
    <col min="918" max="918" width="50.42578125" style="32" customWidth="1"/>
    <col min="919" max="919" width="26.28515625" style="32" customWidth="1"/>
    <col min="920" max="920" width="7.28515625" style="32" customWidth="1"/>
    <col min="921" max="921" width="19.28515625" style="32" customWidth="1"/>
    <col min="922" max="922" width="11.7109375" style="32" customWidth="1"/>
    <col min="923" max="923" width="18.42578125" style="32" customWidth="1"/>
    <col min="924" max="925" width="22.5703125" style="32" customWidth="1"/>
    <col min="926" max="928" width="62" style="32" customWidth="1"/>
    <col min="929" max="929" width="31.42578125" style="32" customWidth="1"/>
    <col min="930" max="930" width="30.28515625" style="32" customWidth="1"/>
    <col min="931" max="931" width="25.7109375" style="32" customWidth="1"/>
    <col min="932" max="932" width="23.85546875" style="32" customWidth="1"/>
    <col min="933" max="1169" width="11.42578125" style="32"/>
    <col min="1170" max="1170" width="36.140625" style="32" customWidth="1"/>
    <col min="1171" max="1171" width="45.28515625" style="32" customWidth="1"/>
    <col min="1172" max="1172" width="24" style="32" customWidth="1"/>
    <col min="1173" max="1173" width="31.140625" style="32" customWidth="1"/>
    <col min="1174" max="1174" width="50.42578125" style="32" customWidth="1"/>
    <col min="1175" max="1175" width="26.28515625" style="32" customWidth="1"/>
    <col min="1176" max="1176" width="7.28515625" style="32" customWidth="1"/>
    <col min="1177" max="1177" width="19.28515625" style="32" customWidth="1"/>
    <col min="1178" max="1178" width="11.7109375" style="32" customWidth="1"/>
    <col min="1179" max="1179" width="18.42578125" style="32" customWidth="1"/>
    <col min="1180" max="1181" width="22.5703125" style="32" customWidth="1"/>
    <col min="1182" max="1184" width="62" style="32" customWidth="1"/>
    <col min="1185" max="1185" width="31.42578125" style="32" customWidth="1"/>
    <col min="1186" max="1186" width="30.28515625" style="32" customWidth="1"/>
    <col min="1187" max="1187" width="25.7109375" style="32" customWidth="1"/>
    <col min="1188" max="1188" width="23.85546875" style="32" customWidth="1"/>
    <col min="1189" max="1425" width="11.42578125" style="32"/>
    <col min="1426" max="1426" width="36.140625" style="32" customWidth="1"/>
    <col min="1427" max="1427" width="45.28515625" style="32" customWidth="1"/>
    <col min="1428" max="1428" width="24" style="32" customWidth="1"/>
    <col min="1429" max="1429" width="31.140625" style="32" customWidth="1"/>
    <col min="1430" max="1430" width="50.42578125" style="32" customWidth="1"/>
    <col min="1431" max="1431" width="26.28515625" style="32" customWidth="1"/>
    <col min="1432" max="1432" width="7.28515625" style="32" customWidth="1"/>
    <col min="1433" max="1433" width="19.28515625" style="32" customWidth="1"/>
    <col min="1434" max="1434" width="11.7109375" style="32" customWidth="1"/>
    <col min="1435" max="1435" width="18.42578125" style="32" customWidth="1"/>
    <col min="1436" max="1437" width="22.5703125" style="32" customWidth="1"/>
    <col min="1438" max="1440" width="62" style="32" customWidth="1"/>
    <col min="1441" max="1441" width="31.42578125" style="32" customWidth="1"/>
    <col min="1442" max="1442" width="30.28515625" style="32" customWidth="1"/>
    <col min="1443" max="1443" width="25.7109375" style="32" customWidth="1"/>
    <col min="1444" max="1444" width="23.85546875" style="32" customWidth="1"/>
    <col min="1445" max="1681" width="11.42578125" style="32"/>
    <col min="1682" max="1682" width="36.140625" style="32" customWidth="1"/>
    <col min="1683" max="1683" width="45.28515625" style="32" customWidth="1"/>
    <col min="1684" max="1684" width="24" style="32" customWidth="1"/>
    <col min="1685" max="1685" width="31.140625" style="32" customWidth="1"/>
    <col min="1686" max="1686" width="50.42578125" style="32" customWidth="1"/>
    <col min="1687" max="1687" width="26.28515625" style="32" customWidth="1"/>
    <col min="1688" max="1688" width="7.28515625" style="32" customWidth="1"/>
    <col min="1689" max="1689" width="19.28515625" style="32" customWidth="1"/>
    <col min="1690" max="1690" width="11.7109375" style="32" customWidth="1"/>
    <col min="1691" max="1691" width="18.42578125" style="32" customWidth="1"/>
    <col min="1692" max="1693" width="22.5703125" style="32" customWidth="1"/>
    <col min="1694" max="1696" width="62" style="32" customWidth="1"/>
    <col min="1697" max="1697" width="31.42578125" style="32" customWidth="1"/>
    <col min="1698" max="1698" width="30.28515625" style="32" customWidth="1"/>
    <col min="1699" max="1699" width="25.7109375" style="32" customWidth="1"/>
    <col min="1700" max="1700" width="23.85546875" style="32" customWidth="1"/>
    <col min="1701" max="1937" width="11.42578125" style="32"/>
    <col min="1938" max="1938" width="36.140625" style="32" customWidth="1"/>
    <col min="1939" max="1939" width="45.28515625" style="32" customWidth="1"/>
    <col min="1940" max="1940" width="24" style="32" customWidth="1"/>
    <col min="1941" max="1941" width="31.140625" style="32" customWidth="1"/>
    <col min="1942" max="1942" width="50.42578125" style="32" customWidth="1"/>
    <col min="1943" max="1943" width="26.28515625" style="32" customWidth="1"/>
    <col min="1944" max="1944" width="7.28515625" style="32" customWidth="1"/>
    <col min="1945" max="1945" width="19.28515625" style="32" customWidth="1"/>
    <col min="1946" max="1946" width="11.7109375" style="32" customWidth="1"/>
    <col min="1947" max="1947" width="18.42578125" style="32" customWidth="1"/>
    <col min="1948" max="1949" width="22.5703125" style="32" customWidth="1"/>
    <col min="1950" max="1952" width="62" style="32" customWidth="1"/>
    <col min="1953" max="1953" width="31.42578125" style="32" customWidth="1"/>
    <col min="1954" max="1954" width="30.28515625" style="32" customWidth="1"/>
    <col min="1955" max="1955" width="25.7109375" style="32" customWidth="1"/>
    <col min="1956" max="1956" width="23.85546875" style="32" customWidth="1"/>
    <col min="1957" max="2193" width="11.42578125" style="32"/>
    <col min="2194" max="2194" width="36.140625" style="32" customWidth="1"/>
    <col min="2195" max="2195" width="45.28515625" style="32" customWidth="1"/>
    <col min="2196" max="2196" width="24" style="32" customWidth="1"/>
    <col min="2197" max="2197" width="31.140625" style="32" customWidth="1"/>
    <col min="2198" max="2198" width="50.42578125" style="32" customWidth="1"/>
    <col min="2199" max="2199" width="26.28515625" style="32" customWidth="1"/>
    <col min="2200" max="2200" width="7.28515625" style="32" customWidth="1"/>
    <col min="2201" max="2201" width="19.28515625" style="32" customWidth="1"/>
    <col min="2202" max="2202" width="11.7109375" style="32" customWidth="1"/>
    <col min="2203" max="2203" width="18.42578125" style="32" customWidth="1"/>
    <col min="2204" max="2205" width="22.5703125" style="32" customWidth="1"/>
    <col min="2206" max="2208" width="62" style="32" customWidth="1"/>
    <col min="2209" max="2209" width="31.42578125" style="32" customWidth="1"/>
    <col min="2210" max="2210" width="30.28515625" style="32" customWidth="1"/>
    <col min="2211" max="2211" width="25.7109375" style="32" customWidth="1"/>
    <col min="2212" max="2212" width="23.85546875" style="32" customWidth="1"/>
    <col min="2213" max="2449" width="11.42578125" style="32"/>
    <col min="2450" max="2450" width="36.140625" style="32" customWidth="1"/>
    <col min="2451" max="2451" width="45.28515625" style="32" customWidth="1"/>
    <col min="2452" max="2452" width="24" style="32" customWidth="1"/>
    <col min="2453" max="2453" width="31.140625" style="32" customWidth="1"/>
    <col min="2454" max="2454" width="50.42578125" style="32" customWidth="1"/>
    <col min="2455" max="2455" width="26.28515625" style="32" customWidth="1"/>
    <col min="2456" max="2456" width="7.28515625" style="32" customWidth="1"/>
    <col min="2457" max="2457" width="19.28515625" style="32" customWidth="1"/>
    <col min="2458" max="2458" width="11.7109375" style="32" customWidth="1"/>
    <col min="2459" max="2459" width="18.42578125" style="32" customWidth="1"/>
    <col min="2460" max="2461" width="22.5703125" style="32" customWidth="1"/>
    <col min="2462" max="2464" width="62" style="32" customWidth="1"/>
    <col min="2465" max="2465" width="31.42578125" style="32" customWidth="1"/>
    <col min="2466" max="2466" width="30.28515625" style="32" customWidth="1"/>
    <col min="2467" max="2467" width="25.7109375" style="32" customWidth="1"/>
    <col min="2468" max="2468" width="23.85546875" style="32" customWidth="1"/>
    <col min="2469" max="2705" width="11.42578125" style="32"/>
    <col min="2706" max="2706" width="36.140625" style="32" customWidth="1"/>
    <col min="2707" max="2707" width="45.28515625" style="32" customWidth="1"/>
    <col min="2708" max="2708" width="24" style="32" customWidth="1"/>
    <col min="2709" max="2709" width="31.140625" style="32" customWidth="1"/>
    <col min="2710" max="2710" width="50.42578125" style="32" customWidth="1"/>
    <col min="2711" max="2711" width="26.28515625" style="32" customWidth="1"/>
    <col min="2712" max="2712" width="7.28515625" style="32" customWidth="1"/>
    <col min="2713" max="2713" width="19.28515625" style="32" customWidth="1"/>
    <col min="2714" max="2714" width="11.7109375" style="32" customWidth="1"/>
    <col min="2715" max="2715" width="18.42578125" style="32" customWidth="1"/>
    <col min="2716" max="2717" width="22.5703125" style="32" customWidth="1"/>
    <col min="2718" max="2720" width="62" style="32" customWidth="1"/>
    <col min="2721" max="2721" width="31.42578125" style="32" customWidth="1"/>
    <col min="2722" max="2722" width="30.28515625" style="32" customWidth="1"/>
    <col min="2723" max="2723" width="25.7109375" style="32" customWidth="1"/>
    <col min="2724" max="2724" width="23.85546875" style="32" customWidth="1"/>
    <col min="2725" max="2961" width="11.42578125" style="32"/>
    <col min="2962" max="2962" width="36.140625" style="32" customWidth="1"/>
    <col min="2963" max="2963" width="45.28515625" style="32" customWidth="1"/>
    <col min="2964" max="2964" width="24" style="32" customWidth="1"/>
    <col min="2965" max="2965" width="31.140625" style="32" customWidth="1"/>
    <col min="2966" max="2966" width="50.42578125" style="32" customWidth="1"/>
    <col min="2967" max="2967" width="26.28515625" style="32" customWidth="1"/>
    <col min="2968" max="2968" width="7.28515625" style="32" customWidth="1"/>
    <col min="2969" max="2969" width="19.28515625" style="32" customWidth="1"/>
    <col min="2970" max="2970" width="11.7109375" style="32" customWidth="1"/>
    <col min="2971" max="2971" width="18.42578125" style="32" customWidth="1"/>
    <col min="2972" max="2973" width="22.5703125" style="32" customWidth="1"/>
    <col min="2974" max="2976" width="62" style="32" customWidth="1"/>
    <col min="2977" max="2977" width="31.42578125" style="32" customWidth="1"/>
    <col min="2978" max="2978" width="30.28515625" style="32" customWidth="1"/>
    <col min="2979" max="2979" width="25.7109375" style="32" customWidth="1"/>
    <col min="2980" max="2980" width="23.85546875" style="32" customWidth="1"/>
    <col min="2981" max="3217" width="11.42578125" style="32"/>
    <col min="3218" max="3218" width="36.140625" style="32" customWidth="1"/>
    <col min="3219" max="3219" width="45.28515625" style="32" customWidth="1"/>
    <col min="3220" max="3220" width="24" style="32" customWidth="1"/>
    <col min="3221" max="3221" width="31.140625" style="32" customWidth="1"/>
    <col min="3222" max="3222" width="50.42578125" style="32" customWidth="1"/>
    <col min="3223" max="3223" width="26.28515625" style="32" customWidth="1"/>
    <col min="3224" max="3224" width="7.28515625" style="32" customWidth="1"/>
    <col min="3225" max="3225" width="19.28515625" style="32" customWidth="1"/>
    <col min="3226" max="3226" width="11.7109375" style="32" customWidth="1"/>
    <col min="3227" max="3227" width="18.42578125" style="32" customWidth="1"/>
    <col min="3228" max="3229" width="22.5703125" style="32" customWidth="1"/>
    <col min="3230" max="3232" width="62" style="32" customWidth="1"/>
    <col min="3233" max="3233" width="31.42578125" style="32" customWidth="1"/>
    <col min="3234" max="3234" width="30.28515625" style="32" customWidth="1"/>
    <col min="3235" max="3235" width="25.7109375" style="32" customWidth="1"/>
    <col min="3236" max="3236" width="23.85546875" style="32" customWidth="1"/>
    <col min="3237" max="3473" width="11.42578125" style="32"/>
    <col min="3474" max="3474" width="36.140625" style="32" customWidth="1"/>
    <col min="3475" max="3475" width="45.28515625" style="32" customWidth="1"/>
    <col min="3476" max="3476" width="24" style="32" customWidth="1"/>
    <col min="3477" max="3477" width="31.140625" style="32" customWidth="1"/>
    <col min="3478" max="3478" width="50.42578125" style="32" customWidth="1"/>
    <col min="3479" max="3479" width="26.28515625" style="32" customWidth="1"/>
    <col min="3480" max="3480" width="7.28515625" style="32" customWidth="1"/>
    <col min="3481" max="3481" width="19.28515625" style="32" customWidth="1"/>
    <col min="3482" max="3482" width="11.7109375" style="32" customWidth="1"/>
    <col min="3483" max="3483" width="18.42578125" style="32" customWidth="1"/>
    <col min="3484" max="3485" width="22.5703125" style="32" customWidth="1"/>
    <col min="3486" max="3488" width="62" style="32" customWidth="1"/>
    <col min="3489" max="3489" width="31.42578125" style="32" customWidth="1"/>
    <col min="3490" max="3490" width="30.28515625" style="32" customWidth="1"/>
    <col min="3491" max="3491" width="25.7109375" style="32" customWidth="1"/>
    <col min="3492" max="3492" width="23.85546875" style="32" customWidth="1"/>
    <col min="3493" max="3729" width="11.42578125" style="32"/>
    <col min="3730" max="3730" width="36.140625" style="32" customWidth="1"/>
    <col min="3731" max="3731" width="45.28515625" style="32" customWidth="1"/>
    <col min="3732" max="3732" width="24" style="32" customWidth="1"/>
    <col min="3733" max="3733" width="31.140625" style="32" customWidth="1"/>
    <col min="3734" max="3734" width="50.42578125" style="32" customWidth="1"/>
    <col min="3735" max="3735" width="26.28515625" style="32" customWidth="1"/>
    <col min="3736" max="3736" width="7.28515625" style="32" customWidth="1"/>
    <col min="3737" max="3737" width="19.28515625" style="32" customWidth="1"/>
    <col min="3738" max="3738" width="11.7109375" style="32" customWidth="1"/>
    <col min="3739" max="3739" width="18.42578125" style="32" customWidth="1"/>
    <col min="3740" max="3741" width="22.5703125" style="32" customWidth="1"/>
    <col min="3742" max="3744" width="62" style="32" customWidth="1"/>
    <col min="3745" max="3745" width="31.42578125" style="32" customWidth="1"/>
    <col min="3746" max="3746" width="30.28515625" style="32" customWidth="1"/>
    <col min="3747" max="3747" width="25.7109375" style="32" customWidth="1"/>
    <col min="3748" max="3748" width="23.85546875" style="32" customWidth="1"/>
    <col min="3749" max="3985" width="11.42578125" style="32"/>
    <col min="3986" max="3986" width="36.140625" style="32" customWidth="1"/>
    <col min="3987" max="3987" width="45.28515625" style="32" customWidth="1"/>
    <col min="3988" max="3988" width="24" style="32" customWidth="1"/>
    <col min="3989" max="3989" width="31.140625" style="32" customWidth="1"/>
    <col min="3990" max="3990" width="50.42578125" style="32" customWidth="1"/>
    <col min="3991" max="3991" width="26.28515625" style="32" customWidth="1"/>
    <col min="3992" max="3992" width="7.28515625" style="32" customWidth="1"/>
    <col min="3993" max="3993" width="19.28515625" style="32" customWidth="1"/>
    <col min="3994" max="3994" width="11.7109375" style="32" customWidth="1"/>
    <col min="3995" max="3995" width="18.42578125" style="32" customWidth="1"/>
    <col min="3996" max="3997" width="22.5703125" style="32" customWidth="1"/>
    <col min="3998" max="4000" width="62" style="32" customWidth="1"/>
    <col min="4001" max="4001" width="31.42578125" style="32" customWidth="1"/>
    <col min="4002" max="4002" width="30.28515625" style="32" customWidth="1"/>
    <col min="4003" max="4003" width="25.7109375" style="32" customWidth="1"/>
    <col min="4004" max="4004" width="23.85546875" style="32" customWidth="1"/>
    <col min="4005" max="4241" width="11.42578125" style="32"/>
    <col min="4242" max="4242" width="36.140625" style="32" customWidth="1"/>
    <col min="4243" max="4243" width="45.28515625" style="32" customWidth="1"/>
    <col min="4244" max="4244" width="24" style="32" customWidth="1"/>
    <col min="4245" max="4245" width="31.140625" style="32" customWidth="1"/>
    <col min="4246" max="4246" width="50.42578125" style="32" customWidth="1"/>
    <col min="4247" max="4247" width="26.28515625" style="32" customWidth="1"/>
    <col min="4248" max="4248" width="7.28515625" style="32" customWidth="1"/>
    <col min="4249" max="4249" width="19.28515625" style="32" customWidth="1"/>
    <col min="4250" max="4250" width="11.7109375" style="32" customWidth="1"/>
    <col min="4251" max="4251" width="18.42578125" style="32" customWidth="1"/>
    <col min="4252" max="4253" width="22.5703125" style="32" customWidth="1"/>
    <col min="4254" max="4256" width="62" style="32" customWidth="1"/>
    <col min="4257" max="4257" width="31.42578125" style="32" customWidth="1"/>
    <col min="4258" max="4258" width="30.28515625" style="32" customWidth="1"/>
    <col min="4259" max="4259" width="25.7109375" style="32" customWidth="1"/>
    <col min="4260" max="4260" width="23.85546875" style="32" customWidth="1"/>
    <col min="4261" max="4497" width="11.42578125" style="32"/>
    <col min="4498" max="4498" width="36.140625" style="32" customWidth="1"/>
    <col min="4499" max="4499" width="45.28515625" style="32" customWidth="1"/>
    <col min="4500" max="4500" width="24" style="32" customWidth="1"/>
    <col min="4501" max="4501" width="31.140625" style="32" customWidth="1"/>
    <col min="4502" max="4502" width="50.42578125" style="32" customWidth="1"/>
    <col min="4503" max="4503" width="26.28515625" style="32" customWidth="1"/>
    <col min="4504" max="4504" width="7.28515625" style="32" customWidth="1"/>
    <col min="4505" max="4505" width="19.28515625" style="32" customWidth="1"/>
    <col min="4506" max="4506" width="11.7109375" style="32" customWidth="1"/>
    <col min="4507" max="4507" width="18.42578125" style="32" customWidth="1"/>
    <col min="4508" max="4509" width="22.5703125" style="32" customWidth="1"/>
    <col min="4510" max="4512" width="62" style="32" customWidth="1"/>
    <col min="4513" max="4513" width="31.42578125" style="32" customWidth="1"/>
    <col min="4514" max="4514" width="30.28515625" style="32" customWidth="1"/>
    <col min="4515" max="4515" width="25.7109375" style="32" customWidth="1"/>
    <col min="4516" max="4516" width="23.85546875" style="32" customWidth="1"/>
    <col min="4517" max="4753" width="11.42578125" style="32"/>
    <col min="4754" max="4754" width="36.140625" style="32" customWidth="1"/>
    <col min="4755" max="4755" width="45.28515625" style="32" customWidth="1"/>
    <col min="4756" max="4756" width="24" style="32" customWidth="1"/>
    <col min="4757" max="4757" width="31.140625" style="32" customWidth="1"/>
    <col min="4758" max="4758" width="50.42578125" style="32" customWidth="1"/>
    <col min="4759" max="4759" width="26.28515625" style="32" customWidth="1"/>
    <col min="4760" max="4760" width="7.28515625" style="32" customWidth="1"/>
    <col min="4761" max="4761" width="19.28515625" style="32" customWidth="1"/>
    <col min="4762" max="4762" width="11.7109375" style="32" customWidth="1"/>
    <col min="4763" max="4763" width="18.42578125" style="32" customWidth="1"/>
    <col min="4764" max="4765" width="22.5703125" style="32" customWidth="1"/>
    <col min="4766" max="4768" width="62" style="32" customWidth="1"/>
    <col min="4769" max="4769" width="31.42578125" style="32" customWidth="1"/>
    <col min="4770" max="4770" width="30.28515625" style="32" customWidth="1"/>
    <col min="4771" max="4771" width="25.7109375" style="32" customWidth="1"/>
    <col min="4772" max="4772" width="23.85546875" style="32" customWidth="1"/>
    <col min="4773" max="5009" width="11.42578125" style="32"/>
    <col min="5010" max="5010" width="36.140625" style="32" customWidth="1"/>
    <col min="5011" max="5011" width="45.28515625" style="32" customWidth="1"/>
    <col min="5012" max="5012" width="24" style="32" customWidth="1"/>
    <col min="5013" max="5013" width="31.140625" style="32" customWidth="1"/>
    <col min="5014" max="5014" width="50.42578125" style="32" customWidth="1"/>
    <col min="5015" max="5015" width="26.28515625" style="32" customWidth="1"/>
    <col min="5016" max="5016" width="7.28515625" style="32" customWidth="1"/>
    <col min="5017" max="5017" width="19.28515625" style="32" customWidth="1"/>
    <col min="5018" max="5018" width="11.7109375" style="32" customWidth="1"/>
    <col min="5019" max="5019" width="18.42578125" style="32" customWidth="1"/>
    <col min="5020" max="5021" width="22.5703125" style="32" customWidth="1"/>
    <col min="5022" max="5024" width="62" style="32" customWidth="1"/>
    <col min="5025" max="5025" width="31.42578125" style="32" customWidth="1"/>
    <col min="5026" max="5026" width="30.28515625" style="32" customWidth="1"/>
    <col min="5027" max="5027" width="25.7109375" style="32" customWidth="1"/>
    <col min="5028" max="5028" width="23.85546875" style="32" customWidth="1"/>
    <col min="5029" max="5265" width="11.42578125" style="32"/>
    <col min="5266" max="5266" width="36.140625" style="32" customWidth="1"/>
    <col min="5267" max="5267" width="45.28515625" style="32" customWidth="1"/>
    <col min="5268" max="5268" width="24" style="32" customWidth="1"/>
    <col min="5269" max="5269" width="31.140625" style="32" customWidth="1"/>
    <col min="5270" max="5270" width="50.42578125" style="32" customWidth="1"/>
    <col min="5271" max="5271" width="26.28515625" style="32" customWidth="1"/>
    <col min="5272" max="5272" width="7.28515625" style="32" customWidth="1"/>
    <col min="5273" max="5273" width="19.28515625" style="32" customWidth="1"/>
    <col min="5274" max="5274" width="11.7109375" style="32" customWidth="1"/>
    <col min="5275" max="5275" width="18.42578125" style="32" customWidth="1"/>
    <col min="5276" max="5277" width="22.5703125" style="32" customWidth="1"/>
    <col min="5278" max="5280" width="62" style="32" customWidth="1"/>
    <col min="5281" max="5281" width="31.42578125" style="32" customWidth="1"/>
    <col min="5282" max="5282" width="30.28515625" style="32" customWidth="1"/>
    <col min="5283" max="5283" width="25.7109375" style="32" customWidth="1"/>
    <col min="5284" max="5284" width="23.85546875" style="32" customWidth="1"/>
    <col min="5285" max="5521" width="11.42578125" style="32"/>
    <col min="5522" max="5522" width="36.140625" style="32" customWidth="1"/>
    <col min="5523" max="5523" width="45.28515625" style="32" customWidth="1"/>
    <col min="5524" max="5524" width="24" style="32" customWidth="1"/>
    <col min="5525" max="5525" width="31.140625" style="32" customWidth="1"/>
    <col min="5526" max="5526" width="50.42578125" style="32" customWidth="1"/>
    <col min="5527" max="5527" width="26.28515625" style="32" customWidth="1"/>
    <col min="5528" max="5528" width="7.28515625" style="32" customWidth="1"/>
    <col min="5529" max="5529" width="19.28515625" style="32" customWidth="1"/>
    <col min="5530" max="5530" width="11.7109375" style="32" customWidth="1"/>
    <col min="5531" max="5531" width="18.42578125" style="32" customWidth="1"/>
    <col min="5532" max="5533" width="22.5703125" style="32" customWidth="1"/>
    <col min="5534" max="5536" width="62" style="32" customWidth="1"/>
    <col min="5537" max="5537" width="31.42578125" style="32" customWidth="1"/>
    <col min="5538" max="5538" width="30.28515625" style="32" customWidth="1"/>
    <col min="5539" max="5539" width="25.7109375" style="32" customWidth="1"/>
    <col min="5540" max="5540" width="23.85546875" style="32" customWidth="1"/>
    <col min="5541" max="5777" width="11.42578125" style="32"/>
    <col min="5778" max="5778" width="36.140625" style="32" customWidth="1"/>
    <col min="5779" max="5779" width="45.28515625" style="32" customWidth="1"/>
    <col min="5780" max="5780" width="24" style="32" customWidth="1"/>
    <col min="5781" max="5781" width="31.140625" style="32" customWidth="1"/>
    <col min="5782" max="5782" width="50.42578125" style="32" customWidth="1"/>
    <col min="5783" max="5783" width="26.28515625" style="32" customWidth="1"/>
    <col min="5784" max="5784" width="7.28515625" style="32" customWidth="1"/>
    <col min="5785" max="5785" width="19.28515625" style="32" customWidth="1"/>
    <col min="5786" max="5786" width="11.7109375" style="32" customWidth="1"/>
    <col min="5787" max="5787" width="18.42578125" style="32" customWidth="1"/>
    <col min="5788" max="5789" width="22.5703125" style="32" customWidth="1"/>
    <col min="5790" max="5792" width="62" style="32" customWidth="1"/>
    <col min="5793" max="5793" width="31.42578125" style="32" customWidth="1"/>
    <col min="5794" max="5794" width="30.28515625" style="32" customWidth="1"/>
    <col min="5795" max="5795" width="25.7109375" style="32" customWidth="1"/>
    <col min="5796" max="5796" width="23.85546875" style="32" customWidth="1"/>
    <col min="5797" max="6033" width="11.42578125" style="32"/>
    <col min="6034" max="6034" width="36.140625" style="32" customWidth="1"/>
    <col min="6035" max="6035" width="45.28515625" style="32" customWidth="1"/>
    <col min="6036" max="6036" width="24" style="32" customWidth="1"/>
    <col min="6037" max="6037" width="31.140625" style="32" customWidth="1"/>
    <col min="6038" max="6038" width="50.42578125" style="32" customWidth="1"/>
    <col min="6039" max="6039" width="26.28515625" style="32" customWidth="1"/>
    <col min="6040" max="6040" width="7.28515625" style="32" customWidth="1"/>
    <col min="6041" max="6041" width="19.28515625" style="32" customWidth="1"/>
    <col min="6042" max="6042" width="11.7109375" style="32" customWidth="1"/>
    <col min="6043" max="6043" width="18.42578125" style="32" customWidth="1"/>
    <col min="6044" max="6045" width="22.5703125" style="32" customWidth="1"/>
    <col min="6046" max="6048" width="62" style="32" customWidth="1"/>
    <col min="6049" max="6049" width="31.42578125" style="32" customWidth="1"/>
    <col min="6050" max="6050" width="30.28515625" style="32" customWidth="1"/>
    <col min="6051" max="6051" width="25.7109375" style="32" customWidth="1"/>
    <col min="6052" max="6052" width="23.85546875" style="32" customWidth="1"/>
    <col min="6053" max="6289" width="11.42578125" style="32"/>
    <col min="6290" max="6290" width="36.140625" style="32" customWidth="1"/>
    <col min="6291" max="6291" width="45.28515625" style="32" customWidth="1"/>
    <col min="6292" max="6292" width="24" style="32" customWidth="1"/>
    <col min="6293" max="6293" width="31.140625" style="32" customWidth="1"/>
    <col min="6294" max="6294" width="50.42578125" style="32" customWidth="1"/>
    <col min="6295" max="6295" width="26.28515625" style="32" customWidth="1"/>
    <col min="6296" max="6296" width="7.28515625" style="32" customWidth="1"/>
    <col min="6297" max="6297" width="19.28515625" style="32" customWidth="1"/>
    <col min="6298" max="6298" width="11.7109375" style="32" customWidth="1"/>
    <col min="6299" max="6299" width="18.42578125" style="32" customWidth="1"/>
    <col min="6300" max="6301" width="22.5703125" style="32" customWidth="1"/>
    <col min="6302" max="6304" width="62" style="32" customWidth="1"/>
    <col min="6305" max="6305" width="31.42578125" style="32" customWidth="1"/>
    <col min="6306" max="6306" width="30.28515625" style="32" customWidth="1"/>
    <col min="6307" max="6307" width="25.7109375" style="32" customWidth="1"/>
    <col min="6308" max="6308" width="23.85546875" style="32" customWidth="1"/>
    <col min="6309" max="6545" width="11.42578125" style="32"/>
    <col min="6546" max="6546" width="36.140625" style="32" customWidth="1"/>
    <col min="6547" max="6547" width="45.28515625" style="32" customWidth="1"/>
    <col min="6548" max="6548" width="24" style="32" customWidth="1"/>
    <col min="6549" max="6549" width="31.140625" style="32" customWidth="1"/>
    <col min="6550" max="6550" width="50.42578125" style="32" customWidth="1"/>
    <col min="6551" max="6551" width="26.28515625" style="32" customWidth="1"/>
    <col min="6552" max="6552" width="7.28515625" style="32" customWidth="1"/>
    <col min="6553" max="6553" width="19.28515625" style="32" customWidth="1"/>
    <col min="6554" max="6554" width="11.7109375" style="32" customWidth="1"/>
    <col min="6555" max="6555" width="18.42578125" style="32" customWidth="1"/>
    <col min="6556" max="6557" width="22.5703125" style="32" customWidth="1"/>
    <col min="6558" max="6560" width="62" style="32" customWidth="1"/>
    <col min="6561" max="6561" width="31.42578125" style="32" customWidth="1"/>
    <col min="6562" max="6562" width="30.28515625" style="32" customWidth="1"/>
    <col min="6563" max="6563" width="25.7109375" style="32" customWidth="1"/>
    <col min="6564" max="6564" width="23.85546875" style="32" customWidth="1"/>
    <col min="6565" max="6801" width="11.42578125" style="32"/>
    <col min="6802" max="6802" width="36.140625" style="32" customWidth="1"/>
    <col min="6803" max="6803" width="45.28515625" style="32" customWidth="1"/>
    <col min="6804" max="6804" width="24" style="32" customWidth="1"/>
    <col min="6805" max="6805" width="31.140625" style="32" customWidth="1"/>
    <col min="6806" max="6806" width="50.42578125" style="32" customWidth="1"/>
    <col min="6807" max="6807" width="26.28515625" style="32" customWidth="1"/>
    <col min="6808" max="6808" width="7.28515625" style="32" customWidth="1"/>
    <col min="6809" max="6809" width="19.28515625" style="32" customWidth="1"/>
    <col min="6810" max="6810" width="11.7109375" style="32" customWidth="1"/>
    <col min="6811" max="6811" width="18.42578125" style="32" customWidth="1"/>
    <col min="6812" max="6813" width="22.5703125" style="32" customWidth="1"/>
    <col min="6814" max="6816" width="62" style="32" customWidth="1"/>
    <col min="6817" max="6817" width="31.42578125" style="32" customWidth="1"/>
    <col min="6818" max="6818" width="30.28515625" style="32" customWidth="1"/>
    <col min="6819" max="6819" width="25.7109375" style="32" customWidth="1"/>
    <col min="6820" max="6820" width="23.85546875" style="32" customWidth="1"/>
    <col min="6821" max="7057" width="11.42578125" style="32"/>
    <col min="7058" max="7058" width="36.140625" style="32" customWidth="1"/>
    <col min="7059" max="7059" width="45.28515625" style="32" customWidth="1"/>
    <col min="7060" max="7060" width="24" style="32" customWidth="1"/>
    <col min="7061" max="7061" width="31.140625" style="32" customWidth="1"/>
    <col min="7062" max="7062" width="50.42578125" style="32" customWidth="1"/>
    <col min="7063" max="7063" width="26.28515625" style="32" customWidth="1"/>
    <col min="7064" max="7064" width="7.28515625" style="32" customWidth="1"/>
    <col min="7065" max="7065" width="19.28515625" style="32" customWidth="1"/>
    <col min="7066" max="7066" width="11.7109375" style="32" customWidth="1"/>
    <col min="7067" max="7067" width="18.42578125" style="32" customWidth="1"/>
    <col min="7068" max="7069" width="22.5703125" style="32" customWidth="1"/>
    <col min="7070" max="7072" width="62" style="32" customWidth="1"/>
    <col min="7073" max="7073" width="31.42578125" style="32" customWidth="1"/>
    <col min="7074" max="7074" width="30.28515625" style="32" customWidth="1"/>
    <col min="7075" max="7075" width="25.7109375" style="32" customWidth="1"/>
    <col min="7076" max="7076" width="23.85546875" style="32" customWidth="1"/>
    <col min="7077" max="7313" width="11.42578125" style="32"/>
    <col min="7314" max="7314" width="36.140625" style="32" customWidth="1"/>
    <col min="7315" max="7315" width="45.28515625" style="32" customWidth="1"/>
    <col min="7316" max="7316" width="24" style="32" customWidth="1"/>
    <col min="7317" max="7317" width="31.140625" style="32" customWidth="1"/>
    <col min="7318" max="7318" width="50.42578125" style="32" customWidth="1"/>
    <col min="7319" max="7319" width="26.28515625" style="32" customWidth="1"/>
    <col min="7320" max="7320" width="7.28515625" style="32" customWidth="1"/>
    <col min="7321" max="7321" width="19.28515625" style="32" customWidth="1"/>
    <col min="7322" max="7322" width="11.7109375" style="32" customWidth="1"/>
    <col min="7323" max="7323" width="18.42578125" style="32" customWidth="1"/>
    <col min="7324" max="7325" width="22.5703125" style="32" customWidth="1"/>
    <col min="7326" max="7328" width="62" style="32" customWidth="1"/>
    <col min="7329" max="7329" width="31.42578125" style="32" customWidth="1"/>
    <col min="7330" max="7330" width="30.28515625" style="32" customWidth="1"/>
    <col min="7331" max="7331" width="25.7109375" style="32" customWidth="1"/>
    <col min="7332" max="7332" width="23.85546875" style="32" customWidth="1"/>
    <col min="7333" max="7569" width="11.42578125" style="32"/>
    <col min="7570" max="7570" width="36.140625" style="32" customWidth="1"/>
    <col min="7571" max="7571" width="45.28515625" style="32" customWidth="1"/>
    <col min="7572" max="7572" width="24" style="32" customWidth="1"/>
    <col min="7573" max="7573" width="31.140625" style="32" customWidth="1"/>
    <col min="7574" max="7574" width="50.42578125" style="32" customWidth="1"/>
    <col min="7575" max="7575" width="26.28515625" style="32" customWidth="1"/>
    <col min="7576" max="7576" width="7.28515625" style="32" customWidth="1"/>
    <col min="7577" max="7577" width="19.28515625" style="32" customWidth="1"/>
    <col min="7578" max="7578" width="11.7109375" style="32" customWidth="1"/>
    <col min="7579" max="7579" width="18.42578125" style="32" customWidth="1"/>
    <col min="7580" max="7581" width="22.5703125" style="32" customWidth="1"/>
    <col min="7582" max="7584" width="62" style="32" customWidth="1"/>
    <col min="7585" max="7585" width="31.42578125" style="32" customWidth="1"/>
    <col min="7586" max="7586" width="30.28515625" style="32" customWidth="1"/>
    <col min="7587" max="7587" width="25.7109375" style="32" customWidth="1"/>
    <col min="7588" max="7588" width="23.85546875" style="32" customWidth="1"/>
    <col min="7589" max="7825" width="11.42578125" style="32"/>
    <col min="7826" max="7826" width="36.140625" style="32" customWidth="1"/>
    <col min="7827" max="7827" width="45.28515625" style="32" customWidth="1"/>
    <col min="7828" max="7828" width="24" style="32" customWidth="1"/>
    <col min="7829" max="7829" width="31.140625" style="32" customWidth="1"/>
    <col min="7830" max="7830" width="50.42578125" style="32" customWidth="1"/>
    <col min="7831" max="7831" width="26.28515625" style="32" customWidth="1"/>
    <col min="7832" max="7832" width="7.28515625" style="32" customWidth="1"/>
    <col min="7833" max="7833" width="19.28515625" style="32" customWidth="1"/>
    <col min="7834" max="7834" width="11.7109375" style="32" customWidth="1"/>
    <col min="7835" max="7835" width="18.42578125" style="32" customWidth="1"/>
    <col min="7836" max="7837" width="22.5703125" style="32" customWidth="1"/>
    <col min="7838" max="7840" width="62" style="32" customWidth="1"/>
    <col min="7841" max="7841" width="31.42578125" style="32" customWidth="1"/>
    <col min="7842" max="7842" width="30.28515625" style="32" customWidth="1"/>
    <col min="7843" max="7843" width="25.7109375" style="32" customWidth="1"/>
    <col min="7844" max="7844" width="23.85546875" style="32" customWidth="1"/>
    <col min="7845" max="8081" width="11.42578125" style="32"/>
    <col min="8082" max="8082" width="36.140625" style="32" customWidth="1"/>
    <col min="8083" max="8083" width="45.28515625" style="32" customWidth="1"/>
    <col min="8084" max="8084" width="24" style="32" customWidth="1"/>
    <col min="8085" max="8085" width="31.140625" style="32" customWidth="1"/>
    <col min="8086" max="8086" width="50.42578125" style="32" customWidth="1"/>
    <col min="8087" max="8087" width="26.28515625" style="32" customWidth="1"/>
    <col min="8088" max="8088" width="7.28515625" style="32" customWidth="1"/>
    <col min="8089" max="8089" width="19.28515625" style="32" customWidth="1"/>
    <col min="8090" max="8090" width="11.7109375" style="32" customWidth="1"/>
    <col min="8091" max="8091" width="18.42578125" style="32" customWidth="1"/>
    <col min="8092" max="8093" width="22.5703125" style="32" customWidth="1"/>
    <col min="8094" max="8096" width="62" style="32" customWidth="1"/>
    <col min="8097" max="8097" width="31.42578125" style="32" customWidth="1"/>
    <col min="8098" max="8098" width="30.28515625" style="32" customWidth="1"/>
    <col min="8099" max="8099" width="25.7109375" style="32" customWidth="1"/>
    <col min="8100" max="8100" width="23.85546875" style="32" customWidth="1"/>
    <col min="8101" max="8337" width="11.42578125" style="32"/>
    <col min="8338" max="8338" width="36.140625" style="32" customWidth="1"/>
    <col min="8339" max="8339" width="45.28515625" style="32" customWidth="1"/>
    <col min="8340" max="8340" width="24" style="32" customWidth="1"/>
    <col min="8341" max="8341" width="31.140625" style="32" customWidth="1"/>
    <col min="8342" max="8342" width="50.42578125" style="32" customWidth="1"/>
    <col min="8343" max="8343" width="26.28515625" style="32" customWidth="1"/>
    <col min="8344" max="8344" width="7.28515625" style="32" customWidth="1"/>
    <col min="8345" max="8345" width="19.28515625" style="32" customWidth="1"/>
    <col min="8346" max="8346" width="11.7109375" style="32" customWidth="1"/>
    <col min="8347" max="8347" width="18.42578125" style="32" customWidth="1"/>
    <col min="8348" max="8349" width="22.5703125" style="32" customWidth="1"/>
    <col min="8350" max="8352" width="62" style="32" customWidth="1"/>
    <col min="8353" max="8353" width="31.42578125" style="32" customWidth="1"/>
    <col min="8354" max="8354" width="30.28515625" style="32" customWidth="1"/>
    <col min="8355" max="8355" width="25.7109375" style="32" customWidth="1"/>
    <col min="8356" max="8356" width="23.85546875" style="32" customWidth="1"/>
    <col min="8357" max="8593" width="11.42578125" style="32"/>
    <col min="8594" max="8594" width="36.140625" style="32" customWidth="1"/>
    <col min="8595" max="8595" width="45.28515625" style="32" customWidth="1"/>
    <col min="8596" max="8596" width="24" style="32" customWidth="1"/>
    <col min="8597" max="8597" width="31.140625" style="32" customWidth="1"/>
    <col min="8598" max="8598" width="50.42578125" style="32" customWidth="1"/>
    <col min="8599" max="8599" width="26.28515625" style="32" customWidth="1"/>
    <col min="8600" max="8600" width="7.28515625" style="32" customWidth="1"/>
    <col min="8601" max="8601" width="19.28515625" style="32" customWidth="1"/>
    <col min="8602" max="8602" width="11.7109375" style="32" customWidth="1"/>
    <col min="8603" max="8603" width="18.42578125" style="32" customWidth="1"/>
    <col min="8604" max="8605" width="22.5703125" style="32" customWidth="1"/>
    <col min="8606" max="8608" width="62" style="32" customWidth="1"/>
    <col min="8609" max="8609" width="31.42578125" style="32" customWidth="1"/>
    <col min="8610" max="8610" width="30.28515625" style="32" customWidth="1"/>
    <col min="8611" max="8611" width="25.7109375" style="32" customWidth="1"/>
    <col min="8612" max="8612" width="23.85546875" style="32" customWidth="1"/>
    <col min="8613" max="8849" width="11.42578125" style="32"/>
    <col min="8850" max="8850" width="36.140625" style="32" customWidth="1"/>
    <col min="8851" max="8851" width="45.28515625" style="32" customWidth="1"/>
    <col min="8852" max="8852" width="24" style="32" customWidth="1"/>
    <col min="8853" max="8853" width="31.140625" style="32" customWidth="1"/>
    <col min="8854" max="8854" width="50.42578125" style="32" customWidth="1"/>
    <col min="8855" max="8855" width="26.28515625" style="32" customWidth="1"/>
    <col min="8856" max="8856" width="7.28515625" style="32" customWidth="1"/>
    <col min="8857" max="8857" width="19.28515625" style="32" customWidth="1"/>
    <col min="8858" max="8858" width="11.7109375" style="32" customWidth="1"/>
    <col min="8859" max="8859" width="18.42578125" style="32" customWidth="1"/>
    <col min="8860" max="8861" width="22.5703125" style="32" customWidth="1"/>
    <col min="8862" max="8864" width="62" style="32" customWidth="1"/>
    <col min="8865" max="8865" width="31.42578125" style="32" customWidth="1"/>
    <col min="8866" max="8866" width="30.28515625" style="32" customWidth="1"/>
    <col min="8867" max="8867" width="25.7109375" style="32" customWidth="1"/>
    <col min="8868" max="8868" width="23.85546875" style="32" customWidth="1"/>
    <col min="8869" max="9105" width="11.42578125" style="32"/>
    <col min="9106" max="9106" width="36.140625" style="32" customWidth="1"/>
    <col min="9107" max="9107" width="45.28515625" style="32" customWidth="1"/>
    <col min="9108" max="9108" width="24" style="32" customWidth="1"/>
    <col min="9109" max="9109" width="31.140625" style="32" customWidth="1"/>
    <col min="9110" max="9110" width="50.42578125" style="32" customWidth="1"/>
    <col min="9111" max="9111" width="26.28515625" style="32" customWidth="1"/>
    <col min="9112" max="9112" width="7.28515625" style="32" customWidth="1"/>
    <col min="9113" max="9113" width="19.28515625" style="32" customWidth="1"/>
    <col min="9114" max="9114" width="11.7109375" style="32" customWidth="1"/>
    <col min="9115" max="9115" width="18.42578125" style="32" customWidth="1"/>
    <col min="9116" max="9117" width="22.5703125" style="32" customWidth="1"/>
    <col min="9118" max="9120" width="62" style="32" customWidth="1"/>
    <col min="9121" max="9121" width="31.42578125" style="32" customWidth="1"/>
    <col min="9122" max="9122" width="30.28515625" style="32" customWidth="1"/>
    <col min="9123" max="9123" width="25.7109375" style="32" customWidth="1"/>
    <col min="9124" max="9124" width="23.85546875" style="32" customWidth="1"/>
    <col min="9125" max="9361" width="11.42578125" style="32"/>
    <col min="9362" max="9362" width="36.140625" style="32" customWidth="1"/>
    <col min="9363" max="9363" width="45.28515625" style="32" customWidth="1"/>
    <col min="9364" max="9364" width="24" style="32" customWidth="1"/>
    <col min="9365" max="9365" width="31.140625" style="32" customWidth="1"/>
    <col min="9366" max="9366" width="50.42578125" style="32" customWidth="1"/>
    <col min="9367" max="9367" width="26.28515625" style="32" customWidth="1"/>
    <col min="9368" max="9368" width="7.28515625" style="32" customWidth="1"/>
    <col min="9369" max="9369" width="19.28515625" style="32" customWidth="1"/>
    <col min="9370" max="9370" width="11.7109375" style="32" customWidth="1"/>
    <col min="9371" max="9371" width="18.42578125" style="32" customWidth="1"/>
    <col min="9372" max="9373" width="22.5703125" style="32" customWidth="1"/>
    <col min="9374" max="9376" width="62" style="32" customWidth="1"/>
    <col min="9377" max="9377" width="31.42578125" style="32" customWidth="1"/>
    <col min="9378" max="9378" width="30.28515625" style="32" customWidth="1"/>
    <col min="9379" max="9379" width="25.7109375" style="32" customWidth="1"/>
    <col min="9380" max="9380" width="23.85546875" style="32" customWidth="1"/>
    <col min="9381" max="9617" width="11.42578125" style="32"/>
    <col min="9618" max="9618" width="36.140625" style="32" customWidth="1"/>
    <col min="9619" max="9619" width="45.28515625" style="32" customWidth="1"/>
    <col min="9620" max="9620" width="24" style="32" customWidth="1"/>
    <col min="9621" max="9621" width="31.140625" style="32" customWidth="1"/>
    <col min="9622" max="9622" width="50.42578125" style="32" customWidth="1"/>
    <col min="9623" max="9623" width="26.28515625" style="32" customWidth="1"/>
    <col min="9624" max="9624" width="7.28515625" style="32" customWidth="1"/>
    <col min="9625" max="9625" width="19.28515625" style="32" customWidth="1"/>
    <col min="9626" max="9626" width="11.7109375" style="32" customWidth="1"/>
    <col min="9627" max="9627" width="18.42578125" style="32" customWidth="1"/>
    <col min="9628" max="9629" width="22.5703125" style="32" customWidth="1"/>
    <col min="9630" max="9632" width="62" style="32" customWidth="1"/>
    <col min="9633" max="9633" width="31.42578125" style="32" customWidth="1"/>
    <col min="9634" max="9634" width="30.28515625" style="32" customWidth="1"/>
    <col min="9635" max="9635" width="25.7109375" style="32" customWidth="1"/>
    <col min="9636" max="9636" width="23.85546875" style="32" customWidth="1"/>
    <col min="9637" max="9873" width="11.42578125" style="32"/>
    <col min="9874" max="9874" width="36.140625" style="32" customWidth="1"/>
    <col min="9875" max="9875" width="45.28515625" style="32" customWidth="1"/>
    <col min="9876" max="9876" width="24" style="32" customWidth="1"/>
    <col min="9877" max="9877" width="31.140625" style="32" customWidth="1"/>
    <col min="9878" max="9878" width="50.42578125" style="32" customWidth="1"/>
    <col min="9879" max="9879" width="26.28515625" style="32" customWidth="1"/>
    <col min="9880" max="9880" width="7.28515625" style="32" customWidth="1"/>
    <col min="9881" max="9881" width="19.28515625" style="32" customWidth="1"/>
    <col min="9882" max="9882" width="11.7109375" style="32" customWidth="1"/>
    <col min="9883" max="9883" width="18.42578125" style="32" customWidth="1"/>
    <col min="9884" max="9885" width="22.5703125" style="32" customWidth="1"/>
    <col min="9886" max="9888" width="62" style="32" customWidth="1"/>
    <col min="9889" max="9889" width="31.42578125" style="32" customWidth="1"/>
    <col min="9890" max="9890" width="30.28515625" style="32" customWidth="1"/>
    <col min="9891" max="9891" width="25.7109375" style="32" customWidth="1"/>
    <col min="9892" max="9892" width="23.85546875" style="32" customWidth="1"/>
    <col min="9893" max="10129" width="11.42578125" style="32"/>
    <col min="10130" max="10130" width="36.140625" style="32" customWidth="1"/>
    <col min="10131" max="10131" width="45.28515625" style="32" customWidth="1"/>
    <col min="10132" max="10132" width="24" style="32" customWidth="1"/>
    <col min="10133" max="10133" width="31.140625" style="32" customWidth="1"/>
    <col min="10134" max="10134" width="50.42578125" style="32" customWidth="1"/>
    <col min="10135" max="10135" width="26.28515625" style="32" customWidth="1"/>
    <col min="10136" max="10136" width="7.28515625" style="32" customWidth="1"/>
    <col min="10137" max="10137" width="19.28515625" style="32" customWidth="1"/>
    <col min="10138" max="10138" width="11.7109375" style="32" customWidth="1"/>
    <col min="10139" max="10139" width="18.42578125" style="32" customWidth="1"/>
    <col min="10140" max="10141" width="22.5703125" style="32" customWidth="1"/>
    <col min="10142" max="10144" width="62" style="32" customWidth="1"/>
    <col min="10145" max="10145" width="31.42578125" style="32" customWidth="1"/>
    <col min="10146" max="10146" width="30.28515625" style="32" customWidth="1"/>
    <col min="10147" max="10147" width="25.7109375" style="32" customWidth="1"/>
    <col min="10148" max="10148" width="23.85546875" style="32" customWidth="1"/>
    <col min="10149" max="10385" width="11.42578125" style="32"/>
    <col min="10386" max="10386" width="36.140625" style="32" customWidth="1"/>
    <col min="10387" max="10387" width="45.28515625" style="32" customWidth="1"/>
    <col min="10388" max="10388" width="24" style="32" customWidth="1"/>
    <col min="10389" max="10389" width="31.140625" style="32" customWidth="1"/>
    <col min="10390" max="10390" width="50.42578125" style="32" customWidth="1"/>
    <col min="10391" max="10391" width="26.28515625" style="32" customWidth="1"/>
    <col min="10392" max="10392" width="7.28515625" style="32" customWidth="1"/>
    <col min="10393" max="10393" width="19.28515625" style="32" customWidth="1"/>
    <col min="10394" max="10394" width="11.7109375" style="32" customWidth="1"/>
    <col min="10395" max="10395" width="18.42578125" style="32" customWidth="1"/>
    <col min="10396" max="10397" width="22.5703125" style="32" customWidth="1"/>
    <col min="10398" max="10400" width="62" style="32" customWidth="1"/>
    <col min="10401" max="10401" width="31.42578125" style="32" customWidth="1"/>
    <col min="10402" max="10402" width="30.28515625" style="32" customWidth="1"/>
    <col min="10403" max="10403" width="25.7109375" style="32" customWidth="1"/>
    <col min="10404" max="10404" width="23.85546875" style="32" customWidth="1"/>
    <col min="10405" max="10641" width="11.42578125" style="32"/>
    <col min="10642" max="10642" width="36.140625" style="32" customWidth="1"/>
    <col min="10643" max="10643" width="45.28515625" style="32" customWidth="1"/>
    <col min="10644" max="10644" width="24" style="32" customWidth="1"/>
    <col min="10645" max="10645" width="31.140625" style="32" customWidth="1"/>
    <col min="10646" max="10646" width="50.42578125" style="32" customWidth="1"/>
    <col min="10647" max="10647" width="26.28515625" style="32" customWidth="1"/>
    <col min="10648" max="10648" width="7.28515625" style="32" customWidth="1"/>
    <col min="10649" max="10649" width="19.28515625" style="32" customWidth="1"/>
    <col min="10650" max="10650" width="11.7109375" style="32" customWidth="1"/>
    <col min="10651" max="10651" width="18.42578125" style="32" customWidth="1"/>
    <col min="10652" max="10653" width="22.5703125" style="32" customWidth="1"/>
    <col min="10654" max="10656" width="62" style="32" customWidth="1"/>
    <col min="10657" max="10657" width="31.42578125" style="32" customWidth="1"/>
    <col min="10658" max="10658" width="30.28515625" style="32" customWidth="1"/>
    <col min="10659" max="10659" width="25.7109375" style="32" customWidth="1"/>
    <col min="10660" max="10660" width="23.85546875" style="32" customWidth="1"/>
    <col min="10661" max="10897" width="11.42578125" style="32"/>
    <col min="10898" max="10898" width="36.140625" style="32" customWidth="1"/>
    <col min="10899" max="10899" width="45.28515625" style="32" customWidth="1"/>
    <col min="10900" max="10900" width="24" style="32" customWidth="1"/>
    <col min="10901" max="10901" width="31.140625" style="32" customWidth="1"/>
    <col min="10902" max="10902" width="50.42578125" style="32" customWidth="1"/>
    <col min="10903" max="10903" width="26.28515625" style="32" customWidth="1"/>
    <col min="10904" max="10904" width="7.28515625" style="32" customWidth="1"/>
    <col min="10905" max="10905" width="19.28515625" style="32" customWidth="1"/>
    <col min="10906" max="10906" width="11.7109375" style="32" customWidth="1"/>
    <col min="10907" max="10907" width="18.42578125" style="32" customWidth="1"/>
    <col min="10908" max="10909" width="22.5703125" style="32" customWidth="1"/>
    <col min="10910" max="10912" width="62" style="32" customWidth="1"/>
    <col min="10913" max="10913" width="31.42578125" style="32" customWidth="1"/>
    <col min="10914" max="10914" width="30.28515625" style="32" customWidth="1"/>
    <col min="10915" max="10915" width="25.7109375" style="32" customWidth="1"/>
    <col min="10916" max="10916" width="23.85546875" style="32" customWidth="1"/>
    <col min="10917" max="11153" width="11.42578125" style="32"/>
    <col min="11154" max="11154" width="36.140625" style="32" customWidth="1"/>
    <col min="11155" max="11155" width="45.28515625" style="32" customWidth="1"/>
    <col min="11156" max="11156" width="24" style="32" customWidth="1"/>
    <col min="11157" max="11157" width="31.140625" style="32" customWidth="1"/>
    <col min="11158" max="11158" width="50.42578125" style="32" customWidth="1"/>
    <col min="11159" max="11159" width="26.28515625" style="32" customWidth="1"/>
    <col min="11160" max="11160" width="7.28515625" style="32" customWidth="1"/>
    <col min="11161" max="11161" width="19.28515625" style="32" customWidth="1"/>
    <col min="11162" max="11162" width="11.7109375" style="32" customWidth="1"/>
    <col min="11163" max="11163" width="18.42578125" style="32" customWidth="1"/>
    <col min="11164" max="11165" width="22.5703125" style="32" customWidth="1"/>
    <col min="11166" max="11168" width="62" style="32" customWidth="1"/>
    <col min="11169" max="11169" width="31.42578125" style="32" customWidth="1"/>
    <col min="11170" max="11170" width="30.28515625" style="32" customWidth="1"/>
    <col min="11171" max="11171" width="25.7109375" style="32" customWidth="1"/>
    <col min="11172" max="11172" width="23.85546875" style="32" customWidth="1"/>
    <col min="11173" max="11409" width="11.42578125" style="32"/>
    <col min="11410" max="11410" width="36.140625" style="32" customWidth="1"/>
    <col min="11411" max="11411" width="45.28515625" style="32" customWidth="1"/>
    <col min="11412" max="11412" width="24" style="32" customWidth="1"/>
    <col min="11413" max="11413" width="31.140625" style="32" customWidth="1"/>
    <col min="11414" max="11414" width="50.42578125" style="32" customWidth="1"/>
    <col min="11415" max="11415" width="26.28515625" style="32" customWidth="1"/>
    <col min="11416" max="11416" width="7.28515625" style="32" customWidth="1"/>
    <col min="11417" max="11417" width="19.28515625" style="32" customWidth="1"/>
    <col min="11418" max="11418" width="11.7109375" style="32" customWidth="1"/>
    <col min="11419" max="11419" width="18.42578125" style="32" customWidth="1"/>
    <col min="11420" max="11421" width="22.5703125" style="32" customWidth="1"/>
    <col min="11422" max="11424" width="62" style="32" customWidth="1"/>
    <col min="11425" max="11425" width="31.42578125" style="32" customWidth="1"/>
    <col min="11426" max="11426" width="30.28515625" style="32" customWidth="1"/>
    <col min="11427" max="11427" width="25.7109375" style="32" customWidth="1"/>
    <col min="11428" max="11428" width="23.85546875" style="32" customWidth="1"/>
    <col min="11429" max="11665" width="11.42578125" style="32"/>
    <col min="11666" max="11666" width="36.140625" style="32" customWidth="1"/>
    <col min="11667" max="11667" width="45.28515625" style="32" customWidth="1"/>
    <col min="11668" max="11668" width="24" style="32" customWidth="1"/>
    <col min="11669" max="11669" width="31.140625" style="32" customWidth="1"/>
    <col min="11670" max="11670" width="50.42578125" style="32" customWidth="1"/>
    <col min="11671" max="11671" width="26.28515625" style="32" customWidth="1"/>
    <col min="11672" max="11672" width="7.28515625" style="32" customWidth="1"/>
    <col min="11673" max="11673" width="19.28515625" style="32" customWidth="1"/>
    <col min="11674" max="11674" width="11.7109375" style="32" customWidth="1"/>
    <col min="11675" max="11675" width="18.42578125" style="32" customWidth="1"/>
    <col min="11676" max="11677" width="22.5703125" style="32" customWidth="1"/>
    <col min="11678" max="11680" width="62" style="32" customWidth="1"/>
    <col min="11681" max="11681" width="31.42578125" style="32" customWidth="1"/>
    <col min="11682" max="11682" width="30.28515625" style="32" customWidth="1"/>
    <col min="11683" max="11683" width="25.7109375" style="32" customWidth="1"/>
    <col min="11684" max="11684" width="23.85546875" style="32" customWidth="1"/>
    <col min="11685" max="11921" width="11.42578125" style="32"/>
    <col min="11922" max="11922" width="36.140625" style="32" customWidth="1"/>
    <col min="11923" max="11923" width="45.28515625" style="32" customWidth="1"/>
    <col min="11924" max="11924" width="24" style="32" customWidth="1"/>
    <col min="11925" max="11925" width="31.140625" style="32" customWidth="1"/>
    <col min="11926" max="11926" width="50.42578125" style="32" customWidth="1"/>
    <col min="11927" max="11927" width="26.28515625" style="32" customWidth="1"/>
    <col min="11928" max="11928" width="7.28515625" style="32" customWidth="1"/>
    <col min="11929" max="11929" width="19.28515625" style="32" customWidth="1"/>
    <col min="11930" max="11930" width="11.7109375" style="32" customWidth="1"/>
    <col min="11931" max="11931" width="18.42578125" style="32" customWidth="1"/>
    <col min="11932" max="11933" width="22.5703125" style="32" customWidth="1"/>
    <col min="11934" max="11936" width="62" style="32" customWidth="1"/>
    <col min="11937" max="11937" width="31.42578125" style="32" customWidth="1"/>
    <col min="11938" max="11938" width="30.28515625" style="32" customWidth="1"/>
    <col min="11939" max="11939" width="25.7109375" style="32" customWidth="1"/>
    <col min="11940" max="11940" width="23.85546875" style="32" customWidth="1"/>
    <col min="11941" max="12177" width="11.42578125" style="32"/>
    <col min="12178" max="12178" width="36.140625" style="32" customWidth="1"/>
    <col min="12179" max="12179" width="45.28515625" style="32" customWidth="1"/>
    <col min="12180" max="12180" width="24" style="32" customWidth="1"/>
    <col min="12181" max="12181" width="31.140625" style="32" customWidth="1"/>
    <col min="12182" max="12182" width="50.42578125" style="32" customWidth="1"/>
    <col min="12183" max="12183" width="26.28515625" style="32" customWidth="1"/>
    <col min="12184" max="12184" width="7.28515625" style="32" customWidth="1"/>
    <col min="12185" max="12185" width="19.28515625" style="32" customWidth="1"/>
    <col min="12186" max="12186" width="11.7109375" style="32" customWidth="1"/>
    <col min="12187" max="12187" width="18.42578125" style="32" customWidth="1"/>
    <col min="12188" max="12189" width="22.5703125" style="32" customWidth="1"/>
    <col min="12190" max="12192" width="62" style="32" customWidth="1"/>
    <col min="12193" max="12193" width="31.42578125" style="32" customWidth="1"/>
    <col min="12194" max="12194" width="30.28515625" style="32" customWidth="1"/>
    <col min="12195" max="12195" width="25.7109375" style="32" customWidth="1"/>
    <col min="12196" max="12196" width="23.85546875" style="32" customWidth="1"/>
    <col min="12197" max="12433" width="11.42578125" style="32"/>
    <col min="12434" max="12434" width="36.140625" style="32" customWidth="1"/>
    <col min="12435" max="12435" width="45.28515625" style="32" customWidth="1"/>
    <col min="12436" max="12436" width="24" style="32" customWidth="1"/>
    <col min="12437" max="12437" width="31.140625" style="32" customWidth="1"/>
    <col min="12438" max="12438" width="50.42578125" style="32" customWidth="1"/>
    <col min="12439" max="12439" width="26.28515625" style="32" customWidth="1"/>
    <col min="12440" max="12440" width="7.28515625" style="32" customWidth="1"/>
    <col min="12441" max="12441" width="19.28515625" style="32" customWidth="1"/>
    <col min="12442" max="12442" width="11.7109375" style="32" customWidth="1"/>
    <col min="12443" max="12443" width="18.42578125" style="32" customWidth="1"/>
    <col min="12444" max="12445" width="22.5703125" style="32" customWidth="1"/>
    <col min="12446" max="12448" width="62" style="32" customWidth="1"/>
    <col min="12449" max="12449" width="31.42578125" style="32" customWidth="1"/>
    <col min="12450" max="12450" width="30.28515625" style="32" customWidth="1"/>
    <col min="12451" max="12451" width="25.7109375" style="32" customWidth="1"/>
    <col min="12452" max="12452" width="23.85546875" style="32" customWidth="1"/>
    <col min="12453" max="12689" width="11.42578125" style="32"/>
    <col min="12690" max="12690" width="36.140625" style="32" customWidth="1"/>
    <col min="12691" max="12691" width="45.28515625" style="32" customWidth="1"/>
    <col min="12692" max="12692" width="24" style="32" customWidth="1"/>
    <col min="12693" max="12693" width="31.140625" style="32" customWidth="1"/>
    <col min="12694" max="12694" width="50.42578125" style="32" customWidth="1"/>
    <col min="12695" max="12695" width="26.28515625" style="32" customWidth="1"/>
    <col min="12696" max="12696" width="7.28515625" style="32" customWidth="1"/>
    <col min="12697" max="12697" width="19.28515625" style="32" customWidth="1"/>
    <col min="12698" max="12698" width="11.7109375" style="32" customWidth="1"/>
    <col min="12699" max="12699" width="18.42578125" style="32" customWidth="1"/>
    <col min="12700" max="12701" width="22.5703125" style="32" customWidth="1"/>
    <col min="12702" max="12704" width="62" style="32" customWidth="1"/>
    <col min="12705" max="12705" width="31.42578125" style="32" customWidth="1"/>
    <col min="12706" max="12706" width="30.28515625" style="32" customWidth="1"/>
    <col min="12707" max="12707" width="25.7109375" style="32" customWidth="1"/>
    <col min="12708" max="12708" width="23.85546875" style="32" customWidth="1"/>
    <col min="12709" max="12945" width="11.42578125" style="32"/>
    <col min="12946" max="12946" width="36.140625" style="32" customWidth="1"/>
    <col min="12947" max="12947" width="45.28515625" style="32" customWidth="1"/>
    <col min="12948" max="12948" width="24" style="32" customWidth="1"/>
    <col min="12949" max="12949" width="31.140625" style="32" customWidth="1"/>
    <col min="12950" max="12950" width="50.42578125" style="32" customWidth="1"/>
    <col min="12951" max="12951" width="26.28515625" style="32" customWidth="1"/>
    <col min="12952" max="12952" width="7.28515625" style="32" customWidth="1"/>
    <col min="12953" max="12953" width="19.28515625" style="32" customWidth="1"/>
    <col min="12954" max="12954" width="11.7109375" style="32" customWidth="1"/>
    <col min="12955" max="12955" width="18.42578125" style="32" customWidth="1"/>
    <col min="12956" max="12957" width="22.5703125" style="32" customWidth="1"/>
    <col min="12958" max="12960" width="62" style="32" customWidth="1"/>
    <col min="12961" max="12961" width="31.42578125" style="32" customWidth="1"/>
    <col min="12962" max="12962" width="30.28515625" style="32" customWidth="1"/>
    <col min="12963" max="12963" width="25.7109375" style="32" customWidth="1"/>
    <col min="12964" max="12964" width="23.85546875" style="32" customWidth="1"/>
    <col min="12965" max="13201" width="11.42578125" style="32"/>
    <col min="13202" max="13202" width="36.140625" style="32" customWidth="1"/>
    <col min="13203" max="13203" width="45.28515625" style="32" customWidth="1"/>
    <col min="13204" max="13204" width="24" style="32" customWidth="1"/>
    <col min="13205" max="13205" width="31.140625" style="32" customWidth="1"/>
    <col min="13206" max="13206" width="50.42578125" style="32" customWidth="1"/>
    <col min="13207" max="13207" width="26.28515625" style="32" customWidth="1"/>
    <col min="13208" max="13208" width="7.28515625" style="32" customWidth="1"/>
    <col min="13209" max="13209" width="19.28515625" style="32" customWidth="1"/>
    <col min="13210" max="13210" width="11.7109375" style="32" customWidth="1"/>
    <col min="13211" max="13211" width="18.42578125" style="32" customWidth="1"/>
    <col min="13212" max="13213" width="22.5703125" style="32" customWidth="1"/>
    <col min="13214" max="13216" width="62" style="32" customWidth="1"/>
    <col min="13217" max="13217" width="31.42578125" style="32" customWidth="1"/>
    <col min="13218" max="13218" width="30.28515625" style="32" customWidth="1"/>
    <col min="13219" max="13219" width="25.7109375" style="32" customWidth="1"/>
    <col min="13220" max="13220" width="23.85546875" style="32" customWidth="1"/>
    <col min="13221" max="13457" width="11.42578125" style="32"/>
    <col min="13458" max="13458" width="36.140625" style="32" customWidth="1"/>
    <col min="13459" max="13459" width="45.28515625" style="32" customWidth="1"/>
    <col min="13460" max="13460" width="24" style="32" customWidth="1"/>
    <col min="13461" max="13461" width="31.140625" style="32" customWidth="1"/>
    <col min="13462" max="13462" width="50.42578125" style="32" customWidth="1"/>
    <col min="13463" max="13463" width="26.28515625" style="32" customWidth="1"/>
    <col min="13464" max="13464" width="7.28515625" style="32" customWidth="1"/>
    <col min="13465" max="13465" width="19.28515625" style="32" customWidth="1"/>
    <col min="13466" max="13466" width="11.7109375" style="32" customWidth="1"/>
    <col min="13467" max="13467" width="18.42578125" style="32" customWidth="1"/>
    <col min="13468" max="13469" width="22.5703125" style="32" customWidth="1"/>
    <col min="13470" max="13472" width="62" style="32" customWidth="1"/>
    <col min="13473" max="13473" width="31.42578125" style="32" customWidth="1"/>
    <col min="13474" max="13474" width="30.28515625" style="32" customWidth="1"/>
    <col min="13475" max="13475" width="25.7109375" style="32" customWidth="1"/>
    <col min="13476" max="13476" width="23.85546875" style="32" customWidth="1"/>
    <col min="13477" max="13713" width="11.42578125" style="32"/>
    <col min="13714" max="13714" width="36.140625" style="32" customWidth="1"/>
    <col min="13715" max="13715" width="45.28515625" style="32" customWidth="1"/>
    <col min="13716" max="13716" width="24" style="32" customWidth="1"/>
    <col min="13717" max="13717" width="31.140625" style="32" customWidth="1"/>
    <col min="13718" max="13718" width="50.42578125" style="32" customWidth="1"/>
    <col min="13719" max="13719" width="26.28515625" style="32" customWidth="1"/>
    <col min="13720" max="13720" width="7.28515625" style="32" customWidth="1"/>
    <col min="13721" max="13721" width="19.28515625" style="32" customWidth="1"/>
    <col min="13722" max="13722" width="11.7109375" style="32" customWidth="1"/>
    <col min="13723" max="13723" width="18.42578125" style="32" customWidth="1"/>
    <col min="13724" max="13725" width="22.5703125" style="32" customWidth="1"/>
    <col min="13726" max="13728" width="62" style="32" customWidth="1"/>
    <col min="13729" max="13729" width="31.42578125" style="32" customWidth="1"/>
    <col min="13730" max="13730" width="30.28515625" style="32" customWidth="1"/>
    <col min="13731" max="13731" width="25.7109375" style="32" customWidth="1"/>
    <col min="13732" max="13732" width="23.85546875" style="32" customWidth="1"/>
    <col min="13733" max="13969" width="11.42578125" style="32"/>
    <col min="13970" max="13970" width="36.140625" style="32" customWidth="1"/>
    <col min="13971" max="13971" width="45.28515625" style="32" customWidth="1"/>
    <col min="13972" max="13972" width="24" style="32" customWidth="1"/>
    <col min="13973" max="13973" width="31.140625" style="32" customWidth="1"/>
    <col min="13974" max="13974" width="50.42578125" style="32" customWidth="1"/>
    <col min="13975" max="13975" width="26.28515625" style="32" customWidth="1"/>
    <col min="13976" max="13976" width="7.28515625" style="32" customWidth="1"/>
    <col min="13977" max="13977" width="19.28515625" style="32" customWidth="1"/>
    <col min="13978" max="13978" width="11.7109375" style="32" customWidth="1"/>
    <col min="13979" max="13979" width="18.42578125" style="32" customWidth="1"/>
    <col min="13980" max="13981" width="22.5703125" style="32" customWidth="1"/>
    <col min="13982" max="13984" width="62" style="32" customWidth="1"/>
    <col min="13985" max="13985" width="31.42578125" style="32" customWidth="1"/>
    <col min="13986" max="13986" width="30.28515625" style="32" customWidth="1"/>
    <col min="13987" max="13987" width="25.7109375" style="32" customWidth="1"/>
    <col min="13988" max="13988" width="23.85546875" style="32" customWidth="1"/>
    <col min="13989" max="14225" width="11.42578125" style="32"/>
    <col min="14226" max="14226" width="36.140625" style="32" customWidth="1"/>
    <col min="14227" max="14227" width="45.28515625" style="32" customWidth="1"/>
    <col min="14228" max="14228" width="24" style="32" customWidth="1"/>
    <col min="14229" max="14229" width="31.140625" style="32" customWidth="1"/>
    <col min="14230" max="14230" width="50.42578125" style="32" customWidth="1"/>
    <col min="14231" max="14231" width="26.28515625" style="32" customWidth="1"/>
    <col min="14232" max="14232" width="7.28515625" style="32" customWidth="1"/>
    <col min="14233" max="14233" width="19.28515625" style="32" customWidth="1"/>
    <col min="14234" max="14234" width="11.7109375" style="32" customWidth="1"/>
    <col min="14235" max="14235" width="18.42578125" style="32" customWidth="1"/>
    <col min="14236" max="14237" width="22.5703125" style="32" customWidth="1"/>
    <col min="14238" max="14240" width="62" style="32" customWidth="1"/>
    <col min="14241" max="14241" width="31.42578125" style="32" customWidth="1"/>
    <col min="14242" max="14242" width="30.28515625" style="32" customWidth="1"/>
    <col min="14243" max="14243" width="25.7109375" style="32" customWidth="1"/>
    <col min="14244" max="14244" width="23.85546875" style="32" customWidth="1"/>
    <col min="14245" max="14481" width="11.42578125" style="32"/>
    <col min="14482" max="14482" width="36.140625" style="32" customWidth="1"/>
    <col min="14483" max="14483" width="45.28515625" style="32" customWidth="1"/>
    <col min="14484" max="14484" width="24" style="32" customWidth="1"/>
    <col min="14485" max="14485" width="31.140625" style="32" customWidth="1"/>
    <col min="14486" max="14486" width="50.42578125" style="32" customWidth="1"/>
    <col min="14487" max="14487" width="26.28515625" style="32" customWidth="1"/>
    <col min="14488" max="14488" width="7.28515625" style="32" customWidth="1"/>
    <col min="14489" max="14489" width="19.28515625" style="32" customWidth="1"/>
    <col min="14490" max="14490" width="11.7109375" style="32" customWidth="1"/>
    <col min="14491" max="14491" width="18.42578125" style="32" customWidth="1"/>
    <col min="14492" max="14493" width="22.5703125" style="32" customWidth="1"/>
    <col min="14494" max="14496" width="62" style="32" customWidth="1"/>
    <col min="14497" max="14497" width="31.42578125" style="32" customWidth="1"/>
    <col min="14498" max="14498" width="30.28515625" style="32" customWidth="1"/>
    <col min="14499" max="14499" width="25.7109375" style="32" customWidth="1"/>
    <col min="14500" max="14500" width="23.85546875" style="32" customWidth="1"/>
    <col min="14501" max="14737" width="11.42578125" style="32"/>
    <col min="14738" max="14738" width="36.140625" style="32" customWidth="1"/>
    <col min="14739" max="14739" width="45.28515625" style="32" customWidth="1"/>
    <col min="14740" max="14740" width="24" style="32" customWidth="1"/>
    <col min="14741" max="14741" width="31.140625" style="32" customWidth="1"/>
    <col min="14742" max="14742" width="50.42578125" style="32" customWidth="1"/>
    <col min="14743" max="14743" width="26.28515625" style="32" customWidth="1"/>
    <col min="14744" max="14744" width="7.28515625" style="32" customWidth="1"/>
    <col min="14745" max="14745" width="19.28515625" style="32" customWidth="1"/>
    <col min="14746" max="14746" width="11.7109375" style="32" customWidth="1"/>
    <col min="14747" max="14747" width="18.42578125" style="32" customWidth="1"/>
    <col min="14748" max="14749" width="22.5703125" style="32" customWidth="1"/>
    <col min="14750" max="14752" width="62" style="32" customWidth="1"/>
    <col min="14753" max="14753" width="31.42578125" style="32" customWidth="1"/>
    <col min="14754" max="14754" width="30.28515625" style="32" customWidth="1"/>
    <col min="14755" max="14755" width="25.7109375" style="32" customWidth="1"/>
    <col min="14756" max="14756" width="23.85546875" style="32" customWidth="1"/>
    <col min="14757" max="14993" width="11.42578125" style="32"/>
    <col min="14994" max="14994" width="36.140625" style="32" customWidth="1"/>
    <col min="14995" max="14995" width="45.28515625" style="32" customWidth="1"/>
    <col min="14996" max="14996" width="24" style="32" customWidth="1"/>
    <col min="14997" max="14997" width="31.140625" style="32" customWidth="1"/>
    <col min="14998" max="14998" width="50.42578125" style="32" customWidth="1"/>
    <col min="14999" max="14999" width="26.28515625" style="32" customWidth="1"/>
    <col min="15000" max="15000" width="7.28515625" style="32" customWidth="1"/>
    <col min="15001" max="15001" width="19.28515625" style="32" customWidth="1"/>
    <col min="15002" max="15002" width="11.7109375" style="32" customWidth="1"/>
    <col min="15003" max="15003" width="18.42578125" style="32" customWidth="1"/>
    <col min="15004" max="15005" width="22.5703125" style="32" customWidth="1"/>
    <col min="15006" max="15008" width="62" style="32" customWidth="1"/>
    <col min="15009" max="15009" width="31.42578125" style="32" customWidth="1"/>
    <col min="15010" max="15010" width="30.28515625" style="32" customWidth="1"/>
    <col min="15011" max="15011" width="25.7109375" style="32" customWidth="1"/>
    <col min="15012" max="15012" width="23.85546875" style="32" customWidth="1"/>
    <col min="15013" max="15249" width="11.42578125" style="32"/>
    <col min="15250" max="15250" width="36.140625" style="32" customWidth="1"/>
    <col min="15251" max="15251" width="45.28515625" style="32" customWidth="1"/>
    <col min="15252" max="15252" width="24" style="32" customWidth="1"/>
    <col min="15253" max="15253" width="31.140625" style="32" customWidth="1"/>
    <col min="15254" max="15254" width="50.42578125" style="32" customWidth="1"/>
    <col min="15255" max="15255" width="26.28515625" style="32" customWidth="1"/>
    <col min="15256" max="15256" width="7.28515625" style="32" customWidth="1"/>
    <col min="15257" max="15257" width="19.28515625" style="32" customWidth="1"/>
    <col min="15258" max="15258" width="11.7109375" style="32" customWidth="1"/>
    <col min="15259" max="15259" width="18.42578125" style="32" customWidth="1"/>
    <col min="15260" max="15261" width="22.5703125" style="32" customWidth="1"/>
    <col min="15262" max="15264" width="62" style="32" customWidth="1"/>
    <col min="15265" max="15265" width="31.42578125" style="32" customWidth="1"/>
    <col min="15266" max="15266" width="30.28515625" style="32" customWidth="1"/>
    <col min="15267" max="15267" width="25.7109375" style="32" customWidth="1"/>
    <col min="15268" max="15268" width="23.85546875" style="32" customWidth="1"/>
    <col min="15269" max="15505" width="11.42578125" style="32"/>
    <col min="15506" max="15506" width="36.140625" style="32" customWidth="1"/>
    <col min="15507" max="15507" width="45.28515625" style="32" customWidth="1"/>
    <col min="15508" max="15508" width="24" style="32" customWidth="1"/>
    <col min="15509" max="15509" width="31.140625" style="32" customWidth="1"/>
    <col min="15510" max="15510" width="50.42578125" style="32" customWidth="1"/>
    <col min="15511" max="15511" width="26.28515625" style="32" customWidth="1"/>
    <col min="15512" max="15512" width="7.28515625" style="32" customWidth="1"/>
    <col min="15513" max="15513" width="19.28515625" style="32" customWidth="1"/>
    <col min="15514" max="15514" width="11.7109375" style="32" customWidth="1"/>
    <col min="15515" max="15515" width="18.42578125" style="32" customWidth="1"/>
    <col min="15516" max="15517" width="22.5703125" style="32" customWidth="1"/>
    <col min="15518" max="15520" width="62" style="32" customWidth="1"/>
    <col min="15521" max="15521" width="31.42578125" style="32" customWidth="1"/>
    <col min="15522" max="15522" width="30.28515625" style="32" customWidth="1"/>
    <col min="15523" max="15523" width="25.7109375" style="32" customWidth="1"/>
    <col min="15524" max="15524" width="23.85546875" style="32" customWidth="1"/>
    <col min="15525" max="15761" width="11.42578125" style="32"/>
    <col min="15762" max="15762" width="36.140625" style="32" customWidth="1"/>
    <col min="15763" max="15763" width="45.28515625" style="32" customWidth="1"/>
    <col min="15764" max="15764" width="24" style="32" customWidth="1"/>
    <col min="15765" max="15765" width="31.140625" style="32" customWidth="1"/>
    <col min="15766" max="15766" width="50.42578125" style="32" customWidth="1"/>
    <col min="15767" max="15767" width="26.28515625" style="32" customWidth="1"/>
    <col min="15768" max="15768" width="7.28515625" style="32" customWidth="1"/>
    <col min="15769" max="15769" width="19.28515625" style="32" customWidth="1"/>
    <col min="15770" max="15770" width="11.7109375" style="32" customWidth="1"/>
    <col min="15771" max="15771" width="18.42578125" style="32" customWidth="1"/>
    <col min="15772" max="15773" width="22.5703125" style="32" customWidth="1"/>
    <col min="15774" max="15776" width="62" style="32" customWidth="1"/>
    <col min="15777" max="15777" width="31.42578125" style="32" customWidth="1"/>
    <col min="15778" max="15778" width="30.28515625" style="32" customWidth="1"/>
    <col min="15779" max="15779" width="25.7109375" style="32" customWidth="1"/>
    <col min="15780" max="15780" width="23.85546875" style="32" customWidth="1"/>
    <col min="15781" max="16017" width="11.42578125" style="32"/>
    <col min="16018" max="16018" width="36.140625" style="32" customWidth="1"/>
    <col min="16019" max="16019" width="45.28515625" style="32" customWidth="1"/>
    <col min="16020" max="16020" width="24" style="32" customWidth="1"/>
    <col min="16021" max="16021" width="31.140625" style="32" customWidth="1"/>
    <col min="16022" max="16022" width="50.42578125" style="32" customWidth="1"/>
    <col min="16023" max="16023" width="26.28515625" style="32" customWidth="1"/>
    <col min="16024" max="16024" width="7.28515625" style="32" customWidth="1"/>
    <col min="16025" max="16025" width="19.28515625" style="32" customWidth="1"/>
    <col min="16026" max="16026" width="11.7109375" style="32" customWidth="1"/>
    <col min="16027" max="16027" width="18.42578125" style="32" customWidth="1"/>
    <col min="16028" max="16029" width="22.5703125" style="32" customWidth="1"/>
    <col min="16030" max="16032" width="62" style="32" customWidth="1"/>
    <col min="16033" max="16033" width="31.42578125" style="32" customWidth="1"/>
    <col min="16034" max="16034" width="30.28515625" style="32" customWidth="1"/>
    <col min="16035" max="16035" width="25.7109375" style="32" customWidth="1"/>
    <col min="16036" max="16036" width="23.85546875" style="32" customWidth="1"/>
    <col min="16037" max="16384" width="11.42578125" style="32"/>
  </cols>
  <sheetData>
    <row r="1" spans="1:39" ht="20.25" customHeight="1" thickBot="1">
      <c r="A1" s="194"/>
      <c r="B1" s="195"/>
      <c r="C1" s="198" t="s">
        <v>126</v>
      </c>
      <c r="D1" s="199"/>
      <c r="E1" s="199"/>
      <c r="F1" s="199"/>
      <c r="G1" s="199"/>
      <c r="H1" s="199"/>
      <c r="I1" s="199"/>
      <c r="J1" s="199"/>
      <c r="K1" s="199"/>
      <c r="L1" s="199"/>
      <c r="M1" s="199"/>
      <c r="N1" s="199"/>
      <c r="O1" s="199"/>
      <c r="P1" s="199"/>
      <c r="Q1" s="199"/>
      <c r="R1" s="199"/>
      <c r="S1" s="199"/>
      <c r="T1" s="199"/>
      <c r="U1" s="199"/>
      <c r="V1" s="200"/>
      <c r="W1" s="212" t="s">
        <v>281</v>
      </c>
      <c r="X1" s="213"/>
      <c r="AA1" s="141">
        <v>2025</v>
      </c>
      <c r="AB1" s="141"/>
      <c r="AC1" s="141"/>
      <c r="AD1" s="141"/>
      <c r="AE1" s="141"/>
      <c r="AF1" s="141"/>
      <c r="AH1" s="141">
        <v>2026</v>
      </c>
      <c r="AI1" s="141"/>
      <c r="AJ1" s="141"/>
      <c r="AK1" s="141"/>
      <c r="AL1" s="141"/>
      <c r="AM1" s="141"/>
    </row>
    <row r="2" spans="1:39" ht="20.25" customHeight="1" thickBot="1">
      <c r="A2" s="194"/>
      <c r="B2" s="195"/>
      <c r="C2" s="201"/>
      <c r="D2" s="202"/>
      <c r="E2" s="202"/>
      <c r="F2" s="202"/>
      <c r="G2" s="202"/>
      <c r="H2" s="202"/>
      <c r="I2" s="202"/>
      <c r="J2" s="202"/>
      <c r="K2" s="202"/>
      <c r="L2" s="202"/>
      <c r="M2" s="202"/>
      <c r="N2" s="202"/>
      <c r="O2" s="202"/>
      <c r="P2" s="202"/>
      <c r="Q2" s="202"/>
      <c r="R2" s="202"/>
      <c r="S2" s="202"/>
      <c r="T2" s="202"/>
      <c r="U2" s="202"/>
      <c r="V2" s="203"/>
      <c r="W2" s="214"/>
      <c r="X2" s="215"/>
      <c r="AA2" s="142" t="s">
        <v>376</v>
      </c>
      <c r="AB2" s="143"/>
      <c r="AC2" s="143"/>
      <c r="AD2" s="143"/>
      <c r="AE2" s="143"/>
      <c r="AF2" s="144"/>
      <c r="AG2"/>
      <c r="AH2" s="142" t="s">
        <v>377</v>
      </c>
      <c r="AI2" s="143"/>
      <c r="AJ2" s="143"/>
      <c r="AK2" s="143"/>
      <c r="AL2" s="143"/>
      <c r="AM2" s="144"/>
    </row>
    <row r="3" spans="1:39" ht="23.25" customHeight="1" thickBot="1">
      <c r="A3" s="194"/>
      <c r="B3" s="195"/>
      <c r="C3" s="201"/>
      <c r="D3" s="202"/>
      <c r="E3" s="202"/>
      <c r="F3" s="202"/>
      <c r="G3" s="202"/>
      <c r="H3" s="202"/>
      <c r="I3" s="202"/>
      <c r="J3" s="202"/>
      <c r="K3" s="202"/>
      <c r="L3" s="202"/>
      <c r="M3" s="202"/>
      <c r="N3" s="202"/>
      <c r="O3" s="202"/>
      <c r="P3" s="202"/>
      <c r="Q3" s="202"/>
      <c r="R3" s="202"/>
      <c r="S3" s="202"/>
      <c r="T3" s="202"/>
      <c r="U3" s="202"/>
      <c r="V3" s="203"/>
      <c r="W3" s="214"/>
      <c r="X3" s="215"/>
      <c r="AA3" s="92" t="s">
        <v>378</v>
      </c>
      <c r="AB3" s="145" t="s">
        <v>379</v>
      </c>
      <c r="AC3" s="145"/>
      <c r="AD3" s="145"/>
      <c r="AE3" s="93"/>
      <c r="AF3" s="94">
        <v>37</v>
      </c>
      <c r="AG3"/>
      <c r="AH3" s="92" t="s">
        <v>380</v>
      </c>
      <c r="AI3" s="146" t="s">
        <v>381</v>
      </c>
      <c r="AJ3" s="146"/>
      <c r="AK3" s="146"/>
      <c r="AL3" s="147"/>
      <c r="AM3" s="94">
        <v>19</v>
      </c>
    </row>
    <row r="4" spans="1:39" ht="21.75" customHeight="1" thickBot="1">
      <c r="A4" s="194"/>
      <c r="B4" s="195"/>
      <c r="C4" s="201"/>
      <c r="D4" s="202"/>
      <c r="E4" s="202"/>
      <c r="F4" s="202"/>
      <c r="G4" s="202"/>
      <c r="H4" s="202"/>
      <c r="I4" s="202"/>
      <c r="J4" s="202"/>
      <c r="K4" s="202"/>
      <c r="L4" s="202"/>
      <c r="M4" s="202"/>
      <c r="N4" s="202"/>
      <c r="O4" s="202"/>
      <c r="P4" s="202"/>
      <c r="Q4" s="202"/>
      <c r="R4" s="202"/>
      <c r="S4" s="202"/>
      <c r="T4" s="202"/>
      <c r="U4" s="202"/>
      <c r="V4" s="203"/>
      <c r="W4" s="214"/>
      <c r="X4" s="215"/>
      <c r="AA4" s="92" t="s">
        <v>382</v>
      </c>
      <c r="AB4" s="145" t="s">
        <v>383</v>
      </c>
      <c r="AC4" s="145"/>
      <c r="AD4" s="145"/>
      <c r="AE4" s="93"/>
      <c r="AF4" s="95">
        <v>2</v>
      </c>
      <c r="AG4"/>
      <c r="AH4" s="92" t="s">
        <v>384</v>
      </c>
      <c r="AI4" s="146" t="s">
        <v>385</v>
      </c>
      <c r="AJ4" s="146"/>
      <c r="AK4" s="146"/>
      <c r="AL4" s="147"/>
      <c r="AM4" s="95"/>
    </row>
    <row r="5" spans="1:39" ht="24.75" customHeight="1" thickBot="1">
      <c r="A5" s="196"/>
      <c r="B5" s="197"/>
      <c r="C5" s="204"/>
      <c r="D5" s="205"/>
      <c r="E5" s="205"/>
      <c r="F5" s="205"/>
      <c r="G5" s="205"/>
      <c r="H5" s="205"/>
      <c r="I5" s="205"/>
      <c r="J5" s="205"/>
      <c r="K5" s="205"/>
      <c r="L5" s="205"/>
      <c r="M5" s="205"/>
      <c r="N5" s="205"/>
      <c r="O5" s="205"/>
      <c r="P5" s="205"/>
      <c r="Q5" s="205"/>
      <c r="R5" s="205"/>
      <c r="S5" s="205"/>
      <c r="T5" s="205"/>
      <c r="U5" s="205"/>
      <c r="V5" s="206"/>
      <c r="W5" s="216"/>
      <c r="X5" s="217"/>
      <c r="AA5" s="96"/>
      <c r="AB5" s="96"/>
      <c r="AC5" s="148" t="s">
        <v>386</v>
      </c>
      <c r="AD5" s="148"/>
      <c r="AE5" s="149"/>
      <c r="AF5" s="95">
        <f>AF4-AF3</f>
        <v>-35</v>
      </c>
      <c r="AG5" s="11"/>
      <c r="AH5" s="11"/>
      <c r="AI5" s="11"/>
      <c r="AJ5" s="148" t="s">
        <v>387</v>
      </c>
      <c r="AK5" s="148"/>
      <c r="AL5" s="149"/>
      <c r="AM5" s="95">
        <f>AM4-AM3</f>
        <v>-19</v>
      </c>
    </row>
    <row r="6" spans="1:39" ht="21" thickBot="1">
      <c r="A6" s="188"/>
      <c r="B6" s="189"/>
      <c r="C6" s="189"/>
      <c r="D6" s="189"/>
      <c r="E6" s="189"/>
      <c r="F6" s="189"/>
      <c r="G6" s="189"/>
      <c r="H6" s="189"/>
      <c r="I6" s="189"/>
      <c r="J6" s="189"/>
      <c r="K6" s="189"/>
      <c r="L6" s="189"/>
      <c r="M6" s="189"/>
      <c r="N6" s="189"/>
      <c r="O6" s="189"/>
      <c r="P6" s="189"/>
      <c r="Q6" s="189"/>
      <c r="R6" s="189"/>
      <c r="S6" s="189"/>
      <c r="T6" s="189"/>
      <c r="U6" s="189"/>
      <c r="V6" s="189"/>
      <c r="W6" s="189"/>
      <c r="X6" s="190"/>
    </row>
    <row r="7" spans="1:39" ht="54.75" customHeight="1" thickBot="1">
      <c r="A7" s="209" t="s">
        <v>75</v>
      </c>
      <c r="B7" s="210"/>
      <c r="C7" s="207" t="s">
        <v>280</v>
      </c>
      <c r="D7" s="208"/>
      <c r="E7" s="208"/>
      <c r="F7" s="208"/>
      <c r="G7" s="33" t="s">
        <v>76</v>
      </c>
      <c r="H7" s="33"/>
      <c r="I7" s="66"/>
      <c r="J7" s="33"/>
      <c r="K7" s="191"/>
      <c r="L7" s="191"/>
      <c r="M7" s="191"/>
      <c r="N7" s="191"/>
      <c r="O7" s="191"/>
      <c r="P7" s="191"/>
      <c r="Q7" s="191"/>
      <c r="R7" s="65"/>
      <c r="S7" s="65"/>
      <c r="T7" s="211" t="s">
        <v>77</v>
      </c>
      <c r="U7" s="210"/>
      <c r="V7" s="192"/>
      <c r="W7" s="192"/>
      <c r="X7" s="193"/>
      <c r="AA7" s="152" t="s">
        <v>388</v>
      </c>
      <c r="AB7" s="152"/>
      <c r="AC7" s="152"/>
      <c r="AD7" s="152"/>
      <c r="AE7" s="152"/>
      <c r="AF7" s="97">
        <v>4</v>
      </c>
    </row>
    <row r="8" spans="1:39">
      <c r="A8" s="188"/>
      <c r="B8" s="189"/>
      <c r="C8" s="189"/>
      <c r="D8" s="189"/>
      <c r="E8" s="189"/>
      <c r="F8" s="189"/>
      <c r="G8" s="189"/>
      <c r="H8" s="189"/>
      <c r="I8" s="189"/>
      <c r="J8" s="189"/>
      <c r="K8" s="189"/>
      <c r="L8" s="189"/>
      <c r="M8" s="189"/>
      <c r="N8" s="189"/>
      <c r="O8" s="189"/>
      <c r="P8" s="189"/>
      <c r="Q8" s="189"/>
      <c r="R8" s="189"/>
      <c r="S8" s="189"/>
      <c r="T8" s="189"/>
      <c r="U8" s="189"/>
      <c r="V8" s="189"/>
      <c r="W8" s="189"/>
      <c r="X8" s="190"/>
    </row>
    <row r="9" spans="1:39" s="34" customFormat="1" ht="58.5" customHeight="1">
      <c r="A9" s="183" t="s">
        <v>78</v>
      </c>
      <c r="B9" s="183" t="s">
        <v>113</v>
      </c>
      <c r="C9" s="183" t="s">
        <v>120</v>
      </c>
      <c r="D9" s="183" t="s">
        <v>79</v>
      </c>
      <c r="E9" s="179" t="s">
        <v>123</v>
      </c>
      <c r="F9" s="179"/>
      <c r="G9" s="184" t="s">
        <v>124</v>
      </c>
      <c r="H9" s="184"/>
      <c r="I9" s="184"/>
      <c r="J9" s="184"/>
      <c r="K9" s="184"/>
      <c r="L9" s="184"/>
      <c r="M9" s="184"/>
      <c r="N9" s="178" t="s">
        <v>125</v>
      </c>
      <c r="O9" s="178"/>
      <c r="P9" s="178"/>
      <c r="Q9" s="179" t="s">
        <v>155</v>
      </c>
      <c r="R9" s="179"/>
      <c r="S9" s="225" t="s">
        <v>81</v>
      </c>
      <c r="T9" s="225"/>
      <c r="U9" s="225"/>
      <c r="V9" s="225"/>
      <c r="W9" s="225"/>
      <c r="X9" s="221" t="s">
        <v>82</v>
      </c>
    </row>
    <row r="10" spans="1:39" s="34" customFormat="1" ht="58.5" customHeight="1">
      <c r="A10" s="183"/>
      <c r="B10" s="183"/>
      <c r="C10" s="183"/>
      <c r="D10" s="183"/>
      <c r="E10" s="179" t="s">
        <v>80</v>
      </c>
      <c r="F10" s="179"/>
      <c r="G10" s="180" t="s">
        <v>127</v>
      </c>
      <c r="H10" s="180"/>
      <c r="I10" s="180" t="s">
        <v>129</v>
      </c>
      <c r="J10" s="180"/>
      <c r="K10" s="180" t="s">
        <v>128</v>
      </c>
      <c r="L10" s="180"/>
      <c r="M10" s="84" t="s">
        <v>13</v>
      </c>
      <c r="N10" s="85" t="s">
        <v>187</v>
      </c>
      <c r="O10" s="85" t="s">
        <v>84</v>
      </c>
      <c r="P10" s="83" t="s">
        <v>83</v>
      </c>
      <c r="Q10" s="81" t="s">
        <v>158</v>
      </c>
      <c r="R10" s="81" t="s">
        <v>157</v>
      </c>
      <c r="S10" s="82" t="s">
        <v>85</v>
      </c>
      <c r="T10" s="82" t="s">
        <v>86</v>
      </c>
      <c r="U10" s="86" t="s">
        <v>87</v>
      </c>
      <c r="V10" s="86" t="s">
        <v>88</v>
      </c>
      <c r="W10" s="86" t="s">
        <v>89</v>
      </c>
      <c r="X10" s="221"/>
    </row>
    <row r="11" spans="1:39" s="35" customFormat="1" ht="48.75" customHeight="1">
      <c r="A11" s="185" t="s">
        <v>27</v>
      </c>
      <c r="B11" s="185" t="s">
        <v>26</v>
      </c>
      <c r="C11" s="185" t="s">
        <v>140</v>
      </c>
      <c r="D11" s="218" t="s">
        <v>26</v>
      </c>
      <c r="E11" s="159" t="s">
        <v>90</v>
      </c>
      <c r="F11" s="159" t="s">
        <v>41</v>
      </c>
      <c r="G11" s="150" t="s">
        <v>134</v>
      </c>
      <c r="H11" s="150" t="str">
        <f>IF(G11="MUY PROBABLE","5",IF(G11="MEDIANAMENTE","4",IF(G11="PROBABLE","3",IF(G11="POCO PROBABLE","2",IF(G11="NO ES PROBABLE","1")))))</f>
        <v>5</v>
      </c>
      <c r="I11" s="150" t="s">
        <v>42</v>
      </c>
      <c r="J11" s="150" t="str">
        <f>IF(I11="CONSTANTE","5",IF(I11="FRECUENTE","4",IF(I11="OCASIONAL","3",IF(I11="ESPORADICO","2",IF(I11="MINIMA","1")))))</f>
        <v>4</v>
      </c>
      <c r="K11" s="150" t="s">
        <v>138</v>
      </c>
      <c r="L11" s="150" t="str">
        <f>IF(K11="CRITICO","5",IF(K11="PELIGROSO","4",IF(K11="MODERADO","3",IF(K11="MARGINAL","2",IF(K11="INSIGNIFICANTE","1")))))</f>
        <v>4</v>
      </c>
      <c r="M11" s="165">
        <f>H11+J11+L11</f>
        <v>13</v>
      </c>
      <c r="N11" s="175" t="str">
        <f>IF(M11&lt;=7,"NIVEL DE RIESGO BAJO",IF(M11&lt;=11,"NIVEL DE RIESGO MEDIO o MODERADO","NIVEL DE RIESGO ALTO o CRITICO"))</f>
        <v>NIVEL DE RIESGO ALTO o CRITICO</v>
      </c>
      <c r="O11" s="162" t="str">
        <f>IF(M11&lt;=7,"ACEPTABLE",IF(M11&lt;=11,"ACEPTABLE CON COTROL ESPECIFICO","NO ACEPTABLE"))</f>
        <v>NO ACEPTABLE</v>
      </c>
      <c r="P11" s="162" t="s">
        <v>400</v>
      </c>
      <c r="Q11" s="159" t="s">
        <v>166</v>
      </c>
      <c r="R11" s="159" t="s">
        <v>161</v>
      </c>
      <c r="S11" s="156" t="s">
        <v>234</v>
      </c>
      <c r="T11" s="68" t="s">
        <v>241</v>
      </c>
      <c r="U11" s="68" t="s">
        <v>258</v>
      </c>
      <c r="V11" s="68" t="s">
        <v>242</v>
      </c>
      <c r="W11" s="68" t="s">
        <v>395</v>
      </c>
      <c r="X11" s="222"/>
    </row>
    <row r="12" spans="1:39" s="35" customFormat="1" ht="48.75" customHeight="1">
      <c r="A12" s="186"/>
      <c r="B12" s="186"/>
      <c r="C12" s="186"/>
      <c r="D12" s="219"/>
      <c r="E12" s="160"/>
      <c r="F12" s="160"/>
      <c r="G12" s="153"/>
      <c r="H12" s="153"/>
      <c r="I12" s="153"/>
      <c r="J12" s="153"/>
      <c r="K12" s="153"/>
      <c r="L12" s="153"/>
      <c r="M12" s="166"/>
      <c r="N12" s="177"/>
      <c r="O12" s="163"/>
      <c r="P12" s="163"/>
      <c r="Q12" s="160"/>
      <c r="R12" s="160"/>
      <c r="S12" s="158"/>
      <c r="T12" s="68" t="s">
        <v>215</v>
      </c>
      <c r="U12" s="68" t="s">
        <v>219</v>
      </c>
      <c r="V12" s="68" t="s">
        <v>217</v>
      </c>
      <c r="W12" s="68" t="s">
        <v>395</v>
      </c>
      <c r="X12" s="223"/>
    </row>
    <row r="13" spans="1:39" s="35" customFormat="1" ht="56.25" customHeight="1">
      <c r="A13" s="186"/>
      <c r="B13" s="186"/>
      <c r="C13" s="186"/>
      <c r="D13" s="219"/>
      <c r="E13" s="160"/>
      <c r="F13" s="160"/>
      <c r="G13" s="153"/>
      <c r="H13" s="153"/>
      <c r="I13" s="153"/>
      <c r="J13" s="153"/>
      <c r="K13" s="153"/>
      <c r="L13" s="153"/>
      <c r="M13" s="166"/>
      <c r="N13" s="177"/>
      <c r="O13" s="163"/>
      <c r="P13" s="163"/>
      <c r="Q13" s="160"/>
      <c r="R13" s="160"/>
      <c r="S13" s="156" t="s">
        <v>318</v>
      </c>
      <c r="T13" s="68" t="s">
        <v>212</v>
      </c>
      <c r="U13" s="68" t="s">
        <v>218</v>
      </c>
      <c r="V13" s="68" t="s">
        <v>216</v>
      </c>
      <c r="W13" s="68" t="s">
        <v>395</v>
      </c>
      <c r="X13" s="223"/>
    </row>
    <row r="14" spans="1:39" s="35" customFormat="1" ht="36.75" customHeight="1">
      <c r="A14" s="186"/>
      <c r="B14" s="186"/>
      <c r="C14" s="186"/>
      <c r="D14" s="219"/>
      <c r="E14" s="160"/>
      <c r="F14" s="161"/>
      <c r="G14" s="151"/>
      <c r="H14" s="151"/>
      <c r="I14" s="151"/>
      <c r="J14" s="151"/>
      <c r="K14" s="151"/>
      <c r="L14" s="151"/>
      <c r="M14" s="167"/>
      <c r="N14" s="176"/>
      <c r="O14" s="164"/>
      <c r="P14" s="164"/>
      <c r="Q14" s="161"/>
      <c r="R14" s="161"/>
      <c r="S14" s="158"/>
      <c r="T14" s="68" t="s">
        <v>213</v>
      </c>
      <c r="U14" s="68" t="s">
        <v>319</v>
      </c>
      <c r="V14" s="68" t="s">
        <v>320</v>
      </c>
      <c r="W14" s="68" t="s">
        <v>395</v>
      </c>
      <c r="X14" s="223"/>
    </row>
    <row r="15" spans="1:39" s="35" customFormat="1" ht="99.75" customHeight="1">
      <c r="A15" s="186"/>
      <c r="B15" s="186"/>
      <c r="C15" s="186"/>
      <c r="D15" s="219"/>
      <c r="E15" s="160"/>
      <c r="F15" s="80" t="s">
        <v>49</v>
      </c>
      <c r="G15" s="76" t="s">
        <v>9</v>
      </c>
      <c r="H15" s="76" t="str">
        <f>IF(G15="MUY PROBABLE","5",IF(G15="MEDIANAMENTE","4",IF(G15="PROBABLE","3",IF(G15="POCO PROBABLE","2",IF(G15="NO ES PROBABLE","1")))))</f>
        <v>3</v>
      </c>
      <c r="I15" s="76" t="s">
        <v>42</v>
      </c>
      <c r="J15" s="76" t="str">
        <f>IF(I15="CONSTANTE","5",IF(I15="FRECUENTE","4",IF(I15="OCASIONAL","3",IF(I15="ESPORADICO","2",IF(I15="MINIMA","1")))))</f>
        <v>4</v>
      </c>
      <c r="K15" s="76" t="s">
        <v>122</v>
      </c>
      <c r="L15" s="76" t="str">
        <f>IF(K15="CRITICO","5",IF(K15="PELIGROSO","4",IF(K15="MODERADO","3",IF(K15="MARGINAL","2",IF(K15="INSIGNIFICANTE","1")))))</f>
        <v>5</v>
      </c>
      <c r="M15" s="77">
        <f>H15+J15+L15</f>
        <v>12</v>
      </c>
      <c r="N15" s="78" t="str">
        <f>IF(M15&lt;=7,"NIVEL DE RIESGO BAJO",IF(M15&lt;=11,"NIVEL DE RIESGO MEDIO o MODERADO","NIVEL DE RIESGO ALTO o CRITICO"))</f>
        <v>NIVEL DE RIESGO ALTO o CRITICO</v>
      </c>
      <c r="O15" s="79" t="str">
        <f>IF(M15&lt;=7,"ACEPTABLE",IF(M15&lt;=11,"ACEPTABLE CON COTROL ESPECIFICO","NO ACEPTABLE"))</f>
        <v>NO ACEPTABLE</v>
      </c>
      <c r="P15" s="79" t="s">
        <v>255</v>
      </c>
      <c r="Q15" s="80" t="s">
        <v>165</v>
      </c>
      <c r="R15" s="80" t="s">
        <v>160</v>
      </c>
      <c r="S15" s="68" t="s">
        <v>259</v>
      </c>
      <c r="T15" s="68" t="s">
        <v>231</v>
      </c>
      <c r="U15" s="68" t="s">
        <v>317</v>
      </c>
      <c r="V15" s="68" t="s">
        <v>256</v>
      </c>
      <c r="W15" s="68"/>
      <c r="X15" s="223"/>
    </row>
    <row r="16" spans="1:39" s="35" customFormat="1" ht="99.75" customHeight="1">
      <c r="A16" s="186"/>
      <c r="B16" s="186"/>
      <c r="C16" s="186"/>
      <c r="D16" s="219"/>
      <c r="E16" s="160"/>
      <c r="F16" s="88" t="s">
        <v>270</v>
      </c>
      <c r="G16" s="87" t="s">
        <v>136</v>
      </c>
      <c r="H16" s="76" t="str">
        <f>IF(G16="MUY PROBABLE","5",IF(G16="MEDIANAMENTE","4",IF(G16="PROBABLE","3",IF(G16="POCO PROBABLE","2",IF(G16="NO ES PROBABLE","1")))))</f>
        <v>2</v>
      </c>
      <c r="I16" s="87" t="s">
        <v>132</v>
      </c>
      <c r="J16" s="76" t="str">
        <f>IF(I16="CONSTANTE","5",IF(I16="FRECUENTE","4",IF(I16="OCASIONAL","3",IF(I16="ESPORADICO","2",IF(I16="MINIMA","1")))))</f>
        <v>5</v>
      </c>
      <c r="K16" s="87" t="s">
        <v>10</v>
      </c>
      <c r="L16" s="76" t="str">
        <f>IF(K16="CRITICO","5",IF(K16="PELIGROSO","4",IF(K16="MODERADO","3",IF(K16="MARGINAL","2",IF(K16="INSIGNIFICANTE","1")))))</f>
        <v>1</v>
      </c>
      <c r="M16" s="77">
        <f>H16+J16+L16</f>
        <v>8</v>
      </c>
      <c r="N16" s="78" t="str">
        <f>IF(M16&lt;=7,"NIVEL DE RIESGO BAJO",IF(M16&lt;=11,"NIVEL DE RIESGO MEDIO o MODERADO","NIVEL DE RIESGO ALTO o CRITICO"))</f>
        <v>NIVEL DE RIESGO MEDIO o MODERADO</v>
      </c>
      <c r="O16" s="79" t="str">
        <f>IF(M16&lt;=7,"ACEPTABLE",IF(M16&lt;=11,"ACEPTABLE CON COTROL ESPECIFICO","NO ACEPTABLE"))</f>
        <v>ACEPTABLE CON COTROL ESPECIFICO</v>
      </c>
      <c r="P16" s="79" t="s">
        <v>391</v>
      </c>
      <c r="Q16" s="80" t="s">
        <v>166</v>
      </c>
      <c r="R16" s="80" t="s">
        <v>161</v>
      </c>
      <c r="S16" s="68" t="s">
        <v>392</v>
      </c>
      <c r="T16" s="68" t="s">
        <v>397</v>
      </c>
      <c r="U16" s="68" t="s">
        <v>393</v>
      </c>
      <c r="V16" s="68" t="s">
        <v>394</v>
      </c>
      <c r="W16" s="68" t="s">
        <v>396</v>
      </c>
      <c r="X16" s="223"/>
    </row>
    <row r="17" spans="1:24" s="35" customFormat="1" ht="63" customHeight="1">
      <c r="A17" s="186"/>
      <c r="B17" s="186"/>
      <c r="C17" s="186"/>
      <c r="D17" s="219"/>
      <c r="E17" s="160"/>
      <c r="F17" s="159" t="s">
        <v>269</v>
      </c>
      <c r="G17" s="150" t="s">
        <v>134</v>
      </c>
      <c r="H17" s="150">
        <v>5</v>
      </c>
      <c r="I17" s="150" t="s">
        <v>42</v>
      </c>
      <c r="J17" s="150">
        <v>4</v>
      </c>
      <c r="K17" s="150" t="s">
        <v>138</v>
      </c>
      <c r="L17" s="150">
        <v>5</v>
      </c>
      <c r="M17" s="150">
        <f>H17+J17+L17</f>
        <v>14</v>
      </c>
      <c r="N17" s="175" t="s">
        <v>260</v>
      </c>
      <c r="O17" s="162" t="str">
        <f>IF(M17&lt;=7,"ACEPTABLE",IF(M17&lt;=11,"ACEPTABLE CON COTROL ESPECIFICO","NO ACEPTABLE"))</f>
        <v>NO ACEPTABLE</v>
      </c>
      <c r="P17" s="162" t="s">
        <v>324</v>
      </c>
      <c r="Q17" s="159" t="s">
        <v>165</v>
      </c>
      <c r="R17" s="159" t="s">
        <v>161</v>
      </c>
      <c r="S17" s="68" t="s">
        <v>143</v>
      </c>
      <c r="T17" s="68" t="s">
        <v>213</v>
      </c>
      <c r="U17" s="68" t="s">
        <v>261</v>
      </c>
      <c r="V17" s="68" t="s">
        <v>217</v>
      </c>
      <c r="W17" s="68"/>
      <c r="X17" s="223"/>
    </row>
    <row r="18" spans="1:24" s="35" customFormat="1" ht="66.75" customHeight="1">
      <c r="A18" s="186"/>
      <c r="B18" s="186"/>
      <c r="C18" s="186"/>
      <c r="D18" s="219"/>
      <c r="E18" s="160"/>
      <c r="F18" s="160"/>
      <c r="G18" s="153"/>
      <c r="H18" s="153"/>
      <c r="I18" s="153"/>
      <c r="J18" s="153"/>
      <c r="K18" s="153"/>
      <c r="L18" s="153"/>
      <c r="M18" s="153"/>
      <c r="N18" s="177"/>
      <c r="O18" s="163"/>
      <c r="P18" s="163"/>
      <c r="Q18" s="160"/>
      <c r="R18" s="160"/>
      <c r="S18" s="156" t="s">
        <v>244</v>
      </c>
      <c r="T18" s="68" t="s">
        <v>245</v>
      </c>
      <c r="U18" s="68" t="s">
        <v>262</v>
      </c>
      <c r="V18" s="68" t="s">
        <v>217</v>
      </c>
      <c r="W18" s="68"/>
      <c r="X18" s="223"/>
    </row>
    <row r="19" spans="1:24" s="35" customFormat="1" ht="66.75" customHeight="1">
      <c r="A19" s="186"/>
      <c r="B19" s="186"/>
      <c r="C19" s="186"/>
      <c r="D19" s="219"/>
      <c r="E19" s="160"/>
      <c r="F19" s="160"/>
      <c r="G19" s="153"/>
      <c r="H19" s="153"/>
      <c r="I19" s="153"/>
      <c r="J19" s="153"/>
      <c r="K19" s="153"/>
      <c r="L19" s="153"/>
      <c r="M19" s="153"/>
      <c r="N19" s="177"/>
      <c r="O19" s="163"/>
      <c r="P19" s="163"/>
      <c r="Q19" s="160"/>
      <c r="R19" s="160"/>
      <c r="S19" s="158"/>
      <c r="T19" s="68" t="s">
        <v>321</v>
      </c>
      <c r="U19" s="68" t="s">
        <v>322</v>
      </c>
      <c r="V19" s="68" t="s">
        <v>323</v>
      </c>
      <c r="W19" s="68"/>
      <c r="X19" s="223"/>
    </row>
    <row r="20" spans="1:24" s="35" customFormat="1" ht="63" customHeight="1">
      <c r="A20" s="186"/>
      <c r="B20" s="186"/>
      <c r="C20" s="186"/>
      <c r="D20" s="219"/>
      <c r="E20" s="160"/>
      <c r="F20" s="161"/>
      <c r="G20" s="151"/>
      <c r="H20" s="151"/>
      <c r="I20" s="151"/>
      <c r="J20" s="151"/>
      <c r="K20" s="151"/>
      <c r="L20" s="151"/>
      <c r="M20" s="151"/>
      <c r="N20" s="176"/>
      <c r="O20" s="164"/>
      <c r="P20" s="164"/>
      <c r="Q20" s="161"/>
      <c r="R20" s="161"/>
      <c r="S20" s="68" t="s">
        <v>152</v>
      </c>
      <c r="T20" s="68" t="s">
        <v>151</v>
      </c>
      <c r="U20" s="68" t="s">
        <v>263</v>
      </c>
      <c r="V20" s="68" t="s">
        <v>247</v>
      </c>
      <c r="W20" s="68"/>
      <c r="X20" s="223"/>
    </row>
    <row r="21" spans="1:24" s="35" customFormat="1" ht="63" customHeight="1">
      <c r="A21" s="186"/>
      <c r="B21" s="186"/>
      <c r="C21" s="186"/>
      <c r="D21" s="219"/>
      <c r="E21" s="160"/>
      <c r="F21" s="159" t="s">
        <v>39</v>
      </c>
      <c r="G21" s="150" t="s">
        <v>9</v>
      </c>
      <c r="H21" s="150" t="str">
        <f>IF(G21="MUY PROBABLE","5",IF(G21="MEDIANAMENTE","4",IF(G21="PROBABLE","3",IF(G21="POCO PROBABLE","2",IF(G21="NO ES PROBABLE","1")))))</f>
        <v>3</v>
      </c>
      <c r="I21" s="150" t="s">
        <v>133</v>
      </c>
      <c r="J21" s="150" t="str">
        <f>IF(I21="CONSTANTE","5",IF(I21="FRECUENTE","4",IF(I21="OCASIONAL","3",IF(I21="ESPORADICO","2",IF(I21="MINIMA","1")))))</f>
        <v>1</v>
      </c>
      <c r="K21" s="150" t="s">
        <v>138</v>
      </c>
      <c r="L21" s="150" t="str">
        <f>IF(K21="CRITICO","5",IF(K21="PELIGROSO","4",IF(K21="MODERADO","3",IF(K21="MARGINAL","2",IF(K21="INSIGNIFICANTE","1")))))</f>
        <v>4</v>
      </c>
      <c r="M21" s="165">
        <f>H21+J21+L21</f>
        <v>8</v>
      </c>
      <c r="N21" s="175" t="str">
        <f t="shared" ref="N21" si="0">IF(M21&lt;=7,"NIVEL DE RIESGO BAJO",IF(M21&lt;=11,"NIVEL DE RIESGO MEDIO o MODERADO","NIVEL DE RIESGO ALTO o CRITICO"))</f>
        <v>NIVEL DE RIESGO MEDIO o MODERADO</v>
      </c>
      <c r="O21" s="162" t="s">
        <v>326</v>
      </c>
      <c r="P21" s="162" t="s">
        <v>327</v>
      </c>
      <c r="Q21" s="159" t="s">
        <v>165</v>
      </c>
      <c r="R21" s="159" t="s">
        <v>160</v>
      </c>
      <c r="S21" s="90" t="s">
        <v>244</v>
      </c>
      <c r="T21" s="68" t="s">
        <v>328</v>
      </c>
      <c r="U21" s="68" t="s">
        <v>329</v>
      </c>
      <c r="V21" s="68" t="s">
        <v>330</v>
      </c>
      <c r="W21" s="68"/>
      <c r="X21" s="223"/>
    </row>
    <row r="22" spans="1:24" s="35" customFormat="1" ht="63" customHeight="1">
      <c r="A22" s="186"/>
      <c r="B22" s="186"/>
      <c r="C22" s="186"/>
      <c r="D22" s="219"/>
      <c r="E22" s="160"/>
      <c r="F22" s="161"/>
      <c r="G22" s="151"/>
      <c r="H22" s="151"/>
      <c r="I22" s="151"/>
      <c r="J22" s="151"/>
      <c r="K22" s="151"/>
      <c r="L22" s="151"/>
      <c r="M22" s="167"/>
      <c r="N22" s="176"/>
      <c r="O22" s="164"/>
      <c r="P22" s="164"/>
      <c r="Q22" s="161"/>
      <c r="R22" s="161"/>
      <c r="S22" s="90" t="s">
        <v>250</v>
      </c>
      <c r="T22" s="68" t="s">
        <v>331</v>
      </c>
      <c r="U22" s="68" t="s">
        <v>263</v>
      </c>
      <c r="V22" s="68" t="s">
        <v>332</v>
      </c>
      <c r="W22" s="68"/>
      <c r="X22" s="223"/>
    </row>
    <row r="23" spans="1:24" s="35" customFormat="1" ht="63" customHeight="1">
      <c r="A23" s="186"/>
      <c r="B23" s="186"/>
      <c r="C23" s="186"/>
      <c r="D23" s="219"/>
      <c r="E23" s="161"/>
      <c r="F23" s="88" t="s">
        <v>40</v>
      </c>
      <c r="G23" s="76" t="s">
        <v>9</v>
      </c>
      <c r="H23" s="76" t="str">
        <f>IF(G23="MUY PROBABLE","5",IF(G23="MEDIANAMENTE","4",IF(G23="PROBABLE","3",IF(G23="POCO PROBABLE","2",IF(G23="NO ES PROBABLE","1")))))</f>
        <v>3</v>
      </c>
      <c r="I23" s="87" t="s">
        <v>42</v>
      </c>
      <c r="J23" s="76">
        <v>4</v>
      </c>
      <c r="K23" s="76" t="s">
        <v>139</v>
      </c>
      <c r="L23" s="76" t="str">
        <f>IF(K23="CRITICO","5",IF(K23="PELIGROSO","4",IF(K23="MODERADO","3",IF(K23="MARGINAL","2",IF(K23="INSIGNIFICANTE","1")))))</f>
        <v>2</v>
      </c>
      <c r="M23" s="77">
        <f>H23+J23+L23</f>
        <v>9</v>
      </c>
      <c r="N23" s="78" t="str">
        <f>IF(M23&lt;=7,"NIVEL DE RIESGO BAJO",IF(M23&lt;=11,"NIVEL DE RIESGO MEDIO o MODERADO","NIVEL DE RIESGO ALTO o CRITICO"))</f>
        <v>NIVEL DE RIESGO MEDIO o MODERADO</v>
      </c>
      <c r="O23" s="79" t="str">
        <f t="shared" ref="O23" si="1">IF(M23&lt;=7,"ACEPTABLE",IF(M23&lt;=11,"ACEPTABLE CON COTROL ESPECIFICO","NO ACEPTABLE"))</f>
        <v>ACEPTABLE CON COTROL ESPECIFICO</v>
      </c>
      <c r="P23" s="79" t="s">
        <v>333</v>
      </c>
      <c r="Q23" s="80" t="s">
        <v>165</v>
      </c>
      <c r="R23" s="80" t="s">
        <v>160</v>
      </c>
      <c r="S23" s="68" t="s">
        <v>325</v>
      </c>
      <c r="T23" s="68" t="s">
        <v>151</v>
      </c>
      <c r="U23" s="68" t="s">
        <v>263</v>
      </c>
      <c r="V23" s="68" t="s">
        <v>247</v>
      </c>
      <c r="W23" s="68"/>
      <c r="X23" s="223"/>
    </row>
    <row r="24" spans="1:24" s="35" customFormat="1" ht="80.25" customHeight="1">
      <c r="A24" s="186"/>
      <c r="B24" s="186"/>
      <c r="C24" s="186"/>
      <c r="D24" s="219"/>
      <c r="E24" s="159" t="s">
        <v>91</v>
      </c>
      <c r="F24" s="159" t="s">
        <v>68</v>
      </c>
      <c r="G24" s="150" t="s">
        <v>9</v>
      </c>
      <c r="H24" s="150">
        <v>4</v>
      </c>
      <c r="I24" s="150" t="s">
        <v>42</v>
      </c>
      <c r="J24" s="150" t="str">
        <f>IF(I24="CONSTANTE","5",IF(I24="FRECUENTE","4",IF(I24="OCASIONAL","3",IF(I24="ESPORADICO","2",IF(I24="MINIMA","1")))))</f>
        <v>4</v>
      </c>
      <c r="K24" s="150" t="s">
        <v>122</v>
      </c>
      <c r="L24" s="150" t="str">
        <f>IF(K24="CRITICO","5",IF(K24="PELIGROSO","4",IF(K24="MODERADO","3",IF(K24="MARGINAL","2",IF(K24="INSIGNIFICANTE","1")))))</f>
        <v>5</v>
      </c>
      <c r="M24" s="165">
        <f>H24+J24+L24</f>
        <v>13</v>
      </c>
      <c r="N24" s="175" t="str">
        <f>IF(M24&lt;=7,"NIVEL DE RIESGO BAJO",IF(M24&lt;=11,"NIVEL DE RIESGO MEDIO o MODERADO","NIVEL DE RIESGO ALTO o CRITICO"))</f>
        <v>NIVEL DE RIESGO ALTO o CRITICO</v>
      </c>
      <c r="O24" s="162" t="str">
        <f>IF(M24&lt;=7,"ACEPTABLE",IF(M24&lt;=11,"ACEPTABLE CON COTROL ESPECIFICO","NO ACEPTABLE"))</f>
        <v>NO ACEPTABLE</v>
      </c>
      <c r="P24" s="162" t="s">
        <v>338</v>
      </c>
      <c r="Q24" s="159" t="s">
        <v>166</v>
      </c>
      <c r="R24" s="159" t="s">
        <v>162</v>
      </c>
      <c r="S24" s="68" t="s">
        <v>342</v>
      </c>
      <c r="T24" s="68" t="s">
        <v>241</v>
      </c>
      <c r="U24" s="68" t="s">
        <v>341</v>
      </c>
      <c r="V24" s="68"/>
      <c r="W24" s="68"/>
      <c r="X24" s="223"/>
    </row>
    <row r="25" spans="1:24" s="35" customFormat="1" ht="115.5" customHeight="1">
      <c r="A25" s="186"/>
      <c r="B25" s="186"/>
      <c r="C25" s="186"/>
      <c r="D25" s="219"/>
      <c r="E25" s="160"/>
      <c r="F25" s="160"/>
      <c r="G25" s="153"/>
      <c r="H25" s="153"/>
      <c r="I25" s="153"/>
      <c r="J25" s="153"/>
      <c r="K25" s="153"/>
      <c r="L25" s="153"/>
      <c r="M25" s="166"/>
      <c r="N25" s="177"/>
      <c r="O25" s="163"/>
      <c r="P25" s="164"/>
      <c r="Q25" s="160"/>
      <c r="R25" s="160"/>
      <c r="S25" s="68" t="s">
        <v>335</v>
      </c>
      <c r="T25" s="68" t="s">
        <v>336</v>
      </c>
      <c r="U25" s="68" t="s">
        <v>341</v>
      </c>
      <c r="V25" s="68" t="s">
        <v>256</v>
      </c>
      <c r="W25" s="68"/>
      <c r="X25" s="223"/>
    </row>
    <row r="26" spans="1:24" s="35" customFormat="1" ht="93.75" customHeight="1">
      <c r="A26" s="186"/>
      <c r="B26" s="186"/>
      <c r="C26" s="186"/>
      <c r="D26" s="219"/>
      <c r="E26" s="160"/>
      <c r="F26" s="161"/>
      <c r="G26" s="151"/>
      <c r="H26" s="151"/>
      <c r="I26" s="151"/>
      <c r="J26" s="151"/>
      <c r="K26" s="151"/>
      <c r="L26" s="151"/>
      <c r="M26" s="167"/>
      <c r="N26" s="176"/>
      <c r="O26" s="164"/>
      <c r="P26" s="79" t="s">
        <v>337</v>
      </c>
      <c r="Q26" s="161"/>
      <c r="R26" s="161"/>
      <c r="S26" s="68" t="s">
        <v>339</v>
      </c>
      <c r="T26" s="68" t="s">
        <v>340</v>
      </c>
      <c r="U26" s="68" t="s">
        <v>258</v>
      </c>
      <c r="V26" s="68"/>
      <c r="W26" s="68"/>
      <c r="X26" s="223"/>
    </row>
    <row r="27" spans="1:24" s="35" customFormat="1" ht="33.6" customHeight="1">
      <c r="A27" s="186"/>
      <c r="B27" s="186"/>
      <c r="C27" s="186"/>
      <c r="D27" s="219"/>
      <c r="E27" s="160"/>
      <c r="F27" s="159" t="s">
        <v>224</v>
      </c>
      <c r="G27" s="150" t="s">
        <v>9</v>
      </c>
      <c r="H27" s="150" t="str">
        <f t="shared" ref="H27:H37" si="2">IF(G27="MUY PROBABLE","5",IF(G27="MEDIANAMENTE","4",IF(G27="PROBABLE","3",IF(G27="POCO PROBABLE","2",IF(G27="NO ES PROBABLE","1")))))</f>
        <v>3</v>
      </c>
      <c r="I27" s="150" t="s">
        <v>42</v>
      </c>
      <c r="J27" s="150" t="str">
        <f t="shared" ref="J27:J37" si="3">IF(I27="CONSTANTE","5",IF(I27="FRECUENTE","4",IF(I27="OCASIONAL","3",IF(I27="ESPORADICO","2",IF(I27="MINIMA","1")))))</f>
        <v>4</v>
      </c>
      <c r="K27" s="150" t="s">
        <v>11</v>
      </c>
      <c r="L27" s="150" t="str">
        <f t="shared" ref="L27:L37" si="4">IF(K27="CRITICO","5",IF(K27="PELIGROSO","4",IF(K27="MODERADO","3",IF(K27="MARGINAL","2",IF(K27="INSIGNIFICANTE","1")))))</f>
        <v>3</v>
      </c>
      <c r="M27" s="165">
        <f>H27+J27+L27</f>
        <v>10</v>
      </c>
      <c r="N27" s="175" t="str">
        <f t="shared" ref="N27" si="5">IF(M27&lt;=7,"NIVEL DE RIESGO BAJO",IF(M27&lt;=11,"NIVEL DE RIESGO MEDIO o MODERADO","NIVEL DE RIESGO ALTO o CRITICO"))</f>
        <v>NIVEL DE RIESGO MEDIO o MODERADO</v>
      </c>
      <c r="O27" s="162" t="str">
        <f>IF(M27&lt;=7,"ACEPTABLE",IF(M27&lt;=11,"ACEPTABLE CON COTROL ESPECIFICO","NO ACEPTABLE"))</f>
        <v>ACEPTABLE CON COTROL ESPECIFICO</v>
      </c>
      <c r="P27" s="162" t="s">
        <v>334</v>
      </c>
      <c r="Q27" s="159" t="s">
        <v>164</v>
      </c>
      <c r="R27" s="159" t="s">
        <v>160</v>
      </c>
      <c r="S27" s="156" t="s">
        <v>225</v>
      </c>
      <c r="T27" s="68" t="s">
        <v>146</v>
      </c>
      <c r="U27" s="156" t="s">
        <v>226</v>
      </c>
      <c r="V27" s="156" t="s">
        <v>217</v>
      </c>
      <c r="W27" s="156"/>
      <c r="X27" s="223"/>
    </row>
    <row r="28" spans="1:24" s="35" customFormat="1" ht="33.75" customHeight="1">
      <c r="A28" s="186"/>
      <c r="B28" s="186"/>
      <c r="C28" s="186"/>
      <c r="D28" s="219"/>
      <c r="E28" s="160"/>
      <c r="F28" s="160"/>
      <c r="G28" s="153"/>
      <c r="H28" s="153"/>
      <c r="I28" s="153"/>
      <c r="J28" s="153"/>
      <c r="K28" s="153"/>
      <c r="L28" s="153"/>
      <c r="M28" s="166"/>
      <c r="N28" s="177"/>
      <c r="O28" s="163"/>
      <c r="P28" s="163"/>
      <c r="Q28" s="160"/>
      <c r="R28" s="160"/>
      <c r="S28" s="157"/>
      <c r="T28" s="156" t="s">
        <v>249</v>
      </c>
      <c r="U28" s="157"/>
      <c r="V28" s="157"/>
      <c r="W28" s="157"/>
      <c r="X28" s="223"/>
    </row>
    <row r="29" spans="1:24" s="35" customFormat="1" ht="33.75" customHeight="1">
      <c r="A29" s="186"/>
      <c r="B29" s="186"/>
      <c r="C29" s="186"/>
      <c r="D29" s="219"/>
      <c r="E29" s="160"/>
      <c r="F29" s="160"/>
      <c r="G29" s="153"/>
      <c r="H29" s="153"/>
      <c r="I29" s="153"/>
      <c r="J29" s="153"/>
      <c r="K29" s="153"/>
      <c r="L29" s="153"/>
      <c r="M29" s="166"/>
      <c r="N29" s="177"/>
      <c r="O29" s="163"/>
      <c r="P29" s="163"/>
      <c r="Q29" s="160"/>
      <c r="R29" s="160"/>
      <c r="S29" s="157"/>
      <c r="T29" s="157"/>
      <c r="U29" s="157"/>
      <c r="V29" s="157"/>
      <c r="W29" s="157"/>
      <c r="X29" s="223"/>
    </row>
    <row r="30" spans="1:24" s="35" customFormat="1" ht="32.25" customHeight="1">
      <c r="A30" s="186"/>
      <c r="B30" s="186"/>
      <c r="C30" s="186"/>
      <c r="D30" s="219"/>
      <c r="E30" s="161"/>
      <c r="F30" s="161"/>
      <c r="G30" s="151"/>
      <c r="H30" s="151"/>
      <c r="I30" s="151"/>
      <c r="J30" s="151"/>
      <c r="K30" s="151"/>
      <c r="L30" s="151"/>
      <c r="M30" s="167"/>
      <c r="N30" s="176"/>
      <c r="O30" s="164"/>
      <c r="P30" s="164"/>
      <c r="Q30" s="161"/>
      <c r="R30" s="161"/>
      <c r="S30" s="158"/>
      <c r="T30" s="158"/>
      <c r="U30" s="158"/>
      <c r="V30" s="158"/>
      <c r="W30" s="158"/>
      <c r="X30" s="223"/>
    </row>
    <row r="31" spans="1:24" s="35" customFormat="1" ht="39.75" customHeight="1">
      <c r="A31" s="186"/>
      <c r="B31" s="186"/>
      <c r="C31" s="186"/>
      <c r="D31" s="219"/>
      <c r="E31" s="159" t="s">
        <v>93</v>
      </c>
      <c r="F31" s="159" t="s">
        <v>229</v>
      </c>
      <c r="G31" s="150" t="s">
        <v>9</v>
      </c>
      <c r="H31" s="150">
        <v>3</v>
      </c>
      <c r="I31" s="150" t="s">
        <v>42</v>
      </c>
      <c r="J31" s="150" t="str">
        <f t="shared" ref="J31" si="6">IF(I31="CONSTANTE","5",IF(I31="FRECUENTE","4",IF(I31="OCASIONAL","3",IF(I31="ESPORADICO","2",IF(I31="MINIMA","1")))))</f>
        <v>4</v>
      </c>
      <c r="K31" s="150" t="s">
        <v>10</v>
      </c>
      <c r="L31" s="150" t="str">
        <f t="shared" ref="L31" si="7">IF(K31="CRITICO","5",IF(K31="PELIGROSO","4",IF(K31="MODERADO","3",IF(K31="MARGINAL","2",IF(K31="INSIGNIFICANTE","1")))))</f>
        <v>1</v>
      </c>
      <c r="M31" s="165">
        <f>H31+J31+L31</f>
        <v>8</v>
      </c>
      <c r="N31" s="175" t="str">
        <f>IF(M31&lt;=7,"NIVEL DE RIESGO BAJO",IF(M31&lt;=11,"NIVEL DE RIESGO MEDIO o MODERADO","NIVEL DE RIESGO ALTO o CRITICO"))</f>
        <v>NIVEL DE RIESGO MEDIO o MODERADO</v>
      </c>
      <c r="O31" s="162" t="str">
        <f>IF(M31&lt;=7,"ACEPTABLE",IF(M31&lt;=11,"ACEPTABLE CON COTROL ESPECIFICO","NO ACEPTABLE"))</f>
        <v>ACEPTABLE CON COTROL ESPECIFICO</v>
      </c>
      <c r="P31" s="162" t="s">
        <v>232</v>
      </c>
      <c r="Q31" s="159" t="s">
        <v>166</v>
      </c>
      <c r="R31" s="159" t="s">
        <v>161</v>
      </c>
      <c r="S31" s="68" t="s">
        <v>233</v>
      </c>
      <c r="T31" s="68" t="s">
        <v>235</v>
      </c>
      <c r="U31" s="68" t="s">
        <v>214</v>
      </c>
      <c r="V31" s="68" t="s">
        <v>216</v>
      </c>
      <c r="W31" s="68"/>
      <c r="X31" s="223"/>
    </row>
    <row r="32" spans="1:24" s="35" customFormat="1" ht="68.25" customHeight="1">
      <c r="A32" s="186"/>
      <c r="B32" s="186"/>
      <c r="C32" s="186"/>
      <c r="D32" s="219"/>
      <c r="E32" s="160"/>
      <c r="F32" s="161"/>
      <c r="G32" s="151"/>
      <c r="H32" s="151"/>
      <c r="I32" s="151"/>
      <c r="J32" s="151"/>
      <c r="K32" s="151"/>
      <c r="L32" s="151"/>
      <c r="M32" s="167"/>
      <c r="N32" s="176"/>
      <c r="O32" s="164"/>
      <c r="P32" s="164"/>
      <c r="Q32" s="161"/>
      <c r="R32" s="161"/>
      <c r="S32" s="68" t="s">
        <v>234</v>
      </c>
      <c r="T32" s="68" t="s">
        <v>212</v>
      </c>
      <c r="U32" s="68" t="s">
        <v>214</v>
      </c>
      <c r="V32" s="68" t="s">
        <v>216</v>
      </c>
      <c r="W32" s="68"/>
      <c r="X32" s="223"/>
    </row>
    <row r="33" spans="1:24" s="35" customFormat="1" ht="68.25" customHeight="1">
      <c r="A33" s="186"/>
      <c r="B33" s="186"/>
      <c r="C33" s="186"/>
      <c r="D33" s="219"/>
      <c r="E33" s="160"/>
      <c r="F33" s="80" t="s">
        <v>402</v>
      </c>
      <c r="G33" s="76" t="s">
        <v>9</v>
      </c>
      <c r="H33" s="76" t="str">
        <f>IF(G33="MUY PROBABLE","5",IF(G33="MEDIANAMENTE","4",IF(G33="PROBABLE","3",IF(G33="POCO PROBABLE","2",IF(G33="NO ES PROBABLE","1")))))</f>
        <v>3</v>
      </c>
      <c r="I33" s="76" t="s">
        <v>132</v>
      </c>
      <c r="J33" s="76" t="str">
        <f>IF(I33="CONSTANTE","5",IF(I33="FRECUENTE","4",IF(I33="OCASIONAL","3",IF(I33="ESPORADICO","2",IF(I33="MINIMA","1")))))</f>
        <v>5</v>
      </c>
      <c r="K33" s="76" t="s">
        <v>10</v>
      </c>
      <c r="L33" s="76" t="str">
        <f>IF(K33="CRITICO","5",IF(K33="PELIGROSO","4",IF(K33="MODERADO","3",IF(K33="MARGINAL","2",IF(K33="INSIGNIFICANTE","1")))))</f>
        <v>1</v>
      </c>
      <c r="M33" s="77">
        <f>H33+J33+L33</f>
        <v>9</v>
      </c>
      <c r="N33" s="78" t="str">
        <f t="shared" ref="N33" si="8">IF(M33&lt;=7,"NIVEL DE RIESGO BAJO",IF(M33&lt;=11,"NIVEL DE RIESGO MEDIO o MODERADO","NIVEL DE RIESGO ALTO o CRITICO"))</f>
        <v>NIVEL DE RIESGO MEDIO o MODERADO</v>
      </c>
      <c r="O33" s="79" t="str">
        <f>IF(M33&lt;=7,"ACEPTABLE",IF(M33&lt;=11,"ACEPTABLE CON COTROL ESPECIFICO","NO ACEPTABLE"))</f>
        <v>ACEPTABLE CON COTROL ESPECIFICO</v>
      </c>
      <c r="P33" s="79" t="s">
        <v>403</v>
      </c>
      <c r="Q33" s="80" t="s">
        <v>166</v>
      </c>
      <c r="R33" s="80" t="s">
        <v>161</v>
      </c>
      <c r="S33" s="68" t="s">
        <v>404</v>
      </c>
      <c r="T33" s="68" t="s">
        <v>212</v>
      </c>
      <c r="U33" s="68" t="s">
        <v>405</v>
      </c>
      <c r="V33" s="68"/>
      <c r="W33" s="68"/>
      <c r="X33" s="223"/>
    </row>
    <row r="34" spans="1:24" s="35" customFormat="1" ht="58.5" customHeight="1">
      <c r="A34" s="186"/>
      <c r="B34" s="186"/>
      <c r="C34" s="186"/>
      <c r="D34" s="219"/>
      <c r="E34" s="160"/>
      <c r="F34" s="159" t="s">
        <v>227</v>
      </c>
      <c r="G34" s="150" t="s">
        <v>137</v>
      </c>
      <c r="H34" s="150" t="str">
        <f>IF(G34="MUY PROBABLE","5",IF(G34="MEDIANAMENTE PROBABLE","4",IF(G34="PROBABLE","3",IF(G34="POCO PROBABLE","2",IF(G34="NO ES PROBABLE","1")))))</f>
        <v>4</v>
      </c>
      <c r="I34" s="150" t="s">
        <v>42</v>
      </c>
      <c r="J34" s="150" t="str">
        <f t="shared" ref="J34" si="9">IF(I34="CONSTANTE","5",IF(I34="FRECUENTE","4",IF(I34="OCASIONAL","3",IF(I34="ESPORADICO","2",IF(I34="MINIMA","1")))))</f>
        <v>4</v>
      </c>
      <c r="K34" s="150" t="s">
        <v>10</v>
      </c>
      <c r="L34" s="150" t="str">
        <f t="shared" ref="L34" si="10">IF(K34="CRITICO","5",IF(K34="PELIGROSO","4",IF(K34="MODERADO","3",IF(K34="MARGINAL","2",IF(K34="INSIGNIFICANTE","1")))))</f>
        <v>1</v>
      </c>
      <c r="M34" s="165">
        <f>H34+J34+L34</f>
        <v>9</v>
      </c>
      <c r="N34" s="175" t="str">
        <f t="shared" ref="N34" si="11">IF(M34&lt;=7,"NIVEL DE RIESGO BAJO",IF(M34&lt;=11,"NIVEL DE RIESGO MEDIO o MODERADO","NIVEL DE RIESGO ALTO o CRITICO"))</f>
        <v>NIVEL DE RIESGO MEDIO o MODERADO</v>
      </c>
      <c r="O34" s="162" t="str">
        <f>IF(M34&lt;=7,"ACEPTABLE",IF(M34&lt;=11,"ACEPTABLE CON COTROL ESPECIFICO","NO ACEPTABLE"))</f>
        <v>ACEPTABLE CON COTROL ESPECIFICO</v>
      </c>
      <c r="P34" s="162" t="s">
        <v>228</v>
      </c>
      <c r="Q34" s="159" t="s">
        <v>164</v>
      </c>
      <c r="R34" s="159" t="s">
        <v>161</v>
      </c>
      <c r="S34" s="68" t="s">
        <v>230</v>
      </c>
      <c r="T34" s="68" t="s">
        <v>212</v>
      </c>
      <c r="U34" s="68" t="s">
        <v>214</v>
      </c>
      <c r="V34" s="68" t="s">
        <v>216</v>
      </c>
      <c r="W34" s="68"/>
      <c r="X34" s="223"/>
    </row>
    <row r="35" spans="1:24" s="35" customFormat="1" ht="62.25" customHeight="1">
      <c r="A35" s="187"/>
      <c r="B35" s="187"/>
      <c r="C35" s="187"/>
      <c r="D35" s="220"/>
      <c r="E35" s="161"/>
      <c r="F35" s="161"/>
      <c r="G35" s="151"/>
      <c r="H35" s="151"/>
      <c r="I35" s="151"/>
      <c r="J35" s="151"/>
      <c r="K35" s="151"/>
      <c r="L35" s="151"/>
      <c r="M35" s="167"/>
      <c r="N35" s="176"/>
      <c r="O35" s="164"/>
      <c r="P35" s="164"/>
      <c r="Q35" s="161"/>
      <c r="R35" s="161"/>
      <c r="S35" s="68" t="s">
        <v>234</v>
      </c>
      <c r="T35" s="68" t="s">
        <v>231</v>
      </c>
      <c r="U35" s="68" t="s">
        <v>264</v>
      </c>
      <c r="V35" s="68" t="s">
        <v>217</v>
      </c>
      <c r="W35" s="68"/>
      <c r="X35" s="224"/>
    </row>
    <row r="36" spans="1:24" s="35" customFormat="1" ht="66" customHeight="1">
      <c r="A36" s="154" t="s">
        <v>240</v>
      </c>
      <c r="B36" s="154" t="s">
        <v>343</v>
      </c>
      <c r="C36" s="154" t="s">
        <v>220</v>
      </c>
      <c r="D36" s="155" t="s">
        <v>5</v>
      </c>
      <c r="E36" s="80" t="s">
        <v>90</v>
      </c>
      <c r="F36" s="80" t="s">
        <v>40</v>
      </c>
      <c r="G36" s="76" t="s">
        <v>136</v>
      </c>
      <c r="H36" s="76" t="str">
        <f>IF(G36="MUY PROBABLE","5",IF(G36="MEDIANAMENTE","4",IF(G36="PROBABLE","3",IF(G36="POCO PROBABLE","2",IF(G36="NO ES PROBABLE","1")))))</f>
        <v>2</v>
      </c>
      <c r="I36" s="76" t="s">
        <v>133</v>
      </c>
      <c r="J36" s="76" t="str">
        <f>IF(I36="CONSTANTE","5",IF(I36="FRECUENTE","4",IF(I36="OCASIONAL","3",IF(I36="ESPORADICO","2",IF(I36="MINIMA","1")))))</f>
        <v>1</v>
      </c>
      <c r="K36" s="76" t="s">
        <v>10</v>
      </c>
      <c r="L36" s="76" t="str">
        <f>IF(K36="CRITICO","5",IF(K36="PELIGROSO","4",IF(K36="MODERADO","3",IF(K36="MARGINAL","2",IF(K36="INSIGNIFICANTE","1")))))</f>
        <v>1</v>
      </c>
      <c r="M36" s="77">
        <f>H36+J36+L36</f>
        <v>4</v>
      </c>
      <c r="N36" s="78" t="str">
        <f t="shared" ref="N36" si="12">IF(M36&lt;=7,"NIVEL DE RIESGO BAJO",IF(M36&lt;=11,"NIVEL DE RIESGO MEDIO o MODERADO","NIVEL DE RIESGO ALTO o CRITICO"))</f>
        <v>NIVEL DE RIESGO BAJO</v>
      </c>
      <c r="O36" s="79" t="str">
        <f>IF(M36&lt;=7,"ACEPTABLE",IF(M36&lt;=11,"ACEPTABLE CON COTROL ESPECIFICO","NO ACEPTABLE"))</f>
        <v>ACEPTABLE</v>
      </c>
      <c r="P36" s="79" t="s">
        <v>236</v>
      </c>
      <c r="Q36" s="80" t="s">
        <v>165</v>
      </c>
      <c r="R36" s="80" t="s">
        <v>161</v>
      </c>
      <c r="S36" s="68" t="s">
        <v>244</v>
      </c>
      <c r="T36" s="68" t="s">
        <v>221</v>
      </c>
      <c r="U36" s="68" t="s">
        <v>265</v>
      </c>
      <c r="V36" s="68" t="s">
        <v>216</v>
      </c>
      <c r="W36" s="68"/>
      <c r="X36" s="168"/>
    </row>
    <row r="37" spans="1:24" s="34" customFormat="1" ht="39.75" customHeight="1">
      <c r="A37" s="154"/>
      <c r="B37" s="154"/>
      <c r="C37" s="154"/>
      <c r="D37" s="155"/>
      <c r="E37" s="159" t="s">
        <v>91</v>
      </c>
      <c r="F37" s="159" t="s">
        <v>71</v>
      </c>
      <c r="G37" s="150" t="s">
        <v>136</v>
      </c>
      <c r="H37" s="150" t="str">
        <f t="shared" si="2"/>
        <v>2</v>
      </c>
      <c r="I37" s="150" t="s">
        <v>131</v>
      </c>
      <c r="J37" s="150" t="str">
        <f t="shared" si="3"/>
        <v>2</v>
      </c>
      <c r="K37" s="150" t="s">
        <v>139</v>
      </c>
      <c r="L37" s="150" t="str">
        <f t="shared" si="4"/>
        <v>2</v>
      </c>
      <c r="M37" s="150">
        <f t="shared" ref="M37" si="13">H37+J37+L37</f>
        <v>6</v>
      </c>
      <c r="N37" s="181" t="str">
        <f t="shared" ref="N37" si="14">IF(M37&lt;=7,"NIVEL DE RIESGO BAJO",IF(M37&lt;=11,"NIVEL DE RIESGO MEDIO o MODERADO","NIVEL DE RIESGO ALTO o CRITICO"))</f>
        <v>NIVEL DE RIESGO BAJO</v>
      </c>
      <c r="O37" s="162" t="str">
        <f t="shared" ref="O37" si="15">IF(M37&lt;=7,"ACEPTABLE",IF(M37&lt;=11,"ACEPTABLE CON COTROL ESPECIFICO","NO ACEPTABLE"))</f>
        <v>ACEPTABLE</v>
      </c>
      <c r="P37" s="162" t="s">
        <v>243</v>
      </c>
      <c r="Q37" s="159" t="s">
        <v>165</v>
      </c>
      <c r="R37" s="159" t="s">
        <v>161</v>
      </c>
      <c r="S37" s="156" t="s">
        <v>244</v>
      </c>
      <c r="T37" s="68" t="s">
        <v>235</v>
      </c>
      <c r="U37" s="68" t="s">
        <v>265</v>
      </c>
      <c r="V37" s="68" t="s">
        <v>216</v>
      </c>
      <c r="W37" s="68"/>
      <c r="X37" s="168"/>
    </row>
    <row r="38" spans="1:24" s="34" customFormat="1" ht="74.25" customHeight="1">
      <c r="A38" s="154"/>
      <c r="B38" s="154"/>
      <c r="C38" s="154"/>
      <c r="D38" s="155"/>
      <c r="E38" s="161"/>
      <c r="F38" s="161"/>
      <c r="G38" s="151"/>
      <c r="H38" s="151"/>
      <c r="I38" s="151"/>
      <c r="J38" s="151"/>
      <c r="K38" s="151"/>
      <c r="L38" s="151"/>
      <c r="M38" s="151"/>
      <c r="N38" s="182"/>
      <c r="O38" s="164"/>
      <c r="P38" s="164"/>
      <c r="Q38" s="161"/>
      <c r="R38" s="161"/>
      <c r="S38" s="158"/>
      <c r="T38" s="68" t="s">
        <v>151</v>
      </c>
      <c r="U38" s="68" t="s">
        <v>265</v>
      </c>
      <c r="V38" s="68" t="s">
        <v>216</v>
      </c>
      <c r="W38" s="68"/>
      <c r="X38" s="168"/>
    </row>
    <row r="39" spans="1:24" s="35" customFormat="1" ht="106.5" customHeight="1">
      <c r="A39" s="154"/>
      <c r="B39" s="154"/>
      <c r="C39" s="154"/>
      <c r="D39" s="155"/>
      <c r="E39" s="80" t="s">
        <v>93</v>
      </c>
      <c r="F39" s="80" t="s">
        <v>94</v>
      </c>
      <c r="G39" s="76" t="s">
        <v>136</v>
      </c>
      <c r="H39" s="76" t="str">
        <f>IF(G39="MUY PROBABLE","5",IF(G39="MEDIANAMENTE","4",IF(G39="PROBABLE","3",IF(G39="POCO PROBABLE","2",IF(G39="NO ES PROBABLE","1")))))</f>
        <v>2</v>
      </c>
      <c r="I39" s="76" t="s">
        <v>133</v>
      </c>
      <c r="J39" s="76" t="str">
        <f>IF(I39="CONSTANTE","5",IF(I39="FRECUENTE","4",IF(I39="OCASIONAL","3",IF(I39="ESPORADICO","2",IF(I39="MINIMA","1")))))</f>
        <v>1</v>
      </c>
      <c r="K39" s="76" t="s">
        <v>139</v>
      </c>
      <c r="L39" s="76" t="str">
        <f>IF(K39="CRITICO","5",IF(K39="PELIGROSO","4",IF(K39="MODERADO","3",IF(K39="MARGINAL","2",IF(K39="INSIGNIFICANTE","1")))))</f>
        <v>2</v>
      </c>
      <c r="M39" s="77">
        <f>H39+J39+L39</f>
        <v>5</v>
      </c>
      <c r="N39" s="78" t="str">
        <f t="shared" ref="N39" si="16">IF(M39&lt;=7,"NIVEL DE RIESGO BAJO",IF(M39&lt;=11,"NIVEL DE RIESGO MEDIO o MODERADO","NIVEL DE RIESGO ALTO o CRITICO"))</f>
        <v>NIVEL DE RIESGO BAJO</v>
      </c>
      <c r="O39" s="79" t="str">
        <f>IF(M39&lt;=7,"ACEPTABLE",IF(M39&lt;=11,"ACEPTABLE CON COTROL ESPECIFICO","NO ACEPTABLE"))</f>
        <v>ACEPTABLE</v>
      </c>
      <c r="P39" s="79" t="s">
        <v>237</v>
      </c>
      <c r="Q39" s="80" t="s">
        <v>165</v>
      </c>
      <c r="R39" s="80" t="s">
        <v>161</v>
      </c>
      <c r="S39" s="68" t="s">
        <v>230</v>
      </c>
      <c r="T39" s="68" t="s">
        <v>221</v>
      </c>
      <c r="U39" s="68" t="s">
        <v>265</v>
      </c>
      <c r="V39" s="68" t="s">
        <v>216</v>
      </c>
      <c r="W39" s="68"/>
      <c r="X39" s="168"/>
    </row>
    <row r="40" spans="1:24" s="35" customFormat="1" ht="73.5" customHeight="1">
      <c r="A40" s="154" t="s">
        <v>29</v>
      </c>
      <c r="B40" s="154" t="s">
        <v>344</v>
      </c>
      <c r="C40" s="154" t="s">
        <v>220</v>
      </c>
      <c r="D40" s="155" t="s">
        <v>36</v>
      </c>
      <c r="E40" s="80" t="s">
        <v>90</v>
      </c>
      <c r="F40" s="80" t="s">
        <v>40</v>
      </c>
      <c r="G40" s="76" t="s">
        <v>136</v>
      </c>
      <c r="H40" s="76" t="str">
        <f>IF(G40="MUY PROBABLE","5",IF(G40="MEDIANAMENTE","4",IF(G40="PROBABLE","3",IF(G40="POCO PROBABLE","2",IF(G40="NO ES PROBABLE","1")))))</f>
        <v>2</v>
      </c>
      <c r="I40" s="76" t="s">
        <v>133</v>
      </c>
      <c r="J40" s="76" t="str">
        <f>IF(I40="CONSTANTE","5",IF(I40="FRECUENTE","4",IF(I40="OCASIONAL","3",IF(I40="ESPORADICO","2",IF(I40="MINIMA","1")))))</f>
        <v>1</v>
      </c>
      <c r="K40" s="76" t="s">
        <v>139</v>
      </c>
      <c r="L40" s="76" t="str">
        <f>IF(K40="CRITICO","5",IF(K40="PELIGROSO","4",IF(K40="MODERADO","3",IF(K40="MARGINAL","2",IF(K40="INSIGNIFICANTE","1")))))</f>
        <v>2</v>
      </c>
      <c r="M40" s="77">
        <f>H40+J40+L40</f>
        <v>5</v>
      </c>
      <c r="N40" s="78" t="str">
        <f t="shared" ref="N40" si="17">IF(M40&lt;=7,"NIVEL DE RIESGO BAJO",IF(M40&lt;=11,"NIVEL DE RIESGO MEDIO o MODERADO","NIVEL DE RIESGO ALTO o CRITICO"))</f>
        <v>NIVEL DE RIESGO BAJO</v>
      </c>
      <c r="O40" s="79" t="str">
        <f>IF(M40&lt;=7,"ACEPTABLE",IF(M40&lt;=11,"ACEPTABLE CON COTROL ESPECIFICO","NO ACEPTABLE"))</f>
        <v>ACEPTABLE</v>
      </c>
      <c r="P40" s="79" t="s">
        <v>238</v>
      </c>
      <c r="Q40" s="80" t="s">
        <v>165</v>
      </c>
      <c r="R40" s="80" t="s">
        <v>161</v>
      </c>
      <c r="S40" s="68" t="s">
        <v>251</v>
      </c>
      <c r="T40" s="68" t="s">
        <v>221</v>
      </c>
      <c r="U40" s="68" t="s">
        <v>265</v>
      </c>
      <c r="V40" s="68" t="s">
        <v>216</v>
      </c>
      <c r="W40" s="68"/>
      <c r="X40" s="168"/>
    </row>
    <row r="41" spans="1:24" s="35" customFormat="1" ht="73.5" customHeight="1">
      <c r="A41" s="154"/>
      <c r="B41" s="154"/>
      <c r="C41" s="154"/>
      <c r="D41" s="155"/>
      <c r="E41" s="80" t="s">
        <v>91</v>
      </c>
      <c r="F41" s="80" t="s">
        <v>66</v>
      </c>
      <c r="G41" s="76" t="s">
        <v>136</v>
      </c>
      <c r="H41" s="76" t="str">
        <f t="shared" ref="H41" si="18">IF(G41="MUY PROBABLE","5",IF(G41="MEDIANAMENTE","4",IF(G41="PROBABLE","3",IF(G41="POCO PROBABLE","2",IF(G41="NO ES PROBABLE","1")))))</f>
        <v>2</v>
      </c>
      <c r="I41" s="76" t="s">
        <v>133</v>
      </c>
      <c r="J41" s="76" t="str">
        <f>IF(I41="CONSTANTE","5",IF(I41="FRECUENTE","4",IF(I41="OCASIONAL","3",IF(I41="ESPORADICO","2",IF(I41="MINIMA","1")))))</f>
        <v>1</v>
      </c>
      <c r="K41" s="76" t="s">
        <v>139</v>
      </c>
      <c r="L41" s="76" t="str">
        <f t="shared" ref="L41" si="19">IF(K41="CRITICO","5",IF(K41="PELIGROSO","4",IF(K41="MODERADO","3",IF(K41="MARGINAL","2",IF(K41="INSIGNIFICANTE","1")))))</f>
        <v>2</v>
      </c>
      <c r="M41" s="77">
        <f t="shared" ref="M41" si="20">H41+J41+L41</f>
        <v>5</v>
      </c>
      <c r="N41" s="78" t="str">
        <f t="shared" ref="N41" si="21">IF(M41&lt;=7,"NIVEL DE RIESGO BAJO",IF(M41&lt;=11,"NIVEL DE RIESGO MEDIO o MODERADO","NIVEL DE RIESGO ALTO o CRITICO"))</f>
        <v>NIVEL DE RIESGO BAJO</v>
      </c>
      <c r="O41" s="79" t="str">
        <f t="shared" ref="O41" si="22">IF(M41&lt;=7,"ACEPTABLE",IF(M41&lt;=11,"ACEPTABLE CON COTROL ESPECIFICO","NO ACEPTABLE"))</f>
        <v>ACEPTABLE</v>
      </c>
      <c r="P41" s="79" t="s">
        <v>238</v>
      </c>
      <c r="Q41" s="80" t="s">
        <v>165</v>
      </c>
      <c r="R41" s="80" t="s">
        <v>161</v>
      </c>
      <c r="S41" s="68" t="s">
        <v>251</v>
      </c>
      <c r="T41" s="68" t="s">
        <v>221</v>
      </c>
      <c r="U41" s="68" t="s">
        <v>265</v>
      </c>
      <c r="V41" s="68" t="s">
        <v>216</v>
      </c>
      <c r="W41" s="68"/>
      <c r="X41" s="168"/>
    </row>
    <row r="42" spans="1:24" s="35" customFormat="1" ht="73.5" customHeight="1">
      <c r="A42" s="154"/>
      <c r="B42" s="154"/>
      <c r="C42" s="154"/>
      <c r="D42" s="155"/>
      <c r="E42" s="80" t="s">
        <v>93</v>
      </c>
      <c r="F42" s="80" t="s">
        <v>94</v>
      </c>
      <c r="G42" s="76" t="s">
        <v>136</v>
      </c>
      <c r="H42" s="76" t="str">
        <f>IF(G42="MUY PROBABLE","5",IF(G42="MEDIANAMENTE","4",IF(G42="PROBABLE","3",IF(G42="POCO PROBABLE","2",IF(G42="NO ES PROBABLE","1")))))</f>
        <v>2</v>
      </c>
      <c r="I42" s="76" t="s">
        <v>133</v>
      </c>
      <c r="J42" s="76" t="str">
        <f>IF(I42="CONSTANTE","5",IF(I42="FRECUENTE","4",IF(I42="OCASIONAL","3",IF(I42="ESPORADICO","2",IF(I42="MINIMA","1")))))</f>
        <v>1</v>
      </c>
      <c r="K42" s="76" t="s">
        <v>139</v>
      </c>
      <c r="L42" s="76" t="str">
        <f>IF(K42="CRITICO","5",IF(K42="PELIGROSO","4",IF(K42="MODERADO","3",IF(K42="MARGINAL","2",IF(K42="INSIGNIFICANTE","1")))))</f>
        <v>2</v>
      </c>
      <c r="M42" s="77">
        <f>H42+J42+L42</f>
        <v>5</v>
      </c>
      <c r="N42" s="78" t="str">
        <f t="shared" ref="N42:N43" si="23">IF(M42&lt;=7,"NIVEL DE RIESGO BAJO",IF(M42&lt;=11,"NIVEL DE RIESGO MEDIO o MODERADO","NIVEL DE RIESGO ALTO o CRITICO"))</f>
        <v>NIVEL DE RIESGO BAJO</v>
      </c>
      <c r="O42" s="79" t="str">
        <f>IF(M42&lt;=7,"ACEPTABLE",IF(M42&lt;=11,"ACEPTABLE CON COTROL ESPECIFICO","NO ACEPTABLE"))</f>
        <v>ACEPTABLE</v>
      </c>
      <c r="P42" s="79" t="s">
        <v>238</v>
      </c>
      <c r="Q42" s="80" t="s">
        <v>165</v>
      </c>
      <c r="R42" s="80" t="s">
        <v>161</v>
      </c>
      <c r="S42" s="68" t="s">
        <v>230</v>
      </c>
      <c r="T42" s="68" t="s">
        <v>221</v>
      </c>
      <c r="U42" s="68" t="s">
        <v>265</v>
      </c>
      <c r="V42" s="68" t="s">
        <v>216</v>
      </c>
      <c r="W42" s="68"/>
      <c r="X42" s="168"/>
    </row>
    <row r="43" spans="1:24" s="35" customFormat="1" ht="73.5" customHeight="1">
      <c r="A43" s="185" t="s">
        <v>29</v>
      </c>
      <c r="B43" s="185" t="s">
        <v>375</v>
      </c>
      <c r="C43" s="185" t="s">
        <v>140</v>
      </c>
      <c r="D43" s="218" t="s">
        <v>347</v>
      </c>
      <c r="E43" s="159" t="s">
        <v>90</v>
      </c>
      <c r="F43" s="169" t="s">
        <v>73</v>
      </c>
      <c r="G43" s="170" t="s">
        <v>136</v>
      </c>
      <c r="H43" s="170" t="str">
        <f>IF(G43="MUY PROBABLE","5",IF(G43="MEDIANAMENTE","4",IF(G43="PROBABLE","3",IF(G43="POCO PROBABLE","2",IF(G43="NO ES PROBABLE","1")))))</f>
        <v>2</v>
      </c>
      <c r="I43" s="170" t="s">
        <v>42</v>
      </c>
      <c r="J43" s="170" t="str">
        <f>IF(I43="CONSTANTE","5",IF(I43="FRECUENTE","4",IF(I43="OCASIONAL","3",IF(I43="ESPORADICO","2",IF(I43="MINIMA","1")))))</f>
        <v>4</v>
      </c>
      <c r="K43" s="170" t="s">
        <v>139</v>
      </c>
      <c r="L43" s="170" t="str">
        <f>IF(K43="CRITICO","5",IF(K43="PELIGROSO","4",IF(K43="MODERADO","3",IF(K43="MARGINAL","2",IF(K43="INSIGNIFICANTE","1")))))</f>
        <v>2</v>
      </c>
      <c r="M43" s="171">
        <f>H43+J43+L43</f>
        <v>8</v>
      </c>
      <c r="N43" s="172" t="str">
        <f t="shared" si="23"/>
        <v>NIVEL DE RIESGO MEDIO o MODERADO</v>
      </c>
      <c r="O43" s="173" t="str">
        <f>IF(M43&lt;=7,"ACEPTABLE",IF(M43&lt;=11,"ACEPTABLE CON COTROL ESPECIFICO","NO ACEPTABLE"))</f>
        <v>ACEPTABLE CON COTROL ESPECIFICO</v>
      </c>
      <c r="P43" s="173" t="s">
        <v>345</v>
      </c>
      <c r="Q43" s="169" t="s">
        <v>165</v>
      </c>
      <c r="R43" s="169" t="s">
        <v>161</v>
      </c>
      <c r="S43" s="174" t="s">
        <v>244</v>
      </c>
      <c r="T43" s="68" t="s">
        <v>221</v>
      </c>
      <c r="U43" s="68" t="s">
        <v>265</v>
      </c>
      <c r="V43" s="68" t="s">
        <v>216</v>
      </c>
      <c r="W43" s="68"/>
      <c r="X43" s="91"/>
    </row>
    <row r="44" spans="1:24" s="35" customFormat="1" ht="73.5" customHeight="1">
      <c r="A44" s="186"/>
      <c r="B44" s="186"/>
      <c r="C44" s="186"/>
      <c r="D44" s="219"/>
      <c r="E44" s="160"/>
      <c r="F44" s="169"/>
      <c r="G44" s="170"/>
      <c r="H44" s="170"/>
      <c r="I44" s="170"/>
      <c r="J44" s="170"/>
      <c r="K44" s="170"/>
      <c r="L44" s="170"/>
      <c r="M44" s="171"/>
      <c r="N44" s="172"/>
      <c r="O44" s="173"/>
      <c r="P44" s="173"/>
      <c r="Q44" s="169"/>
      <c r="R44" s="169"/>
      <c r="S44" s="174"/>
      <c r="T44" s="68" t="s">
        <v>212</v>
      </c>
      <c r="U44" s="68" t="s">
        <v>265</v>
      </c>
      <c r="V44" s="68" t="s">
        <v>216</v>
      </c>
      <c r="W44" s="68"/>
      <c r="X44" s="91"/>
    </row>
    <row r="45" spans="1:24" s="35" customFormat="1" ht="73.5" customHeight="1">
      <c r="A45" s="186"/>
      <c r="B45" s="186"/>
      <c r="C45" s="186"/>
      <c r="D45" s="219"/>
      <c r="E45" s="160"/>
      <c r="F45" s="159" t="s">
        <v>39</v>
      </c>
      <c r="G45" s="150" t="s">
        <v>136</v>
      </c>
      <c r="H45" s="150" t="str">
        <f>IF(G45="MUY PROBABLE","5",IF(G45="MEDIANAMENTE","4",IF(G45="PROBABLE","3",IF(G45="POCO PROBABLE","2",IF(G45="NO ES PROBABLE","1")))))</f>
        <v>2</v>
      </c>
      <c r="I45" s="150" t="s">
        <v>133</v>
      </c>
      <c r="J45" s="150" t="str">
        <f>IF(I45="CONSTANTE","5",IF(I45="FRECUENTE","4",IF(I45="OCASIONAL","3",IF(I45="ESPORADICO","2",IF(I45="MINIMA","1")))))</f>
        <v>1</v>
      </c>
      <c r="K45" s="150" t="s">
        <v>10</v>
      </c>
      <c r="L45" s="150" t="str">
        <f>IF(K45="CRITICO","5",IF(K45="PELIGROSO","4",IF(K45="MODERADO","3",IF(K45="MARGINAL","2",IF(K45="INSIGNIFICANTE","1")))))</f>
        <v>1</v>
      </c>
      <c r="M45" s="165">
        <f>H45+J45+L45</f>
        <v>4</v>
      </c>
      <c r="N45" s="175" t="str">
        <f t="shared" ref="N45" si="24">IF(M45&lt;=7,"NIVEL DE RIESGO BAJO",IF(M45&lt;=11,"NIVEL DE RIESGO MEDIO o MODERADO","NIVEL DE RIESGO ALTO o CRITICO"))</f>
        <v>NIVEL DE RIESGO BAJO</v>
      </c>
      <c r="O45" s="162" t="s">
        <v>351</v>
      </c>
      <c r="P45" s="162" t="s">
        <v>349</v>
      </c>
      <c r="Q45" s="159" t="s">
        <v>165</v>
      </c>
      <c r="R45" s="159" t="s">
        <v>160</v>
      </c>
      <c r="S45" s="90" t="s">
        <v>244</v>
      </c>
      <c r="T45" s="68" t="s">
        <v>328</v>
      </c>
      <c r="U45" s="68" t="s">
        <v>329</v>
      </c>
      <c r="V45" s="68" t="s">
        <v>330</v>
      </c>
      <c r="W45" s="68"/>
      <c r="X45" s="91"/>
    </row>
    <row r="46" spans="1:24" s="35" customFormat="1" ht="73.5" customHeight="1">
      <c r="A46" s="186"/>
      <c r="B46" s="186"/>
      <c r="C46" s="186"/>
      <c r="D46" s="219"/>
      <c r="E46" s="160"/>
      <c r="F46" s="161"/>
      <c r="G46" s="151"/>
      <c r="H46" s="151"/>
      <c r="I46" s="151"/>
      <c r="J46" s="151"/>
      <c r="K46" s="151"/>
      <c r="L46" s="151"/>
      <c r="M46" s="167"/>
      <c r="N46" s="176"/>
      <c r="O46" s="164"/>
      <c r="P46" s="164"/>
      <c r="Q46" s="161"/>
      <c r="R46" s="161"/>
      <c r="S46" s="90" t="s">
        <v>250</v>
      </c>
      <c r="T46" s="68" t="s">
        <v>331</v>
      </c>
      <c r="U46" s="68" t="s">
        <v>350</v>
      </c>
      <c r="V46" s="68" t="s">
        <v>332</v>
      </c>
      <c r="W46" s="68"/>
      <c r="X46" s="91"/>
    </row>
    <row r="47" spans="1:24" s="35" customFormat="1" ht="73.5" customHeight="1">
      <c r="A47" s="186"/>
      <c r="B47" s="186"/>
      <c r="C47" s="186"/>
      <c r="D47" s="219"/>
      <c r="E47" s="160"/>
      <c r="F47" s="159" t="s">
        <v>49</v>
      </c>
      <c r="G47" s="150" t="s">
        <v>136</v>
      </c>
      <c r="H47" s="150" t="str">
        <f>IF(G47="MUY PROBABLE","5",IF(G47="MEDIANAMENTE","4",IF(G47="PROBABLE","3",IF(G47="POCO PROBABLE","2",IF(G47="NO ES PROBABLE","1")))))</f>
        <v>2</v>
      </c>
      <c r="I47" s="150" t="s">
        <v>131</v>
      </c>
      <c r="J47" s="150" t="str">
        <f>IF(I47="CONSTANTE","5",IF(I47="FRECUENTE","4",IF(I47="OCASIONAL","3",IF(I47="ESPORADICO","2",IF(I47="MINIMA","1")))))</f>
        <v>2</v>
      </c>
      <c r="K47" s="150" t="s">
        <v>139</v>
      </c>
      <c r="L47" s="150" t="str">
        <f>IF(K47="CRITICO","5",IF(K47="PELIGROSO","4",IF(K47="MODERADO","3",IF(K47="MARGINAL","2",IF(K47="INSIGNIFICANTE","1")))))</f>
        <v>2</v>
      </c>
      <c r="M47" s="165">
        <f>H47+J47+L47</f>
        <v>6</v>
      </c>
      <c r="N47" s="175" t="str">
        <f>IF(M47&lt;=7,"NIVEL DE RIESGO BAJO",IF(M47&lt;=11,"NIVEL DE RIESGO MEDIO o MODERADO","NIVEL DE RIESGO ALTO o CRITICO"))</f>
        <v>NIVEL DE RIESGO BAJO</v>
      </c>
      <c r="O47" s="162" t="str">
        <f>IF(M47&lt;=7,"ACEPTABLE",IF(M47&lt;=11,"ACEPTABLE CON COTROL ESPECIFICO","NO ACEPTABLE"))</f>
        <v>ACEPTABLE</v>
      </c>
      <c r="P47" s="162" t="s">
        <v>352</v>
      </c>
      <c r="Q47" s="159" t="s">
        <v>165</v>
      </c>
      <c r="R47" s="159" t="s">
        <v>160</v>
      </c>
      <c r="S47" s="90" t="s">
        <v>353</v>
      </c>
      <c r="T47" s="156" t="s">
        <v>359</v>
      </c>
      <c r="U47" s="156" t="s">
        <v>350</v>
      </c>
      <c r="V47" s="68" t="s">
        <v>360</v>
      </c>
      <c r="W47" s="68"/>
      <c r="X47" s="91"/>
    </row>
    <row r="48" spans="1:24" s="35" customFormat="1" ht="73.5" customHeight="1">
      <c r="A48" s="186"/>
      <c r="B48" s="186"/>
      <c r="C48" s="186"/>
      <c r="D48" s="219"/>
      <c r="E48" s="160"/>
      <c r="F48" s="160"/>
      <c r="G48" s="153"/>
      <c r="H48" s="153"/>
      <c r="I48" s="153"/>
      <c r="J48" s="153"/>
      <c r="K48" s="153"/>
      <c r="L48" s="153"/>
      <c r="M48" s="166"/>
      <c r="N48" s="177"/>
      <c r="O48" s="163"/>
      <c r="P48" s="163"/>
      <c r="Q48" s="160"/>
      <c r="R48" s="160"/>
      <c r="S48" s="90" t="s">
        <v>357</v>
      </c>
      <c r="T48" s="157"/>
      <c r="U48" s="157"/>
      <c r="V48" s="68" t="s">
        <v>216</v>
      </c>
      <c r="W48" s="68"/>
      <c r="X48" s="91"/>
    </row>
    <row r="49" spans="1:24" s="35" customFormat="1" ht="73.5" customHeight="1">
      <c r="A49" s="186"/>
      <c r="B49" s="186"/>
      <c r="C49" s="186"/>
      <c r="D49" s="219"/>
      <c r="E49" s="160"/>
      <c r="F49" s="161"/>
      <c r="G49" s="151"/>
      <c r="H49" s="151"/>
      <c r="I49" s="151"/>
      <c r="J49" s="151"/>
      <c r="K49" s="151"/>
      <c r="L49" s="151"/>
      <c r="M49" s="167"/>
      <c r="N49" s="176"/>
      <c r="O49" s="164"/>
      <c r="P49" s="164"/>
      <c r="Q49" s="161"/>
      <c r="R49" s="161"/>
      <c r="S49" s="90" t="s">
        <v>358</v>
      </c>
      <c r="T49" s="158"/>
      <c r="U49" s="158"/>
      <c r="V49" s="68" t="s">
        <v>216</v>
      </c>
      <c r="W49" s="68"/>
      <c r="X49" s="91"/>
    </row>
    <row r="50" spans="1:24" s="35" customFormat="1" ht="73.5" customHeight="1">
      <c r="A50" s="186"/>
      <c r="B50" s="186"/>
      <c r="C50" s="186"/>
      <c r="D50" s="219"/>
      <c r="E50" s="160"/>
      <c r="F50" s="159" t="s">
        <v>269</v>
      </c>
      <c r="G50" s="150" t="s">
        <v>9</v>
      </c>
      <c r="H50" s="150">
        <v>3</v>
      </c>
      <c r="I50" s="150" t="s">
        <v>131</v>
      </c>
      <c r="J50" s="150">
        <v>2</v>
      </c>
      <c r="K50" s="150" t="s">
        <v>139</v>
      </c>
      <c r="L50" s="150">
        <v>2</v>
      </c>
      <c r="M50" s="150">
        <f>H50+J50+L50</f>
        <v>7</v>
      </c>
      <c r="N50" s="175" t="str">
        <f>IF(M50&lt;=7,"NIVEL DE RIESGO BAJO",IF(M50&lt;=11,"NIVEL DE RIESGO MEDIO o MODERADO","NIVEL DE RIESGO ALTO o CRITICO"))</f>
        <v>NIVEL DE RIESGO BAJO</v>
      </c>
      <c r="O50" s="162" t="str">
        <f>IF(M50&lt;=7,"ACEPTABLE",IF(M50&lt;=11,"ACEPTABLE CON COTROL ESPECIFICO","NO ACEPTABLE"))</f>
        <v>ACEPTABLE</v>
      </c>
      <c r="P50" s="162" t="s">
        <v>361</v>
      </c>
      <c r="Q50" s="159" t="s">
        <v>165</v>
      </c>
      <c r="R50" s="159" t="s">
        <v>161</v>
      </c>
      <c r="S50" s="68" t="s">
        <v>244</v>
      </c>
      <c r="T50" s="68" t="s">
        <v>321</v>
      </c>
      <c r="U50" s="68" t="s">
        <v>322</v>
      </c>
      <c r="V50" s="68" t="s">
        <v>323</v>
      </c>
      <c r="W50" s="68"/>
      <c r="X50" s="91"/>
    </row>
    <row r="51" spans="1:24" s="35" customFormat="1" ht="73.5" customHeight="1">
      <c r="A51" s="186"/>
      <c r="B51" s="186"/>
      <c r="C51" s="186"/>
      <c r="D51" s="219"/>
      <c r="E51" s="160"/>
      <c r="F51" s="161"/>
      <c r="G51" s="151"/>
      <c r="H51" s="151"/>
      <c r="I51" s="151"/>
      <c r="J51" s="151"/>
      <c r="K51" s="151"/>
      <c r="L51" s="151"/>
      <c r="M51" s="151"/>
      <c r="N51" s="177"/>
      <c r="O51" s="164"/>
      <c r="P51" s="164"/>
      <c r="Q51" s="161"/>
      <c r="R51" s="161"/>
      <c r="S51" s="68" t="s">
        <v>152</v>
      </c>
      <c r="T51" s="68" t="s">
        <v>151</v>
      </c>
      <c r="U51" s="68" t="s">
        <v>263</v>
      </c>
      <c r="V51" s="68" t="s">
        <v>247</v>
      </c>
      <c r="W51" s="68"/>
      <c r="X51" s="91"/>
    </row>
    <row r="52" spans="1:24" s="35" customFormat="1" ht="73.5" customHeight="1">
      <c r="A52" s="186"/>
      <c r="B52" s="186"/>
      <c r="C52" s="186"/>
      <c r="D52" s="219"/>
      <c r="E52" s="161"/>
      <c r="F52" s="88" t="s">
        <v>40</v>
      </c>
      <c r="G52" s="76" t="s">
        <v>9</v>
      </c>
      <c r="H52" s="76" t="str">
        <f>IF(G52="MUY PROBABLE","5",IF(G52="MEDIANAMENTE","4",IF(G52="PROBABLE","3",IF(G52="POCO PROBABLE","2",IF(G52="NO ES PROBABLE","1")))))</f>
        <v>3</v>
      </c>
      <c r="I52" s="87" t="s">
        <v>131</v>
      </c>
      <c r="J52" s="76">
        <v>2</v>
      </c>
      <c r="K52" s="76" t="s">
        <v>139</v>
      </c>
      <c r="L52" s="76" t="str">
        <f>IF(K52="CRITICO","5",IF(K52="PELIGROSO","4",IF(K52="MODERADO","3",IF(K52="MARGINAL","2",IF(K52="INSIGNIFICANTE","1")))))</f>
        <v>2</v>
      </c>
      <c r="M52" s="77">
        <f>H52+J52+L52</f>
        <v>7</v>
      </c>
      <c r="N52" s="78" t="str">
        <f>IF(M52&lt;=7,"NIVEL DE RIESGO BAJO",IF(M52&lt;=11,"NIVEL DE RIESGO MEDIO o MODERADO","NIVEL DE RIESGO ALTO o CRITICO"))</f>
        <v>NIVEL DE RIESGO BAJO</v>
      </c>
      <c r="O52" s="79" t="str">
        <f t="shared" ref="O52" si="25">IF(M52&lt;=7,"ACEPTABLE",IF(M52&lt;=11,"ACEPTABLE CON COTROL ESPECIFICO","NO ACEPTABLE"))</f>
        <v>ACEPTABLE</v>
      </c>
      <c r="P52" s="79" t="s">
        <v>333</v>
      </c>
      <c r="Q52" s="80" t="s">
        <v>165</v>
      </c>
      <c r="R52" s="80" t="s">
        <v>160</v>
      </c>
      <c r="S52" s="68" t="s">
        <v>325</v>
      </c>
      <c r="T52" s="68" t="s">
        <v>151</v>
      </c>
      <c r="U52" s="68" t="s">
        <v>263</v>
      </c>
      <c r="V52" s="68" t="s">
        <v>247</v>
      </c>
      <c r="W52" s="68"/>
      <c r="X52" s="91"/>
    </row>
    <row r="53" spans="1:24" s="35" customFormat="1" ht="103.5" customHeight="1">
      <c r="A53" s="186"/>
      <c r="B53" s="186"/>
      <c r="C53" s="186"/>
      <c r="D53" s="219"/>
      <c r="E53" s="159" t="s">
        <v>91</v>
      </c>
      <c r="F53" s="80" t="s">
        <v>66</v>
      </c>
      <c r="G53" s="76" t="s">
        <v>9</v>
      </c>
      <c r="H53" s="76" t="str">
        <f t="shared" ref="H53:H55" si="26">IF(G53="MUY PROBABLE","5",IF(G53="MEDIANAMENTE","4",IF(G53="PROBABLE","3",IF(G53="POCO PROBABLE","2",IF(G53="NO ES PROBABLE","1")))))</f>
        <v>3</v>
      </c>
      <c r="I53" s="76" t="s">
        <v>131</v>
      </c>
      <c r="J53" s="76" t="str">
        <f>IF(I53="CONSTANTE","5",IF(I53="FRECUENTE","4",IF(I53="OCASIONAL","3",IF(I53="ESPORADICO","2",IF(I53="MINIMA","1")))))</f>
        <v>2</v>
      </c>
      <c r="K53" s="76" t="s">
        <v>139</v>
      </c>
      <c r="L53" s="76" t="str">
        <f t="shared" ref="L53" si="27">IF(K53="CRITICO","5",IF(K53="PELIGROSO","4",IF(K53="MODERADO","3",IF(K53="MARGINAL","2",IF(K53="INSIGNIFICANTE","1")))))</f>
        <v>2</v>
      </c>
      <c r="M53" s="77">
        <f t="shared" ref="M53" si="28">H53+J53+L53</f>
        <v>7</v>
      </c>
      <c r="N53" s="78" t="str">
        <f t="shared" ref="N53:N54" si="29">IF(M53&lt;=7,"NIVEL DE RIESGO BAJO",IF(M53&lt;=11,"NIVEL DE RIESGO MEDIO o MODERADO","NIVEL DE RIESGO ALTO o CRITICO"))</f>
        <v>NIVEL DE RIESGO BAJO</v>
      </c>
      <c r="O53" s="79" t="str">
        <f t="shared" ref="O53:O54" si="30">IF(M53&lt;=7,"ACEPTABLE",IF(M53&lt;=11,"ACEPTABLE CON COTROL ESPECIFICO","NO ACEPTABLE"))</f>
        <v>ACEPTABLE</v>
      </c>
      <c r="P53" s="79" t="s">
        <v>348</v>
      </c>
      <c r="Q53" s="80" t="s">
        <v>165</v>
      </c>
      <c r="R53" s="80" t="s">
        <v>161</v>
      </c>
      <c r="S53" s="68" t="s">
        <v>251</v>
      </c>
      <c r="T53" s="68" t="s">
        <v>221</v>
      </c>
      <c r="U53" s="68" t="s">
        <v>265</v>
      </c>
      <c r="V53" s="68" t="s">
        <v>216</v>
      </c>
      <c r="W53" s="68"/>
      <c r="X53" s="91"/>
    </row>
    <row r="54" spans="1:24" s="35" customFormat="1" ht="118.5" customHeight="1">
      <c r="A54" s="186"/>
      <c r="B54" s="186"/>
      <c r="C54" s="186"/>
      <c r="D54" s="219"/>
      <c r="E54" s="160"/>
      <c r="F54" s="80" t="s">
        <v>45</v>
      </c>
      <c r="G54" s="76" t="s">
        <v>134</v>
      </c>
      <c r="H54" s="76" t="str">
        <f t="shared" si="26"/>
        <v>5</v>
      </c>
      <c r="I54" s="76" t="s">
        <v>131</v>
      </c>
      <c r="J54" s="76" t="str">
        <f>IF(I54="CONSTANTE","5",IF(I54="FRECUENTE","4",IF(I54="OCASIONAL","3",IF(I54="ESPORADICO","2",IF(I54="MINIMA","1")))))</f>
        <v>2</v>
      </c>
      <c r="K54" s="76" t="s">
        <v>139</v>
      </c>
      <c r="L54" s="76">
        <v>2</v>
      </c>
      <c r="M54" s="77">
        <f>H54+J54+L54</f>
        <v>9</v>
      </c>
      <c r="N54" s="78" t="str">
        <f t="shared" si="29"/>
        <v>NIVEL DE RIESGO MEDIO o MODERADO</v>
      </c>
      <c r="O54" s="79" t="str">
        <f t="shared" si="30"/>
        <v>ACEPTABLE CON COTROL ESPECIFICO</v>
      </c>
      <c r="P54" s="79" t="s">
        <v>362</v>
      </c>
      <c r="Q54" s="80" t="s">
        <v>165</v>
      </c>
      <c r="R54" s="80" t="s">
        <v>160</v>
      </c>
      <c r="S54" s="68" t="s">
        <v>363</v>
      </c>
      <c r="T54" s="68" t="s">
        <v>146</v>
      </c>
      <c r="U54" s="68" t="s">
        <v>265</v>
      </c>
      <c r="V54" s="68" t="s">
        <v>216</v>
      </c>
      <c r="W54" s="68"/>
      <c r="X54" s="91"/>
    </row>
    <row r="55" spans="1:24" s="35" customFormat="1" ht="73.5" customHeight="1">
      <c r="A55" s="186"/>
      <c r="B55" s="186"/>
      <c r="C55" s="186"/>
      <c r="D55" s="219"/>
      <c r="E55" s="160"/>
      <c r="F55" s="169" t="s">
        <v>224</v>
      </c>
      <c r="G55" s="170" t="s">
        <v>134</v>
      </c>
      <c r="H55" s="170" t="str">
        <f t="shared" si="26"/>
        <v>5</v>
      </c>
      <c r="I55" s="170" t="s">
        <v>131</v>
      </c>
      <c r="J55" s="170" t="str">
        <f t="shared" ref="J55" si="31">IF(I55="CONSTANTE","5",IF(I55="FRECUENTE","4",IF(I55="OCASIONAL","3",IF(I55="ESPORADICO","2",IF(I55="MINIMA","1")))))</f>
        <v>2</v>
      </c>
      <c r="K55" s="170" t="s">
        <v>139</v>
      </c>
      <c r="L55" s="170" t="str">
        <f t="shared" ref="L55" si="32">IF(K55="CRITICO","5",IF(K55="PELIGROSO","4",IF(K55="MODERADO","3",IF(K55="MARGINAL","2",IF(K55="INSIGNIFICANTE","1")))))</f>
        <v>2</v>
      </c>
      <c r="M55" s="171">
        <f>H55+J55+L55</f>
        <v>9</v>
      </c>
      <c r="N55" s="172" t="str">
        <f>IF(M55&lt;=7,"NIVEL DE RIESGO BAJO",IF(M55&lt;=11,"NIVEL DE RIESGO MEDIO o MODERADO","NIVEL DE RIESGO ALTO o CRITICO"))</f>
        <v>NIVEL DE RIESGO MEDIO o MODERADO</v>
      </c>
      <c r="O55" s="173" t="str">
        <f>IF(M55&lt;=7,"ACEPTABLE",IF(M55&lt;=11,"ACEPTABLE CON COTROL ESPECIFICO","NO ACEPTABLE"))</f>
        <v>ACEPTABLE CON COTROL ESPECIFICO</v>
      </c>
      <c r="P55" s="173" t="s">
        <v>334</v>
      </c>
      <c r="Q55" s="169" t="s">
        <v>164</v>
      </c>
      <c r="R55" s="169" t="s">
        <v>160</v>
      </c>
      <c r="S55" s="174" t="s">
        <v>225</v>
      </c>
      <c r="T55" s="68" t="s">
        <v>365</v>
      </c>
      <c r="U55" s="68" t="s">
        <v>265</v>
      </c>
      <c r="V55" s="174" t="s">
        <v>217</v>
      </c>
      <c r="W55" s="68"/>
      <c r="X55" s="91"/>
    </row>
    <row r="56" spans="1:24" s="35" customFormat="1" ht="73.5" customHeight="1">
      <c r="A56" s="186"/>
      <c r="B56" s="186"/>
      <c r="C56" s="186"/>
      <c r="D56" s="219"/>
      <c r="E56" s="160"/>
      <c r="F56" s="169"/>
      <c r="G56" s="170"/>
      <c r="H56" s="170"/>
      <c r="I56" s="170"/>
      <c r="J56" s="170"/>
      <c r="K56" s="170"/>
      <c r="L56" s="170"/>
      <c r="M56" s="171"/>
      <c r="N56" s="172"/>
      <c r="O56" s="173"/>
      <c r="P56" s="173"/>
      <c r="Q56" s="169"/>
      <c r="R56" s="169"/>
      <c r="S56" s="174"/>
      <c r="T56" s="174" t="s">
        <v>364</v>
      </c>
      <c r="U56" s="156" t="s">
        <v>366</v>
      </c>
      <c r="V56" s="174"/>
      <c r="W56" s="68"/>
      <c r="X56" s="91"/>
    </row>
    <row r="57" spans="1:24" s="35" customFormat="1" ht="73.5" customHeight="1">
      <c r="A57" s="186"/>
      <c r="B57" s="186"/>
      <c r="C57" s="186"/>
      <c r="D57" s="219"/>
      <c r="E57" s="160"/>
      <c r="F57" s="169"/>
      <c r="G57" s="170"/>
      <c r="H57" s="170"/>
      <c r="I57" s="170"/>
      <c r="J57" s="170"/>
      <c r="K57" s="170"/>
      <c r="L57" s="170"/>
      <c r="M57" s="171"/>
      <c r="N57" s="172"/>
      <c r="O57" s="173"/>
      <c r="P57" s="173"/>
      <c r="Q57" s="169"/>
      <c r="R57" s="169"/>
      <c r="S57" s="174"/>
      <c r="T57" s="174"/>
      <c r="U57" s="157"/>
      <c r="V57" s="174"/>
      <c r="W57" s="68"/>
      <c r="X57" s="91"/>
    </row>
    <row r="58" spans="1:24" s="35" customFormat="1" ht="73.5" customHeight="1">
      <c r="A58" s="186"/>
      <c r="B58" s="186"/>
      <c r="C58" s="186"/>
      <c r="D58" s="219"/>
      <c r="E58" s="161"/>
      <c r="F58" s="169"/>
      <c r="G58" s="170"/>
      <c r="H58" s="170"/>
      <c r="I58" s="170"/>
      <c r="J58" s="170"/>
      <c r="K58" s="170"/>
      <c r="L58" s="170"/>
      <c r="M58" s="171"/>
      <c r="N58" s="172"/>
      <c r="O58" s="173"/>
      <c r="P58" s="173"/>
      <c r="Q58" s="169"/>
      <c r="R58" s="169"/>
      <c r="S58" s="174"/>
      <c r="T58" s="174"/>
      <c r="U58" s="158"/>
      <c r="V58" s="174"/>
      <c r="W58" s="68"/>
      <c r="X58" s="91"/>
    </row>
    <row r="59" spans="1:24" s="35" customFormat="1" ht="137.25" customHeight="1">
      <c r="A59" s="186"/>
      <c r="B59" s="186"/>
      <c r="C59" s="186"/>
      <c r="D59" s="219"/>
      <c r="E59" s="169" t="s">
        <v>93</v>
      </c>
      <c r="F59" s="80" t="s">
        <v>229</v>
      </c>
      <c r="G59" s="76" t="s">
        <v>9</v>
      </c>
      <c r="H59" s="76">
        <v>3</v>
      </c>
      <c r="I59" s="76" t="s">
        <v>131</v>
      </c>
      <c r="J59" s="76" t="str">
        <f t="shared" ref="J59" si="33">IF(I59="CONSTANTE","5",IF(I59="FRECUENTE","4",IF(I59="OCASIONAL","3",IF(I59="ESPORADICO","2",IF(I59="MINIMA","1")))))</f>
        <v>2</v>
      </c>
      <c r="K59" s="76" t="s">
        <v>139</v>
      </c>
      <c r="L59" s="76" t="str">
        <f t="shared" ref="L59" si="34">IF(K59="CRITICO","5",IF(K59="PELIGROSO","4",IF(K59="MODERADO","3",IF(K59="MARGINAL","2",IF(K59="INSIGNIFICANTE","1")))))</f>
        <v>2</v>
      </c>
      <c r="M59" s="77">
        <f>H59+J59+L59</f>
        <v>7</v>
      </c>
      <c r="N59" s="78" t="str">
        <f>IF(M59&lt;=7,"NIVEL DE RIESGO BAJO",IF(M59&lt;=11,"NIVEL DE RIESGO MEDIO o MODERADO","NIVEL DE RIESGO ALTO o CRITICO"))</f>
        <v>NIVEL DE RIESGO BAJO</v>
      </c>
      <c r="O59" s="79" t="str">
        <f>IF(M59&lt;=7,"ACEPTABLE",IF(M59&lt;=11,"ACEPTABLE CON COTROL ESPECIFICO","NO ACEPTABLE"))</f>
        <v>ACEPTABLE</v>
      </c>
      <c r="P59" s="79" t="s">
        <v>368</v>
      </c>
      <c r="Q59" s="80" t="s">
        <v>166</v>
      </c>
      <c r="R59" s="80" t="s">
        <v>161</v>
      </c>
      <c r="S59" s="68" t="s">
        <v>369</v>
      </c>
      <c r="T59" s="68" t="s">
        <v>235</v>
      </c>
      <c r="U59" s="68" t="s">
        <v>370</v>
      </c>
      <c r="V59" s="68" t="s">
        <v>360</v>
      </c>
      <c r="W59" s="68"/>
      <c r="X59" s="91"/>
    </row>
    <row r="60" spans="1:24" s="35" customFormat="1" ht="73.5" customHeight="1">
      <c r="A60" s="187"/>
      <c r="B60" s="187"/>
      <c r="C60" s="187"/>
      <c r="D60" s="220"/>
      <c r="E60" s="169"/>
      <c r="F60" s="80" t="s">
        <v>227</v>
      </c>
      <c r="G60" s="76" t="s">
        <v>137</v>
      </c>
      <c r="H60" s="76" t="str">
        <f>IF(G60="MUY PROBABLE","5",IF(G60="MEDIANAMENTE PROBABLE","4",IF(G60="PROBABLE","3",IF(G60="POCO PROBABLE","2",IF(G60="NO ES PROBABLE","1")))))</f>
        <v>4</v>
      </c>
      <c r="I60" s="76" t="s">
        <v>131</v>
      </c>
      <c r="J60" s="76" t="str">
        <f t="shared" ref="J60" si="35">IF(I60="CONSTANTE","5",IF(I60="FRECUENTE","4",IF(I60="OCASIONAL","3",IF(I60="ESPORADICO","2",IF(I60="MINIMA","1")))))</f>
        <v>2</v>
      </c>
      <c r="K60" s="76" t="s">
        <v>10</v>
      </c>
      <c r="L60" s="76" t="str">
        <f t="shared" ref="L60" si="36">IF(K60="CRITICO","5",IF(K60="PELIGROSO","4",IF(K60="MODERADO","3",IF(K60="MARGINAL","2",IF(K60="INSIGNIFICANTE","1")))))</f>
        <v>1</v>
      </c>
      <c r="M60" s="77">
        <f>H60+J60+L60</f>
        <v>7</v>
      </c>
      <c r="N60" s="78" t="str">
        <f t="shared" ref="N60:N61" si="37">IF(M60&lt;=7,"NIVEL DE RIESGO BAJO",IF(M60&lt;=11,"NIVEL DE RIESGO MEDIO o MODERADO","NIVEL DE RIESGO ALTO o CRITICO"))</f>
        <v>NIVEL DE RIESGO BAJO</v>
      </c>
      <c r="O60" s="79" t="str">
        <f>IF(M60&lt;=7,"ACEPTABLE",IF(M60&lt;=11,"ACEPTABLE CON COTROL ESPECIFICO","NO ACEPTABLE"))</f>
        <v>ACEPTABLE</v>
      </c>
      <c r="P60" s="79" t="s">
        <v>367</v>
      </c>
      <c r="Q60" s="80" t="s">
        <v>164</v>
      </c>
      <c r="R60" s="80" t="s">
        <v>161</v>
      </c>
      <c r="S60" s="68" t="s">
        <v>230</v>
      </c>
      <c r="T60" s="68" t="s">
        <v>212</v>
      </c>
      <c r="U60" s="68" t="s">
        <v>265</v>
      </c>
      <c r="V60" s="68" t="s">
        <v>216</v>
      </c>
      <c r="W60" s="68"/>
      <c r="X60" s="91"/>
    </row>
    <row r="61" spans="1:24" s="35" customFormat="1" ht="73.5" customHeight="1">
      <c r="A61" s="154" t="s">
        <v>27</v>
      </c>
      <c r="B61" s="154" t="s">
        <v>346</v>
      </c>
      <c r="C61" s="154" t="s">
        <v>140</v>
      </c>
      <c r="D61" s="155" t="s">
        <v>372</v>
      </c>
      <c r="E61" s="169" t="s">
        <v>90</v>
      </c>
      <c r="F61" s="169" t="s">
        <v>73</v>
      </c>
      <c r="G61" s="170" t="s">
        <v>9</v>
      </c>
      <c r="H61" s="170" t="str">
        <f>IF(G61="MUY PROBABLE","5",IF(G61="MEDIANAMENTE","4",IF(G61="PROBABLE","3",IF(G61="POCO PROBABLE","2",IF(G61="NO ES PROBABLE","1")))))</f>
        <v>3</v>
      </c>
      <c r="I61" s="170" t="s">
        <v>42</v>
      </c>
      <c r="J61" s="170" t="str">
        <f>IF(I61="CONSTANTE","5",IF(I61="FRECUENTE","4",IF(I61="OCASIONAL","3",IF(I61="ESPORADICO","2",IF(I61="MINIMA","1")))))</f>
        <v>4</v>
      </c>
      <c r="K61" s="170" t="s">
        <v>139</v>
      </c>
      <c r="L61" s="170" t="str">
        <f>IF(K61="CRITICO","5",IF(K61="PELIGROSO","4",IF(K61="MODERADO","3",IF(K61="MARGINAL","2",IF(K61="INSIGNIFICANTE","1")))))</f>
        <v>2</v>
      </c>
      <c r="M61" s="171">
        <f>H61+J61+L61</f>
        <v>9</v>
      </c>
      <c r="N61" s="172" t="str">
        <f t="shared" si="37"/>
        <v>NIVEL DE RIESGO MEDIO o MODERADO</v>
      </c>
      <c r="O61" s="173" t="str">
        <f>IF(M61&lt;=7,"ACEPTABLE",IF(M61&lt;=11,"ACEPTABLE CON COTROL ESPECIFICO","NO ACEPTABLE"))</f>
        <v>ACEPTABLE CON COTROL ESPECIFICO</v>
      </c>
      <c r="P61" s="173" t="s">
        <v>345</v>
      </c>
      <c r="Q61" s="169" t="s">
        <v>165</v>
      </c>
      <c r="R61" s="169" t="s">
        <v>161</v>
      </c>
      <c r="S61" s="174" t="s">
        <v>244</v>
      </c>
      <c r="T61" s="68" t="s">
        <v>221</v>
      </c>
      <c r="U61" s="68" t="s">
        <v>265</v>
      </c>
      <c r="V61" s="68" t="s">
        <v>216</v>
      </c>
      <c r="W61" s="68"/>
      <c r="X61" s="91"/>
    </row>
    <row r="62" spans="1:24" s="35" customFormat="1" ht="73.5" customHeight="1">
      <c r="A62" s="154"/>
      <c r="B62" s="154"/>
      <c r="C62" s="154"/>
      <c r="D62" s="155"/>
      <c r="E62" s="169"/>
      <c r="F62" s="169"/>
      <c r="G62" s="170"/>
      <c r="H62" s="170"/>
      <c r="I62" s="170"/>
      <c r="J62" s="170"/>
      <c r="K62" s="170"/>
      <c r="L62" s="170"/>
      <c r="M62" s="171"/>
      <c r="N62" s="172"/>
      <c r="O62" s="173"/>
      <c r="P62" s="173"/>
      <c r="Q62" s="169"/>
      <c r="R62" s="169"/>
      <c r="S62" s="174"/>
      <c r="T62" s="68" t="s">
        <v>212</v>
      </c>
      <c r="U62" s="68" t="s">
        <v>265</v>
      </c>
      <c r="V62" s="68" t="s">
        <v>216</v>
      </c>
      <c r="W62" s="68"/>
      <c r="X62" s="91"/>
    </row>
    <row r="63" spans="1:24" s="35" customFormat="1" ht="73.5" customHeight="1">
      <c r="A63" s="154"/>
      <c r="B63" s="154"/>
      <c r="C63" s="154"/>
      <c r="D63" s="155"/>
      <c r="E63" s="169"/>
      <c r="F63" s="159" t="s">
        <v>39</v>
      </c>
      <c r="G63" s="150" t="s">
        <v>136</v>
      </c>
      <c r="H63" s="150" t="str">
        <f>IF(G63="MUY PROBABLE","5",IF(G63="MEDIANAMENTE","4",IF(G63="PROBABLE","3",IF(G63="POCO PROBABLE","2",IF(G63="NO ES PROBABLE","1")))))</f>
        <v>2</v>
      </c>
      <c r="I63" s="150" t="s">
        <v>132</v>
      </c>
      <c r="J63" s="150" t="str">
        <f>IF(I63="CONSTANTE","5",IF(I63="FRECUENTE","4",IF(I63="OCASIONAL","3",IF(I63="ESPORADICO","2",IF(I63="MINIMA","1")))))</f>
        <v>5</v>
      </c>
      <c r="K63" s="150" t="s">
        <v>11</v>
      </c>
      <c r="L63" s="150" t="str">
        <f>IF(K63="CRITICO","5",IF(K63="PELIGROSO","4",IF(K63="MODERADO","3",IF(K63="MARGINAL","2",IF(K63="INSIGNIFICANTE","1")))))</f>
        <v>3</v>
      </c>
      <c r="M63" s="165">
        <f>H63+J63+L63</f>
        <v>10</v>
      </c>
      <c r="N63" s="175" t="str">
        <f t="shared" ref="N63" si="38">IF(M63&lt;=7,"NIVEL DE RIESGO BAJO",IF(M63&lt;=11,"NIVEL DE RIESGO MEDIO o MODERADO","NIVEL DE RIESGO ALTO o CRITICO"))</f>
        <v>NIVEL DE RIESGO MEDIO o MODERADO</v>
      </c>
      <c r="O63" s="162" t="s">
        <v>351</v>
      </c>
      <c r="P63" s="162" t="s">
        <v>349</v>
      </c>
      <c r="Q63" s="159" t="s">
        <v>165</v>
      </c>
      <c r="R63" s="159" t="s">
        <v>160</v>
      </c>
      <c r="S63" s="90" t="s">
        <v>244</v>
      </c>
      <c r="T63" s="68" t="s">
        <v>328</v>
      </c>
      <c r="U63" s="68" t="s">
        <v>329</v>
      </c>
      <c r="V63" s="68" t="s">
        <v>330</v>
      </c>
      <c r="W63" s="68"/>
      <c r="X63" s="91"/>
    </row>
    <row r="64" spans="1:24" s="35" customFormat="1" ht="73.5" customHeight="1">
      <c r="A64" s="154"/>
      <c r="B64" s="154"/>
      <c r="C64" s="154"/>
      <c r="D64" s="155"/>
      <c r="E64" s="169"/>
      <c r="F64" s="161"/>
      <c r="G64" s="151"/>
      <c r="H64" s="151"/>
      <c r="I64" s="151"/>
      <c r="J64" s="151"/>
      <c r="K64" s="151"/>
      <c r="L64" s="151"/>
      <c r="M64" s="167"/>
      <c r="N64" s="176"/>
      <c r="O64" s="164"/>
      <c r="P64" s="164"/>
      <c r="Q64" s="161"/>
      <c r="R64" s="161"/>
      <c r="S64" s="90" t="s">
        <v>250</v>
      </c>
      <c r="T64" s="68" t="s">
        <v>331</v>
      </c>
      <c r="U64" s="68" t="s">
        <v>350</v>
      </c>
      <c r="V64" s="68" t="s">
        <v>332</v>
      </c>
      <c r="W64" s="68"/>
      <c r="X64" s="91"/>
    </row>
    <row r="65" spans="1:24" s="35" customFormat="1" ht="73.5" customHeight="1">
      <c r="A65" s="154"/>
      <c r="B65" s="154"/>
      <c r="C65" s="154"/>
      <c r="D65" s="155"/>
      <c r="E65" s="169"/>
      <c r="F65" s="159" t="s">
        <v>49</v>
      </c>
      <c r="G65" s="150" t="s">
        <v>136</v>
      </c>
      <c r="H65" s="150" t="str">
        <f>IF(G65="MUY PROBABLE","5",IF(G65="MEDIANAMENTE","4",IF(G65="PROBABLE","3",IF(G65="POCO PROBABLE","2",IF(G65="NO ES PROBABLE","1")))))</f>
        <v>2</v>
      </c>
      <c r="I65" s="150" t="s">
        <v>42</v>
      </c>
      <c r="J65" s="150" t="str">
        <f>IF(I65="CONSTANTE","5",IF(I65="FRECUENTE","4",IF(I65="OCASIONAL","3",IF(I65="ESPORADICO","2",IF(I65="MINIMA","1")))))</f>
        <v>4</v>
      </c>
      <c r="K65" s="150" t="s">
        <v>139</v>
      </c>
      <c r="L65" s="150" t="str">
        <f>IF(K65="CRITICO","5",IF(K65="PELIGROSO","4",IF(K65="MODERADO","3",IF(K65="MARGINAL","2",IF(K65="INSIGNIFICANTE","1")))))</f>
        <v>2</v>
      </c>
      <c r="M65" s="165">
        <f>H65+J65+L65</f>
        <v>8</v>
      </c>
      <c r="N65" s="175" t="str">
        <f>IF(M65&lt;=7,"NIVEL DE RIESGO BAJO",IF(M65&lt;=11,"NIVEL DE RIESGO MEDIO o MODERADO","NIVEL DE RIESGO ALTO o CRITICO"))</f>
        <v>NIVEL DE RIESGO MEDIO o MODERADO</v>
      </c>
      <c r="O65" s="162" t="str">
        <f>IF(M65&lt;=7,"ACEPTABLE",IF(M65&lt;=11,"ACEPTABLE CON COTROL ESPECIFICO","NO ACEPTABLE"))</f>
        <v>ACEPTABLE CON COTROL ESPECIFICO</v>
      </c>
      <c r="P65" s="162" t="s">
        <v>373</v>
      </c>
      <c r="Q65" s="159" t="s">
        <v>165</v>
      </c>
      <c r="R65" s="159" t="s">
        <v>160</v>
      </c>
      <c r="S65" s="90" t="s">
        <v>353</v>
      </c>
      <c r="T65" s="156" t="s">
        <v>359</v>
      </c>
      <c r="U65" s="156" t="s">
        <v>350</v>
      </c>
      <c r="V65" s="68" t="s">
        <v>360</v>
      </c>
      <c r="W65" s="68"/>
      <c r="X65" s="91"/>
    </row>
    <row r="66" spans="1:24" s="35" customFormat="1" ht="73.5" customHeight="1">
      <c r="A66" s="154"/>
      <c r="B66" s="154"/>
      <c r="C66" s="154"/>
      <c r="D66" s="155"/>
      <c r="E66" s="169"/>
      <c r="F66" s="160"/>
      <c r="G66" s="153"/>
      <c r="H66" s="153"/>
      <c r="I66" s="153"/>
      <c r="J66" s="153"/>
      <c r="K66" s="153"/>
      <c r="L66" s="153"/>
      <c r="M66" s="166"/>
      <c r="N66" s="177"/>
      <c r="O66" s="163"/>
      <c r="P66" s="163"/>
      <c r="Q66" s="160"/>
      <c r="R66" s="160"/>
      <c r="S66" s="90" t="s">
        <v>357</v>
      </c>
      <c r="T66" s="157"/>
      <c r="U66" s="157"/>
      <c r="V66" s="68" t="s">
        <v>216</v>
      </c>
      <c r="W66" s="68"/>
      <c r="X66" s="91"/>
    </row>
    <row r="67" spans="1:24" s="35" customFormat="1" ht="73.5" customHeight="1">
      <c r="A67" s="154"/>
      <c r="B67" s="154"/>
      <c r="C67" s="154"/>
      <c r="D67" s="155"/>
      <c r="E67" s="169"/>
      <c r="F67" s="161"/>
      <c r="G67" s="151"/>
      <c r="H67" s="151"/>
      <c r="I67" s="151"/>
      <c r="J67" s="151"/>
      <c r="K67" s="151"/>
      <c r="L67" s="151"/>
      <c r="M67" s="167"/>
      <c r="N67" s="176"/>
      <c r="O67" s="164"/>
      <c r="P67" s="164"/>
      <c r="Q67" s="161"/>
      <c r="R67" s="161"/>
      <c r="S67" s="90" t="s">
        <v>358</v>
      </c>
      <c r="T67" s="158"/>
      <c r="U67" s="158"/>
      <c r="V67" s="68" t="s">
        <v>216</v>
      </c>
      <c r="W67" s="68"/>
      <c r="X67" s="91"/>
    </row>
    <row r="68" spans="1:24" s="35" customFormat="1" ht="73.5" customHeight="1">
      <c r="A68" s="154"/>
      <c r="B68" s="154"/>
      <c r="C68" s="154"/>
      <c r="D68" s="155"/>
      <c r="E68" s="169"/>
      <c r="F68" s="159" t="s">
        <v>269</v>
      </c>
      <c r="G68" s="150" t="s">
        <v>9</v>
      </c>
      <c r="H68" s="150">
        <v>3</v>
      </c>
      <c r="I68" s="150" t="s">
        <v>42</v>
      </c>
      <c r="J68" s="150" t="s">
        <v>374</v>
      </c>
      <c r="K68" s="150" t="s">
        <v>139</v>
      </c>
      <c r="L68" s="150">
        <v>2</v>
      </c>
      <c r="M68" s="150">
        <f>H68+J68+L68</f>
        <v>9</v>
      </c>
      <c r="N68" s="175" t="str">
        <f>IF(M68&lt;=7,"NIVEL DE RIESGO BAJO",IF(M68&lt;=11,"NIVEL DE RIESGO MEDIO o MODERADO","NIVEL DE RIESGO ALTO o CRITICO"))</f>
        <v>NIVEL DE RIESGO MEDIO o MODERADO</v>
      </c>
      <c r="O68" s="162" t="str">
        <f>IF(M68&lt;=7,"ACEPTABLE",IF(M68&lt;=11,"ACEPTABLE CON COTROL ESPECIFICO","NO ACEPTABLE"))</f>
        <v>ACEPTABLE CON COTROL ESPECIFICO</v>
      </c>
      <c r="P68" s="162" t="s">
        <v>361</v>
      </c>
      <c r="Q68" s="159" t="s">
        <v>165</v>
      </c>
      <c r="R68" s="159" t="s">
        <v>161</v>
      </c>
      <c r="S68" s="68" t="s">
        <v>244</v>
      </c>
      <c r="T68" s="68" t="s">
        <v>321</v>
      </c>
      <c r="U68" s="68" t="s">
        <v>322</v>
      </c>
      <c r="V68" s="68" t="s">
        <v>323</v>
      </c>
      <c r="W68" s="68"/>
      <c r="X68" s="91"/>
    </row>
    <row r="69" spans="1:24" s="35" customFormat="1" ht="73.5" customHeight="1">
      <c r="A69" s="154"/>
      <c r="B69" s="154"/>
      <c r="C69" s="154"/>
      <c r="D69" s="155"/>
      <c r="E69" s="169"/>
      <c r="F69" s="161"/>
      <c r="G69" s="151"/>
      <c r="H69" s="151"/>
      <c r="I69" s="151"/>
      <c r="J69" s="151"/>
      <c r="K69" s="151"/>
      <c r="L69" s="151"/>
      <c r="M69" s="151"/>
      <c r="N69" s="177"/>
      <c r="O69" s="164"/>
      <c r="P69" s="164"/>
      <c r="Q69" s="161"/>
      <c r="R69" s="161"/>
      <c r="S69" s="68" t="s">
        <v>152</v>
      </c>
      <c r="T69" s="68" t="s">
        <v>151</v>
      </c>
      <c r="U69" s="68" t="s">
        <v>263</v>
      </c>
      <c r="V69" s="68" t="s">
        <v>247</v>
      </c>
      <c r="W69" s="68"/>
      <c r="X69" s="91"/>
    </row>
    <row r="70" spans="1:24" s="35" customFormat="1" ht="73.5" customHeight="1">
      <c r="A70" s="154"/>
      <c r="B70" s="154"/>
      <c r="C70" s="154"/>
      <c r="D70" s="155"/>
      <c r="E70" s="169"/>
      <c r="F70" s="88" t="s">
        <v>40</v>
      </c>
      <c r="G70" s="76" t="s">
        <v>9</v>
      </c>
      <c r="H70" s="76" t="str">
        <f>IF(G70="MUY PROBABLE","5",IF(G70="MEDIANAMENTE","4",IF(G70="PROBABLE","3",IF(G70="POCO PROBABLE","2",IF(G70="NO ES PROBABLE","1")))))</f>
        <v>3</v>
      </c>
      <c r="I70" s="87" t="s">
        <v>42</v>
      </c>
      <c r="J70" s="76">
        <v>4</v>
      </c>
      <c r="K70" s="76" t="s">
        <v>139</v>
      </c>
      <c r="L70" s="76" t="str">
        <f>IF(K70="CRITICO","5",IF(K70="PELIGROSO","4",IF(K70="MODERADO","3",IF(K70="MARGINAL","2",IF(K70="INSIGNIFICANTE","1")))))</f>
        <v>2</v>
      </c>
      <c r="M70" s="77">
        <f>H70+J70+L70</f>
        <v>9</v>
      </c>
      <c r="N70" s="78" t="str">
        <f>IF(M70&lt;=7,"NIVEL DE RIESGO BAJO",IF(M70&lt;=11,"NIVEL DE RIESGO MEDIO o MODERADO","NIVEL DE RIESGO ALTO o CRITICO"))</f>
        <v>NIVEL DE RIESGO MEDIO o MODERADO</v>
      </c>
      <c r="O70" s="79" t="str">
        <f t="shared" ref="O70:O72" si="39">IF(M70&lt;=7,"ACEPTABLE",IF(M70&lt;=11,"ACEPTABLE CON COTROL ESPECIFICO","NO ACEPTABLE"))</f>
        <v>ACEPTABLE CON COTROL ESPECIFICO</v>
      </c>
      <c r="P70" s="79" t="s">
        <v>333</v>
      </c>
      <c r="Q70" s="80" t="s">
        <v>165</v>
      </c>
      <c r="R70" s="80" t="s">
        <v>160</v>
      </c>
      <c r="S70" s="68" t="s">
        <v>325</v>
      </c>
      <c r="T70" s="68" t="s">
        <v>151</v>
      </c>
      <c r="U70" s="68" t="s">
        <v>263</v>
      </c>
      <c r="V70" s="68" t="s">
        <v>247</v>
      </c>
      <c r="W70" s="68"/>
      <c r="X70" s="91"/>
    </row>
    <row r="71" spans="1:24" s="35" customFormat="1" ht="73.5" customHeight="1">
      <c r="A71" s="154"/>
      <c r="B71" s="154"/>
      <c r="C71" s="154"/>
      <c r="D71" s="155"/>
      <c r="E71" s="169" t="s">
        <v>91</v>
      </c>
      <c r="F71" s="80" t="s">
        <v>66</v>
      </c>
      <c r="G71" s="76" t="s">
        <v>9</v>
      </c>
      <c r="H71" s="76" t="str">
        <f t="shared" ref="H71:H73" si="40">IF(G71="MUY PROBABLE","5",IF(G71="MEDIANAMENTE","4",IF(G71="PROBABLE","3",IF(G71="POCO PROBABLE","2",IF(G71="NO ES PROBABLE","1")))))</f>
        <v>3</v>
      </c>
      <c r="I71" s="87" t="s">
        <v>42</v>
      </c>
      <c r="J71" s="76" t="str">
        <f>IF(I71="CONSTANTE","5",IF(I71="FRECUENTE","4",IF(I71="OCASIONAL","3",IF(I71="ESPORADICO","2",IF(I71="MINIMA","1")))))</f>
        <v>4</v>
      </c>
      <c r="K71" s="76" t="s">
        <v>139</v>
      </c>
      <c r="L71" s="76" t="str">
        <f t="shared" ref="L71" si="41">IF(K71="CRITICO","5",IF(K71="PELIGROSO","4",IF(K71="MODERADO","3",IF(K71="MARGINAL","2",IF(K71="INSIGNIFICANTE","1")))))</f>
        <v>2</v>
      </c>
      <c r="M71" s="77">
        <f t="shared" ref="M71" si="42">H71+J71+L71</f>
        <v>9</v>
      </c>
      <c r="N71" s="78" t="str">
        <f t="shared" ref="N71:N72" si="43">IF(M71&lt;=7,"NIVEL DE RIESGO BAJO",IF(M71&lt;=11,"NIVEL DE RIESGO MEDIO o MODERADO","NIVEL DE RIESGO ALTO o CRITICO"))</f>
        <v>NIVEL DE RIESGO MEDIO o MODERADO</v>
      </c>
      <c r="O71" s="79" t="str">
        <f t="shared" si="39"/>
        <v>ACEPTABLE CON COTROL ESPECIFICO</v>
      </c>
      <c r="P71" s="79" t="s">
        <v>348</v>
      </c>
      <c r="Q71" s="80" t="s">
        <v>165</v>
      </c>
      <c r="R71" s="80" t="s">
        <v>161</v>
      </c>
      <c r="S71" s="68" t="s">
        <v>251</v>
      </c>
      <c r="T71" s="68" t="s">
        <v>221</v>
      </c>
      <c r="U71" s="68" t="s">
        <v>265</v>
      </c>
      <c r="V71" s="68" t="s">
        <v>216</v>
      </c>
      <c r="W71" s="68"/>
      <c r="X71" s="91"/>
    </row>
    <row r="72" spans="1:24" s="35" customFormat="1" ht="73.5" customHeight="1">
      <c r="A72" s="154"/>
      <c r="B72" s="154"/>
      <c r="C72" s="154"/>
      <c r="D72" s="155"/>
      <c r="E72" s="169"/>
      <c r="F72" s="80" t="s">
        <v>45</v>
      </c>
      <c r="G72" s="76" t="s">
        <v>134</v>
      </c>
      <c r="H72" s="76" t="str">
        <f t="shared" si="40"/>
        <v>5</v>
      </c>
      <c r="I72" s="87" t="s">
        <v>42</v>
      </c>
      <c r="J72" s="76" t="str">
        <f>IF(I72="CONSTANTE","5",IF(I72="FRECUENTE","4",IF(I72="OCASIONAL","3",IF(I72="ESPORADICO","2",IF(I72="MINIMA","1")))))</f>
        <v>4</v>
      </c>
      <c r="K72" s="76" t="s">
        <v>139</v>
      </c>
      <c r="L72" s="76">
        <v>2</v>
      </c>
      <c r="M72" s="77">
        <f>H72+J72+L72</f>
        <v>11</v>
      </c>
      <c r="N72" s="78" t="str">
        <f t="shared" si="43"/>
        <v>NIVEL DE RIESGO MEDIO o MODERADO</v>
      </c>
      <c r="O72" s="79" t="str">
        <f t="shared" si="39"/>
        <v>ACEPTABLE CON COTROL ESPECIFICO</v>
      </c>
      <c r="P72" s="79" t="s">
        <v>362</v>
      </c>
      <c r="Q72" s="80" t="s">
        <v>165</v>
      </c>
      <c r="R72" s="80" t="s">
        <v>160</v>
      </c>
      <c r="S72" s="68" t="s">
        <v>363</v>
      </c>
      <c r="T72" s="68" t="s">
        <v>146</v>
      </c>
      <c r="U72" s="68" t="s">
        <v>265</v>
      </c>
      <c r="V72" s="68" t="s">
        <v>216</v>
      </c>
      <c r="W72" s="68"/>
      <c r="X72" s="91"/>
    </row>
    <row r="73" spans="1:24" s="35" customFormat="1" ht="73.5" customHeight="1">
      <c r="A73" s="154"/>
      <c r="B73" s="154"/>
      <c r="C73" s="154"/>
      <c r="D73" s="155"/>
      <c r="E73" s="169"/>
      <c r="F73" s="169" t="s">
        <v>224</v>
      </c>
      <c r="G73" s="170" t="s">
        <v>134</v>
      </c>
      <c r="H73" s="170" t="str">
        <f t="shared" si="40"/>
        <v>5</v>
      </c>
      <c r="I73" s="150" t="s">
        <v>42</v>
      </c>
      <c r="J73" s="170" t="str">
        <f t="shared" ref="J73" si="44">IF(I73="CONSTANTE","5",IF(I73="FRECUENTE","4",IF(I73="OCASIONAL","3",IF(I73="ESPORADICO","2",IF(I73="MINIMA","1")))))</f>
        <v>4</v>
      </c>
      <c r="K73" s="170" t="s">
        <v>139</v>
      </c>
      <c r="L73" s="170" t="str">
        <f t="shared" ref="L73" si="45">IF(K73="CRITICO","5",IF(K73="PELIGROSO","4",IF(K73="MODERADO","3",IF(K73="MARGINAL","2",IF(K73="INSIGNIFICANTE","1")))))</f>
        <v>2</v>
      </c>
      <c r="M73" s="171">
        <f>H73+J73+L73</f>
        <v>11</v>
      </c>
      <c r="N73" s="172" t="str">
        <f>IF(M73&lt;=7,"NIVEL DE RIESGO BAJO",IF(M73&lt;=11,"NIVEL DE RIESGO MEDIO o MODERADO","NIVEL DE RIESGO ALTO o CRITICO"))</f>
        <v>NIVEL DE RIESGO MEDIO o MODERADO</v>
      </c>
      <c r="O73" s="173" t="str">
        <f>IF(M73&lt;=7,"ACEPTABLE",IF(M73&lt;=11,"ACEPTABLE CON COTROL ESPECIFICO","NO ACEPTABLE"))</f>
        <v>ACEPTABLE CON COTROL ESPECIFICO</v>
      </c>
      <c r="P73" s="173" t="s">
        <v>334</v>
      </c>
      <c r="Q73" s="169" t="s">
        <v>164</v>
      </c>
      <c r="R73" s="169" t="s">
        <v>160</v>
      </c>
      <c r="S73" s="174" t="s">
        <v>225</v>
      </c>
      <c r="T73" s="68" t="s">
        <v>365</v>
      </c>
      <c r="U73" s="68" t="s">
        <v>265</v>
      </c>
      <c r="V73" s="174" t="s">
        <v>217</v>
      </c>
      <c r="W73" s="68"/>
      <c r="X73" s="91"/>
    </row>
    <row r="74" spans="1:24" s="35" customFormat="1" ht="73.5" customHeight="1">
      <c r="A74" s="154"/>
      <c r="B74" s="154"/>
      <c r="C74" s="154"/>
      <c r="D74" s="155"/>
      <c r="E74" s="169"/>
      <c r="F74" s="169"/>
      <c r="G74" s="170"/>
      <c r="H74" s="170"/>
      <c r="I74" s="153"/>
      <c r="J74" s="170"/>
      <c r="K74" s="170"/>
      <c r="L74" s="170"/>
      <c r="M74" s="171"/>
      <c r="N74" s="172"/>
      <c r="O74" s="173"/>
      <c r="P74" s="173"/>
      <c r="Q74" s="169"/>
      <c r="R74" s="169"/>
      <c r="S74" s="174"/>
      <c r="T74" s="174" t="s">
        <v>364</v>
      </c>
      <c r="U74" s="156" t="s">
        <v>366</v>
      </c>
      <c r="V74" s="174"/>
      <c r="W74" s="68"/>
      <c r="X74" s="91"/>
    </row>
    <row r="75" spans="1:24" s="35" customFormat="1" ht="73.5" customHeight="1">
      <c r="A75" s="154"/>
      <c r="B75" s="154"/>
      <c r="C75" s="154"/>
      <c r="D75" s="155"/>
      <c r="E75" s="169"/>
      <c r="F75" s="169"/>
      <c r="G75" s="170"/>
      <c r="H75" s="170"/>
      <c r="I75" s="153"/>
      <c r="J75" s="170"/>
      <c r="K75" s="170"/>
      <c r="L75" s="170"/>
      <c r="M75" s="171"/>
      <c r="N75" s="172"/>
      <c r="O75" s="173"/>
      <c r="P75" s="173"/>
      <c r="Q75" s="169"/>
      <c r="R75" s="169"/>
      <c r="S75" s="174"/>
      <c r="T75" s="174"/>
      <c r="U75" s="157"/>
      <c r="V75" s="174"/>
      <c r="W75" s="68"/>
      <c r="X75" s="91"/>
    </row>
    <row r="76" spans="1:24" s="35" customFormat="1" ht="73.5" customHeight="1">
      <c r="A76" s="154"/>
      <c r="B76" s="154"/>
      <c r="C76" s="154"/>
      <c r="D76" s="155"/>
      <c r="E76" s="169"/>
      <c r="F76" s="169"/>
      <c r="G76" s="170"/>
      <c r="H76" s="170"/>
      <c r="I76" s="151"/>
      <c r="J76" s="170"/>
      <c r="K76" s="170"/>
      <c r="L76" s="170"/>
      <c r="M76" s="171"/>
      <c r="N76" s="172"/>
      <c r="O76" s="173"/>
      <c r="P76" s="173"/>
      <c r="Q76" s="169"/>
      <c r="R76" s="169"/>
      <c r="S76" s="174"/>
      <c r="T76" s="174"/>
      <c r="U76" s="158"/>
      <c r="V76" s="174"/>
      <c r="W76" s="68"/>
      <c r="X76" s="91"/>
    </row>
    <row r="77" spans="1:24" s="35" customFormat="1" ht="73.5" customHeight="1">
      <c r="A77" s="154"/>
      <c r="B77" s="154"/>
      <c r="C77" s="154"/>
      <c r="D77" s="155"/>
      <c r="E77" s="169" t="s">
        <v>93</v>
      </c>
      <c r="F77" s="80" t="s">
        <v>229</v>
      </c>
      <c r="G77" s="76" t="s">
        <v>9</v>
      </c>
      <c r="H77" s="76">
        <v>3</v>
      </c>
      <c r="I77" s="76" t="s">
        <v>131</v>
      </c>
      <c r="J77" s="76" t="str">
        <f t="shared" ref="J77:J78" si="46">IF(I77="CONSTANTE","5",IF(I77="FRECUENTE","4",IF(I77="OCASIONAL","3",IF(I77="ESPORADICO","2",IF(I77="MINIMA","1")))))</f>
        <v>2</v>
      </c>
      <c r="K77" s="76" t="s">
        <v>139</v>
      </c>
      <c r="L77" s="76" t="str">
        <f t="shared" ref="L77:L78" si="47">IF(K77="CRITICO","5",IF(K77="PELIGROSO","4",IF(K77="MODERADO","3",IF(K77="MARGINAL","2",IF(K77="INSIGNIFICANTE","1")))))</f>
        <v>2</v>
      </c>
      <c r="M77" s="77">
        <f>H77+J77+L77</f>
        <v>7</v>
      </c>
      <c r="N77" s="78" t="str">
        <f>IF(M77&lt;=7,"NIVEL DE RIESGO BAJO",IF(M77&lt;=11,"NIVEL DE RIESGO MEDIO o MODERADO","NIVEL DE RIESGO ALTO o CRITICO"))</f>
        <v>NIVEL DE RIESGO BAJO</v>
      </c>
      <c r="O77" s="79" t="str">
        <f>IF(M77&lt;=7,"ACEPTABLE",IF(M77&lt;=11,"ACEPTABLE CON COTROL ESPECIFICO","NO ACEPTABLE"))</f>
        <v>ACEPTABLE</v>
      </c>
      <c r="P77" s="79" t="s">
        <v>368</v>
      </c>
      <c r="Q77" s="80" t="s">
        <v>166</v>
      </c>
      <c r="R77" s="80" t="s">
        <v>161</v>
      </c>
      <c r="S77" s="68" t="s">
        <v>369</v>
      </c>
      <c r="T77" s="68" t="s">
        <v>235</v>
      </c>
      <c r="U77" s="68" t="s">
        <v>370</v>
      </c>
      <c r="V77" s="68" t="s">
        <v>360</v>
      </c>
      <c r="W77" s="68"/>
      <c r="X77" s="91"/>
    </row>
    <row r="78" spans="1:24" s="35" customFormat="1" ht="73.5" customHeight="1">
      <c r="A78" s="154"/>
      <c r="B78" s="154"/>
      <c r="C78" s="154"/>
      <c r="D78" s="155"/>
      <c r="E78" s="169"/>
      <c r="F78" s="80" t="s">
        <v>227</v>
      </c>
      <c r="G78" s="76" t="s">
        <v>137</v>
      </c>
      <c r="H78" s="76" t="str">
        <f>IF(G78="MUY PROBABLE","5",IF(G78="MEDIANAMENTE PROBABLE","4",IF(G78="PROBABLE","3",IF(G78="POCO PROBABLE","2",IF(G78="NO ES PROBABLE","1")))))</f>
        <v>4</v>
      </c>
      <c r="I78" s="76" t="s">
        <v>131</v>
      </c>
      <c r="J78" s="76" t="str">
        <f t="shared" si="46"/>
        <v>2</v>
      </c>
      <c r="K78" s="76" t="s">
        <v>10</v>
      </c>
      <c r="L78" s="76" t="str">
        <f t="shared" si="47"/>
        <v>1</v>
      </c>
      <c r="M78" s="77">
        <f>H78+J78+L78</f>
        <v>7</v>
      </c>
      <c r="N78" s="78" t="str">
        <f t="shared" ref="N78" si="48">IF(M78&lt;=7,"NIVEL DE RIESGO BAJO",IF(M78&lt;=11,"NIVEL DE RIESGO MEDIO o MODERADO","NIVEL DE RIESGO ALTO o CRITICO"))</f>
        <v>NIVEL DE RIESGO BAJO</v>
      </c>
      <c r="O78" s="79" t="str">
        <f>IF(M78&lt;=7,"ACEPTABLE",IF(M78&lt;=11,"ACEPTABLE CON COTROL ESPECIFICO","NO ACEPTABLE"))</f>
        <v>ACEPTABLE</v>
      </c>
      <c r="P78" s="79" t="s">
        <v>367</v>
      </c>
      <c r="Q78" s="80" t="s">
        <v>164</v>
      </c>
      <c r="R78" s="80" t="s">
        <v>161</v>
      </c>
      <c r="S78" s="68" t="s">
        <v>230</v>
      </c>
      <c r="T78" s="68" t="s">
        <v>212</v>
      </c>
      <c r="U78" s="68" t="s">
        <v>265</v>
      </c>
      <c r="V78" s="68" t="s">
        <v>216</v>
      </c>
      <c r="W78" s="68"/>
      <c r="X78" s="91"/>
    </row>
    <row r="79" spans="1:24" ht="116.25" customHeight="1">
      <c r="A79" s="154" t="s">
        <v>27</v>
      </c>
      <c r="B79" s="154" t="s">
        <v>304</v>
      </c>
      <c r="C79" s="154" t="s">
        <v>140</v>
      </c>
      <c r="D79" s="155" t="s">
        <v>5</v>
      </c>
      <c r="E79" s="80" t="s">
        <v>90</v>
      </c>
      <c r="F79" s="80" t="s">
        <v>41</v>
      </c>
      <c r="G79" s="76" t="s">
        <v>136</v>
      </c>
      <c r="H79" s="76" t="str">
        <f>IF(G79="MUY PROBABLE","5",IF(G79="MEDIANAMENTE","4",IF(G79="PROBABLE","3",IF(G79="POCO PROBABLE","2",IF(G79="NO ES PROBABLE","1")))))</f>
        <v>2</v>
      </c>
      <c r="I79" s="76" t="s">
        <v>133</v>
      </c>
      <c r="J79" s="76" t="str">
        <f>IF(I79="CONSTANTE","5",IF(I79="FRECUENTE","4",IF(I79="OCASIONAL","3",IF(I79="ESPORADICO","2",IF(I79="MINIMA","1")))))</f>
        <v>1</v>
      </c>
      <c r="K79" s="76" t="s">
        <v>139</v>
      </c>
      <c r="L79" s="76" t="str">
        <f>IF(K79="CRITICO","5",IF(K79="PELIGROSO","4",IF(K79="MODERADO","3",IF(K79="MARGINAL","2",IF(K79="INSIGNIFICANTE","1")))))</f>
        <v>2</v>
      </c>
      <c r="M79" s="77">
        <f>H79+J79+L79</f>
        <v>5</v>
      </c>
      <c r="N79" s="78" t="str">
        <f t="shared" ref="N79:N80" si="49">IF(M79&lt;=7,"NIVEL DE RIESGO BAJO",IF(M79&lt;=11,"NIVEL DE RIESGO MEDIO o MODERADO","NIVEL DE RIESGO ALTO o CRITICO"))</f>
        <v>NIVEL DE RIESGO BAJO</v>
      </c>
      <c r="O79" s="79" t="str">
        <f>IF(M79&lt;=7,"ACEPTABLE",IF(M79&lt;=11,"ACEPTABLE CON COTROL ESPECIFICO","NO ACEPTABLE"))</f>
        <v>ACEPTABLE</v>
      </c>
      <c r="P79" s="79" t="s">
        <v>266</v>
      </c>
      <c r="Q79" s="80" t="s">
        <v>165</v>
      </c>
      <c r="R79" s="80" t="s">
        <v>160</v>
      </c>
      <c r="S79" s="68" t="s">
        <v>244</v>
      </c>
      <c r="T79" s="68" t="s">
        <v>221</v>
      </c>
      <c r="U79" s="68" t="s">
        <v>214</v>
      </c>
      <c r="V79" s="68" t="s">
        <v>253</v>
      </c>
      <c r="W79" s="68"/>
      <c r="X79" s="168"/>
    </row>
    <row r="80" spans="1:24" ht="76.5" customHeight="1">
      <c r="A80" s="154"/>
      <c r="B80" s="154"/>
      <c r="C80" s="154"/>
      <c r="D80" s="155"/>
      <c r="E80" s="169" t="s">
        <v>93</v>
      </c>
      <c r="F80" s="169" t="s">
        <v>46</v>
      </c>
      <c r="G80" s="170" t="s">
        <v>136</v>
      </c>
      <c r="H80" s="170" t="str">
        <f>IF(G80="MUY PROBABLE","5",IF(G80="MEDIANAMENTE","4",IF(G80="PROBABLE","3",IF(G80="POCO PROBABLE","2",IF(G80="NO ES PROBABLE","1")))))</f>
        <v>2</v>
      </c>
      <c r="I80" s="170" t="s">
        <v>133</v>
      </c>
      <c r="J80" s="170" t="str">
        <f>IF(I80="CONSTANTE","5",IF(I80="FRECUENTE","4",IF(I80="OCASIONAL","3",IF(I80="ESPORADICO","2",IF(I80="MINIMA","1")))))</f>
        <v>1</v>
      </c>
      <c r="K80" s="170" t="s">
        <v>139</v>
      </c>
      <c r="L80" s="170" t="str">
        <f>IF(K80="CRITICO","5",IF(K80="PELIGROSO","4",IF(K80="MODERADO","3",IF(K80="MARGINAL","2",IF(K80="INSIGNIFICANTE","1")))))</f>
        <v>2</v>
      </c>
      <c r="M80" s="171">
        <f>H80+J80+L80</f>
        <v>5</v>
      </c>
      <c r="N80" s="172" t="str">
        <f t="shared" si="49"/>
        <v>NIVEL DE RIESGO BAJO</v>
      </c>
      <c r="O80" s="173" t="str">
        <f>IF(M80&lt;=7,"ACEPTABLE",IF(M80&lt;=11,"ACEPTABLE CON COTROL ESPECIFICO","NO ACEPTABLE"))</f>
        <v>ACEPTABLE</v>
      </c>
      <c r="P80" s="173" t="s">
        <v>267</v>
      </c>
      <c r="Q80" s="169" t="s">
        <v>165</v>
      </c>
      <c r="R80" s="169" t="s">
        <v>160</v>
      </c>
      <c r="S80" s="174" t="s">
        <v>250</v>
      </c>
      <c r="T80" s="174" t="s">
        <v>221</v>
      </c>
      <c r="U80" s="174" t="s">
        <v>214</v>
      </c>
      <c r="V80" s="174" t="s">
        <v>254</v>
      </c>
      <c r="W80" s="174"/>
      <c r="X80" s="168"/>
    </row>
    <row r="81" spans="1:24" ht="76.5" customHeight="1">
      <c r="A81" s="154"/>
      <c r="B81" s="154"/>
      <c r="C81" s="154"/>
      <c r="D81" s="155"/>
      <c r="E81" s="169"/>
      <c r="F81" s="169"/>
      <c r="G81" s="170"/>
      <c r="H81" s="170"/>
      <c r="I81" s="170"/>
      <c r="J81" s="170"/>
      <c r="K81" s="170"/>
      <c r="L81" s="170"/>
      <c r="M81" s="171"/>
      <c r="N81" s="172"/>
      <c r="O81" s="173"/>
      <c r="P81" s="173"/>
      <c r="Q81" s="169"/>
      <c r="R81" s="169"/>
      <c r="S81" s="174"/>
      <c r="T81" s="174"/>
      <c r="U81" s="174"/>
      <c r="V81" s="174"/>
      <c r="W81" s="174"/>
      <c r="X81" s="168"/>
    </row>
    <row r="82" spans="1:24">
      <c r="B82" s="30"/>
      <c r="C82" s="30"/>
      <c r="D82" s="36"/>
      <c r="E82" s="36"/>
      <c r="F82" s="36"/>
      <c r="G82" s="37"/>
      <c r="H82" s="37"/>
      <c r="I82" s="37"/>
      <c r="J82" s="37"/>
      <c r="K82" s="37"/>
      <c r="L82" s="37"/>
      <c r="M82" s="38" t="e">
        <f>+[1]FORM!G172</f>
        <v>#N/A</v>
      </c>
      <c r="N82" s="39" t="e">
        <f>+[1]FORM!H172</f>
        <v>#N/A</v>
      </c>
    </row>
    <row r="83" spans="1:24">
      <c r="B83" s="30"/>
      <c r="C83" s="30"/>
      <c r="D83" s="36"/>
      <c r="E83" s="36"/>
      <c r="F83" s="36"/>
      <c r="G83" s="37"/>
      <c r="H83" s="37"/>
      <c r="I83" s="37"/>
      <c r="J83" s="37"/>
      <c r="K83" s="37"/>
      <c r="L83" s="37"/>
      <c r="M83" s="38" t="e">
        <f>+[1]FORM!G173</f>
        <v>#N/A</v>
      </c>
      <c r="N83" s="39" t="e">
        <f>+[1]FORM!H173</f>
        <v>#N/A</v>
      </c>
    </row>
    <row r="84" spans="1:24">
      <c r="B84" s="30"/>
      <c r="C84" s="30"/>
      <c r="D84" s="36"/>
      <c r="E84" s="36"/>
      <c r="F84" s="36"/>
      <c r="G84" s="37"/>
      <c r="H84" s="37"/>
      <c r="I84" s="37"/>
      <c r="J84" s="37"/>
      <c r="K84" s="37"/>
      <c r="L84" s="37"/>
      <c r="M84" s="38" t="e">
        <f>+[1]FORM!G174</f>
        <v>#N/A</v>
      </c>
      <c r="N84" s="39" t="e">
        <f>+[1]FORM!H174</f>
        <v>#N/A</v>
      </c>
    </row>
    <row r="85" spans="1:24">
      <c r="B85" s="30"/>
      <c r="C85" s="30"/>
      <c r="D85" s="36"/>
      <c r="E85" s="36"/>
      <c r="F85" s="36"/>
      <c r="G85" s="37"/>
      <c r="H85" s="37"/>
      <c r="I85" s="37"/>
      <c r="J85" s="37"/>
      <c r="K85" s="37"/>
      <c r="L85" s="37"/>
      <c r="M85" s="38" t="e">
        <f>+[1]FORM!G175</f>
        <v>#N/A</v>
      </c>
      <c r="N85" s="39" t="e">
        <f>+[1]FORM!H175</f>
        <v>#N/A</v>
      </c>
    </row>
    <row r="86" spans="1:24">
      <c r="B86" s="30"/>
      <c r="C86" s="30"/>
      <c r="D86" s="36"/>
      <c r="E86" s="36"/>
      <c r="F86" s="36"/>
      <c r="G86" s="37"/>
      <c r="H86" s="37"/>
      <c r="I86" s="37"/>
      <c r="J86" s="37"/>
      <c r="K86" s="37"/>
      <c r="L86" s="37"/>
      <c r="M86" s="38" t="e">
        <f>+[1]FORM!G176</f>
        <v>#N/A</v>
      </c>
      <c r="N86" s="39" t="e">
        <f>+[1]FORM!H176</f>
        <v>#N/A</v>
      </c>
    </row>
    <row r="87" spans="1:24">
      <c r="B87" s="30"/>
      <c r="C87" s="30"/>
      <c r="D87" s="36"/>
      <c r="E87" s="36"/>
      <c r="F87" s="36"/>
      <c r="G87" s="37"/>
      <c r="H87" s="37"/>
      <c r="I87" s="37"/>
      <c r="J87" s="37"/>
      <c r="K87" s="37"/>
      <c r="L87" s="37"/>
      <c r="M87" s="38" t="e">
        <f>+[1]FORM!G177</f>
        <v>#N/A</v>
      </c>
      <c r="N87" s="39" t="e">
        <f>+[1]FORM!H177</f>
        <v>#N/A</v>
      </c>
    </row>
    <row r="88" spans="1:24">
      <c r="B88" s="30"/>
      <c r="C88" s="30"/>
      <c r="D88" s="36"/>
      <c r="E88" s="36"/>
      <c r="F88" s="36"/>
      <c r="G88" s="37"/>
      <c r="H88" s="37"/>
      <c r="I88" s="37"/>
      <c r="J88" s="37"/>
      <c r="K88" s="37"/>
      <c r="L88" s="37"/>
      <c r="M88" s="38" t="e">
        <f>+[1]FORM!G178</f>
        <v>#N/A</v>
      </c>
      <c r="N88" s="39" t="e">
        <f>+[1]FORM!H178</f>
        <v>#N/A</v>
      </c>
    </row>
    <row r="89" spans="1:24">
      <c r="B89" s="30"/>
      <c r="C89" s="30"/>
      <c r="D89" s="36"/>
      <c r="E89" s="36"/>
      <c r="F89" s="36"/>
      <c r="G89" s="37"/>
      <c r="H89" s="37"/>
      <c r="I89" s="37"/>
      <c r="J89" s="37"/>
      <c r="K89" s="37"/>
      <c r="L89" s="37"/>
      <c r="M89" s="38" t="e">
        <f>+[1]FORM!G179</f>
        <v>#N/A</v>
      </c>
      <c r="N89" s="39" t="e">
        <f>+[1]FORM!H179</f>
        <v>#N/A</v>
      </c>
    </row>
    <row r="90" spans="1:24">
      <c r="B90" s="30"/>
      <c r="C90" s="30"/>
      <c r="D90" s="36"/>
      <c r="E90" s="36"/>
      <c r="F90" s="36"/>
      <c r="G90" s="37"/>
      <c r="H90" s="37"/>
      <c r="I90" s="37"/>
      <c r="J90" s="37"/>
      <c r="K90" s="37"/>
      <c r="L90" s="37"/>
      <c r="M90" s="38" t="e">
        <f>+[1]FORM!G180</f>
        <v>#N/A</v>
      </c>
      <c r="N90" s="39" t="e">
        <f>+[1]FORM!H180</f>
        <v>#N/A</v>
      </c>
    </row>
    <row r="91" spans="1:24">
      <c r="B91" s="30"/>
      <c r="C91" s="30"/>
      <c r="D91" s="36"/>
      <c r="E91" s="36"/>
      <c r="F91" s="36"/>
      <c r="G91" s="37"/>
      <c r="H91" s="37"/>
      <c r="I91" s="37"/>
      <c r="J91" s="37"/>
      <c r="K91" s="37"/>
      <c r="L91" s="37"/>
      <c r="M91" s="38" t="e">
        <f>+[1]FORM!G181</f>
        <v>#N/A</v>
      </c>
      <c r="N91" s="39" t="e">
        <f>+[1]FORM!H181</f>
        <v>#N/A</v>
      </c>
    </row>
    <row r="92" spans="1:24">
      <c r="B92" s="30"/>
      <c r="C92" s="30"/>
      <c r="D92" s="36"/>
      <c r="E92" s="36"/>
      <c r="F92" s="36"/>
      <c r="G92" s="37"/>
      <c r="H92" s="37"/>
      <c r="I92" s="37"/>
      <c r="J92" s="37"/>
      <c r="K92" s="37"/>
      <c r="L92" s="37"/>
      <c r="M92" s="38" t="e">
        <f>+[1]FORM!G182</f>
        <v>#N/A</v>
      </c>
      <c r="N92" s="39" t="e">
        <f>+[1]FORM!H182</f>
        <v>#N/A</v>
      </c>
    </row>
    <row r="93" spans="1:24">
      <c r="B93" s="30"/>
      <c r="C93" s="30"/>
      <c r="D93" s="36"/>
      <c r="E93" s="36"/>
      <c r="F93" s="36"/>
      <c r="G93" s="37"/>
      <c r="H93" s="37"/>
      <c r="I93" s="37"/>
      <c r="J93" s="37"/>
      <c r="K93" s="37"/>
      <c r="L93" s="37"/>
      <c r="M93" s="38" t="e">
        <f>+[1]FORM!G183</f>
        <v>#N/A</v>
      </c>
      <c r="N93" s="39" t="e">
        <f>+[1]FORM!H183</f>
        <v>#N/A</v>
      </c>
    </row>
    <row r="94" spans="1:24">
      <c r="B94" s="30"/>
      <c r="C94" s="30"/>
      <c r="D94" s="36"/>
      <c r="E94" s="36"/>
      <c r="F94" s="36"/>
      <c r="G94" s="37"/>
      <c r="H94" s="37"/>
      <c r="I94" s="37"/>
      <c r="J94" s="37"/>
      <c r="K94" s="37"/>
      <c r="L94" s="37"/>
      <c r="M94" s="38" t="e">
        <f>+[1]FORM!G184</f>
        <v>#N/A</v>
      </c>
      <c r="N94" s="39" t="e">
        <f>+[1]FORM!H184</f>
        <v>#N/A</v>
      </c>
    </row>
    <row r="95" spans="1:24">
      <c r="B95" s="30"/>
      <c r="C95" s="30"/>
      <c r="D95" s="36"/>
      <c r="E95" s="36"/>
      <c r="F95" s="36"/>
      <c r="G95" s="37"/>
      <c r="H95" s="37"/>
      <c r="I95" s="37"/>
      <c r="J95" s="37"/>
      <c r="K95" s="37"/>
      <c r="L95" s="37"/>
      <c r="M95" s="38" t="e">
        <f>+[1]FORM!G185</f>
        <v>#N/A</v>
      </c>
      <c r="N95" s="39" t="e">
        <f>+[1]FORM!H185</f>
        <v>#N/A</v>
      </c>
    </row>
    <row r="96" spans="1:24">
      <c r="B96" s="30"/>
      <c r="C96" s="30"/>
      <c r="D96" s="36"/>
      <c r="E96" s="36"/>
      <c r="F96" s="36"/>
      <c r="G96" s="37"/>
      <c r="H96" s="37"/>
      <c r="I96" s="37"/>
      <c r="J96" s="37"/>
      <c r="K96" s="37"/>
      <c r="L96" s="37"/>
      <c r="M96" s="38" t="e">
        <f>+[1]FORM!G186</f>
        <v>#N/A</v>
      </c>
      <c r="N96" s="39" t="e">
        <f>+[1]FORM!H186</f>
        <v>#N/A</v>
      </c>
    </row>
    <row r="97" spans="2:14">
      <c r="B97" s="30"/>
      <c r="C97" s="30"/>
      <c r="D97" s="36"/>
      <c r="E97" s="36"/>
      <c r="F97" s="36"/>
      <c r="G97" s="37"/>
      <c r="H97" s="37"/>
      <c r="I97" s="37"/>
      <c r="J97" s="37"/>
      <c r="K97" s="37"/>
      <c r="L97" s="37"/>
      <c r="M97" s="38" t="e">
        <f>+[1]FORM!G187</f>
        <v>#N/A</v>
      </c>
      <c r="N97" s="39" t="e">
        <f>+[1]FORM!H187</f>
        <v>#N/A</v>
      </c>
    </row>
    <row r="98" spans="2:14">
      <c r="B98" s="30"/>
      <c r="C98" s="30"/>
      <c r="D98" s="36"/>
      <c r="E98" s="36"/>
      <c r="F98" s="36"/>
      <c r="G98" s="37"/>
      <c r="H98" s="37"/>
      <c r="I98" s="37"/>
      <c r="J98" s="37"/>
      <c r="K98" s="37"/>
      <c r="L98" s="37"/>
      <c r="M98" s="38" t="e">
        <f>+[1]FORM!G188</f>
        <v>#N/A</v>
      </c>
      <c r="N98" s="39" t="e">
        <f>+[1]FORM!H188</f>
        <v>#N/A</v>
      </c>
    </row>
    <row r="99" spans="2:14">
      <c r="B99" s="30"/>
      <c r="C99" s="30"/>
      <c r="D99" s="36"/>
      <c r="E99" s="36"/>
      <c r="F99" s="36"/>
      <c r="G99" s="37"/>
      <c r="H99" s="37"/>
      <c r="I99" s="37"/>
      <c r="J99" s="37"/>
      <c r="K99" s="37"/>
      <c r="L99" s="37"/>
      <c r="M99" s="38" t="e">
        <f>+[1]FORM!G189</f>
        <v>#N/A</v>
      </c>
      <c r="N99" s="39" t="e">
        <f>+[1]FORM!H189</f>
        <v>#N/A</v>
      </c>
    </row>
    <row r="100" spans="2:14">
      <c r="B100" s="30"/>
      <c r="C100" s="30"/>
      <c r="D100" s="36"/>
      <c r="E100" s="36"/>
      <c r="F100" s="36"/>
      <c r="G100" s="37"/>
      <c r="H100" s="37"/>
      <c r="I100" s="37"/>
      <c r="J100" s="37"/>
      <c r="K100" s="37"/>
      <c r="L100" s="37"/>
      <c r="M100" s="38" t="e">
        <f>+[1]FORM!G190</f>
        <v>#N/A</v>
      </c>
      <c r="N100" s="39" t="e">
        <f>+[1]FORM!H190</f>
        <v>#N/A</v>
      </c>
    </row>
    <row r="101" spans="2:14">
      <c r="B101" s="30"/>
      <c r="C101" s="30"/>
      <c r="D101" s="36"/>
      <c r="E101" s="36"/>
      <c r="F101" s="36"/>
      <c r="G101" s="37"/>
      <c r="H101" s="37"/>
      <c r="I101" s="37"/>
      <c r="J101" s="37"/>
      <c r="K101" s="37"/>
      <c r="L101" s="37"/>
      <c r="M101" s="38" t="e">
        <f>+[1]FORM!G191</f>
        <v>#N/A</v>
      </c>
      <c r="N101" s="39" t="e">
        <f>+[1]FORM!H191</f>
        <v>#N/A</v>
      </c>
    </row>
    <row r="102" spans="2:14">
      <c r="B102" s="30"/>
      <c r="C102" s="30"/>
      <c r="D102" s="36"/>
      <c r="E102" s="36"/>
      <c r="F102" s="36"/>
      <c r="G102" s="37"/>
      <c r="H102" s="37"/>
      <c r="I102" s="37"/>
      <c r="J102" s="37"/>
      <c r="K102" s="37"/>
      <c r="L102" s="37"/>
      <c r="M102" s="38" t="e">
        <f>+[1]FORM!G192</f>
        <v>#N/A</v>
      </c>
      <c r="N102" s="39" t="e">
        <f>+[1]FORM!H192</f>
        <v>#N/A</v>
      </c>
    </row>
    <row r="103" spans="2:14">
      <c r="B103" s="30"/>
      <c r="C103" s="30"/>
      <c r="D103" s="36"/>
      <c r="E103" s="36"/>
      <c r="F103" s="36"/>
      <c r="G103" s="37"/>
      <c r="H103" s="37"/>
      <c r="I103" s="37"/>
      <c r="J103" s="37"/>
      <c r="K103" s="37"/>
      <c r="L103" s="37"/>
      <c r="M103" s="38" t="e">
        <f>+[1]FORM!G193</f>
        <v>#N/A</v>
      </c>
      <c r="N103" s="39" t="e">
        <f>+[1]FORM!H193</f>
        <v>#N/A</v>
      </c>
    </row>
    <row r="104" spans="2:14">
      <c r="B104" s="30"/>
      <c r="C104" s="30"/>
      <c r="D104" s="36"/>
      <c r="E104" s="36"/>
      <c r="F104" s="36"/>
      <c r="G104" s="37"/>
      <c r="H104" s="37"/>
      <c r="I104" s="37"/>
      <c r="J104" s="37"/>
      <c r="K104" s="37"/>
      <c r="L104" s="37"/>
      <c r="M104" s="38" t="e">
        <f>+[1]FORM!G194</f>
        <v>#N/A</v>
      </c>
      <c r="N104" s="39" t="e">
        <f>+[1]FORM!H194</f>
        <v>#N/A</v>
      </c>
    </row>
    <row r="105" spans="2:14">
      <c r="B105" s="30"/>
      <c r="C105" s="30"/>
      <c r="D105" s="36"/>
      <c r="E105" s="36"/>
      <c r="F105" s="36"/>
      <c r="G105" s="37"/>
      <c r="H105" s="37"/>
      <c r="I105" s="37"/>
      <c r="J105" s="37"/>
      <c r="K105" s="37"/>
      <c r="L105" s="37"/>
      <c r="M105" s="38" t="e">
        <f>+[1]FORM!G195</f>
        <v>#N/A</v>
      </c>
      <c r="N105" s="39" t="e">
        <f>+[1]FORM!H195</f>
        <v>#N/A</v>
      </c>
    </row>
    <row r="106" spans="2:14">
      <c r="B106" s="30"/>
      <c r="C106" s="30"/>
      <c r="D106" s="36"/>
      <c r="E106" s="36"/>
      <c r="F106" s="36"/>
      <c r="G106" s="37"/>
      <c r="H106" s="37"/>
      <c r="I106" s="37"/>
      <c r="J106" s="37"/>
      <c r="K106" s="37"/>
      <c r="L106" s="37"/>
      <c r="M106" s="38" t="e">
        <f>+[1]FORM!G196</f>
        <v>#N/A</v>
      </c>
      <c r="N106" s="39" t="e">
        <f>+[1]FORM!H196</f>
        <v>#N/A</v>
      </c>
    </row>
    <row r="107" spans="2:14">
      <c r="B107" s="30"/>
      <c r="C107" s="30"/>
      <c r="D107" s="36"/>
      <c r="E107" s="36"/>
      <c r="F107" s="36"/>
      <c r="G107" s="37"/>
      <c r="H107" s="37"/>
      <c r="I107" s="37"/>
      <c r="J107" s="37"/>
      <c r="K107" s="37"/>
      <c r="L107" s="37"/>
      <c r="M107" s="38" t="e">
        <f>+[1]FORM!G197</f>
        <v>#N/A</v>
      </c>
      <c r="N107" s="39" t="e">
        <f>+[1]FORM!H197</f>
        <v>#N/A</v>
      </c>
    </row>
    <row r="108" spans="2:14">
      <c r="B108" s="30"/>
      <c r="C108" s="30"/>
      <c r="D108" s="36"/>
      <c r="E108" s="36"/>
      <c r="F108" s="36"/>
      <c r="G108" s="37"/>
      <c r="H108" s="37"/>
      <c r="I108" s="37"/>
      <c r="J108" s="37"/>
      <c r="K108" s="37"/>
      <c r="L108" s="37"/>
      <c r="M108" s="38" t="e">
        <f>+[1]FORM!G198</f>
        <v>#N/A</v>
      </c>
      <c r="N108" s="39" t="e">
        <f>+[1]FORM!H198</f>
        <v>#N/A</v>
      </c>
    </row>
    <row r="109" spans="2:14">
      <c r="B109" s="30"/>
      <c r="C109" s="30"/>
      <c r="D109" s="36"/>
      <c r="E109" s="36"/>
      <c r="F109" s="36"/>
      <c r="G109" s="37"/>
      <c r="H109" s="37"/>
      <c r="I109" s="37"/>
      <c r="J109" s="37"/>
      <c r="K109" s="37"/>
      <c r="L109" s="37"/>
      <c r="M109" s="38" t="e">
        <f>+[1]FORM!G199</f>
        <v>#N/A</v>
      </c>
      <c r="N109" s="39" t="e">
        <f>+[1]FORM!H199</f>
        <v>#N/A</v>
      </c>
    </row>
    <row r="110" spans="2:14">
      <c r="B110" s="30"/>
      <c r="C110" s="30"/>
      <c r="D110" s="36"/>
      <c r="E110" s="36"/>
      <c r="F110" s="36"/>
      <c r="G110" s="37"/>
      <c r="H110" s="37"/>
      <c r="I110" s="37"/>
      <c r="J110" s="37"/>
      <c r="K110" s="37"/>
      <c r="L110" s="37"/>
      <c r="M110" s="38" t="e">
        <f>+[1]FORM!G200</f>
        <v>#N/A</v>
      </c>
      <c r="N110" s="39" t="e">
        <f>+[1]FORM!H200</f>
        <v>#N/A</v>
      </c>
    </row>
    <row r="111" spans="2:14">
      <c r="B111" s="30"/>
      <c r="C111" s="30"/>
      <c r="D111" s="36"/>
      <c r="E111" s="36"/>
      <c r="F111" s="36"/>
      <c r="G111" s="37"/>
      <c r="H111" s="37"/>
      <c r="I111" s="37"/>
      <c r="J111" s="37"/>
      <c r="K111" s="37"/>
      <c r="L111" s="37"/>
      <c r="M111" s="38" t="e">
        <f>+[1]FORM!G201</f>
        <v>#N/A</v>
      </c>
      <c r="N111" s="39" t="e">
        <f>+[1]FORM!H201</f>
        <v>#N/A</v>
      </c>
    </row>
    <row r="112" spans="2:14">
      <c r="B112" s="30"/>
      <c r="C112" s="30"/>
      <c r="D112" s="36"/>
      <c r="E112" s="36"/>
      <c r="F112" s="36"/>
      <c r="G112" s="37"/>
      <c r="H112" s="37"/>
      <c r="I112" s="37"/>
      <c r="J112" s="37"/>
      <c r="K112" s="37"/>
      <c r="L112" s="37"/>
      <c r="M112" s="38" t="e">
        <f>+[1]FORM!G202</f>
        <v>#N/A</v>
      </c>
      <c r="N112" s="39" t="e">
        <f>+[1]FORM!H202</f>
        <v>#N/A</v>
      </c>
    </row>
    <row r="113" spans="2:14">
      <c r="B113" s="30"/>
      <c r="C113" s="30"/>
      <c r="D113" s="36"/>
      <c r="E113" s="36"/>
      <c r="F113" s="36"/>
      <c r="G113" s="37"/>
      <c r="H113" s="37"/>
      <c r="I113" s="37"/>
      <c r="J113" s="37"/>
      <c r="K113" s="37"/>
      <c r="L113" s="37"/>
      <c r="M113" s="38" t="e">
        <f>+[1]FORM!G203</f>
        <v>#N/A</v>
      </c>
      <c r="N113" s="39" t="e">
        <f>+[1]FORM!H203</f>
        <v>#N/A</v>
      </c>
    </row>
    <row r="114" spans="2:14">
      <c r="B114" s="30"/>
      <c r="C114" s="30"/>
      <c r="D114" s="36"/>
      <c r="E114" s="36"/>
      <c r="F114" s="36"/>
      <c r="G114" s="37"/>
      <c r="H114" s="37"/>
      <c r="I114" s="37"/>
      <c r="J114" s="37"/>
      <c r="K114" s="37"/>
      <c r="L114" s="37"/>
      <c r="M114" s="38" t="e">
        <f>+[1]FORM!G204</f>
        <v>#N/A</v>
      </c>
      <c r="N114" s="39" t="e">
        <f>+[1]FORM!H204</f>
        <v>#N/A</v>
      </c>
    </row>
    <row r="115" spans="2:14">
      <c r="B115" s="30"/>
      <c r="C115" s="30"/>
      <c r="D115" s="36"/>
      <c r="E115" s="36"/>
      <c r="F115" s="36"/>
      <c r="G115" s="37"/>
      <c r="H115" s="37"/>
      <c r="I115" s="37"/>
      <c r="J115" s="37"/>
      <c r="K115" s="37"/>
      <c r="L115" s="37"/>
      <c r="M115" s="38" t="e">
        <f>+[1]FORM!G205</f>
        <v>#N/A</v>
      </c>
      <c r="N115" s="39" t="e">
        <f>+[1]FORM!H205</f>
        <v>#N/A</v>
      </c>
    </row>
    <row r="116" spans="2:14">
      <c r="B116" s="30"/>
      <c r="C116" s="30"/>
      <c r="D116" s="36"/>
      <c r="E116" s="36"/>
      <c r="F116" s="36"/>
      <c r="G116" s="37"/>
      <c r="H116" s="37"/>
      <c r="I116" s="37"/>
      <c r="J116" s="37"/>
      <c r="K116" s="37"/>
      <c r="L116" s="37"/>
      <c r="M116" s="38" t="e">
        <f>+[1]FORM!G206</f>
        <v>#N/A</v>
      </c>
      <c r="N116" s="39" t="e">
        <f>+[1]FORM!H206</f>
        <v>#N/A</v>
      </c>
    </row>
    <row r="117" spans="2:14">
      <c r="B117" s="30"/>
      <c r="C117" s="30"/>
      <c r="D117" s="36"/>
      <c r="E117" s="36"/>
      <c r="F117" s="36"/>
      <c r="G117" s="37"/>
      <c r="H117" s="37"/>
      <c r="I117" s="37"/>
      <c r="J117" s="37"/>
      <c r="K117" s="37"/>
      <c r="L117" s="37"/>
      <c r="M117" s="38" t="e">
        <f>+[1]FORM!G207</f>
        <v>#N/A</v>
      </c>
      <c r="N117" s="39" t="e">
        <f>+[1]FORM!H207</f>
        <v>#N/A</v>
      </c>
    </row>
    <row r="118" spans="2:14">
      <c r="B118" s="30"/>
      <c r="C118" s="30"/>
      <c r="D118" s="36"/>
      <c r="E118" s="36"/>
      <c r="F118" s="36"/>
      <c r="G118" s="37"/>
      <c r="H118" s="37"/>
      <c r="I118" s="37"/>
      <c r="J118" s="37"/>
      <c r="K118" s="37"/>
      <c r="L118" s="37"/>
      <c r="M118" s="38" t="e">
        <f>+[1]FORM!G208</f>
        <v>#N/A</v>
      </c>
      <c r="N118" s="39" t="e">
        <f>+[1]FORM!H208</f>
        <v>#N/A</v>
      </c>
    </row>
    <row r="119" spans="2:14">
      <c r="B119" s="30"/>
      <c r="C119" s="30"/>
      <c r="D119" s="36"/>
      <c r="E119" s="36"/>
      <c r="F119" s="36"/>
      <c r="G119" s="37"/>
      <c r="H119" s="37"/>
      <c r="I119" s="37"/>
      <c r="J119" s="37"/>
      <c r="K119" s="37"/>
      <c r="L119" s="37"/>
      <c r="M119" s="38" t="e">
        <f>+[1]FORM!G209</f>
        <v>#N/A</v>
      </c>
      <c r="N119" s="39" t="e">
        <f>+[1]FORM!H209</f>
        <v>#N/A</v>
      </c>
    </row>
    <row r="120" spans="2:14">
      <c r="B120" s="30"/>
      <c r="C120" s="30"/>
      <c r="D120" s="36"/>
      <c r="E120" s="36"/>
      <c r="F120" s="36"/>
      <c r="G120" s="37"/>
      <c r="H120" s="37"/>
      <c r="I120" s="37"/>
      <c r="J120" s="37"/>
      <c r="K120" s="37"/>
      <c r="L120" s="37"/>
      <c r="M120" s="38" t="e">
        <f>+[1]FORM!G210</f>
        <v>#N/A</v>
      </c>
      <c r="N120" s="39" t="e">
        <f>+[1]FORM!H210</f>
        <v>#N/A</v>
      </c>
    </row>
    <row r="121" spans="2:14">
      <c r="B121" s="30"/>
      <c r="C121" s="30"/>
      <c r="D121" s="36"/>
      <c r="E121" s="36"/>
      <c r="F121" s="36"/>
      <c r="G121" s="37"/>
      <c r="H121" s="37"/>
      <c r="I121" s="37"/>
      <c r="J121" s="37"/>
      <c r="K121" s="37"/>
      <c r="L121" s="37"/>
      <c r="M121" s="38" t="e">
        <f>+[1]FORM!G211</f>
        <v>#N/A</v>
      </c>
      <c r="N121" s="39" t="e">
        <f>+[1]FORM!H211</f>
        <v>#N/A</v>
      </c>
    </row>
    <row r="122" spans="2:14">
      <c r="B122" s="30"/>
      <c r="C122" s="30"/>
      <c r="D122" s="36"/>
      <c r="E122" s="36"/>
      <c r="F122" s="36"/>
      <c r="G122" s="37"/>
      <c r="H122" s="37"/>
      <c r="I122" s="37"/>
      <c r="J122" s="37"/>
      <c r="K122" s="37"/>
      <c r="L122" s="37"/>
      <c r="M122" s="38" t="e">
        <f>+[1]FORM!G212</f>
        <v>#N/A</v>
      </c>
      <c r="N122" s="39" t="e">
        <f>+[1]FORM!H212</f>
        <v>#N/A</v>
      </c>
    </row>
    <row r="123" spans="2:14">
      <c r="B123" s="30"/>
      <c r="C123" s="30"/>
      <c r="D123" s="36"/>
      <c r="E123" s="36"/>
      <c r="F123" s="36"/>
      <c r="G123" s="37"/>
      <c r="H123" s="37"/>
      <c r="I123" s="37"/>
      <c r="J123" s="37"/>
      <c r="K123" s="37"/>
      <c r="L123" s="37"/>
      <c r="M123" s="38" t="e">
        <f>+[1]FORM!G213</f>
        <v>#N/A</v>
      </c>
      <c r="N123" s="39" t="e">
        <f>+[1]FORM!H213</f>
        <v>#N/A</v>
      </c>
    </row>
    <row r="124" spans="2:14">
      <c r="B124" s="30"/>
      <c r="C124" s="30"/>
      <c r="D124" s="36"/>
      <c r="E124" s="36"/>
      <c r="F124" s="36"/>
      <c r="G124" s="37"/>
      <c r="H124" s="37"/>
      <c r="I124" s="37"/>
      <c r="J124" s="37"/>
      <c r="K124" s="37"/>
      <c r="L124" s="37"/>
      <c r="M124" s="38" t="e">
        <f>+[1]FORM!G214</f>
        <v>#N/A</v>
      </c>
      <c r="N124" s="39" t="e">
        <f>+[1]FORM!H214</f>
        <v>#N/A</v>
      </c>
    </row>
    <row r="125" spans="2:14">
      <c r="B125" s="30"/>
      <c r="C125" s="30"/>
      <c r="D125" s="36"/>
      <c r="E125" s="36"/>
      <c r="F125" s="36"/>
      <c r="G125" s="37"/>
      <c r="H125" s="37"/>
      <c r="I125" s="37"/>
      <c r="J125" s="37"/>
      <c r="K125" s="37"/>
      <c r="L125" s="37"/>
      <c r="M125" s="38" t="e">
        <f>+[1]FORM!G215</f>
        <v>#N/A</v>
      </c>
      <c r="N125" s="39" t="e">
        <f>+[1]FORM!H215</f>
        <v>#N/A</v>
      </c>
    </row>
    <row r="126" spans="2:14">
      <c r="B126" s="30"/>
      <c r="C126" s="30"/>
      <c r="D126" s="36"/>
      <c r="E126" s="36"/>
      <c r="F126" s="36"/>
      <c r="G126" s="37"/>
      <c r="H126" s="37"/>
      <c r="I126" s="37"/>
      <c r="J126" s="37"/>
      <c r="K126" s="37"/>
      <c r="L126" s="37"/>
      <c r="M126" s="38" t="e">
        <f>+[1]FORM!G216</f>
        <v>#N/A</v>
      </c>
      <c r="N126" s="39" t="e">
        <f>+[1]FORM!H216</f>
        <v>#N/A</v>
      </c>
    </row>
    <row r="127" spans="2:14">
      <c r="B127" s="30"/>
      <c r="C127" s="30"/>
      <c r="D127" s="36"/>
      <c r="E127" s="36"/>
      <c r="F127" s="36"/>
      <c r="G127" s="37"/>
      <c r="H127" s="37"/>
      <c r="I127" s="37"/>
      <c r="J127" s="37"/>
      <c r="K127" s="37"/>
      <c r="L127" s="37"/>
      <c r="M127" s="38" t="e">
        <f>+[1]FORM!G217</f>
        <v>#N/A</v>
      </c>
      <c r="N127" s="39" t="e">
        <f>+[1]FORM!H217</f>
        <v>#N/A</v>
      </c>
    </row>
    <row r="128" spans="2:14">
      <c r="B128" s="30"/>
      <c r="C128" s="30"/>
      <c r="D128" s="36"/>
      <c r="E128" s="36"/>
      <c r="F128" s="36"/>
      <c r="G128" s="37"/>
      <c r="H128" s="37"/>
      <c r="I128" s="37"/>
      <c r="J128" s="37"/>
      <c r="K128" s="37"/>
      <c r="L128" s="37"/>
      <c r="M128" s="38" t="e">
        <f>+[1]FORM!G218</f>
        <v>#N/A</v>
      </c>
      <c r="N128" s="39" t="e">
        <f>+[1]FORM!H218</f>
        <v>#N/A</v>
      </c>
    </row>
    <row r="129" spans="2:14">
      <c r="B129" s="30"/>
      <c r="C129" s="30"/>
      <c r="D129" s="36"/>
      <c r="E129" s="36"/>
      <c r="F129" s="36"/>
      <c r="G129" s="37"/>
      <c r="H129" s="37"/>
      <c r="I129" s="37"/>
      <c r="J129" s="37"/>
      <c r="K129" s="37"/>
      <c r="L129" s="37"/>
      <c r="M129" s="38" t="e">
        <f>+[1]FORM!G219</f>
        <v>#N/A</v>
      </c>
      <c r="N129" s="39" t="e">
        <f>+[1]FORM!H219</f>
        <v>#N/A</v>
      </c>
    </row>
    <row r="130" spans="2:14">
      <c r="B130" s="30"/>
      <c r="C130" s="30"/>
      <c r="D130" s="36"/>
      <c r="E130" s="36"/>
      <c r="F130" s="36"/>
      <c r="G130" s="37"/>
      <c r="H130" s="37"/>
      <c r="I130" s="37"/>
      <c r="J130" s="37"/>
      <c r="K130" s="37"/>
      <c r="L130" s="37"/>
      <c r="M130" s="38" t="e">
        <f>+[1]FORM!G220</f>
        <v>#N/A</v>
      </c>
      <c r="N130" s="39" t="e">
        <f>+[1]FORM!H220</f>
        <v>#N/A</v>
      </c>
    </row>
    <row r="131" spans="2:14">
      <c r="B131" s="30"/>
      <c r="C131" s="30"/>
      <c r="D131" s="36"/>
      <c r="E131" s="36"/>
      <c r="F131" s="36"/>
      <c r="G131" s="37"/>
      <c r="H131" s="37"/>
      <c r="I131" s="37"/>
      <c r="J131" s="37"/>
      <c r="K131" s="37"/>
      <c r="L131" s="37"/>
      <c r="M131" s="38" t="e">
        <f>+[1]FORM!G221</f>
        <v>#N/A</v>
      </c>
      <c r="N131" s="39" t="e">
        <f>+[1]FORM!H221</f>
        <v>#N/A</v>
      </c>
    </row>
    <row r="132" spans="2:14">
      <c r="B132" s="30"/>
      <c r="C132" s="30"/>
      <c r="D132" s="36"/>
      <c r="E132" s="36"/>
      <c r="F132" s="36"/>
      <c r="G132" s="37"/>
      <c r="H132" s="37"/>
      <c r="I132" s="37"/>
      <c r="J132" s="37"/>
      <c r="K132" s="37"/>
      <c r="L132" s="37"/>
      <c r="M132" s="38" t="e">
        <f>+[1]FORM!G222</f>
        <v>#N/A</v>
      </c>
      <c r="N132" s="39" t="e">
        <f>+[1]FORM!H222</f>
        <v>#N/A</v>
      </c>
    </row>
    <row r="133" spans="2:14">
      <c r="B133" s="30"/>
      <c r="C133" s="30"/>
      <c r="D133" s="36"/>
      <c r="E133" s="36"/>
      <c r="F133" s="36"/>
      <c r="G133" s="37"/>
      <c r="H133" s="37"/>
      <c r="I133" s="37"/>
      <c r="J133" s="37"/>
      <c r="K133" s="37"/>
      <c r="L133" s="37"/>
      <c r="M133" s="38" t="e">
        <f>+[1]FORM!G223</f>
        <v>#N/A</v>
      </c>
      <c r="N133" s="39" t="e">
        <f>+[1]FORM!H223</f>
        <v>#N/A</v>
      </c>
    </row>
    <row r="134" spans="2:14">
      <c r="B134" s="30"/>
      <c r="C134" s="30"/>
      <c r="D134" s="36"/>
      <c r="E134" s="36"/>
      <c r="F134" s="36"/>
      <c r="G134" s="37"/>
      <c r="H134" s="37"/>
      <c r="I134" s="37"/>
      <c r="J134" s="37"/>
      <c r="K134" s="37"/>
      <c r="L134" s="37"/>
      <c r="M134" s="38" t="e">
        <f>+[1]FORM!G224</f>
        <v>#N/A</v>
      </c>
      <c r="N134" s="39" t="e">
        <f>+[1]FORM!H224</f>
        <v>#N/A</v>
      </c>
    </row>
    <row r="135" spans="2:14">
      <c r="B135" s="30"/>
      <c r="C135" s="30"/>
      <c r="D135" s="36"/>
      <c r="E135" s="36"/>
      <c r="F135" s="36"/>
      <c r="G135" s="37"/>
      <c r="H135" s="37"/>
      <c r="I135" s="37"/>
      <c r="J135" s="37"/>
      <c r="K135" s="37"/>
      <c r="L135" s="37"/>
      <c r="M135" s="38" t="e">
        <f>+[1]FORM!G225</f>
        <v>#N/A</v>
      </c>
      <c r="N135" s="39" t="e">
        <f>+[1]FORM!H225</f>
        <v>#N/A</v>
      </c>
    </row>
    <row r="136" spans="2:14">
      <c r="B136" s="30"/>
      <c r="C136" s="30"/>
      <c r="D136" s="36"/>
      <c r="E136" s="36"/>
      <c r="F136" s="36"/>
      <c r="G136" s="37"/>
      <c r="H136" s="37"/>
      <c r="I136" s="37"/>
      <c r="J136" s="37"/>
      <c r="K136" s="37"/>
      <c r="L136" s="37"/>
      <c r="M136" s="38" t="e">
        <f>+[1]FORM!G226</f>
        <v>#N/A</v>
      </c>
      <c r="N136" s="39" t="e">
        <f>+[1]FORM!H226</f>
        <v>#N/A</v>
      </c>
    </row>
    <row r="137" spans="2:14">
      <c r="B137" s="30"/>
      <c r="C137" s="30"/>
      <c r="D137" s="36"/>
      <c r="E137" s="36"/>
      <c r="F137" s="36"/>
      <c r="G137" s="37"/>
      <c r="H137" s="37"/>
      <c r="I137" s="37"/>
      <c r="J137" s="37"/>
      <c r="K137" s="37"/>
      <c r="L137" s="37"/>
      <c r="M137" s="38" t="e">
        <f>+[1]FORM!G227</f>
        <v>#N/A</v>
      </c>
      <c r="N137" s="39" t="e">
        <f>+[1]FORM!H227</f>
        <v>#N/A</v>
      </c>
    </row>
    <row r="138" spans="2:14">
      <c r="B138" s="30"/>
      <c r="C138" s="30"/>
      <c r="D138" s="36"/>
      <c r="E138" s="36"/>
      <c r="F138" s="36"/>
      <c r="G138" s="37"/>
      <c r="H138" s="37"/>
      <c r="I138" s="37"/>
      <c r="J138" s="37"/>
      <c r="K138" s="37"/>
      <c r="L138" s="37"/>
      <c r="M138" s="38" t="e">
        <f>+[1]FORM!G228</f>
        <v>#N/A</v>
      </c>
      <c r="N138" s="39" t="e">
        <f>+[1]FORM!H228</f>
        <v>#N/A</v>
      </c>
    </row>
    <row r="139" spans="2:14">
      <c r="B139" s="30"/>
      <c r="C139" s="30"/>
      <c r="D139" s="36"/>
      <c r="E139" s="36"/>
      <c r="F139" s="36"/>
      <c r="G139" s="37"/>
      <c r="H139" s="37"/>
      <c r="I139" s="37"/>
      <c r="J139" s="37"/>
      <c r="K139" s="37"/>
      <c r="L139" s="37"/>
      <c r="M139" s="38" t="e">
        <f>+[1]FORM!G229</f>
        <v>#N/A</v>
      </c>
      <c r="N139" s="39" t="e">
        <f>+[1]FORM!H229</f>
        <v>#N/A</v>
      </c>
    </row>
    <row r="140" spans="2:14">
      <c r="B140" s="30"/>
      <c r="C140" s="30"/>
      <c r="D140" s="36"/>
      <c r="E140" s="36"/>
      <c r="F140" s="36"/>
      <c r="G140" s="37"/>
      <c r="H140" s="37"/>
      <c r="I140" s="37"/>
      <c r="J140" s="37"/>
      <c r="K140" s="37"/>
      <c r="L140" s="37"/>
      <c r="M140" s="38" t="e">
        <f>+[1]FORM!G230</f>
        <v>#N/A</v>
      </c>
      <c r="N140" s="39" t="e">
        <f>+[1]FORM!H230</f>
        <v>#N/A</v>
      </c>
    </row>
    <row r="141" spans="2:14">
      <c r="B141" s="30"/>
      <c r="C141" s="30"/>
      <c r="D141" s="36"/>
      <c r="E141" s="36"/>
      <c r="F141" s="36"/>
      <c r="G141" s="37"/>
      <c r="H141" s="37"/>
      <c r="I141" s="37"/>
      <c r="J141" s="37"/>
      <c r="K141" s="37"/>
      <c r="L141" s="37"/>
      <c r="M141" s="38" t="e">
        <f>+[1]FORM!G231</f>
        <v>#N/A</v>
      </c>
      <c r="N141" s="39" t="e">
        <f>+[1]FORM!H231</f>
        <v>#N/A</v>
      </c>
    </row>
    <row r="142" spans="2:14">
      <c r="B142" s="30"/>
      <c r="C142" s="30"/>
      <c r="D142" s="36"/>
      <c r="E142" s="36"/>
      <c r="F142" s="36"/>
      <c r="G142" s="37"/>
      <c r="H142" s="37"/>
      <c r="I142" s="37"/>
      <c r="J142" s="37"/>
      <c r="K142" s="37"/>
      <c r="L142" s="37"/>
      <c r="M142" s="38" t="e">
        <f>+[1]FORM!G232</f>
        <v>#N/A</v>
      </c>
      <c r="N142" s="39" t="e">
        <f>+[1]FORM!H232</f>
        <v>#N/A</v>
      </c>
    </row>
    <row r="143" spans="2:14">
      <c r="B143" s="30"/>
      <c r="C143" s="30"/>
      <c r="D143" s="36"/>
      <c r="E143" s="36"/>
      <c r="F143" s="36"/>
      <c r="G143" s="37"/>
      <c r="H143" s="37"/>
      <c r="I143" s="37"/>
      <c r="J143" s="37"/>
      <c r="K143" s="37"/>
      <c r="L143" s="37"/>
      <c r="M143" s="38" t="e">
        <f>+[1]FORM!G233</f>
        <v>#N/A</v>
      </c>
      <c r="N143" s="39" t="e">
        <f>+[1]FORM!H233</f>
        <v>#N/A</v>
      </c>
    </row>
    <row r="144" spans="2:14">
      <c r="B144" s="30"/>
      <c r="C144" s="30"/>
      <c r="D144" s="36"/>
      <c r="E144" s="36"/>
      <c r="F144" s="36"/>
      <c r="G144" s="37"/>
      <c r="H144" s="37"/>
      <c r="I144" s="37"/>
      <c r="J144" s="37"/>
      <c r="K144" s="37"/>
      <c r="L144" s="37"/>
      <c r="M144" s="38" t="e">
        <f>+[1]FORM!G234</f>
        <v>#N/A</v>
      </c>
      <c r="N144" s="39" t="e">
        <f>+[1]FORM!H234</f>
        <v>#N/A</v>
      </c>
    </row>
    <row r="145" spans="2:14">
      <c r="B145" s="30"/>
      <c r="C145" s="30"/>
      <c r="D145" s="36"/>
      <c r="E145" s="36"/>
      <c r="F145" s="36"/>
      <c r="G145" s="37"/>
      <c r="H145" s="37"/>
      <c r="I145" s="37"/>
      <c r="J145" s="37"/>
      <c r="K145" s="37"/>
      <c r="L145" s="37"/>
      <c r="M145" s="38" t="e">
        <f>+[1]FORM!G235</f>
        <v>#N/A</v>
      </c>
      <c r="N145" s="39" t="e">
        <f>+[1]FORM!H235</f>
        <v>#N/A</v>
      </c>
    </row>
    <row r="146" spans="2:14">
      <c r="B146" s="30"/>
      <c r="C146" s="30"/>
      <c r="D146" s="36"/>
      <c r="E146" s="36"/>
      <c r="F146" s="36"/>
      <c r="G146" s="37"/>
      <c r="H146" s="37"/>
      <c r="I146" s="37"/>
      <c r="J146" s="37"/>
      <c r="K146" s="37"/>
      <c r="L146" s="37"/>
      <c r="M146" s="38" t="e">
        <f>+[1]FORM!G236</f>
        <v>#N/A</v>
      </c>
      <c r="N146" s="39" t="e">
        <f>+[1]FORM!H236</f>
        <v>#N/A</v>
      </c>
    </row>
    <row r="147" spans="2:14">
      <c r="B147" s="30"/>
      <c r="C147" s="30"/>
      <c r="D147" s="36"/>
      <c r="E147" s="36"/>
      <c r="F147" s="36"/>
      <c r="G147" s="37"/>
      <c r="H147" s="37"/>
      <c r="I147" s="37"/>
      <c r="J147" s="37"/>
      <c r="K147" s="37"/>
      <c r="L147" s="37"/>
      <c r="M147" s="38" t="e">
        <f>+[1]FORM!G237</f>
        <v>#N/A</v>
      </c>
      <c r="N147" s="39" t="e">
        <f>+[1]FORM!H237</f>
        <v>#N/A</v>
      </c>
    </row>
    <row r="148" spans="2:14">
      <c r="B148" s="30"/>
      <c r="C148" s="30"/>
      <c r="D148" s="36"/>
      <c r="E148" s="36"/>
      <c r="F148" s="36"/>
      <c r="G148" s="37"/>
      <c r="H148" s="37"/>
      <c r="I148" s="37"/>
      <c r="J148" s="37"/>
      <c r="K148" s="37"/>
      <c r="L148" s="37"/>
      <c r="M148" s="38" t="e">
        <f>+[1]FORM!G238</f>
        <v>#N/A</v>
      </c>
      <c r="N148" s="39" t="e">
        <f>+[1]FORM!H238</f>
        <v>#N/A</v>
      </c>
    </row>
    <row r="149" spans="2:14">
      <c r="B149" s="30"/>
      <c r="C149" s="30"/>
      <c r="D149" s="36"/>
      <c r="E149" s="36"/>
      <c r="F149" s="36"/>
      <c r="G149" s="37"/>
      <c r="H149" s="37"/>
      <c r="I149" s="37"/>
      <c r="J149" s="37"/>
      <c r="K149" s="37"/>
      <c r="L149" s="37"/>
      <c r="M149" s="38" t="e">
        <f>+[1]FORM!G239</f>
        <v>#N/A</v>
      </c>
      <c r="N149" s="39" t="e">
        <f>+[1]FORM!H239</f>
        <v>#N/A</v>
      </c>
    </row>
    <row r="150" spans="2:14">
      <c r="B150" s="30"/>
      <c r="C150" s="30"/>
      <c r="D150" s="36"/>
      <c r="E150" s="36"/>
      <c r="F150" s="36"/>
      <c r="G150" s="37"/>
      <c r="H150" s="37"/>
      <c r="I150" s="37"/>
      <c r="J150" s="37"/>
      <c r="K150" s="37"/>
      <c r="L150" s="37"/>
      <c r="M150" s="38" t="e">
        <f>+[1]FORM!G240</f>
        <v>#N/A</v>
      </c>
      <c r="N150" s="39" t="e">
        <f>+[1]FORM!H240</f>
        <v>#N/A</v>
      </c>
    </row>
    <row r="151" spans="2:14">
      <c r="B151" s="30"/>
      <c r="C151" s="30"/>
      <c r="D151" s="36"/>
      <c r="E151" s="36"/>
      <c r="F151" s="36"/>
      <c r="G151" s="37"/>
      <c r="H151" s="37"/>
      <c r="I151" s="37"/>
      <c r="J151" s="37"/>
      <c r="K151" s="37"/>
      <c r="L151" s="37"/>
      <c r="M151" s="38" t="e">
        <f>+[1]FORM!G241</f>
        <v>#N/A</v>
      </c>
      <c r="N151" s="39" t="e">
        <f>+[1]FORM!H241</f>
        <v>#N/A</v>
      </c>
    </row>
    <row r="152" spans="2:14">
      <c r="B152" s="30"/>
      <c r="C152" s="30"/>
      <c r="D152" s="36"/>
      <c r="E152" s="36"/>
      <c r="F152" s="36"/>
      <c r="G152" s="37"/>
      <c r="H152" s="37"/>
      <c r="I152" s="37"/>
      <c r="J152" s="37"/>
      <c r="K152" s="37"/>
      <c r="L152" s="37"/>
      <c r="M152" s="38" t="e">
        <f>+[1]FORM!G242</f>
        <v>#N/A</v>
      </c>
      <c r="N152" s="39" t="e">
        <f>+[1]FORM!H242</f>
        <v>#N/A</v>
      </c>
    </row>
    <row r="153" spans="2:14">
      <c r="B153" s="30"/>
      <c r="C153" s="30"/>
      <c r="D153" s="36"/>
      <c r="E153" s="36"/>
      <c r="F153" s="36"/>
      <c r="G153" s="37"/>
      <c r="H153" s="37"/>
      <c r="I153" s="37"/>
      <c r="J153" s="37"/>
      <c r="K153" s="37"/>
      <c r="L153" s="37"/>
      <c r="M153" s="38" t="e">
        <f>+[1]FORM!G243</f>
        <v>#N/A</v>
      </c>
      <c r="N153" s="39" t="e">
        <f>+[1]FORM!H243</f>
        <v>#N/A</v>
      </c>
    </row>
    <row r="154" spans="2:14">
      <c r="B154" s="30"/>
      <c r="C154" s="30"/>
      <c r="D154" s="36"/>
      <c r="E154" s="36"/>
      <c r="F154" s="36"/>
      <c r="G154" s="37"/>
      <c r="H154" s="37"/>
      <c r="I154" s="37"/>
      <c r="J154" s="37"/>
      <c r="K154" s="37"/>
      <c r="L154" s="37"/>
      <c r="M154" s="38" t="e">
        <f>+[1]FORM!G244</f>
        <v>#N/A</v>
      </c>
      <c r="N154" s="39" t="e">
        <f>+[1]FORM!H244</f>
        <v>#N/A</v>
      </c>
    </row>
    <row r="155" spans="2:14">
      <c r="B155" s="30"/>
      <c r="C155" s="30"/>
      <c r="D155" s="36"/>
      <c r="E155" s="36"/>
      <c r="F155" s="36"/>
      <c r="G155" s="37"/>
      <c r="H155" s="37"/>
      <c r="I155" s="37"/>
      <c r="J155" s="37"/>
      <c r="K155" s="37"/>
      <c r="L155" s="37"/>
      <c r="M155" s="38" t="e">
        <f>+[1]FORM!G245</f>
        <v>#N/A</v>
      </c>
      <c r="N155" s="39" t="e">
        <f>+[1]FORM!H245</f>
        <v>#N/A</v>
      </c>
    </row>
    <row r="156" spans="2:14">
      <c r="B156" s="30"/>
      <c r="C156" s="30"/>
      <c r="D156" s="36"/>
      <c r="E156" s="36"/>
      <c r="F156" s="36"/>
      <c r="G156" s="37"/>
      <c r="H156" s="37"/>
      <c r="I156" s="37"/>
      <c r="J156" s="37"/>
      <c r="K156" s="37"/>
      <c r="L156" s="37"/>
      <c r="M156" s="38" t="e">
        <f>+[1]FORM!G246</f>
        <v>#N/A</v>
      </c>
      <c r="N156" s="39" t="e">
        <f>+[1]FORM!H246</f>
        <v>#N/A</v>
      </c>
    </row>
    <row r="157" spans="2:14">
      <c r="B157" s="30"/>
      <c r="C157" s="30"/>
      <c r="D157" s="36"/>
      <c r="E157" s="36"/>
      <c r="F157" s="36"/>
      <c r="G157" s="37"/>
      <c r="H157" s="37"/>
      <c r="I157" s="37"/>
      <c r="J157" s="37"/>
      <c r="K157" s="37"/>
      <c r="L157" s="37"/>
      <c r="M157" s="38" t="e">
        <f>+[1]FORM!G247</f>
        <v>#N/A</v>
      </c>
      <c r="N157" s="39" t="e">
        <f>+[1]FORM!H247</f>
        <v>#N/A</v>
      </c>
    </row>
    <row r="158" spans="2:14">
      <c r="B158" s="30"/>
      <c r="C158" s="30"/>
      <c r="D158" s="36"/>
      <c r="E158" s="36"/>
      <c r="F158" s="36"/>
      <c r="G158" s="37"/>
      <c r="H158" s="37"/>
      <c r="I158" s="37"/>
      <c r="J158" s="37"/>
      <c r="K158" s="37"/>
      <c r="L158" s="37"/>
      <c r="M158" s="38" t="e">
        <f>+[1]FORM!G248</f>
        <v>#N/A</v>
      </c>
      <c r="N158" s="39" t="e">
        <f>+[1]FORM!H248</f>
        <v>#N/A</v>
      </c>
    </row>
    <row r="159" spans="2:14">
      <c r="B159" s="30"/>
      <c r="C159" s="30"/>
      <c r="D159" s="36"/>
      <c r="E159" s="36"/>
      <c r="F159" s="36"/>
      <c r="G159" s="37"/>
      <c r="H159" s="37"/>
      <c r="I159" s="37"/>
      <c r="J159" s="37"/>
      <c r="K159" s="37"/>
      <c r="L159" s="37"/>
      <c r="M159" s="38" t="e">
        <f>+[1]FORM!G249</f>
        <v>#N/A</v>
      </c>
      <c r="N159" s="39" t="e">
        <f>+[1]FORM!H249</f>
        <v>#N/A</v>
      </c>
    </row>
    <row r="160" spans="2:14">
      <c r="B160" s="30"/>
      <c r="C160" s="30"/>
      <c r="D160" s="36"/>
      <c r="E160" s="36"/>
      <c r="F160" s="36"/>
      <c r="G160" s="37"/>
      <c r="H160" s="37"/>
      <c r="I160" s="37"/>
      <c r="J160" s="37"/>
      <c r="K160" s="37"/>
      <c r="L160" s="37"/>
      <c r="M160" s="38" t="e">
        <f>+[1]FORM!G250</f>
        <v>#N/A</v>
      </c>
      <c r="N160" s="39" t="e">
        <f>+[1]FORM!H250</f>
        <v>#N/A</v>
      </c>
    </row>
    <row r="161" spans="2:14">
      <c r="B161" s="30"/>
      <c r="C161" s="30"/>
      <c r="D161" s="36"/>
      <c r="E161" s="36"/>
      <c r="F161" s="36"/>
      <c r="G161" s="37"/>
      <c r="H161" s="37"/>
      <c r="I161" s="37"/>
      <c r="J161" s="37"/>
      <c r="K161" s="37"/>
      <c r="L161" s="37"/>
      <c r="M161" s="38" t="e">
        <f>+[1]FORM!G251</f>
        <v>#N/A</v>
      </c>
      <c r="N161" s="39" t="e">
        <f>+[1]FORM!H251</f>
        <v>#N/A</v>
      </c>
    </row>
    <row r="162" spans="2:14">
      <c r="B162" s="30"/>
      <c r="C162" s="30"/>
      <c r="D162" s="36"/>
      <c r="E162" s="36"/>
      <c r="F162" s="36"/>
      <c r="G162" s="37"/>
      <c r="H162" s="37"/>
      <c r="I162" s="37"/>
      <c r="J162" s="37"/>
      <c r="K162" s="37"/>
      <c r="L162" s="37"/>
      <c r="M162" s="38" t="e">
        <f>+[1]FORM!G252</f>
        <v>#N/A</v>
      </c>
      <c r="N162" s="39" t="e">
        <f>+[1]FORM!H252</f>
        <v>#N/A</v>
      </c>
    </row>
    <row r="163" spans="2:14">
      <c r="B163" s="30"/>
      <c r="C163" s="30"/>
      <c r="D163" s="36"/>
      <c r="E163" s="36"/>
      <c r="F163" s="36"/>
      <c r="G163" s="37"/>
      <c r="H163" s="37"/>
      <c r="I163" s="37"/>
      <c r="J163" s="37"/>
      <c r="K163" s="37"/>
      <c r="L163" s="37"/>
      <c r="M163" s="38" t="e">
        <f>+[1]FORM!G253</f>
        <v>#N/A</v>
      </c>
      <c r="N163" s="39" t="e">
        <f>+[1]FORM!H253</f>
        <v>#N/A</v>
      </c>
    </row>
    <row r="164" spans="2:14">
      <c r="B164" s="30"/>
      <c r="C164" s="30"/>
      <c r="D164" s="36"/>
      <c r="E164" s="36"/>
      <c r="F164" s="36"/>
      <c r="G164" s="37"/>
      <c r="H164" s="37"/>
      <c r="I164" s="37"/>
      <c r="J164" s="37"/>
      <c r="K164" s="37"/>
      <c r="L164" s="37"/>
      <c r="M164" s="38" t="e">
        <f>+[1]FORM!G254</f>
        <v>#N/A</v>
      </c>
      <c r="N164" s="39" t="e">
        <f>+[1]FORM!H254</f>
        <v>#N/A</v>
      </c>
    </row>
    <row r="165" spans="2:14">
      <c r="B165" s="30"/>
      <c r="C165" s="30"/>
      <c r="D165" s="36"/>
      <c r="E165" s="36"/>
      <c r="F165" s="36"/>
      <c r="G165" s="37"/>
      <c r="H165" s="37"/>
      <c r="I165" s="37"/>
      <c r="J165" s="37"/>
      <c r="K165" s="37"/>
      <c r="L165" s="37"/>
      <c r="M165" s="38" t="e">
        <f>+[1]FORM!G255</f>
        <v>#N/A</v>
      </c>
      <c r="N165" s="39" t="e">
        <f>+[1]FORM!H255</f>
        <v>#N/A</v>
      </c>
    </row>
    <row r="166" spans="2:14">
      <c r="B166" s="30"/>
      <c r="C166" s="30"/>
      <c r="D166" s="36"/>
      <c r="E166" s="36"/>
      <c r="F166" s="36"/>
      <c r="G166" s="37"/>
      <c r="H166" s="37"/>
      <c r="I166" s="37"/>
      <c r="J166" s="37"/>
      <c r="K166" s="37"/>
      <c r="L166" s="37"/>
      <c r="M166" s="38" t="e">
        <f>+[1]FORM!G256</f>
        <v>#N/A</v>
      </c>
      <c r="N166" s="39" t="e">
        <f>+[1]FORM!H256</f>
        <v>#N/A</v>
      </c>
    </row>
    <row r="167" spans="2:14">
      <c r="B167" s="30"/>
      <c r="C167" s="30"/>
      <c r="D167" s="36"/>
      <c r="E167" s="36"/>
      <c r="F167" s="36"/>
      <c r="G167" s="37"/>
      <c r="H167" s="37"/>
      <c r="I167" s="37"/>
      <c r="J167" s="37"/>
      <c r="K167" s="37"/>
      <c r="L167" s="37"/>
      <c r="M167" s="38" t="e">
        <f>+[1]FORM!G257</f>
        <v>#N/A</v>
      </c>
      <c r="N167" s="39" t="e">
        <f>+[1]FORM!H257</f>
        <v>#N/A</v>
      </c>
    </row>
    <row r="168" spans="2:14">
      <c r="B168" s="30"/>
      <c r="C168" s="30"/>
      <c r="D168" s="36"/>
      <c r="E168" s="36"/>
      <c r="F168" s="36"/>
      <c r="G168" s="37"/>
      <c r="H168" s="37"/>
      <c r="I168" s="37"/>
      <c r="J168" s="37"/>
      <c r="K168" s="37"/>
      <c r="L168" s="37"/>
      <c r="M168" s="38" t="e">
        <f>+[1]FORM!G258</f>
        <v>#N/A</v>
      </c>
      <c r="N168" s="39" t="e">
        <f>+[1]FORM!H258</f>
        <v>#N/A</v>
      </c>
    </row>
    <row r="169" spans="2:14">
      <c r="B169" s="30"/>
      <c r="C169" s="30"/>
      <c r="D169" s="36"/>
      <c r="E169" s="36"/>
      <c r="F169" s="36"/>
      <c r="G169" s="37"/>
      <c r="H169" s="37"/>
      <c r="I169" s="37"/>
      <c r="J169" s="37"/>
      <c r="K169" s="37"/>
      <c r="L169" s="37"/>
      <c r="M169" s="38" t="e">
        <f>+[1]FORM!G259</f>
        <v>#N/A</v>
      </c>
      <c r="N169" s="39" t="e">
        <f>+[1]FORM!H259</f>
        <v>#N/A</v>
      </c>
    </row>
    <row r="170" spans="2:14">
      <c r="B170" s="30"/>
      <c r="C170" s="30"/>
      <c r="D170" s="36"/>
      <c r="E170" s="36"/>
      <c r="F170" s="36"/>
      <c r="G170" s="37"/>
      <c r="H170" s="37"/>
      <c r="I170" s="37"/>
      <c r="J170" s="37"/>
      <c r="K170" s="37"/>
      <c r="L170" s="37"/>
      <c r="M170" s="38" t="e">
        <f>+[1]FORM!G260</f>
        <v>#N/A</v>
      </c>
      <c r="N170" s="39" t="e">
        <f>+[1]FORM!H260</f>
        <v>#N/A</v>
      </c>
    </row>
    <row r="171" spans="2:14">
      <c r="B171" s="30"/>
      <c r="C171" s="30"/>
      <c r="D171" s="36"/>
      <c r="E171" s="36"/>
      <c r="F171" s="36"/>
      <c r="G171" s="37"/>
      <c r="H171" s="37"/>
      <c r="I171" s="37"/>
      <c r="J171" s="37"/>
      <c r="K171" s="37"/>
      <c r="L171" s="37"/>
      <c r="M171" s="38" t="e">
        <f>+[1]FORM!G261</f>
        <v>#N/A</v>
      </c>
      <c r="N171" s="39" t="e">
        <f>+[1]FORM!H261</f>
        <v>#N/A</v>
      </c>
    </row>
    <row r="172" spans="2:14">
      <c r="B172" s="30"/>
      <c r="C172" s="30"/>
      <c r="D172" s="36"/>
      <c r="E172" s="36"/>
      <c r="F172" s="36"/>
      <c r="G172" s="37"/>
      <c r="H172" s="37"/>
      <c r="I172" s="37"/>
      <c r="J172" s="37"/>
      <c r="K172" s="37"/>
      <c r="L172" s="37"/>
      <c r="M172" s="38" t="e">
        <f>+[1]FORM!G262</f>
        <v>#N/A</v>
      </c>
      <c r="N172" s="39" t="e">
        <f>+[1]FORM!H262</f>
        <v>#N/A</v>
      </c>
    </row>
    <row r="173" spans="2:14">
      <c r="B173" s="30"/>
      <c r="C173" s="30"/>
      <c r="D173" s="36"/>
      <c r="E173" s="36"/>
      <c r="F173" s="36"/>
      <c r="G173" s="37"/>
      <c r="H173" s="37"/>
      <c r="I173" s="37"/>
      <c r="J173" s="37"/>
      <c r="K173" s="37"/>
      <c r="L173" s="37"/>
      <c r="M173" s="38" t="e">
        <f>+[1]FORM!G263</f>
        <v>#N/A</v>
      </c>
      <c r="N173" s="39" t="e">
        <f>+[1]FORM!H263</f>
        <v>#N/A</v>
      </c>
    </row>
    <row r="174" spans="2:14">
      <c r="B174" s="30"/>
      <c r="C174" s="30"/>
      <c r="D174" s="36"/>
      <c r="E174" s="36"/>
      <c r="F174" s="36"/>
      <c r="G174" s="37"/>
      <c r="H174" s="37"/>
      <c r="I174" s="37"/>
      <c r="J174" s="37"/>
      <c r="K174" s="37"/>
      <c r="L174" s="37"/>
      <c r="M174" s="38" t="e">
        <f>+[1]FORM!G264</f>
        <v>#N/A</v>
      </c>
      <c r="N174" s="39" t="e">
        <f>+[1]FORM!H264</f>
        <v>#N/A</v>
      </c>
    </row>
    <row r="175" spans="2:14">
      <c r="B175" s="30"/>
      <c r="C175" s="30"/>
      <c r="D175" s="36"/>
      <c r="E175" s="36"/>
      <c r="F175" s="36"/>
      <c r="G175" s="37"/>
      <c r="H175" s="37"/>
      <c r="I175" s="37"/>
      <c r="J175" s="37"/>
      <c r="K175" s="37"/>
      <c r="L175" s="37"/>
      <c r="M175" s="38" t="e">
        <f>+[1]FORM!G265</f>
        <v>#N/A</v>
      </c>
      <c r="N175" s="39" t="e">
        <f>+[1]FORM!H265</f>
        <v>#N/A</v>
      </c>
    </row>
    <row r="176" spans="2:14">
      <c r="B176" s="30"/>
      <c r="C176" s="30"/>
      <c r="D176" s="36"/>
      <c r="E176" s="36"/>
      <c r="F176" s="36"/>
      <c r="G176" s="37"/>
      <c r="H176" s="37"/>
      <c r="I176" s="37"/>
      <c r="J176" s="37"/>
      <c r="K176" s="37"/>
      <c r="L176" s="37"/>
      <c r="M176" s="38" t="e">
        <f>+[1]FORM!G266</f>
        <v>#N/A</v>
      </c>
      <c r="N176" s="39" t="e">
        <f>+[1]FORM!H266</f>
        <v>#N/A</v>
      </c>
    </row>
    <row r="177" spans="2:14">
      <c r="B177" s="30"/>
      <c r="C177" s="30"/>
      <c r="D177" s="36"/>
      <c r="E177" s="36"/>
      <c r="F177" s="36"/>
      <c r="G177" s="37"/>
      <c r="H177" s="37"/>
      <c r="I177" s="37"/>
      <c r="J177" s="37"/>
      <c r="K177" s="37"/>
      <c r="L177" s="37"/>
      <c r="M177" s="38" t="e">
        <f>+[1]FORM!G267</f>
        <v>#N/A</v>
      </c>
      <c r="N177" s="39" t="e">
        <f>+[1]FORM!H267</f>
        <v>#N/A</v>
      </c>
    </row>
    <row r="178" spans="2:14">
      <c r="B178" s="30"/>
      <c r="C178" s="30"/>
      <c r="D178" s="36"/>
      <c r="E178" s="36"/>
      <c r="F178" s="36"/>
      <c r="G178" s="37"/>
      <c r="H178" s="37"/>
      <c r="I178" s="37"/>
      <c r="J178" s="37"/>
      <c r="K178" s="37"/>
      <c r="L178" s="37"/>
      <c r="M178" s="38" t="e">
        <f>+[1]FORM!G268</f>
        <v>#N/A</v>
      </c>
      <c r="N178" s="39" t="e">
        <f>+[1]FORM!H268</f>
        <v>#N/A</v>
      </c>
    </row>
    <row r="179" spans="2:14">
      <c r="B179" s="30"/>
      <c r="C179" s="30"/>
      <c r="D179" s="36"/>
      <c r="E179" s="36"/>
      <c r="F179" s="36"/>
      <c r="G179" s="37"/>
      <c r="H179" s="37"/>
      <c r="I179" s="37"/>
      <c r="J179" s="37"/>
      <c r="K179" s="37"/>
      <c r="L179" s="37"/>
      <c r="M179" s="38" t="e">
        <f>+[1]FORM!G269</f>
        <v>#N/A</v>
      </c>
      <c r="N179" s="39" t="e">
        <f>+[1]FORM!H269</f>
        <v>#N/A</v>
      </c>
    </row>
    <row r="180" spans="2:14">
      <c r="B180" s="30"/>
      <c r="C180" s="30"/>
      <c r="D180" s="36"/>
      <c r="E180" s="36"/>
      <c r="F180" s="36"/>
      <c r="G180" s="37"/>
      <c r="H180" s="37"/>
      <c r="I180" s="37"/>
      <c r="J180" s="37"/>
      <c r="K180" s="37"/>
      <c r="L180" s="37"/>
      <c r="M180" s="38" t="e">
        <f>+[1]FORM!G270</f>
        <v>#N/A</v>
      </c>
      <c r="N180" s="39" t="e">
        <f>+[1]FORM!H270</f>
        <v>#N/A</v>
      </c>
    </row>
    <row r="181" spans="2:14">
      <c r="B181" s="30"/>
      <c r="C181" s="30"/>
      <c r="D181" s="36"/>
      <c r="E181" s="36"/>
      <c r="F181" s="36"/>
      <c r="G181" s="37"/>
      <c r="H181" s="37"/>
      <c r="I181" s="37"/>
      <c r="J181" s="37"/>
      <c r="K181" s="37"/>
      <c r="L181" s="37"/>
      <c r="M181" s="38" t="e">
        <f>+[1]FORM!G271</f>
        <v>#N/A</v>
      </c>
      <c r="N181" s="39" t="e">
        <f>+[1]FORM!H271</f>
        <v>#N/A</v>
      </c>
    </row>
    <row r="182" spans="2:14">
      <c r="B182" s="30"/>
      <c r="C182" s="30"/>
      <c r="D182" s="36"/>
      <c r="E182" s="36"/>
      <c r="F182" s="36"/>
      <c r="G182" s="37"/>
      <c r="H182" s="37"/>
      <c r="I182" s="37"/>
      <c r="J182" s="37"/>
      <c r="K182" s="37"/>
      <c r="L182" s="37"/>
      <c r="M182" s="38" t="e">
        <f>+[1]FORM!G272</f>
        <v>#N/A</v>
      </c>
      <c r="N182" s="39" t="e">
        <f>+[1]FORM!H272</f>
        <v>#N/A</v>
      </c>
    </row>
    <row r="183" spans="2:14">
      <c r="B183" s="30"/>
      <c r="C183" s="30"/>
      <c r="D183" s="36"/>
      <c r="E183" s="36"/>
      <c r="F183" s="36"/>
      <c r="G183" s="37"/>
      <c r="H183" s="37"/>
      <c r="I183" s="37"/>
      <c r="J183" s="37"/>
      <c r="K183" s="37"/>
      <c r="L183" s="37"/>
      <c r="M183" s="38" t="e">
        <f>+[1]FORM!G273</f>
        <v>#N/A</v>
      </c>
      <c r="N183" s="39" t="e">
        <f>+[1]FORM!H273</f>
        <v>#N/A</v>
      </c>
    </row>
    <row r="184" spans="2:14">
      <c r="B184" s="30"/>
      <c r="C184" s="30"/>
      <c r="D184" s="36"/>
      <c r="E184" s="36"/>
      <c r="F184" s="36"/>
      <c r="G184" s="37"/>
      <c r="H184" s="37"/>
      <c r="I184" s="37"/>
      <c r="J184" s="37"/>
      <c r="K184" s="37"/>
      <c r="L184" s="37"/>
      <c r="M184" s="38" t="e">
        <f>+[1]FORM!G274</f>
        <v>#N/A</v>
      </c>
      <c r="N184" s="39" t="e">
        <f>+[1]FORM!H274</f>
        <v>#N/A</v>
      </c>
    </row>
    <row r="185" spans="2:14">
      <c r="B185" s="30"/>
      <c r="C185" s="30"/>
      <c r="D185" s="36"/>
      <c r="E185" s="36"/>
      <c r="F185" s="36"/>
      <c r="G185" s="37"/>
      <c r="H185" s="37"/>
      <c r="I185" s="37"/>
      <c r="J185" s="37"/>
      <c r="K185" s="37"/>
      <c r="L185" s="37"/>
      <c r="M185" s="38" t="e">
        <f>+[1]FORM!G275</f>
        <v>#N/A</v>
      </c>
      <c r="N185" s="39" t="e">
        <f>+[1]FORM!H275</f>
        <v>#N/A</v>
      </c>
    </row>
    <row r="186" spans="2:14">
      <c r="B186" s="30"/>
      <c r="C186" s="30"/>
      <c r="D186" s="36"/>
      <c r="E186" s="36"/>
      <c r="F186" s="36"/>
      <c r="G186" s="37"/>
      <c r="H186" s="37"/>
      <c r="I186" s="37"/>
      <c r="J186" s="37"/>
      <c r="K186" s="37"/>
      <c r="L186" s="37"/>
      <c r="M186" s="38" t="e">
        <f>+[1]FORM!G276</f>
        <v>#N/A</v>
      </c>
      <c r="N186" s="39" t="e">
        <f>+[1]FORM!H276</f>
        <v>#N/A</v>
      </c>
    </row>
    <row r="187" spans="2:14">
      <c r="B187" s="30"/>
      <c r="C187" s="30"/>
      <c r="D187" s="36"/>
      <c r="E187" s="36"/>
      <c r="F187" s="36"/>
      <c r="G187" s="37"/>
      <c r="H187" s="37"/>
      <c r="I187" s="37"/>
      <c r="J187" s="37"/>
      <c r="K187" s="37"/>
      <c r="L187" s="37"/>
      <c r="M187" s="38" t="e">
        <f>+[1]FORM!G277</f>
        <v>#N/A</v>
      </c>
      <c r="N187" s="39" t="e">
        <f>+[1]FORM!H277</f>
        <v>#N/A</v>
      </c>
    </row>
    <row r="188" spans="2:14">
      <c r="B188" s="30"/>
      <c r="C188" s="30"/>
      <c r="D188" s="36"/>
      <c r="E188" s="36"/>
      <c r="F188" s="36"/>
      <c r="G188" s="37"/>
      <c r="H188" s="37"/>
      <c r="I188" s="37"/>
      <c r="J188" s="37"/>
      <c r="K188" s="37"/>
      <c r="L188" s="37"/>
      <c r="M188" s="38" t="e">
        <f>+[1]FORM!G278</f>
        <v>#N/A</v>
      </c>
      <c r="N188" s="39" t="e">
        <f>+[1]FORM!H278</f>
        <v>#N/A</v>
      </c>
    </row>
    <row r="189" spans="2:14">
      <c r="B189" s="30"/>
      <c r="C189" s="30"/>
      <c r="D189" s="36"/>
      <c r="E189" s="36"/>
      <c r="F189" s="36"/>
      <c r="G189" s="37"/>
      <c r="H189" s="37"/>
      <c r="I189" s="37"/>
      <c r="J189" s="37"/>
      <c r="K189" s="37"/>
      <c r="L189" s="37"/>
      <c r="M189" s="38" t="e">
        <f>+[1]FORM!G279</f>
        <v>#N/A</v>
      </c>
      <c r="N189" s="39" t="e">
        <f>+[1]FORM!H279</f>
        <v>#N/A</v>
      </c>
    </row>
    <row r="190" spans="2:14">
      <c r="B190" s="30"/>
      <c r="C190" s="30"/>
      <c r="D190" s="36"/>
      <c r="E190" s="36"/>
      <c r="F190" s="36"/>
      <c r="G190" s="37"/>
      <c r="H190" s="37"/>
      <c r="I190" s="37"/>
      <c r="J190" s="37"/>
      <c r="K190" s="37"/>
      <c r="L190" s="37"/>
      <c r="M190" s="38" t="e">
        <f>+[1]FORM!G280</f>
        <v>#N/A</v>
      </c>
      <c r="N190" s="39" t="e">
        <f>+[1]FORM!H280</f>
        <v>#N/A</v>
      </c>
    </row>
    <row r="191" spans="2:14">
      <c r="B191" s="30"/>
      <c r="C191" s="30"/>
      <c r="D191" s="36"/>
      <c r="E191" s="36"/>
      <c r="F191" s="36"/>
      <c r="G191" s="37"/>
      <c r="H191" s="37"/>
      <c r="I191" s="37"/>
      <c r="J191" s="37"/>
      <c r="K191" s="37"/>
      <c r="L191" s="37"/>
      <c r="M191" s="38" t="e">
        <f>+[1]FORM!G281</f>
        <v>#N/A</v>
      </c>
      <c r="N191" s="39" t="e">
        <f>+[1]FORM!H281</f>
        <v>#N/A</v>
      </c>
    </row>
    <row r="192" spans="2:14">
      <c r="B192" s="30"/>
      <c r="C192" s="30"/>
      <c r="D192" s="36"/>
      <c r="E192" s="36"/>
      <c r="F192" s="36"/>
      <c r="G192" s="37"/>
      <c r="H192" s="37"/>
      <c r="I192" s="37"/>
      <c r="J192" s="37"/>
      <c r="K192" s="37"/>
      <c r="L192" s="37"/>
      <c r="M192" s="38" t="e">
        <f>+[1]FORM!G282</f>
        <v>#N/A</v>
      </c>
      <c r="N192" s="39" t="e">
        <f>+[1]FORM!H282</f>
        <v>#N/A</v>
      </c>
    </row>
    <row r="193" spans="2:14">
      <c r="B193" s="30"/>
      <c r="C193" s="30"/>
      <c r="D193" s="36"/>
      <c r="E193" s="36"/>
      <c r="F193" s="36"/>
      <c r="G193" s="37"/>
      <c r="H193" s="37"/>
      <c r="I193" s="37"/>
      <c r="J193" s="37"/>
      <c r="K193" s="37"/>
      <c r="L193" s="37"/>
      <c r="M193" s="38" t="e">
        <f>+[1]FORM!G283</f>
        <v>#N/A</v>
      </c>
      <c r="N193" s="39" t="e">
        <f>+[1]FORM!H283</f>
        <v>#N/A</v>
      </c>
    </row>
    <row r="194" spans="2:14">
      <c r="B194" s="30"/>
      <c r="C194" s="30"/>
      <c r="D194" s="36"/>
      <c r="E194" s="36"/>
      <c r="F194" s="36"/>
      <c r="G194" s="37"/>
      <c r="H194" s="37"/>
      <c r="I194" s="37"/>
      <c r="J194" s="37"/>
      <c r="K194" s="37"/>
      <c r="L194" s="37"/>
      <c r="M194" s="38" t="e">
        <f>+[1]FORM!G284</f>
        <v>#N/A</v>
      </c>
      <c r="N194" s="39" t="e">
        <f>+[1]FORM!H284</f>
        <v>#N/A</v>
      </c>
    </row>
    <row r="195" spans="2:14">
      <c r="B195" s="30"/>
      <c r="C195" s="30"/>
      <c r="D195" s="36"/>
      <c r="E195" s="36"/>
      <c r="F195" s="36"/>
      <c r="G195" s="37"/>
      <c r="H195" s="37"/>
      <c r="I195" s="37"/>
      <c r="J195" s="37"/>
      <c r="K195" s="37"/>
      <c r="L195" s="37"/>
      <c r="M195" s="38" t="e">
        <f>+[1]FORM!G285</f>
        <v>#N/A</v>
      </c>
      <c r="N195" s="39" t="e">
        <f>+[1]FORM!H285</f>
        <v>#N/A</v>
      </c>
    </row>
    <row r="196" spans="2:14">
      <c r="B196" s="30"/>
      <c r="C196" s="30"/>
      <c r="D196" s="36"/>
      <c r="E196" s="36"/>
      <c r="F196" s="36"/>
      <c r="G196" s="37"/>
      <c r="H196" s="37"/>
      <c r="I196" s="37"/>
      <c r="J196" s="37"/>
      <c r="K196" s="37"/>
      <c r="L196" s="37"/>
      <c r="M196" s="38" t="e">
        <f>+[1]FORM!G286</f>
        <v>#N/A</v>
      </c>
      <c r="N196" s="39" t="e">
        <f>+[1]FORM!H286</f>
        <v>#N/A</v>
      </c>
    </row>
    <row r="197" spans="2:14">
      <c r="B197" s="30"/>
      <c r="C197" s="30"/>
      <c r="D197" s="36"/>
      <c r="E197" s="36"/>
      <c r="F197" s="36"/>
      <c r="G197" s="37"/>
      <c r="H197" s="37"/>
      <c r="I197" s="37"/>
      <c r="J197" s="37"/>
      <c r="K197" s="37"/>
      <c r="L197" s="37"/>
      <c r="M197" s="38" t="e">
        <f>+[1]FORM!G287</f>
        <v>#N/A</v>
      </c>
      <c r="N197" s="39" t="e">
        <f>+[1]FORM!H287</f>
        <v>#N/A</v>
      </c>
    </row>
    <row r="198" spans="2:14">
      <c r="B198" s="30"/>
      <c r="C198" s="30"/>
      <c r="D198" s="36"/>
      <c r="E198" s="36"/>
      <c r="F198" s="36"/>
      <c r="G198" s="37"/>
      <c r="H198" s="37"/>
      <c r="I198" s="37"/>
      <c r="J198" s="37"/>
      <c r="K198" s="37"/>
      <c r="L198" s="37"/>
      <c r="M198" s="38" t="e">
        <f>+[1]FORM!G288</f>
        <v>#N/A</v>
      </c>
      <c r="N198" s="39" t="e">
        <f>+[1]FORM!H288</f>
        <v>#N/A</v>
      </c>
    </row>
    <row r="199" spans="2:14">
      <c r="B199" s="30"/>
      <c r="C199" s="30"/>
      <c r="D199" s="36"/>
      <c r="E199" s="36"/>
      <c r="F199" s="36"/>
      <c r="G199" s="37"/>
      <c r="H199" s="37"/>
      <c r="I199" s="37"/>
      <c r="J199" s="37"/>
      <c r="K199" s="37"/>
      <c r="L199" s="37"/>
      <c r="M199" s="38" t="e">
        <f>+[1]FORM!G289</f>
        <v>#N/A</v>
      </c>
      <c r="N199" s="39" t="e">
        <f>+[1]FORM!H289</f>
        <v>#N/A</v>
      </c>
    </row>
    <row r="200" spans="2:14">
      <c r="B200" s="30"/>
      <c r="C200" s="30"/>
      <c r="D200" s="36"/>
      <c r="E200" s="36"/>
      <c r="F200" s="36"/>
      <c r="G200" s="37"/>
      <c r="H200" s="37"/>
      <c r="I200" s="37"/>
      <c r="J200" s="37"/>
      <c r="K200" s="37"/>
      <c r="L200" s="37"/>
      <c r="M200" s="38" t="e">
        <f>+[1]FORM!G290</f>
        <v>#N/A</v>
      </c>
      <c r="N200" s="39" t="e">
        <f>+[1]FORM!H290</f>
        <v>#N/A</v>
      </c>
    </row>
    <row r="201" spans="2:14">
      <c r="B201" s="30"/>
      <c r="C201" s="30"/>
      <c r="D201" s="36"/>
      <c r="E201" s="36"/>
      <c r="F201" s="36"/>
      <c r="G201" s="37"/>
      <c r="H201" s="37"/>
      <c r="I201" s="37"/>
      <c r="J201" s="37"/>
      <c r="K201" s="37"/>
      <c r="L201" s="37"/>
      <c r="M201" s="38" t="e">
        <f>+[1]FORM!G291</f>
        <v>#N/A</v>
      </c>
      <c r="N201" s="39" t="e">
        <f>+[1]FORM!H291</f>
        <v>#N/A</v>
      </c>
    </row>
    <row r="202" spans="2:14">
      <c r="B202" s="30"/>
      <c r="C202" s="30"/>
      <c r="D202" s="36"/>
      <c r="E202" s="36"/>
      <c r="F202" s="36"/>
      <c r="G202" s="37"/>
      <c r="H202" s="37"/>
      <c r="I202" s="37"/>
      <c r="J202" s="37"/>
      <c r="K202" s="37"/>
      <c r="L202" s="37"/>
      <c r="M202" s="38" t="e">
        <f>+[1]FORM!G292</f>
        <v>#N/A</v>
      </c>
      <c r="N202" s="39" t="e">
        <f>+[1]FORM!H292</f>
        <v>#N/A</v>
      </c>
    </row>
    <row r="203" spans="2:14">
      <c r="B203" s="30"/>
      <c r="C203" s="30"/>
      <c r="D203" s="36"/>
      <c r="E203" s="36"/>
      <c r="F203" s="36"/>
      <c r="G203" s="37"/>
      <c r="H203" s="37"/>
      <c r="I203" s="37"/>
      <c r="J203" s="37"/>
      <c r="K203" s="37"/>
      <c r="L203" s="37"/>
      <c r="M203" s="38" t="e">
        <f>+[1]FORM!G293</f>
        <v>#N/A</v>
      </c>
      <c r="N203" s="39" t="e">
        <f>+[1]FORM!H293</f>
        <v>#N/A</v>
      </c>
    </row>
    <row r="204" spans="2:14">
      <c r="B204" s="30"/>
      <c r="C204" s="30"/>
      <c r="D204" s="36"/>
      <c r="E204" s="36"/>
      <c r="F204" s="36"/>
      <c r="G204" s="37"/>
      <c r="H204" s="37"/>
      <c r="I204" s="37"/>
      <c r="J204" s="37"/>
      <c r="K204" s="37"/>
      <c r="L204" s="37"/>
      <c r="M204" s="38" t="e">
        <f>+[1]FORM!G294</f>
        <v>#N/A</v>
      </c>
      <c r="N204" s="39" t="e">
        <f>+[1]FORM!H294</f>
        <v>#N/A</v>
      </c>
    </row>
    <row r="205" spans="2:14">
      <c r="B205" s="30"/>
      <c r="C205" s="30"/>
      <c r="D205" s="36"/>
      <c r="E205" s="36"/>
      <c r="F205" s="36"/>
      <c r="G205" s="37"/>
      <c r="H205" s="37"/>
      <c r="I205" s="37"/>
      <c r="J205" s="37"/>
      <c r="K205" s="37"/>
      <c r="L205" s="37"/>
      <c r="M205" s="38" t="e">
        <f>+[1]FORM!G295</f>
        <v>#N/A</v>
      </c>
      <c r="N205" s="39" t="e">
        <f>+[1]FORM!H295</f>
        <v>#N/A</v>
      </c>
    </row>
    <row r="206" spans="2:14">
      <c r="B206" s="30"/>
      <c r="C206" s="30"/>
      <c r="D206" s="36"/>
      <c r="E206" s="36"/>
      <c r="F206" s="36"/>
      <c r="G206" s="37"/>
      <c r="H206" s="37"/>
      <c r="I206" s="37"/>
      <c r="J206" s="37"/>
      <c r="K206" s="37"/>
      <c r="L206" s="37"/>
      <c r="M206" s="38" t="e">
        <f>+[1]FORM!G296</f>
        <v>#N/A</v>
      </c>
      <c r="N206" s="39" t="e">
        <f>+[1]FORM!H296</f>
        <v>#N/A</v>
      </c>
    </row>
    <row r="207" spans="2:14">
      <c r="B207" s="30"/>
      <c r="C207" s="30"/>
      <c r="D207" s="36"/>
      <c r="E207" s="36"/>
      <c r="F207" s="36"/>
      <c r="G207" s="37"/>
      <c r="H207" s="37"/>
      <c r="I207" s="37"/>
      <c r="J207" s="37"/>
      <c r="K207" s="37"/>
      <c r="L207" s="37"/>
      <c r="M207" s="38" t="e">
        <f>+[1]FORM!G297</f>
        <v>#N/A</v>
      </c>
      <c r="N207" s="39" t="e">
        <f>+[1]FORM!H297</f>
        <v>#N/A</v>
      </c>
    </row>
    <row r="208" spans="2:14">
      <c r="B208" s="30"/>
      <c r="C208" s="30"/>
      <c r="D208" s="36"/>
      <c r="E208" s="36"/>
      <c r="F208" s="36"/>
      <c r="G208" s="37"/>
      <c r="H208" s="37"/>
      <c r="I208" s="37"/>
      <c r="J208" s="37"/>
      <c r="K208" s="37"/>
      <c r="L208" s="37"/>
      <c r="M208" s="38" t="e">
        <f>+[1]FORM!G298</f>
        <v>#N/A</v>
      </c>
      <c r="N208" s="39" t="e">
        <f>+[1]FORM!H298</f>
        <v>#N/A</v>
      </c>
    </row>
    <row r="209" spans="2:14">
      <c r="B209" s="30"/>
      <c r="C209" s="30"/>
      <c r="D209" s="36"/>
      <c r="E209" s="36"/>
      <c r="F209" s="36"/>
      <c r="G209" s="37"/>
      <c r="H209" s="37"/>
      <c r="I209" s="37"/>
      <c r="J209" s="37"/>
      <c r="K209" s="37"/>
      <c r="L209" s="37"/>
      <c r="M209" s="38" t="e">
        <f>+[1]FORM!G299</f>
        <v>#N/A</v>
      </c>
      <c r="N209" s="39" t="e">
        <f>+[1]FORM!H299</f>
        <v>#N/A</v>
      </c>
    </row>
    <row r="210" spans="2:14">
      <c r="B210" s="30"/>
      <c r="C210" s="30"/>
      <c r="D210" s="36"/>
      <c r="E210" s="36"/>
      <c r="F210" s="36"/>
      <c r="G210" s="37"/>
      <c r="H210" s="37"/>
      <c r="I210" s="37"/>
      <c r="J210" s="37"/>
      <c r="K210" s="37"/>
      <c r="L210" s="37"/>
      <c r="M210" s="38" t="e">
        <f>+[1]FORM!G300</f>
        <v>#N/A</v>
      </c>
      <c r="N210" s="39" t="e">
        <f>+[1]FORM!H300</f>
        <v>#N/A</v>
      </c>
    </row>
    <row r="211" spans="2:14">
      <c r="B211" s="30"/>
      <c r="C211" s="30"/>
      <c r="D211" s="36"/>
      <c r="E211" s="36"/>
      <c r="F211" s="36"/>
      <c r="G211" s="37"/>
      <c r="H211" s="37"/>
      <c r="I211" s="37"/>
      <c r="J211" s="37"/>
      <c r="K211" s="37"/>
      <c r="L211" s="37"/>
      <c r="M211" s="38" t="e">
        <f>+[1]FORM!G301</f>
        <v>#N/A</v>
      </c>
      <c r="N211" s="39" t="e">
        <f>+[1]FORM!H301</f>
        <v>#N/A</v>
      </c>
    </row>
    <row r="212" spans="2:14">
      <c r="B212" s="30"/>
      <c r="C212" s="30"/>
      <c r="D212" s="36"/>
      <c r="E212" s="36"/>
      <c r="F212" s="36"/>
      <c r="G212" s="37"/>
      <c r="H212" s="37"/>
      <c r="I212" s="37"/>
      <c r="J212" s="37"/>
      <c r="K212" s="37"/>
      <c r="L212" s="37"/>
      <c r="M212" s="38" t="e">
        <f>+[1]FORM!G302</f>
        <v>#N/A</v>
      </c>
      <c r="N212" s="39" t="e">
        <f>+[1]FORM!H302</f>
        <v>#N/A</v>
      </c>
    </row>
    <row r="213" spans="2:14">
      <c r="B213" s="30"/>
      <c r="C213" s="30"/>
      <c r="D213" s="36"/>
      <c r="E213" s="36"/>
      <c r="F213" s="36"/>
      <c r="G213" s="37"/>
      <c r="H213" s="37"/>
      <c r="I213" s="37"/>
      <c r="J213" s="37"/>
      <c r="K213" s="37"/>
      <c r="L213" s="37"/>
      <c r="M213" s="38" t="e">
        <f>+[1]FORM!G303</f>
        <v>#N/A</v>
      </c>
      <c r="N213" s="39" t="e">
        <f>+[1]FORM!H303</f>
        <v>#N/A</v>
      </c>
    </row>
    <row r="214" spans="2:14">
      <c r="B214" s="30"/>
      <c r="C214" s="30"/>
      <c r="D214" s="36"/>
      <c r="E214" s="36"/>
      <c r="F214" s="36"/>
      <c r="G214" s="37"/>
      <c r="H214" s="37"/>
      <c r="I214" s="37"/>
      <c r="J214" s="37"/>
      <c r="K214" s="37"/>
      <c r="L214" s="37"/>
      <c r="M214" s="38" t="e">
        <f>+[1]FORM!G304</f>
        <v>#N/A</v>
      </c>
      <c r="N214" s="39" t="e">
        <f>+[1]FORM!H304</f>
        <v>#N/A</v>
      </c>
    </row>
    <row r="215" spans="2:14">
      <c r="B215" s="30"/>
      <c r="C215" s="30"/>
      <c r="D215" s="36"/>
      <c r="E215" s="36"/>
      <c r="F215" s="36"/>
      <c r="G215" s="37"/>
      <c r="H215" s="37"/>
      <c r="I215" s="37"/>
      <c r="J215" s="37"/>
      <c r="K215" s="37"/>
      <c r="L215" s="37"/>
      <c r="M215" s="38" t="e">
        <f>+[1]FORM!G305</f>
        <v>#N/A</v>
      </c>
      <c r="N215" s="39" t="e">
        <f>+[1]FORM!H305</f>
        <v>#N/A</v>
      </c>
    </row>
    <row r="216" spans="2:14">
      <c r="B216" s="30"/>
      <c r="C216" s="30"/>
      <c r="D216" s="36"/>
      <c r="E216" s="36"/>
      <c r="F216" s="36"/>
      <c r="G216" s="37"/>
      <c r="H216" s="37"/>
      <c r="I216" s="37"/>
      <c r="J216" s="37"/>
      <c r="K216" s="37"/>
      <c r="L216" s="37"/>
      <c r="M216" s="38" t="e">
        <f>+[1]FORM!G306</f>
        <v>#N/A</v>
      </c>
      <c r="N216" s="39" t="e">
        <f>+[1]FORM!H306</f>
        <v>#N/A</v>
      </c>
    </row>
    <row r="217" spans="2:14">
      <c r="B217" s="30"/>
      <c r="C217" s="30"/>
      <c r="D217" s="36"/>
      <c r="E217" s="36"/>
      <c r="F217" s="36"/>
      <c r="G217" s="37"/>
      <c r="H217" s="37"/>
      <c r="I217" s="37"/>
      <c r="J217" s="37"/>
      <c r="K217" s="37"/>
      <c r="L217" s="37"/>
      <c r="M217" s="38" t="e">
        <f>+[1]FORM!G307</f>
        <v>#N/A</v>
      </c>
      <c r="N217" s="39" t="e">
        <f>+[1]FORM!H307</f>
        <v>#N/A</v>
      </c>
    </row>
    <row r="218" spans="2:14">
      <c r="B218" s="30"/>
      <c r="C218" s="30"/>
      <c r="D218" s="36"/>
      <c r="E218" s="36"/>
      <c r="F218" s="36"/>
      <c r="G218" s="37"/>
      <c r="H218" s="37"/>
      <c r="I218" s="37"/>
      <c r="J218" s="37"/>
      <c r="K218" s="37"/>
      <c r="L218" s="37"/>
      <c r="M218" s="38" t="e">
        <f>+[1]FORM!G308</f>
        <v>#N/A</v>
      </c>
      <c r="N218" s="39" t="e">
        <f>+[1]FORM!H308</f>
        <v>#N/A</v>
      </c>
    </row>
    <row r="219" spans="2:14">
      <c r="B219" s="30"/>
      <c r="C219" s="30"/>
      <c r="D219" s="36"/>
      <c r="E219" s="36"/>
      <c r="F219" s="36"/>
      <c r="G219" s="37"/>
      <c r="H219" s="37"/>
      <c r="I219" s="37"/>
      <c r="J219" s="37"/>
      <c r="K219" s="37"/>
      <c r="L219" s="37"/>
      <c r="M219" s="38" t="e">
        <f>+[1]FORM!G309</f>
        <v>#N/A</v>
      </c>
      <c r="N219" s="39" t="e">
        <f>+[1]FORM!H309</f>
        <v>#N/A</v>
      </c>
    </row>
    <row r="220" spans="2:14">
      <c r="B220" s="30"/>
      <c r="C220" s="30"/>
      <c r="D220" s="36"/>
      <c r="E220" s="36"/>
      <c r="F220" s="36"/>
      <c r="G220" s="37"/>
      <c r="H220" s="37"/>
      <c r="I220" s="37"/>
      <c r="J220" s="37"/>
      <c r="K220" s="37"/>
      <c r="L220" s="37"/>
      <c r="M220" s="38" t="e">
        <f>+[1]FORM!G310</f>
        <v>#N/A</v>
      </c>
      <c r="N220" s="39" t="e">
        <f>+[1]FORM!H310</f>
        <v>#N/A</v>
      </c>
    </row>
    <row r="221" spans="2:14">
      <c r="B221" s="30"/>
      <c r="C221" s="30"/>
      <c r="D221" s="36"/>
      <c r="E221" s="36"/>
      <c r="F221" s="36"/>
      <c r="G221" s="37"/>
      <c r="H221" s="37"/>
      <c r="I221" s="37"/>
      <c r="J221" s="37"/>
      <c r="K221" s="37"/>
      <c r="L221" s="37"/>
      <c r="M221" s="38" t="e">
        <f>+[1]FORM!G311</f>
        <v>#N/A</v>
      </c>
      <c r="N221" s="39" t="e">
        <f>+[1]FORM!H311</f>
        <v>#N/A</v>
      </c>
    </row>
    <row r="222" spans="2:14">
      <c r="B222" s="30"/>
      <c r="C222" s="30"/>
      <c r="D222" s="36"/>
      <c r="E222" s="36"/>
      <c r="F222" s="36"/>
      <c r="G222" s="37"/>
      <c r="H222" s="37"/>
      <c r="I222" s="37"/>
      <c r="J222" s="37"/>
      <c r="K222" s="37"/>
      <c r="L222" s="37"/>
      <c r="M222" s="38" t="e">
        <f>+[1]FORM!G312</f>
        <v>#N/A</v>
      </c>
      <c r="N222" s="39" t="e">
        <f>+[1]FORM!H312</f>
        <v>#N/A</v>
      </c>
    </row>
    <row r="223" spans="2:14">
      <c r="B223" s="30"/>
      <c r="C223" s="30"/>
      <c r="D223" s="36"/>
      <c r="E223" s="36"/>
      <c r="F223" s="36"/>
      <c r="G223" s="37"/>
      <c r="H223" s="37"/>
      <c r="I223" s="37"/>
      <c r="J223" s="37"/>
      <c r="K223" s="37"/>
      <c r="L223" s="37"/>
      <c r="M223" s="38" t="e">
        <f>+[1]FORM!G313</f>
        <v>#N/A</v>
      </c>
      <c r="N223" s="39" t="e">
        <f>+[1]FORM!H313</f>
        <v>#N/A</v>
      </c>
    </row>
    <row r="224" spans="2:14">
      <c r="B224" s="30"/>
      <c r="C224" s="30"/>
      <c r="D224" s="36"/>
      <c r="E224" s="36"/>
      <c r="F224" s="36"/>
      <c r="G224" s="37"/>
      <c r="H224" s="37"/>
      <c r="I224" s="37"/>
      <c r="J224" s="37"/>
      <c r="K224" s="37"/>
      <c r="L224" s="37"/>
      <c r="M224" s="38" t="e">
        <f>+[1]FORM!G314</f>
        <v>#N/A</v>
      </c>
      <c r="N224" s="39" t="e">
        <f>+[1]FORM!H314</f>
        <v>#N/A</v>
      </c>
    </row>
    <row r="225" spans="2:14">
      <c r="B225" s="30"/>
      <c r="C225" s="30"/>
      <c r="D225" s="36"/>
      <c r="E225" s="36"/>
      <c r="F225" s="36"/>
      <c r="G225" s="37"/>
      <c r="H225" s="37"/>
      <c r="I225" s="37"/>
      <c r="J225" s="37"/>
      <c r="K225" s="37"/>
      <c r="L225" s="37"/>
      <c r="M225" s="38" t="e">
        <f>+[1]FORM!G315</f>
        <v>#N/A</v>
      </c>
      <c r="N225" s="39" t="e">
        <f>+[1]FORM!H315</f>
        <v>#N/A</v>
      </c>
    </row>
    <row r="226" spans="2:14">
      <c r="B226" s="30"/>
      <c r="C226" s="30"/>
      <c r="D226" s="36"/>
      <c r="E226" s="36"/>
      <c r="F226" s="36"/>
      <c r="G226" s="37"/>
      <c r="H226" s="37"/>
      <c r="I226" s="37"/>
      <c r="J226" s="37"/>
      <c r="K226" s="37"/>
      <c r="L226" s="37"/>
      <c r="M226" s="38" t="e">
        <f>+[1]FORM!G316</f>
        <v>#N/A</v>
      </c>
      <c r="N226" s="39" t="e">
        <f>+[1]FORM!H316</f>
        <v>#N/A</v>
      </c>
    </row>
    <row r="227" spans="2:14">
      <c r="B227" s="30"/>
      <c r="C227" s="30"/>
      <c r="D227" s="36"/>
      <c r="E227" s="36"/>
      <c r="F227" s="36"/>
      <c r="G227" s="37"/>
      <c r="H227" s="37"/>
      <c r="I227" s="37"/>
      <c r="J227" s="37"/>
      <c r="K227" s="37"/>
      <c r="L227" s="37"/>
      <c r="M227" s="38" t="e">
        <f>+[1]FORM!G317</f>
        <v>#N/A</v>
      </c>
      <c r="N227" s="39" t="e">
        <f>+[1]FORM!H317</f>
        <v>#N/A</v>
      </c>
    </row>
    <row r="228" spans="2:14">
      <c r="B228" s="30"/>
      <c r="C228" s="30"/>
      <c r="D228" s="36"/>
      <c r="E228" s="36"/>
      <c r="F228" s="36"/>
      <c r="G228" s="37"/>
      <c r="H228" s="37"/>
      <c r="I228" s="37"/>
      <c r="J228" s="37"/>
      <c r="K228" s="37"/>
      <c r="L228" s="37"/>
      <c r="M228" s="38" t="e">
        <f>+[1]FORM!G318</f>
        <v>#N/A</v>
      </c>
      <c r="N228" s="39" t="e">
        <f>+[1]FORM!H318</f>
        <v>#N/A</v>
      </c>
    </row>
    <row r="229" spans="2:14">
      <c r="B229" s="30"/>
      <c r="C229" s="30"/>
      <c r="D229" s="36"/>
      <c r="E229" s="36"/>
      <c r="F229" s="36"/>
      <c r="G229" s="37"/>
      <c r="H229" s="37"/>
      <c r="I229" s="37"/>
      <c r="J229" s="37"/>
      <c r="K229" s="37"/>
      <c r="L229" s="37"/>
      <c r="M229" s="38" t="e">
        <f>+[1]FORM!G319</f>
        <v>#N/A</v>
      </c>
      <c r="N229" s="39" t="e">
        <f>+[1]FORM!H319</f>
        <v>#N/A</v>
      </c>
    </row>
    <row r="230" spans="2:14">
      <c r="B230" s="30"/>
      <c r="C230" s="30"/>
      <c r="D230" s="36"/>
      <c r="E230" s="36"/>
      <c r="F230" s="36"/>
      <c r="G230" s="37"/>
      <c r="H230" s="37"/>
      <c r="I230" s="37"/>
      <c r="J230" s="37"/>
      <c r="K230" s="37"/>
      <c r="L230" s="37"/>
      <c r="M230" s="38" t="e">
        <f>+[1]FORM!G320</f>
        <v>#N/A</v>
      </c>
      <c r="N230" s="39" t="e">
        <f>+[1]FORM!H320</f>
        <v>#N/A</v>
      </c>
    </row>
    <row r="231" spans="2:14">
      <c r="B231" s="30"/>
      <c r="C231" s="30"/>
      <c r="D231" s="36"/>
      <c r="E231" s="36"/>
      <c r="F231" s="36"/>
      <c r="G231" s="37"/>
      <c r="H231" s="37"/>
      <c r="I231" s="37"/>
      <c r="J231" s="37"/>
      <c r="K231" s="37"/>
      <c r="L231" s="37"/>
      <c r="M231" s="38" t="e">
        <f>+[1]FORM!G321</f>
        <v>#N/A</v>
      </c>
      <c r="N231" s="39" t="e">
        <f>+[1]FORM!H321</f>
        <v>#N/A</v>
      </c>
    </row>
    <row r="232" spans="2:14">
      <c r="B232" s="30"/>
      <c r="C232" s="30"/>
      <c r="D232" s="36"/>
      <c r="E232" s="36"/>
      <c r="F232" s="36"/>
      <c r="G232" s="37"/>
      <c r="H232" s="37"/>
      <c r="I232" s="37"/>
      <c r="J232" s="37"/>
      <c r="K232" s="37"/>
      <c r="L232" s="37"/>
      <c r="M232" s="38" t="e">
        <f>+[1]FORM!G322</f>
        <v>#N/A</v>
      </c>
      <c r="N232" s="39" t="e">
        <f>+[1]FORM!H322</f>
        <v>#N/A</v>
      </c>
    </row>
    <row r="233" spans="2:14">
      <c r="B233" s="30"/>
      <c r="C233" s="30"/>
      <c r="D233" s="36"/>
      <c r="E233" s="36"/>
      <c r="F233" s="36"/>
      <c r="G233" s="37"/>
      <c r="H233" s="37"/>
      <c r="I233" s="37"/>
      <c r="J233" s="37"/>
      <c r="K233" s="37"/>
      <c r="L233" s="37"/>
      <c r="M233" s="38" t="e">
        <f>+[1]FORM!G323</f>
        <v>#N/A</v>
      </c>
      <c r="N233" s="39" t="e">
        <f>+[1]FORM!H323</f>
        <v>#N/A</v>
      </c>
    </row>
    <row r="234" spans="2:14">
      <c r="B234" s="30"/>
      <c r="C234" s="30"/>
      <c r="D234" s="36"/>
      <c r="E234" s="36"/>
      <c r="F234" s="36"/>
      <c r="G234" s="37"/>
      <c r="H234" s="37"/>
      <c r="I234" s="37"/>
      <c r="J234" s="37"/>
      <c r="K234" s="37"/>
      <c r="L234" s="37"/>
      <c r="M234" s="38" t="e">
        <f>+[1]FORM!G324</f>
        <v>#N/A</v>
      </c>
      <c r="N234" s="39" t="e">
        <f>+[1]FORM!H324</f>
        <v>#N/A</v>
      </c>
    </row>
    <row r="235" spans="2:14">
      <c r="B235" s="30"/>
      <c r="C235" s="30"/>
      <c r="D235" s="36"/>
      <c r="E235" s="36"/>
      <c r="F235" s="36"/>
      <c r="G235" s="37"/>
      <c r="H235" s="37"/>
      <c r="I235" s="37"/>
      <c r="J235" s="37"/>
      <c r="K235" s="37"/>
      <c r="L235" s="37"/>
      <c r="M235" s="38" t="e">
        <f>+[1]FORM!G325</f>
        <v>#N/A</v>
      </c>
      <c r="N235" s="39" t="e">
        <f>+[1]FORM!H325</f>
        <v>#N/A</v>
      </c>
    </row>
    <row r="236" spans="2:14">
      <c r="B236" s="30"/>
      <c r="C236" s="30"/>
      <c r="D236" s="36"/>
      <c r="E236" s="36"/>
      <c r="F236" s="36"/>
      <c r="G236" s="37"/>
      <c r="H236" s="37"/>
      <c r="I236" s="37"/>
      <c r="J236" s="37"/>
      <c r="K236" s="37"/>
      <c r="L236" s="37"/>
      <c r="M236" s="38" t="e">
        <f>+[1]FORM!G326</f>
        <v>#N/A</v>
      </c>
      <c r="N236" s="39" t="e">
        <f>+[1]FORM!H326</f>
        <v>#N/A</v>
      </c>
    </row>
    <row r="237" spans="2:14">
      <c r="B237" s="30"/>
      <c r="C237" s="30"/>
      <c r="D237" s="36"/>
      <c r="E237" s="36"/>
      <c r="F237" s="36"/>
      <c r="G237" s="37"/>
      <c r="H237" s="37"/>
      <c r="I237" s="37"/>
      <c r="J237" s="37"/>
      <c r="K237" s="37"/>
      <c r="L237" s="37"/>
      <c r="M237" s="38" t="e">
        <f>+[1]FORM!G327</f>
        <v>#N/A</v>
      </c>
      <c r="N237" s="39" t="e">
        <f>+[1]FORM!H327</f>
        <v>#N/A</v>
      </c>
    </row>
    <row r="238" spans="2:14">
      <c r="B238" s="30"/>
      <c r="C238" s="30"/>
      <c r="D238" s="36"/>
      <c r="E238" s="36"/>
      <c r="F238" s="36"/>
      <c r="G238" s="37"/>
      <c r="H238" s="37"/>
      <c r="I238" s="37"/>
      <c r="J238" s="37"/>
      <c r="K238" s="37"/>
      <c r="L238" s="37"/>
      <c r="M238" s="38" t="e">
        <f>+[1]FORM!G328</f>
        <v>#N/A</v>
      </c>
      <c r="N238" s="39" t="e">
        <f>+[1]FORM!H328</f>
        <v>#N/A</v>
      </c>
    </row>
    <row r="239" spans="2:14">
      <c r="B239" s="30"/>
      <c r="C239" s="30"/>
      <c r="D239" s="36"/>
      <c r="E239" s="36"/>
      <c r="F239" s="36"/>
      <c r="G239" s="37"/>
      <c r="H239" s="37"/>
      <c r="I239" s="37"/>
      <c r="J239" s="37"/>
      <c r="K239" s="37"/>
      <c r="L239" s="37"/>
      <c r="M239" s="38" t="e">
        <f>+[1]FORM!G329</f>
        <v>#N/A</v>
      </c>
      <c r="N239" s="39" t="e">
        <f>+[1]FORM!H329</f>
        <v>#N/A</v>
      </c>
    </row>
    <row r="240" spans="2:14">
      <c r="B240" s="30"/>
      <c r="C240" s="30"/>
      <c r="D240" s="36"/>
      <c r="E240" s="36"/>
      <c r="F240" s="36"/>
      <c r="G240" s="37"/>
      <c r="H240" s="37"/>
      <c r="I240" s="37"/>
      <c r="J240" s="37"/>
      <c r="K240" s="37"/>
      <c r="L240" s="37"/>
      <c r="M240" s="38" t="e">
        <f>+[1]FORM!G330</f>
        <v>#N/A</v>
      </c>
      <c r="N240" s="39" t="e">
        <f>+[1]FORM!H330</f>
        <v>#N/A</v>
      </c>
    </row>
    <row r="241" spans="2:14">
      <c r="B241" s="30"/>
      <c r="C241" s="30"/>
      <c r="D241" s="36"/>
      <c r="E241" s="36"/>
      <c r="F241" s="36"/>
      <c r="G241" s="37"/>
      <c r="H241" s="37"/>
      <c r="I241" s="37"/>
      <c r="J241" s="37"/>
      <c r="K241" s="37"/>
      <c r="L241" s="37"/>
      <c r="M241" s="38" t="e">
        <f>+[1]FORM!G331</f>
        <v>#N/A</v>
      </c>
      <c r="N241" s="39" t="e">
        <f>+[1]FORM!H331</f>
        <v>#N/A</v>
      </c>
    </row>
    <row r="242" spans="2:14">
      <c r="B242" s="30"/>
      <c r="C242" s="30"/>
      <c r="D242" s="36"/>
      <c r="E242" s="36"/>
      <c r="F242" s="36"/>
      <c r="G242" s="37"/>
      <c r="H242" s="37"/>
      <c r="I242" s="37"/>
      <c r="J242" s="37"/>
      <c r="K242" s="37"/>
      <c r="L242" s="37"/>
      <c r="M242" s="38" t="e">
        <f>+[1]FORM!G332</f>
        <v>#N/A</v>
      </c>
      <c r="N242" s="39" t="e">
        <f>+[1]FORM!H332</f>
        <v>#N/A</v>
      </c>
    </row>
    <row r="243" spans="2:14">
      <c r="B243" s="30"/>
      <c r="C243" s="30"/>
      <c r="D243" s="36"/>
      <c r="E243" s="36"/>
      <c r="F243" s="36"/>
      <c r="G243" s="37"/>
      <c r="H243" s="37"/>
      <c r="I243" s="37"/>
      <c r="J243" s="37"/>
      <c r="K243" s="37"/>
      <c r="L243" s="37"/>
      <c r="M243" s="38" t="e">
        <f>+[1]FORM!G333</f>
        <v>#N/A</v>
      </c>
      <c r="N243" s="39" t="e">
        <f>+[1]FORM!H333</f>
        <v>#N/A</v>
      </c>
    </row>
    <row r="244" spans="2:14">
      <c r="B244" s="30"/>
      <c r="C244" s="30"/>
      <c r="D244" s="36"/>
      <c r="E244" s="36"/>
      <c r="F244" s="36"/>
      <c r="G244" s="37"/>
      <c r="H244" s="37"/>
      <c r="I244" s="37"/>
      <c r="J244" s="37"/>
      <c r="K244" s="37"/>
      <c r="L244" s="37"/>
      <c r="M244" s="38" t="e">
        <f>+[1]FORM!G334</f>
        <v>#N/A</v>
      </c>
      <c r="N244" s="39" t="e">
        <f>+[1]FORM!H334</f>
        <v>#N/A</v>
      </c>
    </row>
    <row r="245" spans="2:14">
      <c r="B245" s="30"/>
      <c r="C245" s="30"/>
      <c r="D245" s="36"/>
      <c r="E245" s="36"/>
      <c r="F245" s="36"/>
      <c r="G245" s="37"/>
      <c r="H245" s="37"/>
      <c r="I245" s="37"/>
      <c r="J245" s="37"/>
      <c r="K245" s="37"/>
      <c r="L245" s="37"/>
      <c r="M245" s="38" t="e">
        <f>+[1]FORM!G335</f>
        <v>#N/A</v>
      </c>
      <c r="N245" s="39" t="e">
        <f>+[1]FORM!H335</f>
        <v>#N/A</v>
      </c>
    </row>
    <row r="246" spans="2:14">
      <c r="B246" s="30"/>
      <c r="C246" s="30"/>
      <c r="D246" s="36"/>
      <c r="E246" s="36"/>
      <c r="F246" s="36"/>
      <c r="G246" s="37"/>
      <c r="H246" s="37"/>
      <c r="I246" s="37"/>
      <c r="J246" s="37"/>
      <c r="K246" s="37"/>
      <c r="L246" s="37"/>
      <c r="M246" s="38" t="e">
        <f>+[1]FORM!G336</f>
        <v>#N/A</v>
      </c>
      <c r="N246" s="39" t="e">
        <f>+[1]FORM!H336</f>
        <v>#N/A</v>
      </c>
    </row>
    <row r="247" spans="2:14">
      <c r="B247" s="30"/>
      <c r="C247" s="30"/>
      <c r="D247" s="36"/>
      <c r="E247" s="36"/>
      <c r="F247" s="36"/>
      <c r="G247" s="37"/>
      <c r="H247" s="37"/>
      <c r="I247" s="37"/>
      <c r="J247" s="37"/>
      <c r="K247" s="37"/>
      <c r="L247" s="37"/>
      <c r="M247" s="38" t="e">
        <f>+[1]FORM!G337</f>
        <v>#N/A</v>
      </c>
      <c r="N247" s="39" t="e">
        <f>+[1]FORM!H337</f>
        <v>#N/A</v>
      </c>
    </row>
    <row r="248" spans="2:14">
      <c r="B248" s="30"/>
      <c r="C248" s="30"/>
      <c r="D248" s="36"/>
      <c r="E248" s="36"/>
      <c r="F248" s="36"/>
      <c r="G248" s="37"/>
      <c r="H248" s="37"/>
      <c r="I248" s="37"/>
      <c r="J248" s="37"/>
      <c r="K248" s="37"/>
      <c r="L248" s="37"/>
      <c r="M248" s="38" t="e">
        <f>+[1]FORM!G338</f>
        <v>#N/A</v>
      </c>
      <c r="N248" s="39" t="e">
        <f>+[1]FORM!H338</f>
        <v>#N/A</v>
      </c>
    </row>
    <row r="249" spans="2:14">
      <c r="B249" s="30"/>
      <c r="C249" s="30"/>
      <c r="D249" s="36"/>
      <c r="E249" s="36"/>
      <c r="F249" s="36"/>
      <c r="G249" s="37"/>
      <c r="H249" s="37"/>
      <c r="I249" s="37"/>
      <c r="J249" s="37"/>
      <c r="K249" s="37"/>
      <c r="L249" s="37"/>
      <c r="M249" s="38" t="e">
        <f>+[1]FORM!G339</f>
        <v>#N/A</v>
      </c>
      <c r="N249" s="39" t="e">
        <f>+[1]FORM!H339</f>
        <v>#N/A</v>
      </c>
    </row>
    <row r="250" spans="2:14">
      <c r="B250" s="30"/>
      <c r="C250" s="30"/>
      <c r="D250" s="36"/>
      <c r="E250" s="36"/>
      <c r="F250" s="36"/>
      <c r="G250" s="37"/>
      <c r="H250" s="37"/>
      <c r="I250" s="37"/>
      <c r="J250" s="37"/>
      <c r="K250" s="37"/>
      <c r="L250" s="37"/>
      <c r="M250" s="38" t="e">
        <f>+[1]FORM!G340</f>
        <v>#N/A</v>
      </c>
      <c r="N250" s="39" t="e">
        <f>+[1]FORM!H340</f>
        <v>#N/A</v>
      </c>
    </row>
    <row r="251" spans="2:14">
      <c r="B251" s="30"/>
      <c r="C251" s="30"/>
      <c r="D251" s="36"/>
      <c r="E251" s="36"/>
      <c r="F251" s="36"/>
      <c r="G251" s="37"/>
      <c r="H251" s="37"/>
      <c r="I251" s="37"/>
      <c r="J251" s="37"/>
      <c r="K251" s="37"/>
      <c r="L251" s="37"/>
      <c r="M251" s="38" t="e">
        <f>+[1]FORM!G341</f>
        <v>#N/A</v>
      </c>
      <c r="N251" s="39" t="e">
        <f>+[1]FORM!H341</f>
        <v>#N/A</v>
      </c>
    </row>
    <row r="252" spans="2:14">
      <c r="B252" s="30"/>
      <c r="C252" s="30"/>
      <c r="D252" s="36"/>
      <c r="E252" s="36"/>
      <c r="F252" s="36"/>
      <c r="G252" s="37"/>
      <c r="H252" s="37"/>
      <c r="I252" s="37"/>
      <c r="J252" s="37"/>
      <c r="K252" s="37"/>
      <c r="L252" s="37"/>
      <c r="M252" s="38" t="e">
        <f>+[1]FORM!G342</f>
        <v>#N/A</v>
      </c>
      <c r="N252" s="39" t="e">
        <f>+[1]FORM!H342</f>
        <v>#N/A</v>
      </c>
    </row>
    <row r="253" spans="2:14">
      <c r="B253" s="30"/>
      <c r="C253" s="30"/>
      <c r="D253" s="36"/>
      <c r="E253" s="36"/>
      <c r="F253" s="36"/>
      <c r="G253" s="37"/>
      <c r="H253" s="37"/>
      <c r="I253" s="37"/>
      <c r="J253" s="37"/>
      <c r="K253" s="37"/>
      <c r="L253" s="37"/>
      <c r="M253" s="38" t="e">
        <f>+[1]FORM!G343</f>
        <v>#N/A</v>
      </c>
      <c r="N253" s="39" t="e">
        <f>+[1]FORM!H343</f>
        <v>#N/A</v>
      </c>
    </row>
    <row r="254" spans="2:14">
      <c r="B254" s="30"/>
      <c r="C254" s="30"/>
      <c r="D254" s="36"/>
      <c r="E254" s="36"/>
      <c r="F254" s="36"/>
      <c r="G254" s="37"/>
      <c r="H254" s="37"/>
      <c r="I254" s="37"/>
      <c r="J254" s="37"/>
      <c r="K254" s="37"/>
      <c r="L254" s="37"/>
      <c r="M254" s="38" t="e">
        <f>+[1]FORM!G344</f>
        <v>#N/A</v>
      </c>
      <c r="N254" s="39" t="e">
        <f>+[1]FORM!H344</f>
        <v>#N/A</v>
      </c>
    </row>
    <row r="255" spans="2:14">
      <c r="B255" s="30"/>
      <c r="C255" s="30"/>
      <c r="D255" s="36"/>
      <c r="E255" s="36"/>
      <c r="F255" s="36"/>
      <c r="G255" s="37"/>
      <c r="H255" s="37"/>
      <c r="I255" s="37"/>
      <c r="J255" s="37"/>
      <c r="K255" s="37"/>
      <c r="L255" s="37"/>
      <c r="M255" s="38" t="e">
        <f>+[1]FORM!G345</f>
        <v>#N/A</v>
      </c>
      <c r="N255" s="39" t="e">
        <f>+[1]FORM!H345</f>
        <v>#N/A</v>
      </c>
    </row>
    <row r="256" spans="2:14">
      <c r="B256" s="30"/>
      <c r="C256" s="30"/>
      <c r="D256" s="36"/>
      <c r="E256" s="36"/>
      <c r="F256" s="36"/>
      <c r="G256" s="37"/>
      <c r="H256" s="37"/>
      <c r="I256" s="37"/>
      <c r="J256" s="37"/>
      <c r="K256" s="37"/>
      <c r="L256" s="37"/>
      <c r="M256" s="38" t="e">
        <f>+[1]FORM!G346</f>
        <v>#N/A</v>
      </c>
      <c r="N256" s="39" t="e">
        <f>+[1]FORM!H346</f>
        <v>#N/A</v>
      </c>
    </row>
    <row r="257" spans="2:14">
      <c r="B257" s="30"/>
      <c r="C257" s="30"/>
      <c r="D257" s="36"/>
      <c r="E257" s="36"/>
      <c r="F257" s="36"/>
      <c r="G257" s="37"/>
      <c r="H257" s="37"/>
      <c r="I257" s="37"/>
      <c r="J257" s="37"/>
      <c r="K257" s="37"/>
      <c r="L257" s="37"/>
      <c r="M257" s="38" t="e">
        <f>+[1]FORM!G347</f>
        <v>#N/A</v>
      </c>
      <c r="N257" s="39" t="e">
        <f>+[1]FORM!H347</f>
        <v>#N/A</v>
      </c>
    </row>
    <row r="258" spans="2:14">
      <c r="B258" s="30"/>
      <c r="C258" s="30"/>
      <c r="D258" s="36"/>
      <c r="E258" s="36"/>
      <c r="F258" s="36"/>
      <c r="G258" s="37"/>
      <c r="H258" s="37"/>
      <c r="I258" s="37"/>
      <c r="J258" s="37"/>
      <c r="K258" s="37"/>
      <c r="L258" s="37"/>
      <c r="M258" s="38" t="e">
        <f>+[1]FORM!G348</f>
        <v>#N/A</v>
      </c>
      <c r="N258" s="39" t="e">
        <f>+[1]FORM!H348</f>
        <v>#N/A</v>
      </c>
    </row>
    <row r="259" spans="2:14">
      <c r="B259" s="30"/>
      <c r="C259" s="30"/>
      <c r="D259" s="36"/>
      <c r="E259" s="36"/>
      <c r="F259" s="36"/>
      <c r="G259" s="37"/>
      <c r="H259" s="37"/>
      <c r="I259" s="37"/>
      <c r="J259" s="37"/>
      <c r="K259" s="37"/>
      <c r="L259" s="37"/>
      <c r="M259" s="38" t="e">
        <f>+[1]FORM!G349</f>
        <v>#N/A</v>
      </c>
      <c r="N259" s="39" t="e">
        <f>+[1]FORM!H349</f>
        <v>#N/A</v>
      </c>
    </row>
    <row r="260" spans="2:14">
      <c r="B260" s="30"/>
      <c r="C260" s="30"/>
      <c r="D260" s="36"/>
      <c r="E260" s="36"/>
      <c r="F260" s="36"/>
      <c r="G260" s="37"/>
      <c r="H260" s="37"/>
      <c r="I260" s="37"/>
      <c r="J260" s="37"/>
      <c r="K260" s="37"/>
      <c r="L260" s="37"/>
      <c r="M260" s="38" t="e">
        <f>+[1]FORM!G350</f>
        <v>#N/A</v>
      </c>
      <c r="N260" s="39" t="e">
        <f>+[1]FORM!H350</f>
        <v>#N/A</v>
      </c>
    </row>
    <row r="261" spans="2:14">
      <c r="B261" s="30"/>
      <c r="C261" s="30"/>
      <c r="D261" s="36"/>
      <c r="E261" s="36"/>
      <c r="F261" s="36"/>
      <c r="G261" s="37"/>
      <c r="H261" s="37"/>
      <c r="I261" s="37"/>
      <c r="J261" s="37"/>
      <c r="K261" s="37"/>
      <c r="L261" s="37"/>
      <c r="M261" s="38" t="e">
        <f>+[1]FORM!G351</f>
        <v>#N/A</v>
      </c>
      <c r="N261" s="39" t="e">
        <f>+[1]FORM!H351</f>
        <v>#N/A</v>
      </c>
    </row>
    <row r="262" spans="2:14">
      <c r="B262" s="30"/>
      <c r="C262" s="30"/>
      <c r="D262" s="36"/>
      <c r="E262" s="36"/>
      <c r="F262" s="36"/>
      <c r="G262" s="37"/>
      <c r="H262" s="37"/>
      <c r="I262" s="37"/>
      <c r="J262" s="37"/>
      <c r="K262" s="37"/>
      <c r="L262" s="37"/>
      <c r="M262" s="38" t="e">
        <f>+[1]FORM!G352</f>
        <v>#N/A</v>
      </c>
      <c r="N262" s="39" t="e">
        <f>+[1]FORM!H352</f>
        <v>#N/A</v>
      </c>
    </row>
    <row r="263" spans="2:14">
      <c r="B263" s="30"/>
      <c r="C263" s="30"/>
      <c r="D263" s="36"/>
      <c r="E263" s="36"/>
      <c r="F263" s="36"/>
      <c r="G263" s="37"/>
      <c r="H263" s="37"/>
      <c r="I263" s="37"/>
      <c r="J263" s="37"/>
      <c r="K263" s="37"/>
      <c r="L263" s="37"/>
      <c r="M263" s="38" t="e">
        <f>+[1]FORM!G353</f>
        <v>#N/A</v>
      </c>
      <c r="N263" s="39" t="e">
        <f>+[1]FORM!H353</f>
        <v>#N/A</v>
      </c>
    </row>
    <row r="264" spans="2:14">
      <c r="B264" s="30"/>
      <c r="C264" s="30"/>
      <c r="D264" s="36"/>
      <c r="E264" s="36"/>
      <c r="F264" s="36"/>
      <c r="G264" s="37"/>
      <c r="H264" s="37"/>
      <c r="I264" s="37"/>
      <c r="J264" s="37"/>
      <c r="K264" s="37"/>
      <c r="L264" s="37"/>
      <c r="M264" s="38" t="e">
        <f>+[1]FORM!G354</f>
        <v>#N/A</v>
      </c>
      <c r="N264" s="39" t="e">
        <f>+[1]FORM!H354</f>
        <v>#N/A</v>
      </c>
    </row>
    <row r="265" spans="2:14">
      <c r="B265" s="30"/>
      <c r="C265" s="30"/>
      <c r="D265" s="36"/>
      <c r="E265" s="36"/>
      <c r="F265" s="36"/>
      <c r="G265" s="37"/>
      <c r="H265" s="37"/>
      <c r="I265" s="37"/>
      <c r="J265" s="37"/>
      <c r="K265" s="37"/>
      <c r="L265" s="37"/>
      <c r="M265" s="38" t="e">
        <f>+[1]FORM!G355</f>
        <v>#N/A</v>
      </c>
      <c r="N265" s="39" t="e">
        <f>+[1]FORM!H355</f>
        <v>#N/A</v>
      </c>
    </row>
    <row r="266" spans="2:14">
      <c r="B266" s="30"/>
      <c r="C266" s="30"/>
      <c r="D266" s="36"/>
      <c r="E266" s="36"/>
      <c r="F266" s="36"/>
      <c r="G266" s="37"/>
      <c r="H266" s="37"/>
      <c r="I266" s="37"/>
      <c r="J266" s="37"/>
      <c r="K266" s="37"/>
      <c r="L266" s="37"/>
      <c r="M266" s="38" t="e">
        <f>+[1]FORM!G356</f>
        <v>#N/A</v>
      </c>
      <c r="N266" s="39" t="e">
        <f>+[1]FORM!H356</f>
        <v>#N/A</v>
      </c>
    </row>
    <row r="267" spans="2:14">
      <c r="B267" s="30"/>
      <c r="C267" s="30"/>
      <c r="D267" s="36"/>
      <c r="E267" s="36"/>
      <c r="F267" s="36"/>
      <c r="G267" s="37"/>
      <c r="H267" s="37"/>
      <c r="I267" s="37"/>
      <c r="J267" s="37"/>
      <c r="K267" s="37"/>
      <c r="L267" s="37"/>
      <c r="M267" s="38" t="e">
        <f>+[1]FORM!G357</f>
        <v>#N/A</v>
      </c>
      <c r="N267" s="39" t="e">
        <f>+[1]FORM!H357</f>
        <v>#N/A</v>
      </c>
    </row>
    <row r="268" spans="2:14">
      <c r="B268" s="30"/>
      <c r="C268" s="30"/>
      <c r="D268" s="36"/>
      <c r="E268" s="36"/>
      <c r="F268" s="36"/>
      <c r="G268" s="37"/>
      <c r="H268" s="37"/>
      <c r="I268" s="37"/>
      <c r="J268" s="37"/>
      <c r="K268" s="37"/>
      <c r="L268" s="37"/>
      <c r="M268" s="38" t="e">
        <f>+[1]FORM!G358</f>
        <v>#N/A</v>
      </c>
      <c r="N268" s="39" t="e">
        <f>+[1]FORM!H358</f>
        <v>#N/A</v>
      </c>
    </row>
    <row r="269" spans="2:14">
      <c r="B269" s="30"/>
      <c r="C269" s="30"/>
      <c r="D269" s="36"/>
      <c r="E269" s="36"/>
      <c r="F269" s="36"/>
      <c r="G269" s="37"/>
      <c r="H269" s="37"/>
      <c r="I269" s="37"/>
      <c r="J269" s="37"/>
      <c r="K269" s="37"/>
      <c r="L269" s="37"/>
      <c r="M269" s="38" t="e">
        <f>+[1]FORM!G359</f>
        <v>#N/A</v>
      </c>
      <c r="N269" s="39" t="e">
        <f>+[1]FORM!H359</f>
        <v>#N/A</v>
      </c>
    </row>
    <row r="270" spans="2:14">
      <c r="B270" s="30"/>
      <c r="C270" s="30"/>
      <c r="D270" s="36"/>
      <c r="E270" s="36"/>
      <c r="F270" s="36"/>
      <c r="G270" s="37"/>
      <c r="H270" s="37"/>
      <c r="I270" s="37"/>
      <c r="J270" s="37"/>
      <c r="K270" s="37"/>
      <c r="L270" s="37"/>
      <c r="M270" s="38" t="e">
        <f>+[1]FORM!G360</f>
        <v>#N/A</v>
      </c>
      <c r="N270" s="39" t="e">
        <f>+[1]FORM!H360</f>
        <v>#N/A</v>
      </c>
    </row>
    <row r="271" spans="2:14">
      <c r="B271" s="30"/>
      <c r="C271" s="30"/>
      <c r="D271" s="36"/>
      <c r="E271" s="36"/>
      <c r="F271" s="36"/>
      <c r="G271" s="37"/>
      <c r="H271" s="37"/>
      <c r="I271" s="37"/>
      <c r="J271" s="37"/>
      <c r="K271" s="37"/>
      <c r="L271" s="37"/>
      <c r="M271" s="38" t="e">
        <f>+[1]FORM!G361</f>
        <v>#N/A</v>
      </c>
      <c r="N271" s="39" t="e">
        <f>+[1]FORM!H361</f>
        <v>#N/A</v>
      </c>
    </row>
    <row r="272" spans="2:14">
      <c r="B272" s="30"/>
      <c r="C272" s="30"/>
      <c r="D272" s="36"/>
      <c r="E272" s="36"/>
      <c r="F272" s="36"/>
      <c r="G272" s="37"/>
      <c r="H272" s="37"/>
      <c r="I272" s="37"/>
      <c r="J272" s="37"/>
      <c r="K272" s="37"/>
      <c r="L272" s="37"/>
      <c r="M272" s="38" t="e">
        <f>+[1]FORM!G362</f>
        <v>#N/A</v>
      </c>
      <c r="N272" s="39" t="e">
        <f>+[1]FORM!H362</f>
        <v>#N/A</v>
      </c>
    </row>
    <row r="273" spans="2:14">
      <c r="B273" s="30"/>
      <c r="C273" s="30"/>
      <c r="D273" s="36"/>
      <c r="E273" s="36"/>
      <c r="F273" s="36"/>
      <c r="G273" s="37"/>
      <c r="H273" s="37"/>
      <c r="I273" s="37"/>
      <c r="J273" s="37"/>
      <c r="K273" s="37"/>
      <c r="L273" s="37"/>
      <c r="M273" s="38" t="e">
        <f>+[1]FORM!G363</f>
        <v>#N/A</v>
      </c>
      <c r="N273" s="39" t="e">
        <f>+[1]FORM!H363</f>
        <v>#N/A</v>
      </c>
    </row>
    <row r="274" spans="2:14">
      <c r="B274" s="30"/>
      <c r="C274" s="30"/>
      <c r="D274" s="36"/>
      <c r="E274" s="36"/>
      <c r="F274" s="36"/>
      <c r="G274" s="37"/>
      <c r="H274" s="37"/>
      <c r="I274" s="37"/>
      <c r="J274" s="37"/>
      <c r="K274" s="37"/>
      <c r="L274" s="37"/>
      <c r="M274" s="38" t="e">
        <f>+[1]FORM!G364</f>
        <v>#N/A</v>
      </c>
      <c r="N274" s="39" t="e">
        <f>+[1]FORM!H364</f>
        <v>#N/A</v>
      </c>
    </row>
    <row r="275" spans="2:14">
      <c r="B275" s="30"/>
      <c r="C275" s="30"/>
      <c r="D275" s="36"/>
      <c r="E275" s="36"/>
      <c r="F275" s="36"/>
      <c r="G275" s="37"/>
      <c r="H275" s="37"/>
      <c r="I275" s="37"/>
      <c r="J275" s="37"/>
      <c r="K275" s="37"/>
      <c r="L275" s="37"/>
      <c r="M275" s="38" t="e">
        <f>+[1]FORM!G365</f>
        <v>#N/A</v>
      </c>
      <c r="N275" s="39" t="e">
        <f>+[1]FORM!H365</f>
        <v>#N/A</v>
      </c>
    </row>
    <row r="276" spans="2:14">
      <c r="B276" s="30"/>
      <c r="C276" s="30"/>
      <c r="D276" s="36"/>
      <c r="E276" s="36"/>
      <c r="F276" s="36"/>
      <c r="G276" s="37"/>
      <c r="H276" s="37"/>
      <c r="I276" s="37"/>
      <c r="J276" s="37"/>
      <c r="K276" s="37"/>
      <c r="L276" s="37"/>
      <c r="M276" s="38" t="e">
        <f>+[1]FORM!G366</f>
        <v>#N/A</v>
      </c>
      <c r="N276" s="39" t="e">
        <f>+[1]FORM!H366</f>
        <v>#N/A</v>
      </c>
    </row>
    <row r="277" spans="2:14">
      <c r="B277" s="30"/>
      <c r="C277" s="30"/>
      <c r="D277" s="36"/>
      <c r="E277" s="36"/>
      <c r="F277" s="36"/>
      <c r="G277" s="37"/>
      <c r="H277" s="37"/>
      <c r="I277" s="37"/>
      <c r="J277" s="37"/>
      <c r="K277" s="37"/>
      <c r="L277" s="37"/>
      <c r="M277" s="38" t="e">
        <f>+[1]FORM!G367</f>
        <v>#N/A</v>
      </c>
      <c r="N277" s="39" t="e">
        <f>+[1]FORM!H367</f>
        <v>#N/A</v>
      </c>
    </row>
    <row r="278" spans="2:14">
      <c r="B278" s="30"/>
      <c r="C278" s="30"/>
      <c r="D278" s="36"/>
      <c r="E278" s="36"/>
      <c r="F278" s="36"/>
      <c r="G278" s="37"/>
      <c r="H278" s="37"/>
      <c r="I278" s="37"/>
      <c r="J278" s="37"/>
      <c r="K278" s="37"/>
      <c r="L278" s="37"/>
      <c r="M278" s="38" t="e">
        <f>+[1]FORM!G368</f>
        <v>#N/A</v>
      </c>
      <c r="N278" s="39" t="e">
        <f>+[1]FORM!H368</f>
        <v>#N/A</v>
      </c>
    </row>
    <row r="279" spans="2:14">
      <c r="B279" s="30"/>
      <c r="C279" s="30"/>
      <c r="D279" s="36"/>
      <c r="E279" s="36"/>
      <c r="F279" s="36"/>
      <c r="G279" s="37"/>
      <c r="H279" s="37"/>
      <c r="I279" s="37"/>
      <c r="J279" s="37"/>
      <c r="K279" s="37"/>
      <c r="L279" s="37"/>
      <c r="M279" s="38" t="e">
        <f>+[1]FORM!G369</f>
        <v>#N/A</v>
      </c>
      <c r="N279" s="39" t="e">
        <f>+[1]FORM!H369</f>
        <v>#N/A</v>
      </c>
    </row>
    <row r="280" spans="2:14">
      <c r="B280" s="30"/>
      <c r="C280" s="30"/>
      <c r="D280" s="36"/>
      <c r="E280" s="36"/>
      <c r="F280" s="36"/>
      <c r="G280" s="37"/>
      <c r="H280" s="37"/>
      <c r="I280" s="37"/>
      <c r="J280" s="37"/>
      <c r="K280" s="37"/>
      <c r="L280" s="37"/>
      <c r="M280" s="38" t="e">
        <f>+[1]FORM!G370</f>
        <v>#N/A</v>
      </c>
      <c r="N280" s="39" t="e">
        <f>+[1]FORM!H370</f>
        <v>#N/A</v>
      </c>
    </row>
    <row r="281" spans="2:14">
      <c r="B281" s="30"/>
      <c r="C281" s="30"/>
      <c r="D281" s="36"/>
      <c r="E281" s="36"/>
      <c r="F281" s="36"/>
      <c r="G281" s="37"/>
      <c r="H281" s="37"/>
      <c r="I281" s="37"/>
      <c r="J281" s="37"/>
      <c r="K281" s="37"/>
      <c r="L281" s="37"/>
      <c r="M281" s="38" t="e">
        <f>+[1]FORM!G371</f>
        <v>#N/A</v>
      </c>
      <c r="N281" s="39" t="e">
        <f>+[1]FORM!H371</f>
        <v>#N/A</v>
      </c>
    </row>
    <row r="282" spans="2:14">
      <c r="B282" s="30"/>
      <c r="C282" s="30"/>
      <c r="D282" s="36"/>
      <c r="E282" s="36"/>
      <c r="F282" s="36"/>
      <c r="G282" s="37"/>
      <c r="H282" s="37"/>
      <c r="I282" s="37"/>
      <c r="J282" s="37"/>
      <c r="K282" s="37"/>
      <c r="L282" s="37"/>
      <c r="M282" s="38" t="e">
        <f>+[1]FORM!G372</f>
        <v>#N/A</v>
      </c>
      <c r="N282" s="39" t="e">
        <f>+[1]FORM!H372</f>
        <v>#N/A</v>
      </c>
    </row>
    <row r="283" spans="2:14">
      <c r="B283" s="30"/>
      <c r="C283" s="30"/>
      <c r="D283" s="36"/>
      <c r="E283" s="36"/>
      <c r="F283" s="36"/>
      <c r="G283" s="37"/>
      <c r="H283" s="37"/>
      <c r="I283" s="37"/>
      <c r="J283" s="37"/>
      <c r="K283" s="37"/>
      <c r="L283" s="37"/>
      <c r="M283" s="38" t="e">
        <f>+[1]FORM!G373</f>
        <v>#N/A</v>
      </c>
      <c r="N283" s="39" t="e">
        <f>+[1]FORM!H373</f>
        <v>#N/A</v>
      </c>
    </row>
    <row r="284" spans="2:14">
      <c r="B284" s="30"/>
      <c r="C284" s="30"/>
      <c r="D284" s="36"/>
      <c r="E284" s="36"/>
      <c r="F284" s="36"/>
      <c r="G284" s="37"/>
      <c r="H284" s="37"/>
      <c r="I284" s="37"/>
      <c r="J284" s="37"/>
      <c r="K284" s="37"/>
      <c r="L284" s="37"/>
      <c r="M284" s="38" t="e">
        <f>+[1]FORM!G374</f>
        <v>#N/A</v>
      </c>
      <c r="N284" s="39" t="e">
        <f>+[1]FORM!H374</f>
        <v>#N/A</v>
      </c>
    </row>
    <row r="285" spans="2:14">
      <c r="B285" s="30"/>
      <c r="C285" s="30"/>
      <c r="D285" s="36"/>
      <c r="E285" s="36"/>
      <c r="F285" s="36"/>
      <c r="G285" s="37"/>
      <c r="H285" s="37"/>
      <c r="I285" s="37"/>
      <c r="J285" s="37"/>
      <c r="K285" s="37"/>
      <c r="L285" s="37"/>
      <c r="M285" s="38" t="e">
        <f>+[1]FORM!G375</f>
        <v>#N/A</v>
      </c>
      <c r="N285" s="39" t="e">
        <f>+[1]FORM!H375</f>
        <v>#N/A</v>
      </c>
    </row>
    <row r="286" spans="2:14">
      <c r="B286" s="30"/>
      <c r="C286" s="30"/>
      <c r="D286" s="36"/>
      <c r="E286" s="36"/>
      <c r="F286" s="36"/>
      <c r="G286" s="37"/>
      <c r="H286" s="37"/>
      <c r="I286" s="37"/>
      <c r="J286" s="37"/>
      <c r="K286" s="37"/>
      <c r="L286" s="37"/>
      <c r="M286" s="38" t="e">
        <f>+[1]FORM!G376</f>
        <v>#N/A</v>
      </c>
      <c r="N286" s="39" t="e">
        <f>+[1]FORM!H376</f>
        <v>#N/A</v>
      </c>
    </row>
    <row r="287" spans="2:14">
      <c r="B287" s="30"/>
      <c r="C287" s="30"/>
      <c r="D287" s="36"/>
      <c r="E287" s="36"/>
      <c r="F287" s="36"/>
      <c r="G287" s="37"/>
      <c r="H287" s="37"/>
      <c r="I287" s="37"/>
      <c r="J287" s="37"/>
      <c r="K287" s="37"/>
      <c r="L287" s="37"/>
      <c r="M287" s="38" t="e">
        <f>+[1]FORM!G377</f>
        <v>#N/A</v>
      </c>
      <c r="N287" s="39" t="e">
        <f>+[1]FORM!H377</f>
        <v>#N/A</v>
      </c>
    </row>
    <row r="288" spans="2:14">
      <c r="B288" s="30"/>
      <c r="C288" s="30"/>
      <c r="D288" s="36"/>
      <c r="E288" s="36"/>
      <c r="F288" s="36"/>
      <c r="G288" s="37"/>
      <c r="H288" s="37"/>
      <c r="I288" s="37"/>
      <c r="J288" s="37"/>
      <c r="K288" s="37"/>
      <c r="L288" s="37"/>
      <c r="M288" s="38" t="e">
        <f>+[1]FORM!G378</f>
        <v>#N/A</v>
      </c>
      <c r="N288" s="39" t="e">
        <f>+[1]FORM!H378</f>
        <v>#N/A</v>
      </c>
    </row>
    <row r="289" spans="2:14">
      <c r="B289" s="30"/>
      <c r="C289" s="30"/>
      <c r="D289" s="36"/>
      <c r="E289" s="36"/>
      <c r="F289" s="36"/>
      <c r="G289" s="37"/>
      <c r="H289" s="37"/>
      <c r="I289" s="37"/>
      <c r="J289" s="37"/>
      <c r="K289" s="37"/>
      <c r="L289" s="37"/>
      <c r="M289" s="38" t="e">
        <f>+[1]FORM!G379</f>
        <v>#N/A</v>
      </c>
      <c r="N289" s="39" t="e">
        <f>+[1]FORM!H379</f>
        <v>#N/A</v>
      </c>
    </row>
    <row r="290" spans="2:14">
      <c r="B290" s="30"/>
      <c r="C290" s="30"/>
      <c r="D290" s="36"/>
      <c r="E290" s="36"/>
      <c r="F290" s="36"/>
      <c r="G290" s="37"/>
      <c r="H290" s="37"/>
      <c r="I290" s="37"/>
      <c r="J290" s="37"/>
      <c r="K290" s="37"/>
      <c r="L290" s="37"/>
      <c r="M290" s="38" t="e">
        <f>+[1]FORM!G380</f>
        <v>#N/A</v>
      </c>
      <c r="N290" s="39" t="e">
        <f>+[1]FORM!H380</f>
        <v>#N/A</v>
      </c>
    </row>
    <row r="291" spans="2:14">
      <c r="B291" s="30"/>
      <c r="C291" s="30"/>
      <c r="D291" s="36"/>
      <c r="E291" s="36"/>
      <c r="F291" s="36"/>
      <c r="G291" s="37"/>
      <c r="H291" s="37"/>
      <c r="I291" s="37"/>
      <c r="J291" s="37"/>
      <c r="K291" s="37"/>
      <c r="L291" s="37"/>
      <c r="M291" s="38" t="e">
        <f>+[1]FORM!G381</f>
        <v>#N/A</v>
      </c>
      <c r="N291" s="39" t="e">
        <f>+[1]FORM!H381</f>
        <v>#N/A</v>
      </c>
    </row>
    <row r="292" spans="2:14">
      <c r="B292" s="30"/>
      <c r="C292" s="30"/>
      <c r="D292" s="36"/>
      <c r="E292" s="36"/>
      <c r="F292" s="36"/>
      <c r="G292" s="37"/>
      <c r="H292" s="37"/>
      <c r="I292" s="37"/>
      <c r="J292" s="37"/>
      <c r="K292" s="37"/>
      <c r="L292" s="37"/>
      <c r="M292" s="38" t="e">
        <f>+[1]FORM!G382</f>
        <v>#N/A</v>
      </c>
      <c r="N292" s="39" t="e">
        <f>+[1]FORM!H382</f>
        <v>#N/A</v>
      </c>
    </row>
    <row r="293" spans="2:14">
      <c r="B293" s="30"/>
      <c r="C293" s="30"/>
      <c r="D293" s="36"/>
      <c r="E293" s="36"/>
      <c r="F293" s="36"/>
      <c r="G293" s="37"/>
      <c r="H293" s="37"/>
      <c r="I293" s="37"/>
      <c r="J293" s="37"/>
      <c r="K293" s="37"/>
      <c r="L293" s="37"/>
      <c r="M293" s="38" t="e">
        <f>+[1]FORM!G383</f>
        <v>#N/A</v>
      </c>
      <c r="N293" s="39" t="e">
        <f>+[1]FORM!H383</f>
        <v>#N/A</v>
      </c>
    </row>
    <row r="294" spans="2:14">
      <c r="B294" s="30"/>
      <c r="C294" s="30"/>
      <c r="D294" s="36"/>
      <c r="E294" s="36"/>
      <c r="F294" s="36"/>
      <c r="G294" s="37"/>
      <c r="H294" s="37"/>
      <c r="I294" s="37"/>
      <c r="J294" s="37"/>
      <c r="K294" s="37"/>
      <c r="L294" s="37"/>
      <c r="M294" s="38" t="e">
        <f>+[1]FORM!G384</f>
        <v>#N/A</v>
      </c>
      <c r="N294" s="39" t="e">
        <f>+[1]FORM!H384</f>
        <v>#N/A</v>
      </c>
    </row>
    <row r="295" spans="2:14">
      <c r="B295" s="30"/>
      <c r="C295" s="30"/>
      <c r="D295" s="36"/>
      <c r="E295" s="36"/>
      <c r="F295" s="36"/>
      <c r="G295" s="37"/>
      <c r="H295" s="37"/>
      <c r="I295" s="37"/>
      <c r="J295" s="37"/>
      <c r="K295" s="37"/>
      <c r="L295" s="37"/>
      <c r="M295" s="38" t="e">
        <f>+[1]FORM!G385</f>
        <v>#N/A</v>
      </c>
      <c r="N295" s="39" t="e">
        <f>+[1]FORM!H385</f>
        <v>#N/A</v>
      </c>
    </row>
    <row r="296" spans="2:14">
      <c r="B296" s="30"/>
      <c r="C296" s="30"/>
      <c r="D296" s="36"/>
      <c r="E296" s="36"/>
      <c r="F296" s="36"/>
      <c r="G296" s="37"/>
      <c r="H296" s="37"/>
      <c r="I296" s="37"/>
      <c r="J296" s="37"/>
      <c r="K296" s="37"/>
      <c r="L296" s="37"/>
      <c r="M296" s="38" t="e">
        <f>+[1]FORM!G386</f>
        <v>#N/A</v>
      </c>
      <c r="N296" s="39" t="e">
        <f>+[1]FORM!H386</f>
        <v>#N/A</v>
      </c>
    </row>
    <row r="297" spans="2:14">
      <c r="B297" s="30"/>
      <c r="C297" s="30"/>
      <c r="D297" s="36"/>
      <c r="E297" s="36"/>
      <c r="F297" s="36"/>
      <c r="G297" s="37"/>
      <c r="H297" s="37"/>
      <c r="I297" s="37"/>
      <c r="J297" s="37"/>
      <c r="K297" s="37"/>
      <c r="L297" s="37"/>
      <c r="M297" s="38" t="e">
        <f>+[1]FORM!G387</f>
        <v>#N/A</v>
      </c>
      <c r="N297" s="39" t="e">
        <f>+[1]FORM!H387</f>
        <v>#N/A</v>
      </c>
    </row>
    <row r="298" spans="2:14">
      <c r="B298" s="30"/>
      <c r="C298" s="30"/>
      <c r="D298" s="36"/>
      <c r="E298" s="36"/>
      <c r="F298" s="36"/>
      <c r="G298" s="37"/>
      <c r="H298" s="37"/>
      <c r="I298" s="37"/>
      <c r="J298" s="37"/>
      <c r="K298" s="37"/>
      <c r="L298" s="37"/>
      <c r="M298" s="38" t="e">
        <f>+[1]FORM!G388</f>
        <v>#N/A</v>
      </c>
      <c r="N298" s="39" t="e">
        <f>+[1]FORM!H388</f>
        <v>#N/A</v>
      </c>
    </row>
    <row r="299" spans="2:14">
      <c r="B299" s="30"/>
      <c r="C299" s="30"/>
      <c r="D299" s="36"/>
      <c r="E299" s="36"/>
      <c r="F299" s="36"/>
      <c r="G299" s="37"/>
      <c r="H299" s="37"/>
      <c r="I299" s="37"/>
      <c r="J299" s="37"/>
      <c r="K299" s="37"/>
      <c r="L299" s="37"/>
      <c r="M299" s="38" t="e">
        <f>+[1]FORM!G389</f>
        <v>#N/A</v>
      </c>
      <c r="N299" s="39" t="e">
        <f>+[1]FORM!H389</f>
        <v>#N/A</v>
      </c>
    </row>
    <row r="300" spans="2:14">
      <c r="B300" s="30"/>
      <c r="C300" s="30"/>
      <c r="D300" s="36"/>
      <c r="E300" s="36"/>
      <c r="F300" s="36"/>
      <c r="G300" s="37"/>
      <c r="H300" s="37"/>
      <c r="I300" s="37"/>
      <c r="J300" s="37"/>
      <c r="K300" s="37"/>
      <c r="L300" s="37"/>
      <c r="M300" s="38" t="e">
        <f>+[1]FORM!G390</f>
        <v>#N/A</v>
      </c>
      <c r="N300" s="39" t="e">
        <f>+[1]FORM!H390</f>
        <v>#N/A</v>
      </c>
    </row>
    <row r="301" spans="2:14">
      <c r="B301" s="30"/>
      <c r="C301" s="30"/>
      <c r="D301" s="36"/>
      <c r="E301" s="36"/>
      <c r="F301" s="36"/>
      <c r="G301" s="37"/>
      <c r="H301" s="37"/>
      <c r="I301" s="37"/>
      <c r="J301" s="37"/>
      <c r="K301" s="37"/>
      <c r="L301" s="37"/>
      <c r="M301" s="38" t="e">
        <f>+[1]FORM!G391</f>
        <v>#N/A</v>
      </c>
      <c r="N301" s="39" t="e">
        <f>+[1]FORM!H391</f>
        <v>#N/A</v>
      </c>
    </row>
    <row r="302" spans="2:14">
      <c r="B302" s="30"/>
      <c r="C302" s="30"/>
      <c r="D302" s="36"/>
      <c r="E302" s="36"/>
      <c r="F302" s="36"/>
      <c r="G302" s="37"/>
      <c r="H302" s="37"/>
      <c r="I302" s="37"/>
      <c r="J302" s="37"/>
      <c r="K302" s="37"/>
      <c r="L302" s="37"/>
      <c r="M302" s="38" t="e">
        <f>+[1]FORM!G392</f>
        <v>#N/A</v>
      </c>
      <c r="N302" s="39" t="e">
        <f>+[1]FORM!H392</f>
        <v>#N/A</v>
      </c>
    </row>
    <row r="303" spans="2:14">
      <c r="B303" s="30"/>
      <c r="C303" s="30"/>
      <c r="D303" s="36"/>
      <c r="E303" s="36"/>
      <c r="F303" s="36"/>
      <c r="G303" s="37"/>
      <c r="H303" s="37"/>
      <c r="I303" s="37"/>
      <c r="J303" s="37"/>
      <c r="K303" s="37"/>
      <c r="L303" s="37"/>
      <c r="M303" s="38" t="e">
        <f>+[1]FORM!G393</f>
        <v>#N/A</v>
      </c>
      <c r="N303" s="39" t="e">
        <f>+[1]FORM!H393</f>
        <v>#N/A</v>
      </c>
    </row>
    <row r="304" spans="2:14">
      <c r="B304" s="30"/>
      <c r="C304" s="30"/>
      <c r="D304" s="36"/>
      <c r="E304" s="36"/>
      <c r="F304" s="36"/>
      <c r="G304" s="37"/>
      <c r="H304" s="37"/>
      <c r="I304" s="37"/>
      <c r="J304" s="37"/>
      <c r="K304" s="37"/>
      <c r="L304" s="37"/>
      <c r="M304" s="38" t="e">
        <f>+[1]FORM!G394</f>
        <v>#N/A</v>
      </c>
      <c r="N304" s="39" t="e">
        <f>+[1]FORM!H394</f>
        <v>#N/A</v>
      </c>
    </row>
    <row r="305" spans="2:14">
      <c r="B305" s="30"/>
      <c r="C305" s="30"/>
      <c r="D305" s="36"/>
      <c r="E305" s="36"/>
      <c r="F305" s="36"/>
      <c r="G305" s="37"/>
      <c r="H305" s="37"/>
      <c r="I305" s="37"/>
      <c r="J305" s="37"/>
      <c r="K305" s="37"/>
      <c r="L305" s="37"/>
      <c r="M305" s="38" t="e">
        <f>+[1]FORM!G395</f>
        <v>#N/A</v>
      </c>
      <c r="N305" s="39" t="e">
        <f>+[1]FORM!H395</f>
        <v>#N/A</v>
      </c>
    </row>
    <row r="306" spans="2:14">
      <c r="B306" s="30"/>
      <c r="C306" s="30"/>
      <c r="D306" s="36"/>
      <c r="E306" s="36"/>
      <c r="F306" s="36"/>
      <c r="G306" s="37"/>
      <c r="H306" s="37"/>
      <c r="I306" s="37"/>
      <c r="J306" s="37"/>
      <c r="K306" s="37"/>
      <c r="L306" s="37"/>
      <c r="M306" s="38" t="e">
        <f>+[1]FORM!G396</f>
        <v>#N/A</v>
      </c>
      <c r="N306" s="39" t="e">
        <f>+[1]FORM!H396</f>
        <v>#N/A</v>
      </c>
    </row>
    <row r="307" spans="2:14">
      <c r="B307" s="30"/>
      <c r="C307" s="30"/>
      <c r="D307" s="36"/>
      <c r="E307" s="36"/>
      <c r="F307" s="36"/>
      <c r="G307" s="37"/>
      <c r="H307" s="37"/>
      <c r="I307" s="37"/>
      <c r="J307" s="37"/>
      <c r="K307" s="37"/>
      <c r="L307" s="37"/>
      <c r="M307" s="38" t="e">
        <f>+[1]FORM!G397</f>
        <v>#N/A</v>
      </c>
      <c r="N307" s="39" t="e">
        <f>+[1]FORM!H397</f>
        <v>#N/A</v>
      </c>
    </row>
    <row r="308" spans="2:14">
      <c r="B308" s="30"/>
      <c r="C308" s="30"/>
      <c r="D308" s="36"/>
      <c r="E308" s="36"/>
      <c r="F308" s="36"/>
      <c r="G308" s="37"/>
      <c r="H308" s="37"/>
      <c r="I308" s="37"/>
      <c r="J308" s="37"/>
      <c r="K308" s="37"/>
      <c r="L308" s="37"/>
      <c r="M308" s="38" t="e">
        <f>+[1]FORM!G398</f>
        <v>#N/A</v>
      </c>
      <c r="N308" s="39" t="e">
        <f>+[1]FORM!H398</f>
        <v>#N/A</v>
      </c>
    </row>
    <row r="309" spans="2:14">
      <c r="B309" s="30"/>
      <c r="C309" s="30"/>
      <c r="D309" s="36"/>
      <c r="E309" s="36"/>
      <c r="F309" s="36"/>
      <c r="G309" s="37"/>
      <c r="H309" s="37"/>
      <c r="I309" s="37"/>
      <c r="J309" s="37"/>
      <c r="K309" s="37"/>
      <c r="L309" s="37"/>
      <c r="M309" s="38" t="e">
        <f>+[1]FORM!G399</f>
        <v>#N/A</v>
      </c>
      <c r="N309" s="39" t="e">
        <f>+[1]FORM!H399</f>
        <v>#N/A</v>
      </c>
    </row>
    <row r="310" spans="2:14">
      <c r="B310" s="30"/>
      <c r="C310" s="30"/>
      <c r="D310" s="36"/>
      <c r="E310" s="36"/>
      <c r="F310" s="36"/>
      <c r="G310" s="37"/>
      <c r="H310" s="37"/>
      <c r="I310" s="37"/>
      <c r="J310" s="37"/>
      <c r="K310" s="37"/>
      <c r="L310" s="37"/>
      <c r="M310" s="38" t="e">
        <f>+[1]FORM!G400</f>
        <v>#N/A</v>
      </c>
      <c r="N310" s="39" t="e">
        <f>+[1]FORM!H400</f>
        <v>#N/A</v>
      </c>
    </row>
    <row r="311" spans="2:14">
      <c r="B311" s="30"/>
      <c r="C311" s="30"/>
      <c r="D311" s="36"/>
      <c r="E311" s="36"/>
      <c r="F311" s="36"/>
      <c r="G311" s="37"/>
      <c r="H311" s="37"/>
      <c r="I311" s="37"/>
      <c r="J311" s="37"/>
      <c r="K311" s="37"/>
      <c r="L311" s="37"/>
      <c r="M311" s="38" t="e">
        <f>+[1]FORM!G401</f>
        <v>#N/A</v>
      </c>
      <c r="N311" s="39" t="e">
        <f>+[1]FORM!H401</f>
        <v>#N/A</v>
      </c>
    </row>
    <row r="312" spans="2:14">
      <c r="B312" s="30"/>
      <c r="C312" s="30"/>
      <c r="D312" s="36"/>
      <c r="E312" s="36"/>
      <c r="F312" s="36"/>
      <c r="G312" s="37"/>
      <c r="H312" s="37"/>
      <c r="I312" s="37"/>
      <c r="J312" s="37"/>
      <c r="K312" s="37"/>
      <c r="L312" s="37"/>
      <c r="M312" s="38" t="e">
        <f>+[1]FORM!G402</f>
        <v>#N/A</v>
      </c>
      <c r="N312" s="39" t="e">
        <f>+[1]FORM!H402</f>
        <v>#N/A</v>
      </c>
    </row>
    <row r="313" spans="2:14">
      <c r="B313" s="30"/>
      <c r="C313" s="30"/>
      <c r="D313" s="36"/>
      <c r="E313" s="36"/>
      <c r="F313" s="36"/>
      <c r="G313" s="37"/>
      <c r="H313" s="37"/>
      <c r="I313" s="37"/>
      <c r="J313" s="37"/>
      <c r="K313" s="37"/>
      <c r="L313" s="37"/>
      <c r="M313" s="38" t="e">
        <f>+[1]FORM!G403</f>
        <v>#N/A</v>
      </c>
      <c r="N313" s="39" t="e">
        <f>+[1]FORM!H403</f>
        <v>#N/A</v>
      </c>
    </row>
    <row r="314" spans="2:14">
      <c r="B314" s="30"/>
      <c r="C314" s="30"/>
      <c r="D314" s="36"/>
      <c r="E314" s="36"/>
      <c r="F314" s="36"/>
      <c r="G314" s="37"/>
      <c r="H314" s="37"/>
      <c r="I314" s="37"/>
      <c r="J314" s="37"/>
      <c r="K314" s="37"/>
      <c r="L314" s="37"/>
      <c r="M314" s="38" t="e">
        <f>+[1]FORM!G404</f>
        <v>#N/A</v>
      </c>
      <c r="N314" s="39" t="e">
        <f>+[1]FORM!H404</f>
        <v>#N/A</v>
      </c>
    </row>
    <row r="315" spans="2:14">
      <c r="B315" s="30"/>
      <c r="C315" s="30"/>
      <c r="D315" s="36"/>
      <c r="E315" s="36"/>
      <c r="F315" s="36"/>
      <c r="G315" s="37"/>
      <c r="H315" s="37"/>
      <c r="I315" s="37"/>
      <c r="J315" s="37"/>
      <c r="K315" s="37"/>
      <c r="L315" s="37"/>
      <c r="M315" s="38" t="e">
        <f>+[1]FORM!G405</f>
        <v>#N/A</v>
      </c>
      <c r="N315" s="39" t="e">
        <f>+[1]FORM!H405</f>
        <v>#N/A</v>
      </c>
    </row>
    <row r="316" spans="2:14">
      <c r="B316" s="30"/>
      <c r="C316" s="30"/>
      <c r="D316" s="36"/>
      <c r="E316" s="36"/>
      <c r="F316" s="36"/>
      <c r="G316" s="37"/>
      <c r="H316" s="37"/>
      <c r="I316" s="37"/>
      <c r="J316" s="37"/>
      <c r="K316" s="37"/>
      <c r="L316" s="37"/>
      <c r="M316" s="38" t="e">
        <f>+[1]FORM!G406</f>
        <v>#N/A</v>
      </c>
      <c r="N316" s="39" t="e">
        <f>+[1]FORM!H406</f>
        <v>#N/A</v>
      </c>
    </row>
    <row r="317" spans="2:14">
      <c r="B317" s="30"/>
      <c r="C317" s="30"/>
      <c r="D317" s="36"/>
      <c r="E317" s="36"/>
      <c r="F317" s="36"/>
      <c r="G317" s="37"/>
      <c r="H317" s="37"/>
      <c r="I317" s="37"/>
      <c r="J317" s="37"/>
      <c r="K317" s="37"/>
      <c r="L317" s="37"/>
      <c r="M317" s="38" t="e">
        <f>+[1]FORM!G407</f>
        <v>#N/A</v>
      </c>
      <c r="N317" s="39" t="e">
        <f>+[1]FORM!H407</f>
        <v>#N/A</v>
      </c>
    </row>
    <row r="318" spans="2:14">
      <c r="B318" s="30"/>
      <c r="C318" s="30"/>
      <c r="D318" s="36"/>
      <c r="E318" s="36"/>
      <c r="F318" s="36"/>
      <c r="G318" s="37"/>
      <c r="H318" s="37"/>
      <c r="I318" s="37"/>
      <c r="J318" s="37"/>
      <c r="K318" s="37"/>
      <c r="L318" s="37"/>
      <c r="M318" s="38" t="e">
        <f>+[1]FORM!G408</f>
        <v>#N/A</v>
      </c>
      <c r="N318" s="39" t="e">
        <f>+[1]FORM!H408</f>
        <v>#N/A</v>
      </c>
    </row>
    <row r="319" spans="2:14">
      <c r="B319" s="30"/>
      <c r="C319" s="30"/>
      <c r="D319" s="36"/>
      <c r="E319" s="36"/>
      <c r="F319" s="36"/>
      <c r="G319" s="37"/>
      <c r="H319" s="37"/>
      <c r="I319" s="37"/>
      <c r="J319" s="37"/>
      <c r="K319" s="37"/>
      <c r="L319" s="37"/>
      <c r="M319" s="38" t="e">
        <f>+[1]FORM!G409</f>
        <v>#N/A</v>
      </c>
      <c r="N319" s="39" t="e">
        <f>+[1]FORM!H409</f>
        <v>#N/A</v>
      </c>
    </row>
    <row r="320" spans="2:14">
      <c r="B320" s="30"/>
      <c r="C320" s="30"/>
      <c r="D320" s="36"/>
      <c r="E320" s="36"/>
      <c r="F320" s="36"/>
      <c r="G320" s="37"/>
      <c r="H320" s="37"/>
      <c r="I320" s="37"/>
      <c r="J320" s="37"/>
      <c r="K320" s="37"/>
      <c r="L320" s="37"/>
      <c r="M320" s="38" t="e">
        <f>+[1]FORM!G410</f>
        <v>#N/A</v>
      </c>
      <c r="N320" s="39" t="e">
        <f>+[1]FORM!H410</f>
        <v>#N/A</v>
      </c>
    </row>
    <row r="321" spans="2:14">
      <c r="B321" s="30"/>
      <c r="C321" s="30"/>
      <c r="D321" s="36"/>
      <c r="E321" s="36"/>
      <c r="F321" s="36"/>
      <c r="G321" s="37"/>
      <c r="H321" s="37"/>
      <c r="I321" s="37"/>
      <c r="J321" s="37"/>
      <c r="K321" s="37"/>
      <c r="L321" s="37"/>
      <c r="M321" s="38" t="e">
        <f>+[1]FORM!G411</f>
        <v>#N/A</v>
      </c>
      <c r="N321" s="39" t="e">
        <f>+[1]FORM!H411</f>
        <v>#N/A</v>
      </c>
    </row>
    <row r="322" spans="2:14">
      <c r="B322" s="30"/>
      <c r="C322" s="30"/>
      <c r="D322" s="36"/>
      <c r="E322" s="36"/>
      <c r="F322" s="36"/>
      <c r="G322" s="37"/>
      <c r="H322" s="37"/>
      <c r="I322" s="37"/>
      <c r="J322" s="37"/>
      <c r="K322" s="37"/>
      <c r="L322" s="37"/>
      <c r="M322" s="38" t="e">
        <f>+[1]FORM!G412</f>
        <v>#N/A</v>
      </c>
      <c r="N322" s="39" t="e">
        <f>+[1]FORM!H412</f>
        <v>#N/A</v>
      </c>
    </row>
    <row r="323" spans="2:14">
      <c r="B323" s="30"/>
      <c r="C323" s="30"/>
      <c r="D323" s="36"/>
      <c r="E323" s="36"/>
      <c r="F323" s="36"/>
      <c r="G323" s="37"/>
      <c r="H323" s="37"/>
      <c r="I323" s="37"/>
      <c r="J323" s="37"/>
      <c r="K323" s="37"/>
      <c r="L323" s="37"/>
      <c r="M323" s="38" t="e">
        <f>+[1]FORM!G413</f>
        <v>#N/A</v>
      </c>
      <c r="N323" s="39" t="e">
        <f>+[1]FORM!H413</f>
        <v>#N/A</v>
      </c>
    </row>
    <row r="324" spans="2:14">
      <c r="B324" s="30"/>
      <c r="C324" s="30"/>
      <c r="D324" s="36"/>
      <c r="E324" s="36"/>
      <c r="F324" s="36"/>
      <c r="G324" s="37"/>
      <c r="H324" s="37"/>
      <c r="I324" s="37"/>
      <c r="J324" s="37"/>
      <c r="K324" s="37"/>
      <c r="L324" s="37"/>
      <c r="M324" s="38" t="e">
        <f>+[1]FORM!G414</f>
        <v>#N/A</v>
      </c>
      <c r="N324" s="39" t="e">
        <f>+[1]FORM!H414</f>
        <v>#N/A</v>
      </c>
    </row>
    <row r="325" spans="2:14">
      <c r="B325" s="30"/>
      <c r="C325" s="30"/>
      <c r="D325" s="36"/>
      <c r="E325" s="36"/>
      <c r="F325" s="36"/>
      <c r="G325" s="37"/>
      <c r="H325" s="37"/>
      <c r="I325" s="37"/>
      <c r="J325" s="37"/>
      <c r="K325" s="37"/>
      <c r="L325" s="37"/>
      <c r="M325" s="38" t="e">
        <f>+[1]FORM!G415</f>
        <v>#N/A</v>
      </c>
      <c r="N325" s="39" t="e">
        <f>+[1]FORM!H415</f>
        <v>#N/A</v>
      </c>
    </row>
    <row r="326" spans="2:14">
      <c r="B326" s="30"/>
      <c r="C326" s="30"/>
      <c r="D326" s="36"/>
      <c r="E326" s="36"/>
      <c r="F326" s="36"/>
      <c r="G326" s="37"/>
      <c r="H326" s="37"/>
      <c r="I326" s="37"/>
      <c r="J326" s="37"/>
      <c r="K326" s="37"/>
      <c r="L326" s="37"/>
      <c r="M326" s="38" t="e">
        <f>+[1]FORM!G416</f>
        <v>#N/A</v>
      </c>
      <c r="N326" s="39" t="e">
        <f>+[1]FORM!H416</f>
        <v>#N/A</v>
      </c>
    </row>
    <row r="327" spans="2:14">
      <c r="B327" s="30"/>
      <c r="C327" s="30"/>
      <c r="D327" s="36"/>
      <c r="E327" s="36"/>
      <c r="F327" s="36"/>
      <c r="G327" s="37"/>
      <c r="H327" s="37"/>
      <c r="I327" s="37"/>
      <c r="J327" s="37"/>
      <c r="K327" s="37"/>
      <c r="L327" s="37"/>
      <c r="M327" s="38" t="e">
        <f>+[1]FORM!G417</f>
        <v>#N/A</v>
      </c>
      <c r="N327" s="39" t="e">
        <f>+[1]FORM!H417</f>
        <v>#N/A</v>
      </c>
    </row>
    <row r="328" spans="2:14">
      <c r="B328" s="30"/>
      <c r="C328" s="30"/>
      <c r="D328" s="36"/>
      <c r="E328" s="36"/>
      <c r="F328" s="36"/>
      <c r="G328" s="37"/>
      <c r="H328" s="37"/>
      <c r="I328" s="37"/>
      <c r="J328" s="37"/>
      <c r="K328" s="37"/>
      <c r="L328" s="37"/>
      <c r="M328" s="38" t="e">
        <f>+[1]FORM!G418</f>
        <v>#N/A</v>
      </c>
      <c r="N328" s="39" t="e">
        <f>+[1]FORM!H418</f>
        <v>#N/A</v>
      </c>
    </row>
    <row r="329" spans="2:14">
      <c r="B329" s="30"/>
      <c r="C329" s="30"/>
      <c r="D329" s="36"/>
      <c r="E329" s="36"/>
      <c r="F329" s="36"/>
      <c r="G329" s="37"/>
      <c r="H329" s="37"/>
      <c r="I329" s="37"/>
      <c r="J329" s="37"/>
      <c r="K329" s="37"/>
      <c r="L329" s="37"/>
      <c r="M329" s="38" t="e">
        <f>+[1]FORM!G419</f>
        <v>#N/A</v>
      </c>
      <c r="N329" s="39" t="e">
        <f>+[1]FORM!H419</f>
        <v>#N/A</v>
      </c>
    </row>
    <row r="330" spans="2:14">
      <c r="B330" s="30"/>
      <c r="C330" s="30"/>
      <c r="D330" s="36"/>
      <c r="E330" s="36"/>
      <c r="F330" s="36"/>
      <c r="G330" s="37"/>
      <c r="H330" s="37"/>
      <c r="I330" s="37"/>
      <c r="J330" s="37"/>
      <c r="K330" s="37"/>
      <c r="L330" s="37"/>
      <c r="M330" s="38" t="e">
        <f>+[1]FORM!G420</f>
        <v>#N/A</v>
      </c>
      <c r="N330" s="39" t="e">
        <f>+[1]FORM!H420</f>
        <v>#N/A</v>
      </c>
    </row>
    <row r="331" spans="2:14">
      <c r="B331" s="30"/>
      <c r="C331" s="30"/>
      <c r="D331" s="36"/>
      <c r="E331" s="36"/>
      <c r="F331" s="36"/>
      <c r="G331" s="37"/>
      <c r="H331" s="37"/>
      <c r="I331" s="37"/>
      <c r="J331" s="37"/>
      <c r="K331" s="37"/>
      <c r="L331" s="37"/>
      <c r="M331" s="38" t="e">
        <f>+[1]FORM!G421</f>
        <v>#N/A</v>
      </c>
      <c r="N331" s="39" t="e">
        <f>+[1]FORM!H421</f>
        <v>#N/A</v>
      </c>
    </row>
    <row r="332" spans="2:14">
      <c r="B332" s="30"/>
      <c r="C332" s="30"/>
      <c r="D332" s="36"/>
      <c r="E332" s="36"/>
      <c r="F332" s="36"/>
      <c r="G332" s="37"/>
      <c r="H332" s="37"/>
      <c r="I332" s="37"/>
      <c r="J332" s="37"/>
      <c r="K332" s="37"/>
      <c r="L332" s="37"/>
      <c r="M332" s="38" t="e">
        <f>+[1]FORM!G422</f>
        <v>#N/A</v>
      </c>
      <c r="N332" s="39" t="e">
        <f>+[1]FORM!H422</f>
        <v>#N/A</v>
      </c>
    </row>
    <row r="333" spans="2:14">
      <c r="B333" s="30"/>
      <c r="C333" s="30"/>
      <c r="D333" s="36"/>
      <c r="E333" s="36"/>
      <c r="F333" s="36"/>
      <c r="G333" s="37"/>
      <c r="H333" s="37"/>
      <c r="I333" s="37"/>
      <c r="J333" s="37"/>
      <c r="K333" s="37"/>
      <c r="L333" s="37"/>
      <c r="M333" s="38" t="e">
        <f>+[1]FORM!G423</f>
        <v>#N/A</v>
      </c>
      <c r="N333" s="39" t="e">
        <f>+[1]FORM!H423</f>
        <v>#N/A</v>
      </c>
    </row>
    <row r="334" spans="2:14">
      <c r="B334" s="30"/>
      <c r="C334" s="30"/>
      <c r="D334" s="36"/>
      <c r="E334" s="36"/>
      <c r="F334" s="36"/>
      <c r="G334" s="37"/>
      <c r="H334" s="37"/>
      <c r="I334" s="37"/>
      <c r="J334" s="37"/>
      <c r="K334" s="37"/>
      <c r="L334" s="37"/>
      <c r="M334" s="38" t="e">
        <f>+[1]FORM!G424</f>
        <v>#N/A</v>
      </c>
      <c r="N334" s="39" t="e">
        <f>+[1]FORM!H424</f>
        <v>#N/A</v>
      </c>
    </row>
    <row r="335" spans="2:14">
      <c r="B335" s="30"/>
      <c r="C335" s="30"/>
      <c r="D335" s="36"/>
      <c r="E335" s="36"/>
      <c r="F335" s="36"/>
      <c r="G335" s="37"/>
      <c r="H335" s="37"/>
      <c r="I335" s="37"/>
      <c r="J335" s="37"/>
      <c r="K335" s="37"/>
      <c r="L335" s="37"/>
      <c r="M335" s="38" t="e">
        <f>+[1]FORM!G425</f>
        <v>#N/A</v>
      </c>
      <c r="N335" s="39" t="e">
        <f>+[1]FORM!H425</f>
        <v>#N/A</v>
      </c>
    </row>
    <row r="336" spans="2:14">
      <c r="B336" s="30"/>
      <c r="C336" s="30"/>
      <c r="D336" s="36"/>
      <c r="E336" s="36"/>
      <c r="F336" s="36"/>
      <c r="G336" s="37"/>
      <c r="H336" s="37"/>
      <c r="I336" s="37"/>
      <c r="J336" s="37"/>
      <c r="K336" s="37"/>
      <c r="L336" s="37"/>
      <c r="M336" s="38" t="e">
        <f>+[1]FORM!G426</f>
        <v>#N/A</v>
      </c>
      <c r="N336" s="39" t="e">
        <f>+[1]FORM!H426</f>
        <v>#N/A</v>
      </c>
    </row>
    <row r="337" spans="2:14">
      <c r="B337" s="30"/>
      <c r="C337" s="30"/>
      <c r="D337" s="36"/>
      <c r="E337" s="36"/>
      <c r="F337" s="36"/>
      <c r="G337" s="37"/>
      <c r="H337" s="37"/>
      <c r="I337" s="37"/>
      <c r="J337" s="37"/>
      <c r="K337" s="37"/>
      <c r="L337" s="37"/>
      <c r="M337" s="38" t="e">
        <f>+[1]FORM!G427</f>
        <v>#N/A</v>
      </c>
      <c r="N337" s="39" t="e">
        <f>+[1]FORM!H427</f>
        <v>#N/A</v>
      </c>
    </row>
    <row r="338" spans="2:14">
      <c r="B338" s="30"/>
      <c r="C338" s="30"/>
      <c r="D338" s="36"/>
      <c r="E338" s="36"/>
      <c r="F338" s="36"/>
      <c r="G338" s="37"/>
      <c r="H338" s="37"/>
      <c r="I338" s="37"/>
      <c r="J338" s="37"/>
      <c r="K338" s="37"/>
      <c r="L338" s="37"/>
      <c r="M338" s="38" t="e">
        <f>+[1]FORM!G428</f>
        <v>#N/A</v>
      </c>
      <c r="N338" s="39" t="e">
        <f>+[1]FORM!H428</f>
        <v>#N/A</v>
      </c>
    </row>
    <row r="339" spans="2:14">
      <c r="B339" s="30"/>
      <c r="C339" s="30"/>
      <c r="D339" s="36"/>
      <c r="E339" s="36"/>
      <c r="F339" s="36"/>
      <c r="G339" s="37"/>
      <c r="H339" s="37"/>
      <c r="I339" s="37"/>
      <c r="J339" s="37"/>
      <c r="K339" s="37"/>
      <c r="L339" s="37"/>
      <c r="M339" s="38" t="e">
        <f>+[1]FORM!G429</f>
        <v>#N/A</v>
      </c>
      <c r="N339" s="39" t="e">
        <f>+[1]FORM!H429</f>
        <v>#N/A</v>
      </c>
    </row>
    <row r="340" spans="2:14">
      <c r="B340" s="30"/>
      <c r="C340" s="30"/>
      <c r="D340" s="36"/>
      <c r="E340" s="36"/>
      <c r="F340" s="36"/>
      <c r="G340" s="37"/>
      <c r="H340" s="37"/>
      <c r="I340" s="37"/>
      <c r="J340" s="37"/>
      <c r="K340" s="37"/>
      <c r="L340" s="37"/>
      <c r="M340" s="38" t="e">
        <f>+[1]FORM!G430</f>
        <v>#N/A</v>
      </c>
      <c r="N340" s="39" t="e">
        <f>+[1]FORM!H430</f>
        <v>#N/A</v>
      </c>
    </row>
    <row r="341" spans="2:14">
      <c r="B341" s="30"/>
      <c r="C341" s="30"/>
      <c r="D341" s="36"/>
      <c r="E341" s="36"/>
      <c r="F341" s="36"/>
      <c r="G341" s="37"/>
      <c r="H341" s="37"/>
      <c r="I341" s="37"/>
      <c r="J341" s="37"/>
      <c r="K341" s="37"/>
      <c r="L341" s="37"/>
      <c r="M341" s="38" t="e">
        <f>+[1]FORM!G431</f>
        <v>#N/A</v>
      </c>
      <c r="N341" s="39" t="e">
        <f>+[1]FORM!H431</f>
        <v>#N/A</v>
      </c>
    </row>
    <row r="342" spans="2:14">
      <c r="B342" s="30"/>
      <c r="C342" s="30"/>
      <c r="D342" s="36"/>
      <c r="E342" s="36"/>
      <c r="F342" s="36"/>
      <c r="G342" s="37"/>
      <c r="H342" s="37"/>
      <c r="I342" s="37"/>
      <c r="J342" s="37"/>
      <c r="K342" s="37"/>
      <c r="L342" s="37"/>
      <c r="M342" s="38" t="e">
        <f>+[1]FORM!G432</f>
        <v>#N/A</v>
      </c>
      <c r="N342" s="39" t="e">
        <f>+[1]FORM!H432</f>
        <v>#N/A</v>
      </c>
    </row>
    <row r="343" spans="2:14">
      <c r="B343" s="30"/>
      <c r="C343" s="30"/>
      <c r="D343" s="36"/>
      <c r="E343" s="36"/>
      <c r="F343" s="36"/>
      <c r="G343" s="37"/>
      <c r="H343" s="37"/>
      <c r="I343" s="37"/>
      <c r="J343" s="37"/>
      <c r="K343" s="37"/>
      <c r="L343" s="37"/>
      <c r="M343" s="38" t="e">
        <f>+[1]FORM!G433</f>
        <v>#N/A</v>
      </c>
      <c r="N343" s="39" t="e">
        <f>+[1]FORM!H433</f>
        <v>#N/A</v>
      </c>
    </row>
    <row r="344" spans="2:14">
      <c r="B344" s="30"/>
      <c r="C344" s="30"/>
      <c r="D344" s="36"/>
      <c r="E344" s="36"/>
      <c r="F344" s="36"/>
      <c r="G344" s="37"/>
      <c r="H344" s="37"/>
      <c r="I344" s="37"/>
      <c r="J344" s="37"/>
      <c r="K344" s="37"/>
      <c r="L344" s="37"/>
      <c r="M344" s="38" t="e">
        <f>+[1]FORM!G434</f>
        <v>#N/A</v>
      </c>
      <c r="N344" s="39" t="e">
        <f>+[1]FORM!H434</f>
        <v>#N/A</v>
      </c>
    </row>
    <row r="345" spans="2:14">
      <c r="B345" s="30"/>
      <c r="C345" s="30"/>
      <c r="D345" s="36"/>
      <c r="E345" s="36"/>
      <c r="F345" s="36"/>
      <c r="G345" s="37"/>
      <c r="H345" s="37"/>
      <c r="I345" s="37"/>
      <c r="J345" s="37"/>
      <c r="K345" s="37"/>
      <c r="L345" s="37"/>
      <c r="M345" s="38" t="e">
        <f>+[1]FORM!G435</f>
        <v>#N/A</v>
      </c>
      <c r="N345" s="39" t="e">
        <f>+[1]FORM!H435</f>
        <v>#N/A</v>
      </c>
    </row>
    <row r="346" spans="2:14">
      <c r="B346" s="30"/>
      <c r="C346" s="30"/>
      <c r="D346" s="36"/>
      <c r="E346" s="36"/>
      <c r="F346" s="36"/>
      <c r="G346" s="37"/>
      <c r="H346" s="37"/>
      <c r="I346" s="37"/>
      <c r="J346" s="37"/>
      <c r="K346" s="37"/>
      <c r="L346" s="37"/>
      <c r="M346" s="38" t="e">
        <f>+[1]FORM!G436</f>
        <v>#N/A</v>
      </c>
      <c r="N346" s="39" t="e">
        <f>+[1]FORM!H436</f>
        <v>#N/A</v>
      </c>
    </row>
    <row r="347" spans="2:14">
      <c r="B347" s="30"/>
      <c r="C347" s="30"/>
      <c r="D347" s="36"/>
      <c r="E347" s="36"/>
      <c r="F347" s="36"/>
      <c r="G347" s="37"/>
      <c r="H347" s="37"/>
      <c r="I347" s="37"/>
      <c r="J347" s="37"/>
      <c r="K347" s="37"/>
      <c r="L347" s="37"/>
      <c r="M347" s="38" t="e">
        <f>+[1]FORM!G437</f>
        <v>#N/A</v>
      </c>
      <c r="N347" s="39" t="e">
        <f>+[1]FORM!H437</f>
        <v>#N/A</v>
      </c>
    </row>
    <row r="348" spans="2:14">
      <c r="B348" s="30"/>
      <c r="C348" s="30"/>
      <c r="D348" s="36"/>
      <c r="E348" s="36"/>
      <c r="F348" s="36"/>
      <c r="G348" s="37"/>
      <c r="H348" s="37"/>
      <c r="I348" s="37"/>
      <c r="J348" s="37"/>
      <c r="K348" s="37"/>
      <c r="L348" s="37"/>
      <c r="M348" s="38" t="e">
        <f>+[1]FORM!G438</f>
        <v>#N/A</v>
      </c>
      <c r="N348" s="39" t="e">
        <f>+[1]FORM!H438</f>
        <v>#N/A</v>
      </c>
    </row>
    <row r="349" spans="2:14">
      <c r="B349" s="30"/>
      <c r="C349" s="30"/>
      <c r="D349" s="36"/>
      <c r="E349" s="36"/>
      <c r="F349" s="36"/>
      <c r="G349" s="37"/>
      <c r="H349" s="37"/>
      <c r="I349" s="37"/>
      <c r="J349" s="37"/>
      <c r="K349" s="37"/>
      <c r="L349" s="37"/>
      <c r="M349" s="38" t="e">
        <f>+[1]FORM!G439</f>
        <v>#N/A</v>
      </c>
      <c r="N349" s="39" t="e">
        <f>+[1]FORM!H439</f>
        <v>#N/A</v>
      </c>
    </row>
    <row r="350" spans="2:14">
      <c r="B350" s="30"/>
      <c r="C350" s="30"/>
      <c r="D350" s="36"/>
      <c r="E350" s="36"/>
      <c r="F350" s="36"/>
      <c r="G350" s="37"/>
      <c r="H350" s="37"/>
      <c r="I350" s="37"/>
      <c r="J350" s="37"/>
      <c r="K350" s="37"/>
      <c r="L350" s="37"/>
      <c r="M350" s="38" t="e">
        <f>+[1]FORM!G440</f>
        <v>#N/A</v>
      </c>
      <c r="N350" s="39" t="e">
        <f>+[1]FORM!H440</f>
        <v>#N/A</v>
      </c>
    </row>
    <row r="351" spans="2:14">
      <c r="B351" s="30"/>
      <c r="C351" s="30"/>
      <c r="D351" s="36"/>
      <c r="E351" s="36"/>
      <c r="F351" s="36"/>
      <c r="G351" s="37"/>
      <c r="H351" s="37"/>
      <c r="I351" s="37"/>
      <c r="J351" s="37"/>
      <c r="K351" s="37"/>
      <c r="L351" s="37"/>
      <c r="M351" s="38" t="e">
        <f>+[1]FORM!G441</f>
        <v>#N/A</v>
      </c>
      <c r="N351" s="39" t="e">
        <f>+[1]FORM!H441</f>
        <v>#N/A</v>
      </c>
    </row>
    <row r="352" spans="2:14">
      <c r="B352" s="30"/>
      <c r="C352" s="30"/>
      <c r="D352" s="36"/>
      <c r="E352" s="36"/>
      <c r="F352" s="36"/>
      <c r="G352" s="37"/>
      <c r="H352" s="37"/>
      <c r="I352" s="37"/>
      <c r="J352" s="37"/>
      <c r="K352" s="37"/>
      <c r="L352" s="37"/>
      <c r="M352" s="38" t="e">
        <f>+[1]FORM!G442</f>
        <v>#N/A</v>
      </c>
      <c r="N352" s="39" t="e">
        <f>+[1]FORM!H442</f>
        <v>#N/A</v>
      </c>
    </row>
    <row r="353" spans="2:14">
      <c r="B353" s="30"/>
      <c r="C353" s="30"/>
      <c r="D353" s="36"/>
      <c r="E353" s="36"/>
      <c r="F353" s="36"/>
      <c r="G353" s="37"/>
      <c r="H353" s="37"/>
      <c r="I353" s="37"/>
      <c r="J353" s="37"/>
      <c r="K353" s="37"/>
      <c r="L353" s="37"/>
      <c r="M353" s="38" t="e">
        <f>+[1]FORM!G443</f>
        <v>#N/A</v>
      </c>
      <c r="N353" s="39" t="e">
        <f>+[1]FORM!H443</f>
        <v>#N/A</v>
      </c>
    </row>
    <row r="354" spans="2:14">
      <c r="B354" s="30"/>
      <c r="C354" s="30"/>
      <c r="D354" s="36"/>
      <c r="E354" s="36"/>
      <c r="F354" s="36"/>
      <c r="G354" s="37"/>
      <c r="H354" s="37"/>
      <c r="I354" s="37"/>
      <c r="J354" s="37"/>
      <c r="K354" s="37"/>
      <c r="L354" s="37"/>
      <c r="M354" s="38" t="e">
        <f>+[1]FORM!G444</f>
        <v>#N/A</v>
      </c>
      <c r="N354" s="39" t="e">
        <f>+[1]FORM!H444</f>
        <v>#N/A</v>
      </c>
    </row>
    <row r="355" spans="2:14">
      <c r="B355" s="30"/>
      <c r="C355" s="30"/>
      <c r="D355" s="36"/>
      <c r="E355" s="36"/>
      <c r="F355" s="36"/>
      <c r="G355" s="37"/>
      <c r="H355" s="37"/>
      <c r="I355" s="37"/>
      <c r="J355" s="37"/>
      <c r="K355" s="37"/>
      <c r="L355" s="37"/>
      <c r="M355" s="38" t="e">
        <f>+[1]FORM!G445</f>
        <v>#N/A</v>
      </c>
      <c r="N355" s="39" t="e">
        <f>+[1]FORM!H445</f>
        <v>#N/A</v>
      </c>
    </row>
    <row r="356" spans="2:14">
      <c r="B356" s="30"/>
      <c r="C356" s="30"/>
      <c r="D356" s="36"/>
      <c r="E356" s="36"/>
      <c r="F356" s="36"/>
      <c r="G356" s="37"/>
      <c r="H356" s="37"/>
      <c r="I356" s="37"/>
      <c r="J356" s="37"/>
      <c r="K356" s="37"/>
      <c r="L356" s="37"/>
      <c r="M356" s="38" t="e">
        <f>+[1]FORM!G446</f>
        <v>#N/A</v>
      </c>
      <c r="N356" s="39" t="e">
        <f>+[1]FORM!H446</f>
        <v>#N/A</v>
      </c>
    </row>
    <row r="357" spans="2:14">
      <c r="B357" s="30"/>
      <c r="C357" s="30"/>
      <c r="D357" s="36"/>
      <c r="E357" s="36"/>
      <c r="F357" s="36"/>
      <c r="G357" s="37"/>
      <c r="H357" s="37"/>
      <c r="I357" s="37"/>
      <c r="J357" s="37"/>
      <c r="K357" s="37"/>
      <c r="L357" s="37"/>
      <c r="M357" s="38" t="e">
        <f>+[1]FORM!G447</f>
        <v>#N/A</v>
      </c>
      <c r="N357" s="39" t="e">
        <f>+[1]FORM!H447</f>
        <v>#N/A</v>
      </c>
    </row>
    <row r="358" spans="2:14">
      <c r="B358" s="30"/>
      <c r="C358" s="30"/>
      <c r="D358" s="36"/>
      <c r="E358" s="36"/>
      <c r="F358" s="36"/>
      <c r="G358" s="37"/>
      <c r="H358" s="37"/>
      <c r="I358" s="37"/>
      <c r="J358" s="37"/>
      <c r="K358" s="37"/>
      <c r="L358" s="37"/>
      <c r="M358" s="38" t="e">
        <f>+[1]FORM!G448</f>
        <v>#N/A</v>
      </c>
      <c r="N358" s="39" t="e">
        <f>+[1]FORM!H448</f>
        <v>#N/A</v>
      </c>
    </row>
    <row r="359" spans="2:14">
      <c r="B359" s="30"/>
      <c r="C359" s="30"/>
      <c r="D359" s="36"/>
      <c r="E359" s="36"/>
      <c r="F359" s="36"/>
      <c r="G359" s="37"/>
      <c r="H359" s="37"/>
      <c r="I359" s="37"/>
      <c r="J359" s="37"/>
      <c r="K359" s="37"/>
      <c r="L359" s="37"/>
      <c r="M359" s="38" t="e">
        <f>+[1]FORM!G449</f>
        <v>#N/A</v>
      </c>
      <c r="N359" s="39" t="e">
        <f>+[1]FORM!H449</f>
        <v>#N/A</v>
      </c>
    </row>
    <row r="360" spans="2:14">
      <c r="B360" s="30"/>
      <c r="C360" s="30"/>
      <c r="D360" s="36"/>
      <c r="E360" s="36"/>
      <c r="F360" s="36"/>
      <c r="G360" s="37"/>
      <c r="H360" s="37"/>
      <c r="I360" s="37"/>
      <c r="J360" s="37"/>
      <c r="K360" s="37"/>
      <c r="L360" s="37"/>
      <c r="M360" s="38" t="e">
        <f>+[1]FORM!G450</f>
        <v>#N/A</v>
      </c>
      <c r="N360" s="39" t="e">
        <f>+[1]FORM!H450</f>
        <v>#N/A</v>
      </c>
    </row>
    <row r="361" spans="2:14">
      <c r="B361" s="30"/>
      <c r="C361" s="30"/>
      <c r="D361" s="36"/>
      <c r="E361" s="36"/>
      <c r="F361" s="36"/>
      <c r="G361" s="37"/>
      <c r="H361" s="37"/>
      <c r="I361" s="37"/>
      <c r="J361" s="37"/>
      <c r="K361" s="37"/>
      <c r="L361" s="37"/>
      <c r="M361" s="38" t="e">
        <f>+[1]FORM!G451</f>
        <v>#N/A</v>
      </c>
      <c r="N361" s="39" t="e">
        <f>+[1]FORM!H451</f>
        <v>#N/A</v>
      </c>
    </row>
    <row r="362" spans="2:14">
      <c r="B362" s="30"/>
      <c r="C362" s="30"/>
      <c r="D362" s="36"/>
      <c r="E362" s="36"/>
      <c r="F362" s="36"/>
      <c r="G362" s="37"/>
      <c r="H362" s="37"/>
      <c r="I362" s="37"/>
      <c r="J362" s="37"/>
      <c r="K362" s="37"/>
      <c r="L362" s="37"/>
      <c r="M362" s="38" t="e">
        <f>+[1]FORM!G452</f>
        <v>#N/A</v>
      </c>
      <c r="N362" s="39" t="e">
        <f>+[1]FORM!H452</f>
        <v>#N/A</v>
      </c>
    </row>
    <row r="363" spans="2:14">
      <c r="B363" s="30"/>
      <c r="C363" s="30"/>
      <c r="D363" s="36"/>
      <c r="E363" s="36"/>
      <c r="F363" s="36"/>
      <c r="G363" s="37"/>
      <c r="H363" s="37"/>
      <c r="I363" s="37"/>
      <c r="J363" s="37"/>
      <c r="K363" s="37"/>
      <c r="L363" s="37"/>
      <c r="M363" s="38" t="e">
        <f>+[1]FORM!G453</f>
        <v>#N/A</v>
      </c>
      <c r="N363" s="39" t="e">
        <f>+[1]FORM!H453</f>
        <v>#N/A</v>
      </c>
    </row>
    <row r="364" spans="2:14">
      <c r="B364" s="30"/>
      <c r="C364" s="30"/>
      <c r="D364" s="36"/>
      <c r="E364" s="36"/>
      <c r="F364" s="36"/>
      <c r="G364" s="37"/>
      <c r="H364" s="37"/>
      <c r="I364" s="37"/>
      <c r="J364" s="37"/>
      <c r="K364" s="37"/>
      <c r="L364" s="37"/>
      <c r="M364" s="38" t="e">
        <f>+[1]FORM!G454</f>
        <v>#N/A</v>
      </c>
      <c r="N364" s="39" t="e">
        <f>+[1]FORM!H454</f>
        <v>#N/A</v>
      </c>
    </row>
    <row r="365" spans="2:14">
      <c r="B365" s="30"/>
      <c r="C365" s="30"/>
      <c r="D365" s="36"/>
      <c r="E365" s="36"/>
      <c r="F365" s="36"/>
      <c r="G365" s="37"/>
      <c r="H365" s="37"/>
      <c r="I365" s="37"/>
      <c r="J365" s="37"/>
      <c r="K365" s="37"/>
      <c r="L365" s="37"/>
      <c r="M365" s="38" t="e">
        <f>+[1]FORM!G455</f>
        <v>#N/A</v>
      </c>
      <c r="N365" s="39" t="e">
        <f>+[1]FORM!H455</f>
        <v>#N/A</v>
      </c>
    </row>
    <row r="366" spans="2:14">
      <c r="B366" s="30"/>
      <c r="C366" s="30"/>
      <c r="D366" s="36"/>
      <c r="E366" s="36"/>
      <c r="F366" s="36"/>
      <c r="G366" s="37"/>
      <c r="H366" s="37"/>
      <c r="I366" s="37"/>
      <c r="J366" s="37"/>
      <c r="K366" s="37"/>
      <c r="L366" s="37"/>
      <c r="M366" s="38" t="e">
        <f>+[1]FORM!G456</f>
        <v>#N/A</v>
      </c>
      <c r="N366" s="39" t="e">
        <f>+[1]FORM!H456</f>
        <v>#N/A</v>
      </c>
    </row>
    <row r="367" spans="2:14">
      <c r="B367" s="30"/>
      <c r="C367" s="30"/>
      <c r="D367" s="36"/>
      <c r="E367" s="36"/>
      <c r="F367" s="36"/>
      <c r="G367" s="37"/>
      <c r="H367" s="37"/>
      <c r="I367" s="37"/>
      <c r="J367" s="37"/>
      <c r="K367" s="37"/>
      <c r="L367" s="37"/>
      <c r="M367" s="38" t="e">
        <f>+[1]FORM!G457</f>
        <v>#N/A</v>
      </c>
      <c r="N367" s="39" t="e">
        <f>+[1]FORM!H457</f>
        <v>#N/A</v>
      </c>
    </row>
    <row r="368" spans="2:14">
      <c r="B368" s="30"/>
      <c r="C368" s="30"/>
      <c r="D368" s="36"/>
      <c r="E368" s="36"/>
      <c r="F368" s="36"/>
      <c r="G368" s="37"/>
      <c r="H368" s="37"/>
      <c r="I368" s="37"/>
      <c r="J368" s="37"/>
      <c r="K368" s="37"/>
      <c r="L368" s="37"/>
      <c r="M368" s="38" t="e">
        <f>+[1]FORM!G458</f>
        <v>#N/A</v>
      </c>
      <c r="N368" s="39" t="e">
        <f>+[1]FORM!H458</f>
        <v>#N/A</v>
      </c>
    </row>
    <row r="369" spans="2:14">
      <c r="B369" s="30"/>
      <c r="C369" s="30"/>
      <c r="D369" s="36"/>
      <c r="E369" s="36"/>
      <c r="F369" s="36"/>
      <c r="G369" s="37"/>
      <c r="H369" s="37"/>
      <c r="I369" s="37"/>
      <c r="J369" s="37"/>
      <c r="K369" s="37"/>
      <c r="L369" s="37"/>
      <c r="M369" s="38" t="e">
        <f>+[1]FORM!G459</f>
        <v>#N/A</v>
      </c>
      <c r="N369" s="39" t="e">
        <f>+[1]FORM!H459</f>
        <v>#N/A</v>
      </c>
    </row>
    <row r="370" spans="2:14">
      <c r="B370" s="30"/>
      <c r="C370" s="30"/>
      <c r="D370" s="36"/>
      <c r="E370" s="36"/>
      <c r="F370" s="36"/>
      <c r="G370" s="37"/>
      <c r="H370" s="37"/>
      <c r="I370" s="37"/>
      <c r="J370" s="37"/>
      <c r="K370" s="37"/>
      <c r="L370" s="37"/>
      <c r="M370" s="38" t="e">
        <f>+[1]FORM!G460</f>
        <v>#N/A</v>
      </c>
      <c r="N370" s="39" t="e">
        <f>+[1]FORM!H460</f>
        <v>#N/A</v>
      </c>
    </row>
    <row r="371" spans="2:14">
      <c r="B371" s="30"/>
      <c r="C371" s="30"/>
      <c r="D371" s="36"/>
      <c r="E371" s="36"/>
      <c r="F371" s="36"/>
      <c r="G371" s="37"/>
      <c r="H371" s="37"/>
      <c r="I371" s="37"/>
      <c r="J371" s="37"/>
      <c r="K371" s="37"/>
      <c r="L371" s="37"/>
      <c r="M371" s="38" t="e">
        <f>+[1]FORM!G461</f>
        <v>#N/A</v>
      </c>
      <c r="N371" s="39" t="e">
        <f>+[1]FORM!H461</f>
        <v>#N/A</v>
      </c>
    </row>
    <row r="372" spans="2:14">
      <c r="B372" s="30"/>
      <c r="C372" s="30"/>
      <c r="D372" s="36"/>
      <c r="E372" s="36"/>
      <c r="F372" s="36"/>
      <c r="G372" s="37"/>
      <c r="H372" s="37"/>
      <c r="I372" s="37"/>
      <c r="J372" s="37"/>
      <c r="K372" s="37"/>
      <c r="L372" s="37"/>
      <c r="M372" s="38" t="e">
        <f>+[1]FORM!G462</f>
        <v>#N/A</v>
      </c>
      <c r="N372" s="39" t="e">
        <f>+[1]FORM!H462</f>
        <v>#N/A</v>
      </c>
    </row>
    <row r="373" spans="2:14">
      <c r="B373" s="30"/>
      <c r="C373" s="30"/>
      <c r="D373" s="36"/>
      <c r="E373" s="36"/>
      <c r="F373" s="36"/>
      <c r="G373" s="37"/>
      <c r="H373" s="37"/>
      <c r="I373" s="37"/>
      <c r="J373" s="37"/>
      <c r="K373" s="37"/>
      <c r="L373" s="37"/>
      <c r="M373" s="38" t="e">
        <f>+[1]FORM!G463</f>
        <v>#N/A</v>
      </c>
      <c r="N373" s="39" t="e">
        <f>+[1]FORM!H463</f>
        <v>#N/A</v>
      </c>
    </row>
    <row r="374" spans="2:14">
      <c r="B374" s="30"/>
      <c r="C374" s="30"/>
      <c r="D374" s="36"/>
      <c r="E374" s="36"/>
      <c r="F374" s="36"/>
      <c r="G374" s="37"/>
      <c r="H374" s="37"/>
      <c r="I374" s="37"/>
      <c r="J374" s="37"/>
      <c r="K374" s="37"/>
      <c r="L374" s="37"/>
      <c r="M374" s="38" t="e">
        <f>+[1]FORM!G464</f>
        <v>#N/A</v>
      </c>
      <c r="N374" s="39" t="e">
        <f>+[1]FORM!H464</f>
        <v>#N/A</v>
      </c>
    </row>
    <row r="375" spans="2:14">
      <c r="B375" s="30"/>
      <c r="C375" s="30"/>
      <c r="D375" s="36"/>
      <c r="E375" s="36"/>
      <c r="F375" s="36"/>
      <c r="G375" s="37"/>
      <c r="H375" s="37"/>
      <c r="I375" s="37"/>
      <c r="J375" s="37"/>
      <c r="K375" s="37"/>
      <c r="L375" s="37"/>
      <c r="M375" s="38" t="e">
        <f>+[1]FORM!G465</f>
        <v>#N/A</v>
      </c>
      <c r="N375" s="39" t="e">
        <f>+[1]FORM!H465</f>
        <v>#N/A</v>
      </c>
    </row>
    <row r="376" spans="2:14">
      <c r="B376" s="30"/>
      <c r="C376" s="30"/>
      <c r="D376" s="36"/>
      <c r="E376" s="36"/>
      <c r="F376" s="36"/>
      <c r="G376" s="37"/>
      <c r="H376" s="37"/>
      <c r="I376" s="37"/>
      <c r="J376" s="37"/>
      <c r="K376" s="37"/>
      <c r="L376" s="37"/>
      <c r="M376" s="38" t="e">
        <f>+[1]FORM!G466</f>
        <v>#N/A</v>
      </c>
      <c r="N376" s="39" t="e">
        <f>+[1]FORM!H466</f>
        <v>#N/A</v>
      </c>
    </row>
    <row r="377" spans="2:14">
      <c r="B377" s="30"/>
      <c r="C377" s="30"/>
      <c r="D377" s="36"/>
      <c r="E377" s="36"/>
      <c r="F377" s="36"/>
      <c r="G377" s="37"/>
      <c r="H377" s="37"/>
      <c r="I377" s="37"/>
      <c r="J377" s="37"/>
      <c r="K377" s="37"/>
      <c r="L377" s="37"/>
      <c r="M377" s="38" t="e">
        <f>+[1]FORM!G467</f>
        <v>#N/A</v>
      </c>
      <c r="N377" s="39" t="e">
        <f>+[1]FORM!H467</f>
        <v>#N/A</v>
      </c>
    </row>
    <row r="378" spans="2:14">
      <c r="B378" s="30"/>
      <c r="C378" s="30"/>
      <c r="D378" s="36"/>
      <c r="E378" s="36"/>
      <c r="F378" s="36"/>
      <c r="G378" s="37"/>
      <c r="H378" s="37"/>
      <c r="I378" s="37"/>
      <c r="J378" s="37"/>
      <c r="K378" s="37"/>
      <c r="L378" s="37"/>
      <c r="M378" s="38" t="e">
        <f>+[1]FORM!G468</f>
        <v>#N/A</v>
      </c>
      <c r="N378" s="39" t="e">
        <f>+[1]FORM!H468</f>
        <v>#N/A</v>
      </c>
    </row>
    <row r="379" spans="2:14">
      <c r="B379" s="30"/>
      <c r="C379" s="30"/>
      <c r="D379" s="36"/>
      <c r="E379" s="36"/>
      <c r="F379" s="36"/>
      <c r="G379" s="37"/>
      <c r="H379" s="37"/>
      <c r="I379" s="37"/>
      <c r="J379" s="37"/>
      <c r="K379" s="37"/>
      <c r="L379" s="37"/>
      <c r="M379" s="38" t="e">
        <f>+[1]FORM!G469</f>
        <v>#N/A</v>
      </c>
      <c r="N379" s="39" t="e">
        <f>+[1]FORM!H469</f>
        <v>#N/A</v>
      </c>
    </row>
    <row r="380" spans="2:14">
      <c r="B380" s="30"/>
      <c r="C380" s="30"/>
      <c r="D380" s="36"/>
      <c r="E380" s="36"/>
      <c r="F380" s="36"/>
      <c r="G380" s="37"/>
      <c r="H380" s="37"/>
      <c r="I380" s="37"/>
      <c r="J380" s="37"/>
      <c r="K380" s="37"/>
      <c r="L380" s="37"/>
      <c r="M380" s="38" t="e">
        <f>+[1]FORM!G470</f>
        <v>#N/A</v>
      </c>
      <c r="N380" s="39" t="e">
        <f>+[1]FORM!H470</f>
        <v>#N/A</v>
      </c>
    </row>
    <row r="381" spans="2:14">
      <c r="B381" s="30"/>
      <c r="C381" s="30"/>
      <c r="D381" s="36"/>
      <c r="E381" s="36"/>
      <c r="F381" s="36"/>
      <c r="G381" s="37"/>
      <c r="H381" s="37"/>
      <c r="I381" s="37"/>
      <c r="J381" s="37"/>
      <c r="K381" s="37"/>
      <c r="L381" s="37"/>
      <c r="M381" s="38" t="e">
        <f>+[1]FORM!G471</f>
        <v>#N/A</v>
      </c>
      <c r="N381" s="39" t="e">
        <f>+[1]FORM!H471</f>
        <v>#N/A</v>
      </c>
    </row>
    <row r="382" spans="2:14">
      <c r="B382" s="30"/>
      <c r="C382" s="30"/>
      <c r="D382" s="36"/>
      <c r="E382" s="36"/>
      <c r="F382" s="36"/>
      <c r="G382" s="37"/>
      <c r="H382" s="37"/>
      <c r="I382" s="37"/>
      <c r="J382" s="37"/>
      <c r="K382" s="37"/>
      <c r="L382" s="37"/>
      <c r="M382" s="38" t="e">
        <f>+[1]FORM!G472</f>
        <v>#N/A</v>
      </c>
      <c r="N382" s="39" t="e">
        <f>+[1]FORM!H472</f>
        <v>#N/A</v>
      </c>
    </row>
    <row r="383" spans="2:14">
      <c r="B383" s="30"/>
      <c r="C383" s="30"/>
      <c r="D383" s="36"/>
      <c r="E383" s="36"/>
      <c r="F383" s="36"/>
      <c r="G383" s="37"/>
      <c r="H383" s="37"/>
      <c r="I383" s="37"/>
      <c r="J383" s="37"/>
      <c r="K383" s="37"/>
      <c r="L383" s="37"/>
      <c r="M383" s="38" t="e">
        <f>+[1]FORM!G473</f>
        <v>#N/A</v>
      </c>
      <c r="N383" s="39" t="e">
        <f>+[1]FORM!H473</f>
        <v>#N/A</v>
      </c>
    </row>
    <row r="384" spans="2:14">
      <c r="B384" s="30"/>
      <c r="C384" s="30"/>
      <c r="D384" s="36"/>
      <c r="E384" s="36"/>
      <c r="F384" s="36"/>
      <c r="G384" s="37"/>
      <c r="H384" s="37"/>
      <c r="I384" s="37"/>
      <c r="J384" s="37"/>
      <c r="K384" s="37"/>
      <c r="L384" s="37"/>
      <c r="M384" s="38" t="e">
        <f>+[1]FORM!G474</f>
        <v>#N/A</v>
      </c>
      <c r="N384" s="39" t="e">
        <f>+[1]FORM!H474</f>
        <v>#N/A</v>
      </c>
    </row>
    <row r="385" spans="2:14">
      <c r="B385" s="30"/>
      <c r="C385" s="30"/>
      <c r="D385" s="36"/>
      <c r="E385" s="36"/>
      <c r="F385" s="36"/>
      <c r="G385" s="37"/>
      <c r="H385" s="37"/>
      <c r="I385" s="37"/>
      <c r="J385" s="37"/>
      <c r="K385" s="37"/>
      <c r="L385" s="37"/>
      <c r="M385" s="38" t="e">
        <f>+[1]FORM!G475</f>
        <v>#N/A</v>
      </c>
      <c r="N385" s="39" t="e">
        <f>+[1]FORM!H475</f>
        <v>#N/A</v>
      </c>
    </row>
    <row r="386" spans="2:14">
      <c r="B386" s="30"/>
      <c r="C386" s="30"/>
      <c r="D386" s="36"/>
      <c r="E386" s="36"/>
      <c r="F386" s="36"/>
      <c r="G386" s="37"/>
      <c r="H386" s="37"/>
      <c r="I386" s="37"/>
      <c r="J386" s="37"/>
      <c r="K386" s="37"/>
      <c r="L386" s="37"/>
      <c r="M386" s="38" t="e">
        <f>+[1]FORM!G476</f>
        <v>#N/A</v>
      </c>
      <c r="N386" s="39" t="e">
        <f>+[1]FORM!H476</f>
        <v>#N/A</v>
      </c>
    </row>
    <row r="387" spans="2:14">
      <c r="B387" s="30"/>
      <c r="C387" s="30"/>
      <c r="D387" s="36"/>
      <c r="E387" s="36"/>
      <c r="F387" s="36"/>
      <c r="G387" s="37"/>
      <c r="H387" s="37"/>
      <c r="I387" s="37"/>
      <c r="J387" s="37"/>
      <c r="K387" s="37"/>
      <c r="L387" s="37"/>
      <c r="M387" s="38" t="e">
        <f>+[1]FORM!G477</f>
        <v>#N/A</v>
      </c>
      <c r="N387" s="39" t="e">
        <f>+[1]FORM!H477</f>
        <v>#N/A</v>
      </c>
    </row>
    <row r="388" spans="2:14">
      <c r="B388" s="30"/>
      <c r="C388" s="30"/>
      <c r="D388" s="36"/>
      <c r="E388" s="36"/>
      <c r="F388" s="36"/>
      <c r="G388" s="37"/>
      <c r="H388" s="37"/>
      <c r="I388" s="37"/>
      <c r="J388" s="37"/>
      <c r="K388" s="37"/>
      <c r="L388" s="37"/>
      <c r="M388" s="38" t="e">
        <f>+[1]FORM!G478</f>
        <v>#N/A</v>
      </c>
      <c r="N388" s="39" t="e">
        <f>+[1]FORM!H478</f>
        <v>#N/A</v>
      </c>
    </row>
    <row r="389" spans="2:14">
      <c r="B389" s="30"/>
      <c r="C389" s="30"/>
      <c r="D389" s="36"/>
      <c r="E389" s="36"/>
      <c r="F389" s="36"/>
      <c r="G389" s="37"/>
      <c r="H389" s="37"/>
      <c r="I389" s="37"/>
      <c r="J389" s="37"/>
      <c r="K389" s="37"/>
      <c r="L389" s="37"/>
      <c r="M389" s="38" t="e">
        <f>+[1]FORM!G479</f>
        <v>#N/A</v>
      </c>
      <c r="N389" s="39" t="e">
        <f>+[1]FORM!H479</f>
        <v>#N/A</v>
      </c>
    </row>
    <row r="390" spans="2:14">
      <c r="B390" s="30"/>
      <c r="C390" s="30"/>
      <c r="D390" s="36"/>
      <c r="E390" s="36"/>
      <c r="F390" s="36"/>
      <c r="G390" s="37"/>
      <c r="H390" s="37"/>
      <c r="I390" s="37"/>
      <c r="J390" s="37"/>
      <c r="K390" s="37"/>
      <c r="L390" s="37"/>
      <c r="M390" s="38" t="e">
        <f>+[1]FORM!G480</f>
        <v>#N/A</v>
      </c>
      <c r="N390" s="39" t="e">
        <f>+[1]FORM!H480</f>
        <v>#N/A</v>
      </c>
    </row>
    <row r="391" spans="2:14">
      <c r="B391" s="30"/>
      <c r="C391" s="30"/>
      <c r="D391" s="36"/>
      <c r="E391" s="36"/>
      <c r="F391" s="36"/>
      <c r="G391" s="37"/>
      <c r="H391" s="37"/>
      <c r="I391" s="37"/>
      <c r="J391" s="37"/>
      <c r="K391" s="37"/>
      <c r="L391" s="37"/>
      <c r="M391" s="38" t="e">
        <f>+[1]FORM!G481</f>
        <v>#N/A</v>
      </c>
      <c r="N391" s="39" t="e">
        <f>+[1]FORM!H481</f>
        <v>#N/A</v>
      </c>
    </row>
    <row r="392" spans="2:14">
      <c r="B392" s="30"/>
      <c r="C392" s="30"/>
      <c r="D392" s="36"/>
      <c r="E392" s="36"/>
      <c r="F392" s="36"/>
      <c r="G392" s="37"/>
      <c r="H392" s="37"/>
      <c r="I392" s="37"/>
      <c r="J392" s="37"/>
      <c r="K392" s="37"/>
      <c r="L392" s="37"/>
      <c r="M392" s="38" t="e">
        <f>+[1]FORM!G482</f>
        <v>#N/A</v>
      </c>
      <c r="N392" s="39" t="e">
        <f>+[1]FORM!H482</f>
        <v>#N/A</v>
      </c>
    </row>
    <row r="393" spans="2:14">
      <c r="B393" s="30"/>
      <c r="C393" s="30"/>
      <c r="D393" s="36"/>
      <c r="E393" s="36"/>
      <c r="F393" s="36"/>
      <c r="G393" s="37"/>
      <c r="H393" s="37"/>
      <c r="I393" s="37"/>
      <c r="J393" s="37"/>
      <c r="K393" s="37"/>
      <c r="L393" s="37"/>
      <c r="M393" s="38" t="e">
        <f>+[1]FORM!G483</f>
        <v>#N/A</v>
      </c>
      <c r="N393" s="39" t="e">
        <f>+[1]FORM!H483</f>
        <v>#N/A</v>
      </c>
    </row>
    <row r="394" spans="2:14">
      <c r="B394" s="30"/>
      <c r="C394" s="30"/>
      <c r="D394" s="36"/>
      <c r="E394" s="36"/>
      <c r="F394" s="36"/>
      <c r="G394" s="37"/>
      <c r="H394" s="37"/>
      <c r="I394" s="37"/>
      <c r="J394" s="37"/>
      <c r="K394" s="37"/>
      <c r="L394" s="37"/>
      <c r="M394" s="38" t="e">
        <f>+[1]FORM!G484</f>
        <v>#N/A</v>
      </c>
      <c r="N394" s="39" t="e">
        <f>+[1]FORM!H484</f>
        <v>#N/A</v>
      </c>
    </row>
    <row r="395" spans="2:14">
      <c r="B395" s="30"/>
      <c r="C395" s="30"/>
      <c r="D395" s="36"/>
      <c r="E395" s="36"/>
      <c r="F395" s="36"/>
      <c r="G395" s="37"/>
      <c r="H395" s="37"/>
      <c r="I395" s="37"/>
      <c r="J395" s="37"/>
      <c r="K395" s="37"/>
      <c r="L395" s="37"/>
      <c r="M395" s="38" t="e">
        <f>+[1]FORM!G485</f>
        <v>#N/A</v>
      </c>
      <c r="N395" s="39" t="e">
        <f>+[1]FORM!H485</f>
        <v>#N/A</v>
      </c>
    </row>
    <row r="396" spans="2:14">
      <c r="B396" s="30"/>
      <c r="C396" s="30"/>
      <c r="D396" s="36"/>
      <c r="E396" s="36"/>
      <c r="F396" s="36"/>
      <c r="G396" s="37"/>
      <c r="H396" s="37"/>
      <c r="I396" s="37"/>
      <c r="J396" s="37"/>
      <c r="K396" s="37"/>
      <c r="L396" s="37"/>
      <c r="M396" s="38" t="e">
        <f>+[1]FORM!G486</f>
        <v>#N/A</v>
      </c>
      <c r="N396" s="39" t="e">
        <f>+[1]FORM!H486</f>
        <v>#N/A</v>
      </c>
    </row>
    <row r="397" spans="2:14">
      <c r="B397" s="30"/>
      <c r="C397" s="30"/>
      <c r="D397" s="36"/>
      <c r="E397" s="36"/>
      <c r="F397" s="36"/>
      <c r="G397" s="37"/>
      <c r="H397" s="37"/>
      <c r="I397" s="37"/>
      <c r="J397" s="37"/>
      <c r="K397" s="37"/>
      <c r="L397" s="37"/>
      <c r="M397" s="38" t="e">
        <f>+[1]FORM!G487</f>
        <v>#N/A</v>
      </c>
      <c r="N397" s="39" t="e">
        <f>+[1]FORM!H487</f>
        <v>#N/A</v>
      </c>
    </row>
    <row r="398" spans="2:14">
      <c r="B398" s="30"/>
      <c r="C398" s="30"/>
      <c r="D398" s="36"/>
      <c r="E398" s="36"/>
      <c r="F398" s="36"/>
      <c r="G398" s="37"/>
      <c r="H398" s="37"/>
      <c r="I398" s="37"/>
      <c r="J398" s="37"/>
      <c r="K398" s="37"/>
      <c r="L398" s="37"/>
      <c r="M398" s="38" t="e">
        <f>+[1]FORM!G488</f>
        <v>#N/A</v>
      </c>
      <c r="N398" s="39" t="e">
        <f>+[1]FORM!H488</f>
        <v>#N/A</v>
      </c>
    </row>
    <row r="399" spans="2:14">
      <c r="B399" s="30"/>
      <c r="C399" s="30"/>
      <c r="D399" s="36"/>
      <c r="E399" s="36"/>
      <c r="F399" s="36"/>
      <c r="G399" s="37"/>
      <c r="H399" s="37"/>
      <c r="I399" s="37"/>
      <c r="J399" s="37"/>
      <c r="K399" s="37"/>
      <c r="L399" s="37"/>
      <c r="M399" s="38" t="e">
        <f>+[1]FORM!G489</f>
        <v>#N/A</v>
      </c>
      <c r="N399" s="39" t="e">
        <f>+[1]FORM!H489</f>
        <v>#N/A</v>
      </c>
    </row>
    <row r="400" spans="2:14">
      <c r="B400" s="30"/>
      <c r="C400" s="30"/>
      <c r="D400" s="36"/>
      <c r="E400" s="36"/>
      <c r="F400" s="36"/>
      <c r="G400" s="37"/>
      <c r="H400" s="37"/>
      <c r="I400" s="37"/>
      <c r="J400" s="37"/>
      <c r="K400" s="37"/>
      <c r="L400" s="37"/>
      <c r="M400" s="38" t="e">
        <f>+[1]FORM!G490</f>
        <v>#N/A</v>
      </c>
      <c r="N400" s="39" t="e">
        <f>+[1]FORM!H490</f>
        <v>#N/A</v>
      </c>
    </row>
    <row r="401" spans="2:14">
      <c r="B401" s="30"/>
      <c r="C401" s="30"/>
      <c r="D401" s="36"/>
      <c r="E401" s="36"/>
      <c r="F401" s="36"/>
      <c r="G401" s="37"/>
      <c r="H401" s="37"/>
      <c r="I401" s="37"/>
      <c r="J401" s="37"/>
      <c r="K401" s="37"/>
      <c r="L401" s="37"/>
      <c r="M401" s="38" t="e">
        <f>+[1]FORM!G491</f>
        <v>#N/A</v>
      </c>
      <c r="N401" s="39" t="e">
        <f>+[1]FORM!H491</f>
        <v>#N/A</v>
      </c>
    </row>
    <row r="402" spans="2:14">
      <c r="B402" s="30"/>
      <c r="C402" s="30"/>
      <c r="D402" s="36"/>
      <c r="E402" s="36"/>
      <c r="F402" s="36"/>
      <c r="G402" s="37"/>
      <c r="H402" s="37"/>
      <c r="I402" s="37"/>
      <c r="J402" s="37"/>
      <c r="K402" s="37"/>
      <c r="L402" s="37"/>
      <c r="M402" s="38" t="e">
        <f>+[1]FORM!G492</f>
        <v>#N/A</v>
      </c>
      <c r="N402" s="39" t="e">
        <f>+[1]FORM!H492</f>
        <v>#N/A</v>
      </c>
    </row>
    <row r="403" spans="2:14">
      <c r="B403" s="30"/>
      <c r="C403" s="30"/>
      <c r="D403" s="36"/>
      <c r="E403" s="36"/>
      <c r="F403" s="36"/>
      <c r="G403" s="37"/>
      <c r="H403" s="37"/>
      <c r="I403" s="37"/>
      <c r="J403" s="37"/>
      <c r="K403" s="37"/>
      <c r="L403" s="37"/>
      <c r="M403" s="38" t="e">
        <f>+[1]FORM!G493</f>
        <v>#N/A</v>
      </c>
      <c r="N403" s="39" t="e">
        <f>+[1]FORM!H493</f>
        <v>#N/A</v>
      </c>
    </row>
    <row r="404" spans="2:14">
      <c r="B404" s="30"/>
      <c r="C404" s="30"/>
      <c r="D404" s="36"/>
      <c r="E404" s="36"/>
      <c r="F404" s="36"/>
      <c r="G404" s="37"/>
      <c r="H404" s="37"/>
      <c r="I404" s="37"/>
      <c r="J404" s="37"/>
      <c r="K404" s="37"/>
      <c r="L404" s="37"/>
      <c r="M404" s="38" t="e">
        <f>+[1]FORM!G494</f>
        <v>#N/A</v>
      </c>
      <c r="N404" s="39" t="e">
        <f>+[1]FORM!H494</f>
        <v>#N/A</v>
      </c>
    </row>
    <row r="405" spans="2:14">
      <c r="B405" s="30"/>
      <c r="C405" s="30"/>
      <c r="D405" s="36"/>
      <c r="E405" s="36"/>
      <c r="F405" s="36"/>
      <c r="G405" s="37"/>
      <c r="H405" s="37"/>
      <c r="I405" s="37"/>
      <c r="J405" s="37"/>
      <c r="K405" s="37"/>
      <c r="L405" s="37"/>
      <c r="M405" s="38" t="e">
        <f>+[1]FORM!G495</f>
        <v>#N/A</v>
      </c>
      <c r="N405" s="39" t="e">
        <f>+[1]FORM!H495</f>
        <v>#N/A</v>
      </c>
    </row>
    <row r="406" spans="2:14">
      <c r="B406" s="30"/>
      <c r="C406" s="30"/>
      <c r="D406" s="36"/>
      <c r="E406" s="36"/>
      <c r="F406" s="36"/>
      <c r="G406" s="37"/>
      <c r="H406" s="37"/>
      <c r="I406" s="37"/>
      <c r="J406" s="37"/>
      <c r="K406" s="37"/>
      <c r="L406" s="37"/>
      <c r="M406" s="38" t="e">
        <f>+[1]FORM!G496</f>
        <v>#N/A</v>
      </c>
      <c r="N406" s="39" t="e">
        <f>+[1]FORM!H496</f>
        <v>#N/A</v>
      </c>
    </row>
    <row r="407" spans="2:14">
      <c r="B407" s="30"/>
      <c r="C407" s="30"/>
      <c r="D407" s="36"/>
      <c r="E407" s="36"/>
      <c r="F407" s="36"/>
      <c r="G407" s="37"/>
      <c r="H407" s="37"/>
      <c r="I407" s="37"/>
      <c r="J407" s="37"/>
      <c r="K407" s="37"/>
      <c r="L407" s="37"/>
      <c r="M407" s="38" t="e">
        <f>+[1]FORM!G497</f>
        <v>#N/A</v>
      </c>
      <c r="N407" s="39" t="e">
        <f>+[1]FORM!H497</f>
        <v>#N/A</v>
      </c>
    </row>
    <row r="408" spans="2:14">
      <c r="B408" s="30"/>
      <c r="C408" s="30"/>
      <c r="D408" s="36"/>
      <c r="E408" s="36"/>
      <c r="F408" s="36"/>
      <c r="G408" s="37"/>
      <c r="H408" s="37"/>
      <c r="I408" s="37"/>
      <c r="J408" s="37"/>
      <c r="K408" s="37"/>
      <c r="L408" s="37"/>
      <c r="M408" s="38" t="e">
        <f>+[1]FORM!G498</f>
        <v>#N/A</v>
      </c>
      <c r="N408" s="39" t="e">
        <f>+[1]FORM!H498</f>
        <v>#N/A</v>
      </c>
    </row>
    <row r="409" spans="2:14">
      <c r="B409" s="30"/>
      <c r="C409" s="30"/>
      <c r="D409" s="36"/>
      <c r="E409" s="36"/>
      <c r="F409" s="36"/>
      <c r="G409" s="37"/>
      <c r="H409" s="37"/>
      <c r="I409" s="37"/>
      <c r="J409" s="37"/>
      <c r="K409" s="37"/>
      <c r="L409" s="37"/>
      <c r="M409" s="38" t="e">
        <f>+[1]FORM!G499</f>
        <v>#N/A</v>
      </c>
      <c r="N409" s="39" t="e">
        <f>+[1]FORM!H499</f>
        <v>#N/A</v>
      </c>
    </row>
    <row r="410" spans="2:14">
      <c r="B410" s="30"/>
      <c r="C410" s="30"/>
      <c r="D410" s="36"/>
      <c r="E410" s="36"/>
      <c r="F410" s="36"/>
      <c r="G410" s="37"/>
      <c r="H410" s="37"/>
      <c r="I410" s="37"/>
      <c r="J410" s="37"/>
      <c r="K410" s="37"/>
      <c r="L410" s="37"/>
      <c r="M410" s="38" t="e">
        <f>+[1]FORM!G500</f>
        <v>#N/A</v>
      </c>
      <c r="N410" s="39" t="e">
        <f>+[1]FORM!H500</f>
        <v>#N/A</v>
      </c>
    </row>
    <row r="411" spans="2:14">
      <c r="B411" s="30"/>
      <c r="C411" s="30"/>
      <c r="D411" s="36"/>
      <c r="E411" s="36"/>
      <c r="F411" s="36"/>
      <c r="G411" s="37"/>
      <c r="H411" s="37"/>
      <c r="I411" s="37"/>
      <c r="J411" s="37"/>
      <c r="K411" s="37"/>
      <c r="L411" s="37"/>
      <c r="M411" s="38" t="e">
        <f>+[1]FORM!G501</f>
        <v>#N/A</v>
      </c>
      <c r="N411" s="39" t="e">
        <f>+[1]FORM!H501</f>
        <v>#N/A</v>
      </c>
    </row>
    <row r="412" spans="2:14">
      <c r="B412" s="30"/>
      <c r="C412" s="30"/>
      <c r="D412" s="36"/>
      <c r="E412" s="36"/>
      <c r="F412" s="36"/>
      <c r="G412" s="37"/>
      <c r="H412" s="37"/>
      <c r="I412" s="37"/>
      <c r="J412" s="37"/>
      <c r="K412" s="37"/>
      <c r="L412" s="37"/>
      <c r="M412" s="38" t="e">
        <f>+[1]FORM!G502</f>
        <v>#N/A</v>
      </c>
      <c r="N412" s="39" t="e">
        <f>+[1]FORM!H502</f>
        <v>#N/A</v>
      </c>
    </row>
    <row r="413" spans="2:14">
      <c r="B413" s="30"/>
      <c r="C413" s="30"/>
      <c r="D413" s="36"/>
      <c r="E413" s="36"/>
      <c r="F413" s="36"/>
      <c r="G413" s="37"/>
      <c r="H413" s="37"/>
      <c r="I413" s="37"/>
      <c r="J413" s="37"/>
      <c r="K413" s="37"/>
      <c r="L413" s="37"/>
      <c r="M413" s="38" t="e">
        <f>+[1]FORM!G503</f>
        <v>#N/A</v>
      </c>
      <c r="N413" s="39" t="e">
        <f>+[1]FORM!H503</f>
        <v>#N/A</v>
      </c>
    </row>
    <row r="414" spans="2:14">
      <c r="B414" s="30"/>
      <c r="C414" s="30"/>
      <c r="D414" s="36"/>
      <c r="E414" s="36"/>
      <c r="F414" s="36"/>
      <c r="G414" s="37"/>
      <c r="H414" s="37"/>
      <c r="I414" s="37"/>
      <c r="J414" s="37"/>
      <c r="K414" s="37"/>
      <c r="L414" s="37"/>
      <c r="M414" s="38" t="e">
        <f>+[1]FORM!G504</f>
        <v>#N/A</v>
      </c>
      <c r="N414" s="39" t="e">
        <f>+[1]FORM!H504</f>
        <v>#N/A</v>
      </c>
    </row>
    <row r="415" spans="2:14">
      <c r="B415" s="30"/>
      <c r="C415" s="30"/>
      <c r="D415" s="36"/>
      <c r="E415" s="36"/>
      <c r="F415" s="36"/>
      <c r="G415" s="37"/>
      <c r="H415" s="37"/>
      <c r="I415" s="37"/>
      <c r="J415" s="37"/>
      <c r="K415" s="37"/>
      <c r="L415" s="37"/>
      <c r="M415" s="38" t="e">
        <f>+[1]FORM!G505</f>
        <v>#N/A</v>
      </c>
      <c r="N415" s="39" t="e">
        <f>+[1]FORM!H505</f>
        <v>#N/A</v>
      </c>
    </row>
    <row r="416" spans="2:14">
      <c r="B416" s="30"/>
      <c r="C416" s="30"/>
      <c r="D416" s="36"/>
      <c r="E416" s="36"/>
      <c r="F416" s="36"/>
      <c r="G416" s="37"/>
      <c r="H416" s="37"/>
      <c r="I416" s="37"/>
      <c r="J416" s="37"/>
      <c r="K416" s="37"/>
      <c r="L416" s="37"/>
      <c r="M416" s="38" t="e">
        <f>+[1]FORM!G506</f>
        <v>#N/A</v>
      </c>
      <c r="N416" s="39" t="e">
        <f>+[1]FORM!H506</f>
        <v>#N/A</v>
      </c>
    </row>
    <row r="417" spans="2:14">
      <c r="B417" s="30"/>
      <c r="C417" s="30"/>
      <c r="D417" s="36"/>
      <c r="E417" s="36"/>
      <c r="F417" s="36"/>
      <c r="G417" s="37"/>
      <c r="H417" s="37"/>
      <c r="I417" s="37"/>
      <c r="J417" s="37"/>
      <c r="K417" s="37"/>
      <c r="L417" s="37"/>
      <c r="M417" s="38" t="e">
        <f>+[1]FORM!G507</f>
        <v>#N/A</v>
      </c>
      <c r="N417" s="39" t="e">
        <f>+[1]FORM!H507</f>
        <v>#N/A</v>
      </c>
    </row>
    <row r="418" spans="2:14">
      <c r="B418" s="30"/>
      <c r="C418" s="30"/>
      <c r="D418" s="36"/>
      <c r="E418" s="36"/>
      <c r="F418" s="36"/>
      <c r="G418" s="37"/>
      <c r="H418" s="37"/>
      <c r="I418" s="37"/>
      <c r="J418" s="37"/>
      <c r="K418" s="37"/>
      <c r="L418" s="37"/>
      <c r="M418" s="38" t="e">
        <f>+[1]FORM!G508</f>
        <v>#N/A</v>
      </c>
      <c r="N418" s="39" t="e">
        <f>+[1]FORM!H508</f>
        <v>#N/A</v>
      </c>
    </row>
    <row r="419" spans="2:14">
      <c r="B419" s="30"/>
      <c r="C419" s="30"/>
      <c r="D419" s="36"/>
      <c r="E419" s="36"/>
      <c r="F419" s="36"/>
      <c r="G419" s="37"/>
      <c r="H419" s="37"/>
      <c r="I419" s="37"/>
      <c r="J419" s="37"/>
      <c r="K419" s="37"/>
      <c r="L419" s="37"/>
      <c r="M419" s="38" t="e">
        <f>+[1]FORM!G509</f>
        <v>#N/A</v>
      </c>
      <c r="N419" s="39" t="e">
        <f>+[1]FORM!H509</f>
        <v>#N/A</v>
      </c>
    </row>
    <row r="420" spans="2:14">
      <c r="B420" s="30"/>
      <c r="C420" s="30"/>
      <c r="D420" s="36"/>
      <c r="E420" s="36"/>
      <c r="F420" s="36"/>
      <c r="G420" s="37"/>
      <c r="H420" s="37"/>
      <c r="I420" s="37"/>
      <c r="J420" s="37"/>
      <c r="K420" s="37"/>
      <c r="L420" s="37"/>
      <c r="M420" s="38" t="e">
        <f>+[1]FORM!G510</f>
        <v>#N/A</v>
      </c>
      <c r="N420" s="39" t="e">
        <f>+[1]FORM!H510</f>
        <v>#N/A</v>
      </c>
    </row>
    <row r="421" spans="2:14">
      <c r="B421" s="30"/>
      <c r="C421" s="30"/>
      <c r="D421" s="36"/>
      <c r="E421" s="36"/>
      <c r="F421" s="36"/>
      <c r="G421" s="37"/>
      <c r="H421" s="37"/>
      <c r="I421" s="37"/>
      <c r="J421" s="37"/>
      <c r="K421" s="37"/>
      <c r="L421" s="37"/>
      <c r="M421" s="38" t="e">
        <f>+[1]FORM!G511</f>
        <v>#N/A</v>
      </c>
      <c r="N421" s="39" t="e">
        <f>+[1]FORM!H511</f>
        <v>#N/A</v>
      </c>
    </row>
    <row r="422" spans="2:14">
      <c r="B422" s="30"/>
      <c r="C422" s="30"/>
      <c r="D422" s="36"/>
      <c r="E422" s="36"/>
      <c r="F422" s="36"/>
      <c r="G422" s="37"/>
      <c r="H422" s="37"/>
      <c r="I422" s="37"/>
      <c r="J422" s="37"/>
      <c r="K422" s="37"/>
      <c r="L422" s="37"/>
      <c r="M422" s="38" t="e">
        <f>+[1]FORM!G512</f>
        <v>#N/A</v>
      </c>
      <c r="N422" s="39" t="e">
        <f>+[1]FORM!H512</f>
        <v>#N/A</v>
      </c>
    </row>
    <row r="423" spans="2:14">
      <c r="B423" s="30"/>
      <c r="C423" s="30"/>
      <c r="D423" s="36"/>
      <c r="E423" s="36"/>
      <c r="F423" s="36"/>
      <c r="G423" s="37"/>
      <c r="H423" s="37"/>
      <c r="I423" s="37"/>
      <c r="J423" s="37"/>
      <c r="K423" s="37"/>
      <c r="L423" s="37"/>
      <c r="M423" s="38" t="e">
        <f>+[1]FORM!G513</f>
        <v>#N/A</v>
      </c>
      <c r="N423" s="39" t="e">
        <f>+[1]FORM!H513</f>
        <v>#N/A</v>
      </c>
    </row>
    <row r="424" spans="2:14">
      <c r="B424" s="30"/>
      <c r="C424" s="30"/>
      <c r="D424" s="36"/>
      <c r="E424" s="36"/>
      <c r="F424" s="36"/>
      <c r="G424" s="37"/>
      <c r="H424" s="37"/>
      <c r="I424" s="37"/>
      <c r="J424" s="37"/>
      <c r="K424" s="37"/>
      <c r="L424" s="37"/>
      <c r="M424" s="38" t="e">
        <f>+[1]FORM!G514</f>
        <v>#N/A</v>
      </c>
      <c r="N424" s="39" t="e">
        <f>+[1]FORM!H514</f>
        <v>#N/A</v>
      </c>
    </row>
    <row r="425" spans="2:14">
      <c r="B425" s="30"/>
      <c r="C425" s="30"/>
      <c r="D425" s="36"/>
      <c r="E425" s="36"/>
      <c r="F425" s="36"/>
      <c r="G425" s="37"/>
      <c r="H425" s="37"/>
      <c r="I425" s="37"/>
      <c r="J425" s="37"/>
      <c r="K425" s="37"/>
      <c r="L425" s="37"/>
      <c r="M425" s="38" t="e">
        <f>+[1]FORM!G515</f>
        <v>#N/A</v>
      </c>
      <c r="N425" s="39" t="e">
        <f>+[1]FORM!H515</f>
        <v>#N/A</v>
      </c>
    </row>
    <row r="426" spans="2:14">
      <c r="B426" s="30"/>
      <c r="C426" s="30"/>
      <c r="D426" s="36"/>
      <c r="E426" s="36"/>
      <c r="F426" s="36"/>
      <c r="G426" s="37"/>
      <c r="H426" s="37"/>
      <c r="I426" s="37"/>
      <c r="J426" s="37"/>
      <c r="K426" s="37"/>
      <c r="L426" s="37"/>
      <c r="M426" s="38" t="e">
        <f>+[1]FORM!G516</f>
        <v>#N/A</v>
      </c>
      <c r="N426" s="39" t="e">
        <f>+[1]FORM!H516</f>
        <v>#N/A</v>
      </c>
    </row>
    <row r="427" spans="2:14">
      <c r="B427" s="30"/>
      <c r="C427" s="30"/>
      <c r="D427" s="36"/>
      <c r="E427" s="36"/>
      <c r="F427" s="36"/>
      <c r="G427" s="37"/>
      <c r="H427" s="37"/>
      <c r="I427" s="37"/>
      <c r="J427" s="37"/>
      <c r="K427" s="37"/>
      <c r="L427" s="37"/>
      <c r="M427" s="38" t="e">
        <f>+[1]FORM!G517</f>
        <v>#N/A</v>
      </c>
      <c r="N427" s="39" t="e">
        <f>+[1]FORM!H517</f>
        <v>#N/A</v>
      </c>
    </row>
    <row r="428" spans="2:14">
      <c r="B428" s="30"/>
      <c r="C428" s="30"/>
      <c r="D428" s="36"/>
      <c r="E428" s="36"/>
      <c r="F428" s="36"/>
      <c r="G428" s="37"/>
      <c r="H428" s="37"/>
      <c r="I428" s="37"/>
      <c r="J428" s="37"/>
      <c r="K428" s="37"/>
      <c r="L428" s="37"/>
      <c r="M428" s="38" t="e">
        <f>+[1]FORM!G518</f>
        <v>#N/A</v>
      </c>
      <c r="N428" s="39" t="e">
        <f>+[1]FORM!H518</f>
        <v>#N/A</v>
      </c>
    </row>
    <row r="429" spans="2:14">
      <c r="B429" s="30"/>
      <c r="C429" s="30"/>
      <c r="D429" s="36"/>
      <c r="E429" s="36"/>
      <c r="F429" s="36"/>
      <c r="G429" s="37"/>
      <c r="H429" s="37"/>
      <c r="I429" s="37"/>
      <c r="J429" s="37"/>
      <c r="K429" s="37"/>
      <c r="L429" s="37"/>
      <c r="M429" s="38" t="e">
        <f>+[1]FORM!G519</f>
        <v>#N/A</v>
      </c>
      <c r="N429" s="39" t="e">
        <f>+[1]FORM!H519</f>
        <v>#N/A</v>
      </c>
    </row>
    <row r="430" spans="2:14">
      <c r="B430" s="30"/>
      <c r="C430" s="30"/>
      <c r="D430" s="36"/>
      <c r="E430" s="36"/>
      <c r="F430" s="36"/>
      <c r="G430" s="37"/>
      <c r="H430" s="37"/>
      <c r="I430" s="37"/>
      <c r="J430" s="37"/>
      <c r="K430" s="37"/>
      <c r="L430" s="37"/>
      <c r="M430" s="38" t="e">
        <f>+[1]FORM!G520</f>
        <v>#N/A</v>
      </c>
      <c r="N430" s="39" t="e">
        <f>+[1]FORM!H520</f>
        <v>#N/A</v>
      </c>
    </row>
    <row r="431" spans="2:14">
      <c r="B431" s="30"/>
      <c r="C431" s="30"/>
      <c r="D431" s="36"/>
      <c r="E431" s="36"/>
      <c r="F431" s="36"/>
      <c r="G431" s="37"/>
      <c r="H431" s="37"/>
      <c r="I431" s="37"/>
      <c r="J431" s="37"/>
      <c r="K431" s="37"/>
      <c r="L431" s="37"/>
      <c r="M431" s="38" t="e">
        <f>+[1]FORM!G521</f>
        <v>#N/A</v>
      </c>
      <c r="N431" s="39" t="e">
        <f>+[1]FORM!H521</f>
        <v>#N/A</v>
      </c>
    </row>
    <row r="432" spans="2:14">
      <c r="B432" s="30"/>
      <c r="C432" s="30"/>
      <c r="D432" s="36"/>
      <c r="E432" s="36"/>
      <c r="F432" s="36"/>
      <c r="G432" s="37"/>
      <c r="H432" s="37"/>
      <c r="I432" s="37"/>
      <c r="J432" s="37"/>
      <c r="K432" s="37"/>
      <c r="L432" s="37"/>
      <c r="M432" s="38" t="e">
        <f>+[1]FORM!G522</f>
        <v>#N/A</v>
      </c>
      <c r="N432" s="39" t="e">
        <f>+[1]FORM!H522</f>
        <v>#N/A</v>
      </c>
    </row>
    <row r="433" spans="2:14">
      <c r="B433" s="30"/>
      <c r="C433" s="30"/>
      <c r="D433" s="36"/>
      <c r="E433" s="36"/>
      <c r="F433" s="36"/>
      <c r="G433" s="37"/>
      <c r="H433" s="37"/>
      <c r="I433" s="37"/>
      <c r="J433" s="37"/>
      <c r="K433" s="37"/>
      <c r="L433" s="37"/>
      <c r="M433" s="38" t="e">
        <f>+[1]FORM!G523</f>
        <v>#N/A</v>
      </c>
      <c r="N433" s="39" t="e">
        <f>+[1]FORM!H523</f>
        <v>#N/A</v>
      </c>
    </row>
    <row r="434" spans="2:14">
      <c r="B434" s="30"/>
      <c r="C434" s="30"/>
      <c r="D434" s="36"/>
      <c r="E434" s="36"/>
      <c r="F434" s="36"/>
      <c r="G434" s="37"/>
      <c r="H434" s="37"/>
      <c r="I434" s="37"/>
      <c r="J434" s="37"/>
      <c r="K434" s="37"/>
      <c r="L434" s="37"/>
      <c r="M434" s="38" t="e">
        <f>+[1]FORM!G524</f>
        <v>#N/A</v>
      </c>
      <c r="N434" s="39" t="e">
        <f>+[1]FORM!H524</f>
        <v>#N/A</v>
      </c>
    </row>
    <row r="435" spans="2:14">
      <c r="B435" s="30"/>
      <c r="C435" s="30"/>
      <c r="D435" s="36"/>
      <c r="E435" s="36"/>
      <c r="F435" s="36"/>
      <c r="G435" s="37"/>
      <c r="H435" s="37"/>
      <c r="I435" s="37"/>
      <c r="J435" s="37"/>
      <c r="K435" s="37"/>
      <c r="L435" s="37"/>
      <c r="M435" s="38" t="e">
        <f>+[1]FORM!G525</f>
        <v>#N/A</v>
      </c>
      <c r="N435" s="39" t="e">
        <f>+[1]FORM!H525</f>
        <v>#N/A</v>
      </c>
    </row>
    <row r="436" spans="2:14">
      <c r="B436" s="30"/>
      <c r="C436" s="30"/>
      <c r="D436" s="36"/>
      <c r="E436" s="36"/>
      <c r="F436" s="36"/>
      <c r="G436" s="37"/>
      <c r="H436" s="37"/>
      <c r="I436" s="37"/>
      <c r="J436" s="37"/>
      <c r="K436" s="37"/>
      <c r="L436" s="37"/>
      <c r="M436" s="38" t="e">
        <f>+[1]FORM!G526</f>
        <v>#N/A</v>
      </c>
      <c r="N436" s="39" t="e">
        <f>+[1]FORM!H526</f>
        <v>#N/A</v>
      </c>
    </row>
    <row r="437" spans="2:14">
      <c r="B437" s="30"/>
      <c r="C437" s="30"/>
      <c r="D437" s="36"/>
      <c r="E437" s="36"/>
      <c r="F437" s="36"/>
      <c r="G437" s="37"/>
      <c r="H437" s="37"/>
      <c r="I437" s="37"/>
      <c r="J437" s="37"/>
      <c r="K437" s="37"/>
      <c r="L437" s="37"/>
      <c r="M437" s="38" t="e">
        <f>+[1]FORM!G527</f>
        <v>#N/A</v>
      </c>
      <c r="N437" s="39" t="e">
        <f>+[1]FORM!H527</f>
        <v>#N/A</v>
      </c>
    </row>
    <row r="438" spans="2:14">
      <c r="B438" s="30"/>
      <c r="C438" s="30"/>
      <c r="D438" s="36"/>
      <c r="E438" s="36"/>
      <c r="F438" s="36"/>
      <c r="G438" s="37"/>
      <c r="H438" s="37"/>
      <c r="I438" s="37"/>
      <c r="J438" s="37"/>
      <c r="K438" s="37"/>
      <c r="L438" s="37"/>
      <c r="M438" s="38" t="e">
        <f>+[1]FORM!G528</f>
        <v>#N/A</v>
      </c>
      <c r="N438" s="39" t="e">
        <f>+[1]FORM!H528</f>
        <v>#N/A</v>
      </c>
    </row>
    <row r="439" spans="2:14">
      <c r="B439" s="30"/>
      <c r="C439" s="30"/>
      <c r="D439" s="36"/>
      <c r="E439" s="36"/>
      <c r="F439" s="36"/>
      <c r="G439" s="37"/>
      <c r="H439" s="37"/>
      <c r="I439" s="37"/>
      <c r="J439" s="37"/>
      <c r="K439" s="37"/>
      <c r="L439" s="37"/>
      <c r="M439" s="38" t="e">
        <f>+[1]FORM!G529</f>
        <v>#N/A</v>
      </c>
      <c r="N439" s="39" t="e">
        <f>+[1]FORM!H529</f>
        <v>#N/A</v>
      </c>
    </row>
    <row r="440" spans="2:14">
      <c r="B440" s="30"/>
      <c r="C440" s="30"/>
      <c r="D440" s="36"/>
      <c r="E440" s="36"/>
      <c r="F440" s="36"/>
      <c r="G440" s="37"/>
      <c r="H440" s="37"/>
      <c r="I440" s="37"/>
      <c r="J440" s="37"/>
      <c r="K440" s="37"/>
      <c r="L440" s="37"/>
      <c r="M440" s="38" t="e">
        <f>+[1]FORM!G530</f>
        <v>#N/A</v>
      </c>
      <c r="N440" s="39" t="e">
        <f>+[1]FORM!H530</f>
        <v>#N/A</v>
      </c>
    </row>
    <row r="441" spans="2:14">
      <c r="B441" s="30"/>
      <c r="C441" s="30"/>
      <c r="D441" s="36"/>
      <c r="E441" s="36"/>
      <c r="F441" s="36"/>
      <c r="G441" s="37"/>
      <c r="H441" s="37"/>
      <c r="I441" s="37"/>
      <c r="J441" s="37"/>
      <c r="K441" s="37"/>
      <c r="L441" s="37"/>
      <c r="M441" s="38" t="e">
        <f>+[1]FORM!G531</f>
        <v>#N/A</v>
      </c>
      <c r="N441" s="39" t="e">
        <f>+[1]FORM!H531</f>
        <v>#N/A</v>
      </c>
    </row>
    <row r="442" spans="2:14">
      <c r="B442" s="30"/>
      <c r="C442" s="30"/>
      <c r="D442" s="36"/>
      <c r="E442" s="36"/>
      <c r="F442" s="36"/>
      <c r="G442" s="37"/>
      <c r="H442" s="37"/>
      <c r="I442" s="37"/>
      <c r="J442" s="37"/>
      <c r="K442" s="37"/>
      <c r="L442" s="37"/>
      <c r="M442" s="38" t="e">
        <f>+[1]FORM!G532</f>
        <v>#N/A</v>
      </c>
      <c r="N442" s="39" t="e">
        <f>+[1]FORM!H532</f>
        <v>#N/A</v>
      </c>
    </row>
    <row r="443" spans="2:14">
      <c r="B443" s="30"/>
      <c r="C443" s="30"/>
      <c r="D443" s="36"/>
      <c r="E443" s="36"/>
      <c r="F443" s="36"/>
      <c r="G443" s="37"/>
      <c r="H443" s="37"/>
      <c r="I443" s="37"/>
      <c r="J443" s="37"/>
      <c r="K443" s="37"/>
      <c r="L443" s="37"/>
      <c r="M443" s="38" t="e">
        <f>+[1]FORM!G533</f>
        <v>#N/A</v>
      </c>
      <c r="N443" s="39" t="e">
        <f>+[1]FORM!H533</f>
        <v>#N/A</v>
      </c>
    </row>
    <row r="444" spans="2:14">
      <c r="B444" s="30"/>
      <c r="C444" s="30"/>
      <c r="D444" s="36"/>
      <c r="E444" s="36"/>
      <c r="F444" s="36"/>
      <c r="G444" s="37"/>
      <c r="H444" s="37"/>
      <c r="I444" s="37"/>
      <c r="J444" s="37"/>
      <c r="K444" s="37"/>
      <c r="L444" s="37"/>
      <c r="M444" s="38" t="e">
        <f>+[1]FORM!G534</f>
        <v>#N/A</v>
      </c>
      <c r="N444" s="39" t="e">
        <f>+[1]FORM!H534</f>
        <v>#N/A</v>
      </c>
    </row>
    <row r="445" spans="2:14">
      <c r="B445" s="30"/>
      <c r="C445" s="30"/>
      <c r="D445" s="36"/>
      <c r="E445" s="36"/>
      <c r="F445" s="36"/>
      <c r="G445" s="37"/>
      <c r="H445" s="37"/>
      <c r="I445" s="37"/>
      <c r="J445" s="37"/>
      <c r="K445" s="37"/>
      <c r="L445" s="37"/>
      <c r="M445" s="38" t="e">
        <f>+[1]FORM!G535</f>
        <v>#N/A</v>
      </c>
      <c r="N445" s="39" t="e">
        <f>+[1]FORM!H535</f>
        <v>#N/A</v>
      </c>
    </row>
    <row r="446" spans="2:14">
      <c r="B446" s="30"/>
      <c r="C446" s="30"/>
      <c r="D446" s="36"/>
      <c r="E446" s="36"/>
      <c r="F446" s="36"/>
      <c r="G446" s="37"/>
      <c r="H446" s="37"/>
      <c r="I446" s="37"/>
      <c r="J446" s="37"/>
      <c r="K446" s="37"/>
      <c r="L446" s="37"/>
      <c r="M446" s="38" t="e">
        <f>+[1]FORM!G536</f>
        <v>#N/A</v>
      </c>
      <c r="N446" s="39" t="e">
        <f>+[1]FORM!H536</f>
        <v>#N/A</v>
      </c>
    </row>
    <row r="447" spans="2:14">
      <c r="B447" s="30"/>
      <c r="C447" s="30"/>
      <c r="D447" s="36"/>
      <c r="E447" s="36"/>
      <c r="F447" s="36"/>
      <c r="G447" s="37"/>
      <c r="H447" s="37"/>
      <c r="I447" s="37"/>
      <c r="J447" s="37"/>
      <c r="K447" s="37"/>
      <c r="L447" s="37"/>
      <c r="M447" s="38" t="e">
        <f>+[1]FORM!G537</f>
        <v>#N/A</v>
      </c>
      <c r="N447" s="39" t="e">
        <f>+[1]FORM!H537</f>
        <v>#N/A</v>
      </c>
    </row>
    <row r="448" spans="2:14">
      <c r="B448" s="30"/>
      <c r="C448" s="30"/>
      <c r="D448" s="36"/>
      <c r="E448" s="36"/>
      <c r="F448" s="36"/>
      <c r="G448" s="37"/>
      <c r="H448" s="37"/>
      <c r="I448" s="37"/>
      <c r="J448" s="37"/>
      <c r="K448" s="37"/>
      <c r="L448" s="37"/>
      <c r="M448" s="38" t="e">
        <f>+[1]FORM!G538</f>
        <v>#N/A</v>
      </c>
      <c r="N448" s="39" t="e">
        <f>+[1]FORM!H538</f>
        <v>#N/A</v>
      </c>
    </row>
    <row r="449" spans="2:14">
      <c r="B449" s="30"/>
      <c r="C449" s="30"/>
      <c r="D449" s="36"/>
      <c r="E449" s="36"/>
      <c r="F449" s="36"/>
      <c r="G449" s="37"/>
      <c r="H449" s="37"/>
      <c r="I449" s="37"/>
      <c r="J449" s="37"/>
      <c r="K449" s="37"/>
      <c r="L449" s="37"/>
      <c r="M449" s="38" t="e">
        <f>+[1]FORM!G539</f>
        <v>#N/A</v>
      </c>
      <c r="N449" s="39" t="e">
        <f>+[1]FORM!H539</f>
        <v>#N/A</v>
      </c>
    </row>
    <row r="450" spans="2:14">
      <c r="B450" s="30"/>
      <c r="C450" s="30"/>
      <c r="D450" s="36"/>
      <c r="E450" s="36"/>
      <c r="F450" s="36"/>
      <c r="G450" s="37"/>
      <c r="H450" s="37"/>
      <c r="I450" s="37"/>
      <c r="J450" s="37"/>
      <c r="K450" s="37"/>
      <c r="L450" s="37"/>
      <c r="M450" s="38" t="e">
        <f>+[1]FORM!G540</f>
        <v>#N/A</v>
      </c>
      <c r="N450" s="39" t="e">
        <f>+[1]FORM!H540</f>
        <v>#N/A</v>
      </c>
    </row>
    <row r="451" spans="2:14">
      <c r="B451" s="30"/>
      <c r="C451" s="30"/>
      <c r="D451" s="36"/>
      <c r="E451" s="36"/>
      <c r="F451" s="36"/>
      <c r="G451" s="37"/>
      <c r="H451" s="37"/>
      <c r="I451" s="37"/>
      <c r="J451" s="37"/>
      <c r="K451" s="37"/>
      <c r="L451" s="37"/>
      <c r="M451" s="38" t="e">
        <f>+[1]FORM!G541</f>
        <v>#N/A</v>
      </c>
      <c r="N451" s="39" t="e">
        <f>+[1]FORM!H541</f>
        <v>#N/A</v>
      </c>
    </row>
    <row r="452" spans="2:14">
      <c r="B452" s="30"/>
      <c r="C452" s="30"/>
      <c r="D452" s="36"/>
      <c r="E452" s="36"/>
      <c r="F452" s="36"/>
      <c r="G452" s="37"/>
      <c r="H452" s="37"/>
      <c r="I452" s="37"/>
      <c r="J452" s="37"/>
      <c r="K452" s="37"/>
      <c r="L452" s="37"/>
      <c r="M452" s="38" t="e">
        <f>+[1]FORM!G542</f>
        <v>#N/A</v>
      </c>
      <c r="N452" s="39" t="e">
        <f>+[1]FORM!H542</f>
        <v>#N/A</v>
      </c>
    </row>
    <row r="453" spans="2:14">
      <c r="B453" s="30"/>
      <c r="C453" s="30"/>
      <c r="D453" s="36"/>
      <c r="E453" s="36"/>
      <c r="F453" s="36"/>
      <c r="G453" s="37"/>
      <c r="H453" s="37"/>
      <c r="I453" s="37"/>
      <c r="J453" s="37"/>
      <c r="K453" s="37"/>
      <c r="L453" s="37"/>
      <c r="M453" s="38" t="e">
        <f>+[1]FORM!G543</f>
        <v>#N/A</v>
      </c>
      <c r="N453" s="39" t="e">
        <f>+[1]FORM!H543</f>
        <v>#N/A</v>
      </c>
    </row>
    <row r="454" spans="2:14">
      <c r="B454" s="30"/>
      <c r="C454" s="30"/>
      <c r="D454" s="36"/>
      <c r="E454" s="36"/>
      <c r="F454" s="36"/>
      <c r="G454" s="37"/>
      <c r="H454" s="37"/>
      <c r="I454" s="37"/>
      <c r="J454" s="37"/>
      <c r="K454" s="37"/>
      <c r="L454" s="37"/>
      <c r="M454" s="38" t="e">
        <f>+[1]FORM!G544</f>
        <v>#N/A</v>
      </c>
      <c r="N454" s="39" t="e">
        <f>+[1]FORM!H544</f>
        <v>#N/A</v>
      </c>
    </row>
    <row r="455" spans="2:14">
      <c r="B455" s="30"/>
      <c r="C455" s="30"/>
      <c r="D455" s="36"/>
      <c r="E455" s="36"/>
      <c r="F455" s="36"/>
      <c r="G455" s="37"/>
      <c r="H455" s="37"/>
      <c r="I455" s="37"/>
      <c r="J455" s="37"/>
      <c r="K455" s="37"/>
      <c r="L455" s="37"/>
      <c r="M455" s="38" t="e">
        <f>+[1]FORM!G545</f>
        <v>#N/A</v>
      </c>
      <c r="N455" s="39" t="e">
        <f>+[1]FORM!H545</f>
        <v>#N/A</v>
      </c>
    </row>
    <row r="456" spans="2:14">
      <c r="B456" s="30"/>
      <c r="C456" s="30"/>
      <c r="D456" s="36"/>
      <c r="E456" s="36"/>
      <c r="F456" s="36"/>
      <c r="G456" s="37"/>
      <c r="H456" s="37"/>
      <c r="I456" s="37"/>
      <c r="J456" s="37"/>
      <c r="K456" s="37"/>
      <c r="L456" s="37"/>
      <c r="M456" s="38" t="e">
        <f>+[1]FORM!G546</f>
        <v>#N/A</v>
      </c>
      <c r="N456" s="39" t="e">
        <f>+[1]FORM!H546</f>
        <v>#N/A</v>
      </c>
    </row>
    <row r="457" spans="2:14">
      <c r="B457" s="30"/>
      <c r="C457" s="30"/>
      <c r="D457" s="36"/>
      <c r="E457" s="36"/>
      <c r="F457" s="36"/>
      <c r="G457" s="37"/>
      <c r="H457" s="37"/>
      <c r="I457" s="37"/>
      <c r="J457" s="37"/>
      <c r="K457" s="37"/>
      <c r="L457" s="37"/>
      <c r="M457" s="38" t="e">
        <f>+[1]FORM!G547</f>
        <v>#N/A</v>
      </c>
      <c r="N457" s="39" t="e">
        <f>+[1]FORM!H547</f>
        <v>#N/A</v>
      </c>
    </row>
    <row r="458" spans="2:14">
      <c r="B458" s="30"/>
      <c r="C458" s="30"/>
      <c r="D458" s="36"/>
      <c r="E458" s="36"/>
      <c r="F458" s="36"/>
      <c r="G458" s="37"/>
      <c r="H458" s="37"/>
      <c r="I458" s="37"/>
      <c r="J458" s="37"/>
      <c r="K458" s="37"/>
      <c r="L458" s="37"/>
      <c r="M458" s="38" t="e">
        <f>+[1]FORM!G548</f>
        <v>#N/A</v>
      </c>
      <c r="N458" s="39" t="e">
        <f>+[1]FORM!H548</f>
        <v>#N/A</v>
      </c>
    </row>
    <row r="459" spans="2:14">
      <c r="B459" s="30"/>
      <c r="C459" s="30"/>
      <c r="D459" s="36"/>
      <c r="E459" s="36"/>
      <c r="F459" s="36"/>
      <c r="G459" s="37"/>
      <c r="H459" s="37"/>
      <c r="I459" s="37"/>
      <c r="J459" s="37"/>
      <c r="K459" s="37"/>
      <c r="L459" s="37"/>
      <c r="M459" s="38" t="e">
        <f>+[1]FORM!G549</f>
        <v>#N/A</v>
      </c>
      <c r="N459" s="39" t="e">
        <f>+[1]FORM!H549</f>
        <v>#N/A</v>
      </c>
    </row>
    <row r="460" spans="2:14">
      <c r="B460" s="30"/>
      <c r="C460" s="30"/>
      <c r="D460" s="36"/>
      <c r="E460" s="36"/>
      <c r="F460" s="36"/>
      <c r="G460" s="37"/>
      <c r="H460" s="37"/>
      <c r="I460" s="37"/>
      <c r="J460" s="37"/>
      <c r="K460" s="37"/>
      <c r="L460" s="37"/>
      <c r="M460" s="38" t="e">
        <f>+[1]FORM!G550</f>
        <v>#N/A</v>
      </c>
      <c r="N460" s="39" t="e">
        <f>+[1]FORM!H550</f>
        <v>#N/A</v>
      </c>
    </row>
    <row r="461" spans="2:14">
      <c r="B461" s="30"/>
      <c r="C461" s="30"/>
      <c r="D461" s="36"/>
      <c r="E461" s="36"/>
      <c r="F461" s="36"/>
      <c r="G461" s="37"/>
      <c r="H461" s="37"/>
      <c r="I461" s="37"/>
      <c r="J461" s="37"/>
      <c r="K461" s="37"/>
      <c r="L461" s="37"/>
      <c r="M461" s="38" t="e">
        <f>+[1]FORM!G551</f>
        <v>#N/A</v>
      </c>
      <c r="N461" s="39" t="e">
        <f>+[1]FORM!H551</f>
        <v>#N/A</v>
      </c>
    </row>
    <row r="462" spans="2:14">
      <c r="B462" s="30"/>
      <c r="C462" s="30"/>
      <c r="D462" s="36"/>
      <c r="E462" s="36"/>
      <c r="F462" s="36"/>
      <c r="G462" s="37"/>
      <c r="H462" s="37"/>
      <c r="I462" s="37"/>
      <c r="J462" s="37"/>
      <c r="K462" s="37"/>
      <c r="L462" s="37"/>
      <c r="M462" s="38" t="e">
        <f>+[1]FORM!G552</f>
        <v>#N/A</v>
      </c>
      <c r="N462" s="39" t="e">
        <f>+[1]FORM!H552</f>
        <v>#N/A</v>
      </c>
    </row>
    <row r="463" spans="2:14">
      <c r="B463" s="30"/>
      <c r="C463" s="30"/>
      <c r="D463" s="36"/>
      <c r="E463" s="36"/>
      <c r="F463" s="36"/>
      <c r="G463" s="37"/>
      <c r="H463" s="37"/>
      <c r="I463" s="37"/>
      <c r="J463" s="37"/>
      <c r="K463" s="37"/>
      <c r="L463" s="37"/>
      <c r="M463" s="38" t="e">
        <f>+[1]FORM!G553</f>
        <v>#N/A</v>
      </c>
      <c r="N463" s="39" t="e">
        <f>+[1]FORM!H553</f>
        <v>#N/A</v>
      </c>
    </row>
    <row r="464" spans="2:14">
      <c r="B464" s="30"/>
      <c r="C464" s="30"/>
      <c r="D464" s="36"/>
      <c r="E464" s="36"/>
      <c r="F464" s="36"/>
      <c r="G464" s="37"/>
      <c r="H464" s="37"/>
      <c r="I464" s="37"/>
      <c r="J464" s="37"/>
      <c r="K464" s="37"/>
      <c r="L464" s="37"/>
      <c r="M464" s="38" t="e">
        <f>+[1]FORM!G554</f>
        <v>#N/A</v>
      </c>
      <c r="N464" s="39" t="e">
        <f>+[1]FORM!H554</f>
        <v>#N/A</v>
      </c>
    </row>
    <row r="465" spans="2:14">
      <c r="B465" s="30"/>
      <c r="C465" s="30"/>
      <c r="D465" s="36"/>
      <c r="E465" s="36"/>
      <c r="F465" s="36"/>
      <c r="G465" s="37"/>
      <c r="H465" s="37"/>
      <c r="I465" s="37"/>
      <c r="J465" s="37"/>
      <c r="K465" s="37"/>
      <c r="L465" s="37"/>
      <c r="M465" s="38" t="e">
        <f>+[1]FORM!G555</f>
        <v>#N/A</v>
      </c>
      <c r="N465" s="39" t="e">
        <f>+[1]FORM!H555</f>
        <v>#N/A</v>
      </c>
    </row>
    <row r="466" spans="2:14">
      <c r="B466" s="30"/>
      <c r="C466" s="30"/>
      <c r="D466" s="36"/>
      <c r="E466" s="36"/>
      <c r="F466" s="36"/>
      <c r="G466" s="37"/>
      <c r="H466" s="37"/>
      <c r="I466" s="37"/>
      <c r="J466" s="37"/>
      <c r="K466" s="37"/>
      <c r="L466" s="37"/>
      <c r="M466" s="38" t="e">
        <f>+[1]FORM!G556</f>
        <v>#N/A</v>
      </c>
      <c r="N466" s="39" t="e">
        <f>+[1]FORM!H556</f>
        <v>#N/A</v>
      </c>
    </row>
    <row r="467" spans="2:14">
      <c r="B467" s="30"/>
      <c r="C467" s="30"/>
      <c r="D467" s="36"/>
      <c r="E467" s="36"/>
      <c r="F467" s="36"/>
      <c r="G467" s="37"/>
      <c r="H467" s="37"/>
      <c r="I467" s="37"/>
      <c r="J467" s="37"/>
      <c r="K467" s="37"/>
      <c r="L467" s="37"/>
      <c r="M467" s="38" t="e">
        <f>+[1]FORM!G557</f>
        <v>#N/A</v>
      </c>
      <c r="N467" s="39" t="e">
        <f>+[1]FORM!H557</f>
        <v>#N/A</v>
      </c>
    </row>
    <row r="468" spans="2:14">
      <c r="B468" s="30"/>
      <c r="C468" s="30"/>
      <c r="D468" s="36"/>
      <c r="E468" s="36"/>
      <c r="F468" s="36"/>
      <c r="G468" s="37"/>
      <c r="H468" s="37"/>
      <c r="I468" s="37"/>
      <c r="J468" s="37"/>
      <c r="K468" s="37"/>
      <c r="L468" s="37"/>
      <c r="M468" s="38" t="e">
        <f>+[1]FORM!G558</f>
        <v>#N/A</v>
      </c>
      <c r="N468" s="39" t="e">
        <f>+[1]FORM!H558</f>
        <v>#N/A</v>
      </c>
    </row>
    <row r="469" spans="2:14">
      <c r="B469" s="30"/>
      <c r="C469" s="30"/>
      <c r="D469" s="36"/>
      <c r="E469" s="36"/>
      <c r="F469" s="36"/>
      <c r="G469" s="37"/>
      <c r="H469" s="37"/>
      <c r="I469" s="37"/>
      <c r="J469" s="37"/>
      <c r="K469" s="37"/>
      <c r="L469" s="37"/>
      <c r="M469" s="38" t="e">
        <f>+[1]FORM!G559</f>
        <v>#N/A</v>
      </c>
      <c r="N469" s="39" t="e">
        <f>+[1]FORM!H559</f>
        <v>#N/A</v>
      </c>
    </row>
    <row r="470" spans="2:14">
      <c r="B470" s="30"/>
      <c r="C470" s="30"/>
      <c r="D470" s="36"/>
      <c r="E470" s="36"/>
      <c r="F470" s="36"/>
      <c r="G470" s="37"/>
      <c r="H470" s="37"/>
      <c r="I470" s="37"/>
      <c r="J470" s="37"/>
      <c r="K470" s="37"/>
      <c r="L470" s="37"/>
      <c r="M470" s="38" t="e">
        <f>+[1]FORM!G560</f>
        <v>#N/A</v>
      </c>
      <c r="N470" s="39" t="e">
        <f>+[1]FORM!H560</f>
        <v>#N/A</v>
      </c>
    </row>
    <row r="471" spans="2:14">
      <c r="B471" s="30"/>
      <c r="C471" s="30"/>
      <c r="D471" s="36"/>
      <c r="E471" s="36"/>
      <c r="F471" s="36"/>
      <c r="G471" s="37"/>
      <c r="H471" s="37"/>
      <c r="I471" s="37"/>
      <c r="J471" s="37"/>
      <c r="K471" s="37"/>
      <c r="L471" s="37"/>
      <c r="M471" s="38" t="e">
        <f>+[1]FORM!G561</f>
        <v>#N/A</v>
      </c>
      <c r="N471" s="39" t="e">
        <f>+[1]FORM!H561</f>
        <v>#N/A</v>
      </c>
    </row>
    <row r="472" spans="2:14">
      <c r="B472" s="30"/>
      <c r="C472" s="30"/>
      <c r="D472" s="36"/>
      <c r="E472" s="36"/>
      <c r="F472" s="36"/>
      <c r="G472" s="37"/>
      <c r="H472" s="37"/>
      <c r="I472" s="37"/>
      <c r="J472" s="37"/>
      <c r="K472" s="37"/>
      <c r="L472" s="37"/>
      <c r="M472" s="38" t="e">
        <f>+[1]FORM!G562</f>
        <v>#N/A</v>
      </c>
      <c r="N472" s="39" t="e">
        <f>+[1]FORM!H562</f>
        <v>#N/A</v>
      </c>
    </row>
    <row r="473" spans="2:14">
      <c r="B473" s="30"/>
      <c r="C473" s="30"/>
      <c r="D473" s="36"/>
      <c r="E473" s="36"/>
      <c r="F473" s="36"/>
      <c r="G473" s="37"/>
      <c r="H473" s="37"/>
      <c r="I473" s="37"/>
      <c r="J473" s="37"/>
      <c r="K473" s="37"/>
      <c r="L473" s="37"/>
      <c r="M473" s="38" t="e">
        <f>+[1]FORM!G563</f>
        <v>#N/A</v>
      </c>
      <c r="N473" s="39" t="e">
        <f>+[1]FORM!H563</f>
        <v>#N/A</v>
      </c>
    </row>
    <row r="474" spans="2:14">
      <c r="B474" s="30"/>
      <c r="C474" s="30"/>
      <c r="D474" s="36"/>
      <c r="E474" s="36"/>
      <c r="F474" s="36"/>
      <c r="G474" s="37"/>
      <c r="H474" s="37"/>
      <c r="I474" s="37"/>
      <c r="J474" s="37"/>
      <c r="K474" s="37"/>
      <c r="L474" s="37"/>
      <c r="M474" s="38" t="e">
        <f>+[1]FORM!G564</f>
        <v>#N/A</v>
      </c>
      <c r="N474" s="39" t="e">
        <f>+[1]FORM!H564</f>
        <v>#N/A</v>
      </c>
    </row>
    <row r="475" spans="2:14">
      <c r="B475" s="30"/>
      <c r="C475" s="30"/>
      <c r="D475" s="36"/>
      <c r="E475" s="36"/>
      <c r="F475" s="36"/>
      <c r="G475" s="37"/>
      <c r="H475" s="37"/>
      <c r="I475" s="37"/>
      <c r="J475" s="37"/>
      <c r="K475" s="37"/>
      <c r="L475" s="37"/>
      <c r="M475" s="38" t="e">
        <f>+[1]FORM!G565</f>
        <v>#N/A</v>
      </c>
      <c r="N475" s="39" t="e">
        <f>+[1]FORM!H565</f>
        <v>#N/A</v>
      </c>
    </row>
    <row r="476" spans="2:14">
      <c r="B476" s="30"/>
      <c r="C476" s="30"/>
      <c r="D476" s="36"/>
      <c r="E476" s="36"/>
      <c r="F476" s="36"/>
      <c r="G476" s="37"/>
      <c r="H476" s="37"/>
      <c r="I476" s="37"/>
      <c r="J476" s="37"/>
      <c r="K476" s="37"/>
      <c r="L476" s="37"/>
      <c r="M476" s="38" t="e">
        <f>+[1]FORM!G566</f>
        <v>#N/A</v>
      </c>
      <c r="N476" s="39" t="e">
        <f>+[1]FORM!H566</f>
        <v>#N/A</v>
      </c>
    </row>
    <row r="477" spans="2:14">
      <c r="B477" s="30"/>
      <c r="C477" s="30"/>
      <c r="D477" s="36"/>
      <c r="E477" s="36"/>
      <c r="F477" s="36"/>
      <c r="G477" s="37"/>
      <c r="H477" s="37"/>
      <c r="I477" s="37"/>
      <c r="J477" s="37"/>
      <c r="K477" s="37"/>
      <c r="L477" s="37"/>
      <c r="M477" s="38" t="e">
        <f>+[1]FORM!G567</f>
        <v>#N/A</v>
      </c>
      <c r="N477" s="39" t="e">
        <f>+[1]FORM!H567</f>
        <v>#N/A</v>
      </c>
    </row>
    <row r="478" spans="2:14">
      <c r="B478" s="30"/>
      <c r="C478" s="30"/>
      <c r="D478" s="36"/>
      <c r="E478" s="36"/>
      <c r="F478" s="36"/>
      <c r="G478" s="37"/>
      <c r="H478" s="37"/>
      <c r="I478" s="37"/>
      <c r="J478" s="37"/>
      <c r="K478" s="37"/>
      <c r="L478" s="37"/>
      <c r="M478" s="38" t="e">
        <f>+[1]FORM!G568</f>
        <v>#N/A</v>
      </c>
      <c r="N478" s="39" t="e">
        <f>+[1]FORM!H568</f>
        <v>#N/A</v>
      </c>
    </row>
    <row r="479" spans="2:14">
      <c r="B479" s="30"/>
      <c r="C479" s="30"/>
      <c r="D479" s="36"/>
      <c r="E479" s="36"/>
      <c r="F479" s="36"/>
      <c r="G479" s="37"/>
      <c r="H479" s="37"/>
      <c r="I479" s="37"/>
      <c r="J479" s="37"/>
      <c r="K479" s="37"/>
      <c r="L479" s="37"/>
      <c r="M479" s="38" t="e">
        <f>+[1]FORM!G569</f>
        <v>#N/A</v>
      </c>
      <c r="N479" s="39" t="e">
        <f>+[1]FORM!H569</f>
        <v>#N/A</v>
      </c>
    </row>
    <row r="480" spans="2:14">
      <c r="B480" s="30"/>
      <c r="C480" s="30"/>
      <c r="D480" s="36"/>
      <c r="E480" s="36"/>
      <c r="F480" s="36"/>
      <c r="G480" s="37"/>
      <c r="H480" s="37"/>
      <c r="I480" s="37"/>
      <c r="J480" s="37"/>
      <c r="K480" s="37"/>
      <c r="L480" s="37"/>
      <c r="M480" s="38" t="e">
        <f>+[1]FORM!G570</f>
        <v>#N/A</v>
      </c>
      <c r="N480" s="39" t="e">
        <f>+[1]FORM!H570</f>
        <v>#N/A</v>
      </c>
    </row>
    <row r="481" spans="2:14">
      <c r="B481" s="30"/>
      <c r="C481" s="30"/>
      <c r="D481" s="36"/>
      <c r="E481" s="36"/>
      <c r="F481" s="36"/>
      <c r="G481" s="37"/>
      <c r="H481" s="37"/>
      <c r="I481" s="37"/>
      <c r="J481" s="37"/>
      <c r="K481" s="37"/>
      <c r="L481" s="37"/>
      <c r="M481" s="38" t="e">
        <f>+[1]FORM!G571</f>
        <v>#N/A</v>
      </c>
      <c r="N481" s="39" t="e">
        <f>+[1]FORM!H571</f>
        <v>#N/A</v>
      </c>
    </row>
    <row r="482" spans="2:14">
      <c r="B482" s="30"/>
      <c r="C482" s="30"/>
      <c r="D482" s="36"/>
      <c r="E482" s="36"/>
      <c r="F482" s="36"/>
      <c r="G482" s="37"/>
      <c r="H482" s="37"/>
      <c r="I482" s="37"/>
      <c r="J482" s="37"/>
      <c r="K482" s="37"/>
      <c r="L482" s="37"/>
      <c r="M482" s="38" t="e">
        <f>+[1]FORM!G572</f>
        <v>#N/A</v>
      </c>
      <c r="N482" s="39" t="e">
        <f>+[1]FORM!H572</f>
        <v>#N/A</v>
      </c>
    </row>
    <row r="483" spans="2:14">
      <c r="B483" s="30"/>
      <c r="C483" s="30"/>
      <c r="D483" s="36"/>
      <c r="E483" s="36"/>
      <c r="F483" s="36"/>
      <c r="G483" s="37"/>
      <c r="H483" s="37"/>
      <c r="I483" s="37"/>
      <c r="J483" s="37"/>
      <c r="K483" s="37"/>
      <c r="L483" s="37"/>
      <c r="M483" s="38" t="e">
        <f>+[1]FORM!G573</f>
        <v>#N/A</v>
      </c>
      <c r="N483" s="39" t="e">
        <f>+[1]FORM!H573</f>
        <v>#N/A</v>
      </c>
    </row>
    <row r="484" spans="2:14">
      <c r="B484" s="30"/>
      <c r="C484" s="30"/>
      <c r="D484" s="36"/>
      <c r="E484" s="36"/>
      <c r="F484" s="36"/>
      <c r="G484" s="37"/>
      <c r="H484" s="37"/>
      <c r="I484" s="37"/>
      <c r="J484" s="37"/>
      <c r="K484" s="37"/>
      <c r="L484" s="37"/>
      <c r="M484" s="38" t="e">
        <f>+[1]FORM!G574</f>
        <v>#N/A</v>
      </c>
      <c r="N484" s="39" t="e">
        <f>+[1]FORM!H574</f>
        <v>#N/A</v>
      </c>
    </row>
    <row r="485" spans="2:14">
      <c r="B485" s="30"/>
      <c r="C485" s="30"/>
      <c r="D485" s="36"/>
      <c r="E485" s="36"/>
      <c r="F485" s="36"/>
      <c r="G485" s="37"/>
      <c r="H485" s="37"/>
      <c r="I485" s="37"/>
      <c r="J485" s="37"/>
      <c r="K485" s="37"/>
      <c r="L485" s="37"/>
      <c r="M485" s="38" t="e">
        <f>+[1]FORM!G575</f>
        <v>#N/A</v>
      </c>
      <c r="N485" s="39" t="e">
        <f>+[1]FORM!H575</f>
        <v>#N/A</v>
      </c>
    </row>
    <row r="486" spans="2:14">
      <c r="B486" s="30"/>
      <c r="C486" s="30"/>
      <c r="D486" s="36"/>
      <c r="E486" s="36"/>
      <c r="F486" s="36"/>
      <c r="G486" s="37"/>
      <c r="H486" s="37"/>
      <c r="I486" s="37"/>
      <c r="J486" s="37"/>
      <c r="K486" s="37"/>
      <c r="L486" s="37"/>
      <c r="M486" s="38" t="e">
        <f>+[1]FORM!G576</f>
        <v>#N/A</v>
      </c>
      <c r="N486" s="39" t="e">
        <f>+[1]FORM!H576</f>
        <v>#N/A</v>
      </c>
    </row>
    <row r="487" spans="2:14">
      <c r="B487" s="30"/>
      <c r="C487" s="30"/>
      <c r="D487" s="36"/>
      <c r="E487" s="36"/>
      <c r="F487" s="36"/>
      <c r="G487" s="37"/>
      <c r="H487" s="37"/>
      <c r="I487" s="37"/>
      <c r="J487" s="37"/>
      <c r="K487" s="37"/>
      <c r="L487" s="37"/>
      <c r="M487" s="38" t="e">
        <f>+[1]FORM!G577</f>
        <v>#N/A</v>
      </c>
      <c r="N487" s="39" t="e">
        <f>+[1]FORM!H577</f>
        <v>#N/A</v>
      </c>
    </row>
    <row r="488" spans="2:14">
      <c r="B488" s="30"/>
      <c r="C488" s="30"/>
      <c r="D488" s="36"/>
      <c r="E488" s="36"/>
      <c r="F488" s="36"/>
      <c r="G488" s="37"/>
      <c r="H488" s="37"/>
      <c r="I488" s="37"/>
      <c r="J488" s="37"/>
      <c r="K488" s="37"/>
      <c r="L488" s="37"/>
      <c r="M488" s="38" t="e">
        <f>+[1]FORM!G578</f>
        <v>#N/A</v>
      </c>
      <c r="N488" s="39" t="e">
        <f>+[1]FORM!H578</f>
        <v>#N/A</v>
      </c>
    </row>
    <row r="489" spans="2:14">
      <c r="B489" s="30"/>
      <c r="C489" s="30"/>
      <c r="D489" s="36"/>
      <c r="E489" s="36"/>
      <c r="F489" s="36"/>
      <c r="G489" s="37"/>
      <c r="H489" s="37"/>
      <c r="I489" s="37"/>
      <c r="J489" s="37"/>
      <c r="K489" s="37"/>
      <c r="L489" s="37"/>
      <c r="M489" s="38" t="e">
        <f>+[1]FORM!G579</f>
        <v>#N/A</v>
      </c>
      <c r="N489" s="39" t="e">
        <f>+[1]FORM!H579</f>
        <v>#N/A</v>
      </c>
    </row>
    <row r="490" spans="2:14">
      <c r="B490" s="30"/>
      <c r="C490" s="30"/>
      <c r="D490" s="36"/>
      <c r="E490" s="36"/>
      <c r="F490" s="36"/>
      <c r="G490" s="37"/>
      <c r="H490" s="37"/>
      <c r="I490" s="37"/>
      <c r="J490" s="37"/>
      <c r="K490" s="37"/>
      <c r="L490" s="37"/>
      <c r="M490" s="38" t="e">
        <f>+[1]FORM!G580</f>
        <v>#N/A</v>
      </c>
      <c r="N490" s="39" t="e">
        <f>+[1]FORM!H580</f>
        <v>#N/A</v>
      </c>
    </row>
    <row r="491" spans="2:14">
      <c r="B491" s="30"/>
      <c r="C491" s="30"/>
      <c r="D491" s="36"/>
      <c r="E491" s="36"/>
      <c r="F491" s="36"/>
      <c r="G491" s="37"/>
      <c r="H491" s="37"/>
      <c r="I491" s="37"/>
      <c r="J491" s="37"/>
      <c r="K491" s="37"/>
      <c r="L491" s="37"/>
      <c r="M491" s="38" t="e">
        <f>+[1]FORM!G581</f>
        <v>#N/A</v>
      </c>
      <c r="N491" s="39" t="e">
        <f>+[1]FORM!H581</f>
        <v>#N/A</v>
      </c>
    </row>
    <row r="492" spans="2:14">
      <c r="B492" s="30"/>
      <c r="C492" s="30"/>
      <c r="D492" s="36"/>
      <c r="E492" s="36"/>
      <c r="F492" s="36"/>
      <c r="G492" s="37"/>
      <c r="H492" s="37"/>
      <c r="I492" s="37"/>
      <c r="J492" s="37"/>
      <c r="K492" s="37"/>
      <c r="L492" s="37"/>
      <c r="M492" s="38" t="e">
        <f>+[1]FORM!G582</f>
        <v>#N/A</v>
      </c>
      <c r="N492" s="39" t="e">
        <f>+[1]FORM!H582</f>
        <v>#N/A</v>
      </c>
    </row>
    <row r="493" spans="2:14">
      <c r="B493" s="30"/>
      <c r="C493" s="30"/>
      <c r="D493" s="36"/>
      <c r="E493" s="36"/>
      <c r="F493" s="36"/>
      <c r="G493" s="37"/>
      <c r="H493" s="37"/>
      <c r="I493" s="37"/>
      <c r="J493" s="37"/>
      <c r="K493" s="37"/>
      <c r="L493" s="37"/>
      <c r="M493" s="38" t="e">
        <f>+[1]FORM!G583</f>
        <v>#N/A</v>
      </c>
      <c r="N493" s="39" t="e">
        <f>+[1]FORM!H583</f>
        <v>#N/A</v>
      </c>
    </row>
    <row r="494" spans="2:14">
      <c r="B494" s="30"/>
      <c r="C494" s="30"/>
      <c r="D494" s="36"/>
      <c r="E494" s="36"/>
      <c r="F494" s="36"/>
      <c r="G494" s="37"/>
      <c r="H494" s="37"/>
      <c r="I494" s="37"/>
      <c r="J494" s="37"/>
      <c r="K494" s="37"/>
      <c r="L494" s="37"/>
      <c r="M494" s="38" t="e">
        <f>+[1]FORM!G584</f>
        <v>#N/A</v>
      </c>
      <c r="N494" s="39" t="e">
        <f>+[1]FORM!H584</f>
        <v>#N/A</v>
      </c>
    </row>
    <row r="495" spans="2:14">
      <c r="B495" s="30"/>
      <c r="C495" s="30"/>
      <c r="D495" s="36"/>
      <c r="E495" s="36"/>
      <c r="F495" s="36"/>
      <c r="G495" s="37"/>
      <c r="H495" s="37"/>
      <c r="I495" s="37"/>
      <c r="J495" s="37"/>
      <c r="K495" s="37"/>
      <c r="L495" s="37"/>
      <c r="M495" s="38" t="e">
        <f>+[1]FORM!G585</f>
        <v>#N/A</v>
      </c>
      <c r="N495" s="39" t="e">
        <f>+[1]FORM!H585</f>
        <v>#N/A</v>
      </c>
    </row>
    <row r="496" spans="2:14">
      <c r="B496" s="30"/>
      <c r="C496" s="30"/>
      <c r="D496" s="36"/>
      <c r="E496" s="36"/>
      <c r="F496" s="36"/>
      <c r="G496" s="37"/>
      <c r="H496" s="37"/>
      <c r="I496" s="37"/>
      <c r="J496" s="37"/>
      <c r="K496" s="37"/>
      <c r="L496" s="37"/>
      <c r="M496" s="38" t="e">
        <f>+[1]FORM!G586</f>
        <v>#N/A</v>
      </c>
      <c r="N496" s="39" t="e">
        <f>+[1]FORM!H586</f>
        <v>#N/A</v>
      </c>
    </row>
    <row r="497" spans="2:14">
      <c r="B497" s="30"/>
      <c r="C497" s="30"/>
      <c r="D497" s="36"/>
      <c r="E497" s="36"/>
      <c r="F497" s="36"/>
      <c r="G497" s="37"/>
      <c r="H497" s="37"/>
      <c r="I497" s="37"/>
      <c r="J497" s="37"/>
      <c r="K497" s="37"/>
      <c r="L497" s="37"/>
      <c r="M497" s="38" t="e">
        <f>+[1]FORM!G587</f>
        <v>#N/A</v>
      </c>
      <c r="N497" s="39" t="e">
        <f>+[1]FORM!H587</f>
        <v>#N/A</v>
      </c>
    </row>
    <row r="498" spans="2:14">
      <c r="B498" s="30"/>
      <c r="C498" s="30"/>
      <c r="D498" s="36"/>
      <c r="E498" s="36"/>
      <c r="F498" s="36"/>
      <c r="G498" s="37"/>
      <c r="H498" s="37"/>
      <c r="I498" s="37"/>
      <c r="J498" s="37"/>
      <c r="K498" s="37"/>
      <c r="L498" s="37"/>
      <c r="M498" s="38" t="e">
        <f>+[1]FORM!G588</f>
        <v>#N/A</v>
      </c>
      <c r="N498" s="39" t="e">
        <f>+[1]FORM!H588</f>
        <v>#N/A</v>
      </c>
    </row>
    <row r="499" spans="2:14">
      <c r="B499" s="30"/>
      <c r="C499" s="30"/>
      <c r="D499" s="36"/>
      <c r="E499" s="36"/>
      <c r="F499" s="36"/>
      <c r="G499" s="37"/>
      <c r="H499" s="37"/>
      <c r="I499" s="37"/>
      <c r="J499" s="37"/>
      <c r="K499" s="37"/>
      <c r="L499" s="37"/>
      <c r="M499" s="38" t="e">
        <f>+[1]FORM!G589</f>
        <v>#N/A</v>
      </c>
      <c r="N499" s="39" t="e">
        <f>+[1]FORM!H589</f>
        <v>#N/A</v>
      </c>
    </row>
    <row r="500" spans="2:14">
      <c r="B500" s="30"/>
      <c r="C500" s="30"/>
      <c r="D500" s="36"/>
      <c r="E500" s="36"/>
      <c r="F500" s="36"/>
      <c r="G500" s="37"/>
      <c r="H500" s="37"/>
      <c r="I500" s="37"/>
      <c r="J500" s="37"/>
      <c r="K500" s="37"/>
      <c r="L500" s="37"/>
      <c r="M500" s="38" t="e">
        <f>+[1]FORM!G590</f>
        <v>#N/A</v>
      </c>
      <c r="N500" s="39" t="e">
        <f>+[1]FORM!H590</f>
        <v>#N/A</v>
      </c>
    </row>
    <row r="501" spans="2:14">
      <c r="B501" s="30"/>
      <c r="C501" s="30"/>
      <c r="D501" s="36"/>
      <c r="E501" s="36"/>
      <c r="F501" s="36"/>
      <c r="G501" s="37"/>
      <c r="H501" s="37"/>
      <c r="I501" s="37"/>
      <c r="J501" s="37"/>
      <c r="K501" s="37"/>
      <c r="L501" s="37"/>
      <c r="M501" s="38" t="e">
        <f>+[1]FORM!G591</f>
        <v>#N/A</v>
      </c>
      <c r="N501" s="39" t="e">
        <f>+[1]FORM!H591</f>
        <v>#N/A</v>
      </c>
    </row>
    <row r="502" spans="2:14">
      <c r="B502" s="30"/>
      <c r="C502" s="30"/>
      <c r="D502" s="36"/>
      <c r="E502" s="36"/>
      <c r="F502" s="36"/>
      <c r="G502" s="37"/>
      <c r="H502" s="37"/>
      <c r="I502" s="37"/>
      <c r="J502" s="37"/>
      <c r="K502" s="37"/>
      <c r="L502" s="37"/>
      <c r="M502" s="38" t="e">
        <f>+[1]FORM!G592</f>
        <v>#N/A</v>
      </c>
      <c r="N502" s="39" t="e">
        <f>+[1]FORM!H592</f>
        <v>#N/A</v>
      </c>
    </row>
    <row r="503" spans="2:14">
      <c r="B503" s="30"/>
      <c r="C503" s="30"/>
      <c r="D503" s="36"/>
      <c r="E503" s="36"/>
      <c r="F503" s="36"/>
      <c r="G503" s="37"/>
      <c r="H503" s="37"/>
      <c r="I503" s="37"/>
      <c r="J503" s="37"/>
      <c r="K503" s="37"/>
      <c r="L503" s="37"/>
      <c r="M503" s="38" t="e">
        <f>+[1]FORM!G593</f>
        <v>#N/A</v>
      </c>
      <c r="N503" s="39" t="e">
        <f>+[1]FORM!H593</f>
        <v>#N/A</v>
      </c>
    </row>
    <row r="504" spans="2:14">
      <c r="B504" s="30"/>
      <c r="C504" s="30"/>
      <c r="D504" s="36"/>
      <c r="E504" s="36"/>
      <c r="F504" s="36"/>
      <c r="G504" s="37"/>
      <c r="H504" s="37"/>
      <c r="I504" s="37"/>
      <c r="J504" s="37"/>
      <c r="K504" s="37"/>
      <c r="L504" s="37"/>
      <c r="M504" s="38" t="e">
        <f>+[1]FORM!G594</f>
        <v>#N/A</v>
      </c>
      <c r="N504" s="39" t="e">
        <f>+[1]FORM!H594</f>
        <v>#N/A</v>
      </c>
    </row>
    <row r="505" spans="2:14">
      <c r="B505" s="30"/>
      <c r="C505" s="30"/>
      <c r="D505" s="36"/>
      <c r="E505" s="36"/>
      <c r="F505" s="36"/>
      <c r="G505" s="37"/>
      <c r="H505" s="37"/>
      <c r="I505" s="37"/>
      <c r="J505" s="37"/>
      <c r="K505" s="37"/>
      <c r="L505" s="37"/>
      <c r="M505" s="38" t="e">
        <f>+[1]FORM!G595</f>
        <v>#N/A</v>
      </c>
      <c r="N505" s="39" t="e">
        <f>+[1]FORM!H595</f>
        <v>#N/A</v>
      </c>
    </row>
    <row r="506" spans="2:14">
      <c r="B506" s="30"/>
      <c r="C506" s="30"/>
      <c r="D506" s="36"/>
      <c r="E506" s="36"/>
      <c r="F506" s="36"/>
      <c r="G506" s="37"/>
      <c r="H506" s="37"/>
      <c r="I506" s="37"/>
      <c r="J506" s="37"/>
      <c r="K506" s="37"/>
      <c r="L506" s="37"/>
      <c r="M506" s="38" t="e">
        <f>+[1]FORM!G596</f>
        <v>#N/A</v>
      </c>
      <c r="N506" s="39" t="e">
        <f>+[1]FORM!H596</f>
        <v>#N/A</v>
      </c>
    </row>
    <row r="507" spans="2:14">
      <c r="B507" s="30"/>
      <c r="C507" s="30"/>
      <c r="D507" s="36"/>
      <c r="E507" s="36"/>
      <c r="F507" s="36"/>
      <c r="G507" s="37"/>
      <c r="H507" s="37"/>
      <c r="I507" s="37"/>
      <c r="J507" s="37"/>
      <c r="K507" s="37"/>
      <c r="L507" s="37"/>
      <c r="M507" s="38" t="e">
        <f>+[1]FORM!G597</f>
        <v>#N/A</v>
      </c>
      <c r="N507" s="39" t="e">
        <f>+[1]FORM!H597</f>
        <v>#N/A</v>
      </c>
    </row>
    <row r="508" spans="2:14">
      <c r="B508" s="30"/>
      <c r="C508" s="30"/>
      <c r="D508" s="36"/>
      <c r="E508" s="36"/>
      <c r="F508" s="36"/>
      <c r="G508" s="37"/>
      <c r="H508" s="37"/>
      <c r="I508" s="37"/>
      <c r="J508" s="37"/>
      <c r="K508" s="37"/>
      <c r="L508" s="37"/>
      <c r="M508" s="38" t="e">
        <f>+[1]FORM!G598</f>
        <v>#N/A</v>
      </c>
      <c r="N508" s="39" t="e">
        <f>+[1]FORM!H598</f>
        <v>#N/A</v>
      </c>
    </row>
    <row r="509" spans="2:14">
      <c r="B509" s="30"/>
      <c r="C509" s="30"/>
      <c r="D509" s="36"/>
      <c r="E509" s="36"/>
      <c r="F509" s="36"/>
      <c r="G509" s="37"/>
      <c r="H509" s="37"/>
      <c r="I509" s="37"/>
      <c r="J509" s="37"/>
      <c r="K509" s="37"/>
      <c r="L509" s="37"/>
      <c r="M509" s="38" t="e">
        <f>+[1]FORM!G599</f>
        <v>#N/A</v>
      </c>
      <c r="N509" s="39" t="e">
        <f>+[1]FORM!H599</f>
        <v>#N/A</v>
      </c>
    </row>
    <row r="510" spans="2:14">
      <c r="B510" s="30"/>
      <c r="C510" s="30"/>
      <c r="D510" s="36"/>
      <c r="E510" s="36"/>
      <c r="F510" s="36"/>
      <c r="G510" s="37"/>
      <c r="H510" s="37"/>
      <c r="I510" s="37"/>
      <c r="J510" s="37"/>
      <c r="K510" s="37"/>
      <c r="L510" s="37"/>
      <c r="M510" s="38" t="e">
        <f>+[1]FORM!G600</f>
        <v>#N/A</v>
      </c>
      <c r="N510" s="39" t="e">
        <f>+[1]FORM!H600</f>
        <v>#N/A</v>
      </c>
    </row>
    <row r="511" spans="2:14">
      <c r="B511" s="30"/>
      <c r="C511" s="30"/>
      <c r="D511" s="36"/>
      <c r="E511" s="36"/>
      <c r="F511" s="36"/>
      <c r="G511" s="37"/>
      <c r="H511" s="37"/>
      <c r="I511" s="37"/>
      <c r="J511" s="37"/>
      <c r="K511" s="37"/>
      <c r="L511" s="37"/>
      <c r="M511" s="38" t="e">
        <f>+[1]FORM!G601</f>
        <v>#N/A</v>
      </c>
      <c r="N511" s="39" t="e">
        <f>+[1]FORM!H601</f>
        <v>#N/A</v>
      </c>
    </row>
    <row r="512" spans="2:14">
      <c r="B512" s="30"/>
      <c r="C512" s="30"/>
      <c r="D512" s="36"/>
      <c r="E512" s="36"/>
      <c r="F512" s="36"/>
      <c r="G512" s="37"/>
      <c r="H512" s="37"/>
      <c r="I512" s="37"/>
      <c r="J512" s="37"/>
      <c r="K512" s="37"/>
      <c r="L512" s="37"/>
      <c r="M512" s="38" t="e">
        <f>+[1]FORM!G602</f>
        <v>#N/A</v>
      </c>
      <c r="N512" s="39" t="e">
        <f>+[1]FORM!H602</f>
        <v>#N/A</v>
      </c>
    </row>
    <row r="513" spans="2:14">
      <c r="B513" s="30"/>
      <c r="C513" s="30"/>
      <c r="D513" s="36"/>
      <c r="E513" s="36"/>
      <c r="F513" s="36"/>
      <c r="G513" s="37"/>
      <c r="H513" s="37"/>
      <c r="I513" s="37"/>
      <c r="J513" s="37"/>
      <c r="K513" s="37"/>
      <c r="L513" s="37"/>
      <c r="M513" s="38" t="e">
        <f>+[1]FORM!G603</f>
        <v>#N/A</v>
      </c>
      <c r="N513" s="39" t="e">
        <f>+[1]FORM!H603</f>
        <v>#N/A</v>
      </c>
    </row>
    <row r="514" spans="2:14">
      <c r="B514" s="30"/>
      <c r="C514" s="30"/>
      <c r="D514" s="36"/>
      <c r="E514" s="36"/>
      <c r="F514" s="36"/>
      <c r="G514" s="37"/>
      <c r="H514" s="37"/>
      <c r="I514" s="37"/>
      <c r="J514" s="37"/>
      <c r="K514" s="37"/>
      <c r="L514" s="37"/>
      <c r="M514" s="38" t="e">
        <f>+[1]FORM!G604</f>
        <v>#N/A</v>
      </c>
      <c r="N514" s="39" t="e">
        <f>+[1]FORM!H604</f>
        <v>#N/A</v>
      </c>
    </row>
    <row r="515" spans="2:14">
      <c r="B515" s="30"/>
      <c r="C515" s="30"/>
      <c r="D515" s="36"/>
      <c r="E515" s="36"/>
      <c r="F515" s="36"/>
      <c r="G515" s="37"/>
      <c r="H515" s="37"/>
      <c r="I515" s="37"/>
      <c r="J515" s="37"/>
      <c r="K515" s="37"/>
      <c r="L515" s="37"/>
      <c r="M515" s="38" t="e">
        <f>+[1]FORM!G605</f>
        <v>#N/A</v>
      </c>
      <c r="N515" s="39" t="e">
        <f>+[1]FORM!H605</f>
        <v>#N/A</v>
      </c>
    </row>
    <row r="516" spans="2:14">
      <c r="B516" s="30"/>
      <c r="C516" s="30"/>
      <c r="D516" s="36"/>
      <c r="E516" s="36"/>
      <c r="F516" s="36"/>
      <c r="G516" s="37"/>
      <c r="H516" s="37"/>
      <c r="I516" s="37"/>
      <c r="J516" s="37"/>
      <c r="K516" s="37"/>
      <c r="L516" s="37"/>
      <c r="M516" s="38" t="e">
        <f>+[1]FORM!G606</f>
        <v>#N/A</v>
      </c>
      <c r="N516" s="39" t="e">
        <f>+[1]FORM!H606</f>
        <v>#N/A</v>
      </c>
    </row>
    <row r="517" spans="2:14">
      <c r="B517" s="30"/>
      <c r="C517" s="30"/>
      <c r="D517" s="36"/>
      <c r="E517" s="36"/>
      <c r="F517" s="36"/>
      <c r="G517" s="37"/>
      <c r="H517" s="37"/>
      <c r="I517" s="37"/>
      <c r="J517" s="37"/>
      <c r="K517" s="37"/>
      <c r="L517" s="37"/>
      <c r="M517" s="38" t="e">
        <f>+[1]FORM!G607</f>
        <v>#N/A</v>
      </c>
      <c r="N517" s="39" t="e">
        <f>+[1]FORM!H607</f>
        <v>#N/A</v>
      </c>
    </row>
    <row r="518" spans="2:14">
      <c r="B518" s="30"/>
      <c r="C518" s="30"/>
      <c r="D518" s="36"/>
      <c r="E518" s="36"/>
      <c r="F518" s="36"/>
      <c r="G518" s="37"/>
      <c r="H518" s="37"/>
      <c r="I518" s="37"/>
      <c r="J518" s="37"/>
      <c r="K518" s="37"/>
      <c r="L518" s="37"/>
      <c r="M518" s="38" t="e">
        <f>+[1]FORM!G608</f>
        <v>#N/A</v>
      </c>
      <c r="N518" s="39" t="e">
        <f>+[1]FORM!H608</f>
        <v>#N/A</v>
      </c>
    </row>
    <row r="519" spans="2:14">
      <c r="B519" s="30"/>
      <c r="C519" s="30"/>
      <c r="D519" s="36"/>
      <c r="E519" s="36"/>
      <c r="F519" s="36"/>
      <c r="G519" s="37"/>
      <c r="H519" s="37"/>
      <c r="I519" s="37"/>
      <c r="J519" s="37"/>
      <c r="K519" s="37"/>
      <c r="L519" s="37"/>
      <c r="M519" s="38" t="e">
        <f>+[1]FORM!G609</f>
        <v>#N/A</v>
      </c>
      <c r="N519" s="39" t="e">
        <f>+[1]FORM!H609</f>
        <v>#N/A</v>
      </c>
    </row>
    <row r="520" spans="2:14">
      <c r="B520" s="30"/>
      <c r="C520" s="30"/>
      <c r="D520" s="36"/>
      <c r="E520" s="36"/>
      <c r="F520" s="36"/>
      <c r="G520" s="37"/>
      <c r="H520" s="37"/>
      <c r="I520" s="37"/>
      <c r="J520" s="37"/>
      <c r="K520" s="37"/>
      <c r="L520" s="37"/>
      <c r="M520" s="38" t="e">
        <f>+[1]FORM!G610</f>
        <v>#N/A</v>
      </c>
      <c r="N520" s="39" t="e">
        <f>+[1]FORM!H610</f>
        <v>#N/A</v>
      </c>
    </row>
    <row r="521" spans="2:14">
      <c r="B521" s="30"/>
      <c r="C521" s="30"/>
      <c r="D521" s="36"/>
      <c r="E521" s="36"/>
      <c r="F521" s="36"/>
      <c r="G521" s="37"/>
      <c r="H521" s="37"/>
      <c r="I521" s="37"/>
      <c r="J521" s="37"/>
      <c r="K521" s="37"/>
      <c r="L521" s="37"/>
      <c r="M521" s="38" t="e">
        <f>+[1]FORM!G611</f>
        <v>#N/A</v>
      </c>
      <c r="N521" s="39" t="e">
        <f>+[1]FORM!H611</f>
        <v>#N/A</v>
      </c>
    </row>
    <row r="522" spans="2:14">
      <c r="B522" s="30"/>
      <c r="C522" s="30"/>
      <c r="D522" s="36"/>
      <c r="E522" s="36"/>
      <c r="F522" s="36"/>
      <c r="G522" s="37"/>
      <c r="H522" s="37"/>
      <c r="I522" s="37"/>
      <c r="J522" s="37"/>
      <c r="K522" s="37"/>
      <c r="L522" s="37"/>
      <c r="M522" s="38" t="e">
        <f>+[1]FORM!G612</f>
        <v>#N/A</v>
      </c>
      <c r="N522" s="39" t="e">
        <f>+[1]FORM!H612</f>
        <v>#N/A</v>
      </c>
    </row>
    <row r="523" spans="2:14">
      <c r="B523" s="30"/>
      <c r="C523" s="30"/>
      <c r="D523" s="36"/>
      <c r="E523" s="36"/>
      <c r="F523" s="36"/>
      <c r="G523" s="37"/>
      <c r="H523" s="37"/>
      <c r="I523" s="37"/>
      <c r="J523" s="37"/>
      <c r="K523" s="37"/>
      <c r="L523" s="37"/>
      <c r="M523" s="38" t="e">
        <f>+[1]FORM!G613</f>
        <v>#N/A</v>
      </c>
      <c r="N523" s="39" t="e">
        <f>+[1]FORM!H613</f>
        <v>#N/A</v>
      </c>
    </row>
    <row r="524" spans="2:14">
      <c r="B524" s="30"/>
      <c r="C524" s="30"/>
      <c r="D524" s="36"/>
      <c r="E524" s="36"/>
      <c r="F524" s="36"/>
      <c r="G524" s="37"/>
      <c r="H524" s="37"/>
      <c r="I524" s="37"/>
      <c r="J524" s="37"/>
      <c r="K524" s="37"/>
      <c r="L524" s="37"/>
      <c r="M524" s="38" t="e">
        <f>+[1]FORM!G614</f>
        <v>#N/A</v>
      </c>
      <c r="N524" s="39" t="e">
        <f>+[1]FORM!H614</f>
        <v>#N/A</v>
      </c>
    </row>
    <row r="525" spans="2:14">
      <c r="B525" s="30"/>
      <c r="C525" s="30"/>
      <c r="D525" s="36"/>
      <c r="E525" s="36"/>
      <c r="F525" s="36"/>
      <c r="G525" s="37"/>
      <c r="H525" s="37"/>
      <c r="I525" s="37"/>
      <c r="J525" s="37"/>
      <c r="K525" s="37"/>
      <c r="L525" s="37"/>
      <c r="M525" s="38" t="e">
        <f>+[1]FORM!G615</f>
        <v>#N/A</v>
      </c>
      <c r="N525" s="39" t="e">
        <f>+[1]FORM!H615</f>
        <v>#N/A</v>
      </c>
    </row>
    <row r="526" spans="2:14">
      <c r="B526" s="30"/>
      <c r="C526" s="30"/>
      <c r="D526" s="36"/>
      <c r="E526" s="36"/>
      <c r="F526" s="36"/>
      <c r="G526" s="37"/>
      <c r="H526" s="37"/>
      <c r="I526" s="37"/>
      <c r="J526" s="37"/>
      <c r="K526" s="37"/>
      <c r="L526" s="37"/>
      <c r="M526" s="38" t="e">
        <f>+[1]FORM!G616</f>
        <v>#N/A</v>
      </c>
      <c r="N526" s="39" t="e">
        <f>+[1]FORM!H616</f>
        <v>#N/A</v>
      </c>
    </row>
    <row r="527" spans="2:14">
      <c r="B527" s="30"/>
      <c r="C527" s="30"/>
      <c r="D527" s="36"/>
      <c r="E527" s="36"/>
      <c r="F527" s="36"/>
      <c r="G527" s="37"/>
      <c r="H527" s="37"/>
      <c r="I527" s="37"/>
      <c r="J527" s="37"/>
      <c r="K527" s="37"/>
      <c r="L527" s="37"/>
      <c r="M527" s="38" t="e">
        <f>+[1]FORM!G617</f>
        <v>#N/A</v>
      </c>
      <c r="N527" s="39" t="e">
        <f>+[1]FORM!H617</f>
        <v>#N/A</v>
      </c>
    </row>
    <row r="528" spans="2:14">
      <c r="B528" s="30"/>
      <c r="C528" s="30"/>
      <c r="D528" s="36"/>
      <c r="E528" s="36"/>
      <c r="F528" s="36"/>
      <c r="G528" s="37"/>
      <c r="H528" s="37"/>
      <c r="I528" s="37"/>
      <c r="J528" s="37"/>
      <c r="K528" s="37"/>
      <c r="L528" s="37"/>
      <c r="M528" s="38" t="e">
        <f>+[1]FORM!G618</f>
        <v>#N/A</v>
      </c>
      <c r="N528" s="39" t="e">
        <f>+[1]FORM!H618</f>
        <v>#N/A</v>
      </c>
    </row>
    <row r="529" spans="2:14">
      <c r="B529" s="30"/>
      <c r="C529" s="30"/>
      <c r="D529" s="36"/>
      <c r="E529" s="36"/>
      <c r="F529" s="36"/>
      <c r="G529" s="37"/>
      <c r="H529" s="37"/>
      <c r="I529" s="37"/>
      <c r="J529" s="37"/>
      <c r="K529" s="37"/>
      <c r="L529" s="37"/>
      <c r="M529" s="38" t="e">
        <f>+[1]FORM!G619</f>
        <v>#N/A</v>
      </c>
      <c r="N529" s="39" t="e">
        <f>+[1]FORM!H619</f>
        <v>#N/A</v>
      </c>
    </row>
    <row r="530" spans="2:14">
      <c r="B530" s="30"/>
      <c r="C530" s="30"/>
      <c r="D530" s="36"/>
      <c r="E530" s="36"/>
      <c r="F530" s="36"/>
      <c r="G530" s="37"/>
      <c r="H530" s="37"/>
      <c r="I530" s="37"/>
      <c r="J530" s="37"/>
      <c r="K530" s="37"/>
      <c r="L530" s="37"/>
      <c r="M530" s="38" t="e">
        <f>+[1]FORM!G620</f>
        <v>#N/A</v>
      </c>
      <c r="N530" s="39" t="e">
        <f>+[1]FORM!H620</f>
        <v>#N/A</v>
      </c>
    </row>
    <row r="531" spans="2:14">
      <c r="B531" s="30"/>
      <c r="C531" s="30"/>
      <c r="D531" s="36"/>
      <c r="E531" s="36"/>
      <c r="F531" s="36"/>
      <c r="G531" s="37"/>
      <c r="H531" s="37"/>
      <c r="I531" s="37"/>
      <c r="J531" s="37"/>
      <c r="K531" s="37"/>
      <c r="L531" s="37"/>
      <c r="M531" s="38" t="e">
        <f>+[1]FORM!G621</f>
        <v>#N/A</v>
      </c>
      <c r="N531" s="39" t="e">
        <f>+[1]FORM!H621</f>
        <v>#N/A</v>
      </c>
    </row>
    <row r="532" spans="2:14">
      <c r="B532" s="30"/>
      <c r="C532" s="30"/>
      <c r="D532" s="36"/>
      <c r="E532" s="36"/>
      <c r="F532" s="36"/>
      <c r="G532" s="37"/>
      <c r="H532" s="37"/>
      <c r="I532" s="37"/>
      <c r="J532" s="37"/>
      <c r="K532" s="37"/>
      <c r="L532" s="37"/>
      <c r="M532" s="38" t="e">
        <f>+[1]FORM!G622</f>
        <v>#N/A</v>
      </c>
      <c r="N532" s="39" t="e">
        <f>+[1]FORM!H622</f>
        <v>#N/A</v>
      </c>
    </row>
    <row r="533" spans="2:14">
      <c r="B533" s="30"/>
      <c r="C533" s="30"/>
      <c r="D533" s="36"/>
      <c r="E533" s="36"/>
      <c r="F533" s="36"/>
      <c r="G533" s="37"/>
      <c r="H533" s="37"/>
      <c r="I533" s="37"/>
      <c r="J533" s="37"/>
      <c r="K533" s="37"/>
      <c r="L533" s="37"/>
      <c r="M533" s="38" t="e">
        <f>+[1]FORM!G623</f>
        <v>#N/A</v>
      </c>
      <c r="N533" s="39" t="e">
        <f>+[1]FORM!H623</f>
        <v>#N/A</v>
      </c>
    </row>
    <row r="534" spans="2:14">
      <c r="B534" s="30"/>
      <c r="C534" s="30"/>
      <c r="D534" s="36"/>
      <c r="E534" s="36"/>
      <c r="F534" s="36"/>
      <c r="G534" s="37"/>
      <c r="H534" s="37"/>
      <c r="I534" s="37"/>
      <c r="J534" s="37"/>
      <c r="K534" s="37"/>
      <c r="L534" s="37"/>
      <c r="M534" s="38" t="e">
        <f>+[1]FORM!G624</f>
        <v>#N/A</v>
      </c>
      <c r="N534" s="39" t="e">
        <f>+[1]FORM!H624</f>
        <v>#N/A</v>
      </c>
    </row>
    <row r="535" spans="2:14">
      <c r="B535" s="30"/>
      <c r="C535" s="30"/>
      <c r="D535" s="36"/>
      <c r="E535" s="36"/>
      <c r="F535" s="36"/>
      <c r="G535" s="37"/>
      <c r="H535" s="37"/>
      <c r="I535" s="37"/>
      <c r="J535" s="37"/>
      <c r="K535" s="37"/>
      <c r="L535" s="37"/>
      <c r="M535" s="38" t="e">
        <f>+[1]FORM!G625</f>
        <v>#N/A</v>
      </c>
      <c r="N535" s="39" t="e">
        <f>+[1]FORM!H625</f>
        <v>#N/A</v>
      </c>
    </row>
    <row r="536" spans="2:14">
      <c r="B536" s="30"/>
      <c r="C536" s="30"/>
      <c r="D536" s="36"/>
      <c r="E536" s="36"/>
      <c r="F536" s="36"/>
      <c r="G536" s="37"/>
      <c r="H536" s="37"/>
      <c r="I536" s="37"/>
      <c r="J536" s="37"/>
      <c r="K536" s="37"/>
      <c r="L536" s="37"/>
      <c r="M536" s="38" t="e">
        <f>+[1]FORM!G626</f>
        <v>#N/A</v>
      </c>
      <c r="N536" s="39" t="e">
        <f>+[1]FORM!H626</f>
        <v>#N/A</v>
      </c>
    </row>
    <row r="537" spans="2:14">
      <c r="B537" s="30"/>
      <c r="C537" s="30"/>
      <c r="D537" s="36"/>
      <c r="E537" s="36"/>
      <c r="F537" s="36"/>
      <c r="G537" s="37"/>
      <c r="H537" s="37"/>
      <c r="I537" s="37"/>
      <c r="J537" s="37"/>
      <c r="K537" s="37"/>
      <c r="L537" s="37"/>
      <c r="M537" s="38" t="e">
        <f>+[1]FORM!G627</f>
        <v>#N/A</v>
      </c>
      <c r="N537" s="39" t="e">
        <f>+[1]FORM!H627</f>
        <v>#N/A</v>
      </c>
    </row>
    <row r="538" spans="2:14">
      <c r="B538" s="30"/>
      <c r="C538" s="30"/>
      <c r="D538" s="36"/>
      <c r="E538" s="36"/>
      <c r="F538" s="36"/>
      <c r="G538" s="37"/>
      <c r="H538" s="37"/>
      <c r="I538" s="37"/>
      <c r="J538" s="37"/>
      <c r="K538" s="37"/>
      <c r="L538" s="37"/>
      <c r="M538" s="38" t="e">
        <f>+[1]FORM!G628</f>
        <v>#N/A</v>
      </c>
      <c r="N538" s="39" t="e">
        <f>+[1]FORM!H628</f>
        <v>#N/A</v>
      </c>
    </row>
    <row r="539" spans="2:14">
      <c r="B539" s="30"/>
      <c r="C539" s="30"/>
      <c r="D539" s="36"/>
      <c r="E539" s="36"/>
      <c r="F539" s="36"/>
      <c r="G539" s="37"/>
      <c r="H539" s="37"/>
      <c r="I539" s="37"/>
      <c r="J539" s="37"/>
      <c r="K539" s="37"/>
      <c r="L539" s="37"/>
      <c r="M539" s="38" t="e">
        <f>+[1]FORM!G629</f>
        <v>#N/A</v>
      </c>
      <c r="N539" s="39" t="e">
        <f>+[1]FORM!H629</f>
        <v>#N/A</v>
      </c>
    </row>
    <row r="540" spans="2:14">
      <c r="B540" s="30"/>
      <c r="C540" s="30"/>
      <c r="D540" s="36"/>
      <c r="E540" s="36"/>
      <c r="F540" s="36"/>
      <c r="G540" s="37"/>
      <c r="H540" s="37"/>
      <c r="I540" s="37"/>
      <c r="J540" s="37"/>
      <c r="K540" s="37"/>
      <c r="L540" s="37"/>
      <c r="M540" s="38" t="e">
        <f>+[1]FORM!G630</f>
        <v>#N/A</v>
      </c>
      <c r="N540" s="39" t="e">
        <f>+[1]FORM!H630</f>
        <v>#N/A</v>
      </c>
    </row>
    <row r="541" spans="2:14">
      <c r="B541" s="30"/>
      <c r="C541" s="30"/>
      <c r="D541" s="36"/>
      <c r="E541" s="36"/>
      <c r="F541" s="36"/>
      <c r="G541" s="37"/>
      <c r="H541" s="37"/>
      <c r="I541" s="37"/>
      <c r="J541" s="37"/>
      <c r="K541" s="37"/>
      <c r="L541" s="37"/>
      <c r="M541" s="38" t="e">
        <f>+[1]FORM!G631</f>
        <v>#N/A</v>
      </c>
      <c r="N541" s="39" t="e">
        <f>+[1]FORM!H631</f>
        <v>#N/A</v>
      </c>
    </row>
    <row r="542" spans="2:14">
      <c r="B542" s="30"/>
      <c r="C542" s="30"/>
      <c r="D542" s="36"/>
      <c r="E542" s="36"/>
      <c r="F542" s="36"/>
      <c r="G542" s="37"/>
      <c r="H542" s="37"/>
      <c r="I542" s="37"/>
      <c r="J542" s="37"/>
      <c r="K542" s="37"/>
      <c r="L542" s="37"/>
      <c r="M542" s="38" t="e">
        <f>+[1]FORM!G632</f>
        <v>#N/A</v>
      </c>
      <c r="N542" s="39" t="e">
        <f>+[1]FORM!H632</f>
        <v>#N/A</v>
      </c>
    </row>
    <row r="543" spans="2:14">
      <c r="B543" s="30"/>
      <c r="C543" s="30"/>
      <c r="D543" s="36"/>
      <c r="E543" s="36"/>
      <c r="F543" s="36"/>
      <c r="G543" s="37"/>
      <c r="H543" s="37"/>
      <c r="I543" s="37"/>
      <c r="J543" s="37"/>
      <c r="K543" s="37"/>
      <c r="L543" s="37"/>
      <c r="M543" s="38" t="e">
        <f>+[1]FORM!G633</f>
        <v>#N/A</v>
      </c>
      <c r="N543" s="39" t="e">
        <f>+[1]FORM!H633</f>
        <v>#N/A</v>
      </c>
    </row>
    <row r="544" spans="2:14">
      <c r="B544" s="30"/>
      <c r="C544" s="30"/>
      <c r="D544" s="36"/>
      <c r="E544" s="36"/>
      <c r="F544" s="36"/>
      <c r="G544" s="37"/>
      <c r="H544" s="37"/>
      <c r="I544" s="37"/>
      <c r="J544" s="37"/>
      <c r="K544" s="37"/>
      <c r="L544" s="37"/>
      <c r="M544" s="38" t="e">
        <f>+[1]FORM!G634</f>
        <v>#N/A</v>
      </c>
      <c r="N544" s="39" t="e">
        <f>+[1]FORM!H634</f>
        <v>#N/A</v>
      </c>
    </row>
    <row r="545" spans="2:14">
      <c r="B545" s="30"/>
      <c r="C545" s="30"/>
      <c r="D545" s="36"/>
      <c r="E545" s="36"/>
      <c r="F545" s="36"/>
      <c r="G545" s="37"/>
      <c r="H545" s="37"/>
      <c r="I545" s="37"/>
      <c r="J545" s="37"/>
      <c r="K545" s="37"/>
      <c r="L545" s="37"/>
      <c r="M545" s="38" t="e">
        <f>+[1]FORM!G635</f>
        <v>#N/A</v>
      </c>
      <c r="N545" s="39" t="e">
        <f>+[1]FORM!H635</f>
        <v>#N/A</v>
      </c>
    </row>
    <row r="546" spans="2:14">
      <c r="B546" s="30"/>
      <c r="C546" s="30"/>
      <c r="D546" s="36"/>
      <c r="E546" s="36"/>
      <c r="F546" s="36"/>
      <c r="G546" s="37"/>
      <c r="H546" s="37"/>
      <c r="I546" s="37"/>
      <c r="J546" s="37"/>
      <c r="K546" s="37"/>
      <c r="L546" s="37"/>
      <c r="M546" s="38" t="e">
        <f>+[1]FORM!G636</f>
        <v>#N/A</v>
      </c>
      <c r="N546" s="39" t="e">
        <f>+[1]FORM!H636</f>
        <v>#N/A</v>
      </c>
    </row>
    <row r="547" spans="2:14">
      <c r="B547" s="30"/>
      <c r="C547" s="30"/>
      <c r="D547" s="36"/>
      <c r="E547" s="36"/>
      <c r="F547" s="36"/>
      <c r="G547" s="37"/>
      <c r="H547" s="37"/>
      <c r="I547" s="37"/>
      <c r="J547" s="37"/>
      <c r="K547" s="37"/>
      <c r="L547" s="37"/>
      <c r="M547" s="38" t="e">
        <f>+[1]FORM!G637</f>
        <v>#N/A</v>
      </c>
      <c r="N547" s="39" t="e">
        <f>+[1]FORM!H637</f>
        <v>#N/A</v>
      </c>
    </row>
    <row r="548" spans="2:14">
      <c r="B548" s="30"/>
      <c r="C548" s="30"/>
      <c r="D548" s="36"/>
      <c r="E548" s="36"/>
      <c r="F548" s="36"/>
      <c r="G548" s="37"/>
      <c r="H548" s="37"/>
      <c r="I548" s="37"/>
      <c r="J548" s="37"/>
      <c r="K548" s="37"/>
      <c r="L548" s="37"/>
      <c r="M548" s="38" t="e">
        <f>+[1]FORM!G638</f>
        <v>#N/A</v>
      </c>
      <c r="N548" s="39" t="e">
        <f>+[1]FORM!H638</f>
        <v>#N/A</v>
      </c>
    </row>
    <row r="549" spans="2:14">
      <c r="B549" s="30"/>
      <c r="C549" s="30"/>
      <c r="D549" s="36"/>
      <c r="E549" s="36"/>
      <c r="F549" s="36"/>
      <c r="G549" s="37"/>
      <c r="H549" s="37"/>
      <c r="I549" s="37"/>
      <c r="J549" s="37"/>
      <c r="K549" s="37"/>
      <c r="L549" s="37"/>
      <c r="M549" s="38" t="e">
        <f>+[1]FORM!G639</f>
        <v>#N/A</v>
      </c>
      <c r="N549" s="39" t="e">
        <f>+[1]FORM!H639</f>
        <v>#N/A</v>
      </c>
    </row>
    <row r="550" spans="2:14">
      <c r="B550" s="30"/>
      <c r="C550" s="30"/>
      <c r="D550" s="36"/>
      <c r="E550" s="36"/>
      <c r="F550" s="36"/>
      <c r="G550" s="37"/>
      <c r="H550" s="37"/>
      <c r="I550" s="37"/>
      <c r="J550" s="37"/>
      <c r="K550" s="37"/>
      <c r="L550" s="37"/>
      <c r="M550" s="38" t="e">
        <f>+[1]FORM!G640</f>
        <v>#N/A</v>
      </c>
      <c r="N550" s="39" t="e">
        <f>+[1]FORM!H640</f>
        <v>#N/A</v>
      </c>
    </row>
    <row r="551" spans="2:14">
      <c r="B551" s="30"/>
      <c r="C551" s="30"/>
      <c r="D551" s="36"/>
      <c r="E551" s="36"/>
      <c r="F551" s="36"/>
      <c r="G551" s="37"/>
      <c r="H551" s="37"/>
      <c r="I551" s="37"/>
      <c r="J551" s="37"/>
      <c r="K551" s="37"/>
      <c r="L551" s="37"/>
      <c r="M551" s="38" t="e">
        <f>+[1]FORM!G641</f>
        <v>#N/A</v>
      </c>
      <c r="N551" s="39" t="e">
        <f>+[1]FORM!H641</f>
        <v>#N/A</v>
      </c>
    </row>
    <row r="552" spans="2:14">
      <c r="B552" s="30"/>
      <c r="C552" s="30"/>
      <c r="D552" s="36"/>
      <c r="E552" s="36"/>
      <c r="F552" s="36"/>
      <c r="G552" s="37"/>
      <c r="H552" s="37"/>
      <c r="I552" s="37"/>
      <c r="J552" s="37"/>
      <c r="K552" s="37"/>
      <c r="L552" s="37"/>
      <c r="M552" s="38" t="e">
        <f>+[1]FORM!G642</f>
        <v>#N/A</v>
      </c>
      <c r="N552" s="39" t="e">
        <f>+[1]FORM!H642</f>
        <v>#N/A</v>
      </c>
    </row>
    <row r="553" spans="2:14">
      <c r="B553" s="30"/>
      <c r="C553" s="30"/>
      <c r="D553" s="36"/>
      <c r="E553" s="36"/>
      <c r="F553" s="36"/>
      <c r="G553" s="37"/>
      <c r="H553" s="37"/>
      <c r="I553" s="37"/>
      <c r="J553" s="37"/>
      <c r="K553" s="37"/>
      <c r="L553" s="37"/>
      <c r="M553" s="38" t="e">
        <f>+[1]FORM!G643</f>
        <v>#N/A</v>
      </c>
      <c r="N553" s="39" t="e">
        <f>+[1]FORM!H643</f>
        <v>#N/A</v>
      </c>
    </row>
    <row r="554" spans="2:14">
      <c r="B554" s="30"/>
      <c r="C554" s="30"/>
      <c r="D554" s="36"/>
      <c r="E554" s="36"/>
      <c r="F554" s="36"/>
      <c r="G554" s="37"/>
      <c r="H554" s="37"/>
      <c r="I554" s="37"/>
      <c r="J554" s="37"/>
      <c r="K554" s="37"/>
      <c r="L554" s="37"/>
      <c r="M554" s="38" t="e">
        <f>+[1]FORM!G644</f>
        <v>#N/A</v>
      </c>
      <c r="N554" s="39" t="e">
        <f>+[1]FORM!H644</f>
        <v>#N/A</v>
      </c>
    </row>
    <row r="555" spans="2:14">
      <c r="B555" s="30"/>
      <c r="C555" s="30"/>
      <c r="D555" s="36"/>
      <c r="E555" s="36"/>
      <c r="F555" s="36"/>
      <c r="G555" s="37"/>
      <c r="H555" s="37"/>
      <c r="I555" s="37"/>
      <c r="J555" s="37"/>
      <c r="K555" s="37"/>
      <c r="L555" s="37"/>
      <c r="M555" s="38" t="e">
        <f>+[1]FORM!G645</f>
        <v>#N/A</v>
      </c>
      <c r="N555" s="39" t="e">
        <f>+[1]FORM!H645</f>
        <v>#N/A</v>
      </c>
    </row>
    <row r="556" spans="2:14">
      <c r="B556" s="30"/>
      <c r="C556" s="30"/>
      <c r="D556" s="36"/>
      <c r="E556" s="36"/>
      <c r="F556" s="36"/>
      <c r="G556" s="37"/>
      <c r="H556" s="37"/>
      <c r="I556" s="37"/>
      <c r="J556" s="37"/>
      <c r="K556" s="37"/>
      <c r="L556" s="37"/>
      <c r="M556" s="38" t="e">
        <f>+[1]FORM!G646</f>
        <v>#N/A</v>
      </c>
      <c r="N556" s="39" t="e">
        <f>+[1]FORM!H646</f>
        <v>#N/A</v>
      </c>
    </row>
    <row r="557" spans="2:14">
      <c r="B557" s="30"/>
      <c r="C557" s="30"/>
      <c r="D557" s="36"/>
      <c r="E557" s="36"/>
      <c r="F557" s="36"/>
      <c r="G557" s="37"/>
      <c r="H557" s="37"/>
      <c r="I557" s="37"/>
      <c r="J557" s="37"/>
      <c r="K557" s="37"/>
      <c r="L557" s="37"/>
      <c r="M557" s="38" t="e">
        <f>+[1]FORM!G647</f>
        <v>#N/A</v>
      </c>
      <c r="N557" s="39" t="e">
        <f>+[1]FORM!H647</f>
        <v>#N/A</v>
      </c>
    </row>
    <row r="558" spans="2:14">
      <c r="B558" s="30"/>
      <c r="C558" s="30"/>
      <c r="D558" s="36"/>
      <c r="E558" s="36"/>
      <c r="F558" s="36"/>
      <c r="G558" s="37"/>
      <c r="H558" s="37"/>
      <c r="I558" s="37"/>
      <c r="J558" s="37"/>
      <c r="K558" s="37"/>
      <c r="L558" s="37"/>
      <c r="M558" s="38" t="e">
        <f>+[1]FORM!G648</f>
        <v>#N/A</v>
      </c>
      <c r="N558" s="39" t="e">
        <f>+[1]FORM!H648</f>
        <v>#N/A</v>
      </c>
    </row>
    <row r="559" spans="2:14">
      <c r="B559" s="30"/>
      <c r="C559" s="30"/>
      <c r="D559" s="36"/>
      <c r="E559" s="36"/>
      <c r="F559" s="36"/>
      <c r="G559" s="37"/>
      <c r="H559" s="37"/>
      <c r="I559" s="37"/>
      <c r="J559" s="37"/>
      <c r="K559" s="37"/>
      <c r="L559" s="37"/>
      <c r="M559" s="38" t="e">
        <f>+[1]FORM!G649</f>
        <v>#N/A</v>
      </c>
      <c r="N559" s="39" t="e">
        <f>+[1]FORM!H649</f>
        <v>#N/A</v>
      </c>
    </row>
    <row r="560" spans="2:14">
      <c r="B560" s="30"/>
      <c r="C560" s="30"/>
      <c r="D560" s="36"/>
      <c r="E560" s="36"/>
      <c r="F560" s="36"/>
      <c r="G560" s="37"/>
      <c r="H560" s="37"/>
      <c r="I560" s="37"/>
      <c r="J560" s="37"/>
      <c r="K560" s="37"/>
      <c r="L560" s="37"/>
      <c r="M560" s="38" t="e">
        <f>+[1]FORM!G650</f>
        <v>#N/A</v>
      </c>
      <c r="N560" s="39" t="e">
        <f>+[1]FORM!H650</f>
        <v>#N/A</v>
      </c>
    </row>
    <row r="561" spans="2:14">
      <c r="B561" s="30"/>
      <c r="C561" s="30"/>
      <c r="D561" s="36"/>
      <c r="E561" s="36"/>
      <c r="F561" s="36"/>
      <c r="G561" s="37"/>
      <c r="H561" s="37"/>
      <c r="I561" s="37"/>
      <c r="J561" s="37"/>
      <c r="K561" s="37"/>
      <c r="L561" s="37"/>
      <c r="M561" s="38" t="e">
        <f>+[1]FORM!G651</f>
        <v>#N/A</v>
      </c>
      <c r="N561" s="39" t="e">
        <f>+[1]FORM!H651</f>
        <v>#N/A</v>
      </c>
    </row>
    <row r="562" spans="2:14">
      <c r="B562" s="30"/>
      <c r="C562" s="30"/>
      <c r="D562" s="36"/>
      <c r="E562" s="36"/>
      <c r="F562" s="36"/>
      <c r="G562" s="37"/>
      <c r="H562" s="37"/>
      <c r="I562" s="37"/>
      <c r="J562" s="37"/>
      <c r="K562" s="37"/>
      <c r="L562" s="37"/>
      <c r="M562" s="38" t="e">
        <f>+[1]FORM!G652</f>
        <v>#N/A</v>
      </c>
      <c r="N562" s="39" t="e">
        <f>+[1]FORM!H652</f>
        <v>#N/A</v>
      </c>
    </row>
    <row r="563" spans="2:14">
      <c r="B563" s="30"/>
      <c r="C563" s="30"/>
      <c r="D563" s="36"/>
      <c r="E563" s="36"/>
      <c r="F563" s="36"/>
      <c r="G563" s="37"/>
      <c r="H563" s="37"/>
      <c r="I563" s="37"/>
      <c r="J563" s="37"/>
      <c r="K563" s="37"/>
      <c r="L563" s="37"/>
      <c r="M563" s="38" t="e">
        <f>+[1]FORM!G653</f>
        <v>#N/A</v>
      </c>
      <c r="N563" s="39" t="e">
        <f>+[1]FORM!H653</f>
        <v>#N/A</v>
      </c>
    </row>
    <row r="564" spans="2:14">
      <c r="B564" s="30"/>
      <c r="C564" s="30"/>
      <c r="D564" s="36"/>
      <c r="E564" s="36"/>
      <c r="F564" s="36"/>
      <c r="G564" s="37"/>
      <c r="H564" s="37"/>
      <c r="I564" s="37"/>
      <c r="J564" s="37"/>
      <c r="K564" s="37"/>
      <c r="L564" s="37"/>
      <c r="M564" s="38" t="e">
        <f>+[1]FORM!G654</f>
        <v>#N/A</v>
      </c>
      <c r="N564" s="39" t="e">
        <f>+[1]FORM!H654</f>
        <v>#N/A</v>
      </c>
    </row>
    <row r="565" spans="2:14">
      <c r="B565" s="30"/>
      <c r="C565" s="30"/>
      <c r="D565" s="36"/>
      <c r="E565" s="36"/>
      <c r="F565" s="36"/>
      <c r="G565" s="37"/>
      <c r="H565" s="37"/>
      <c r="I565" s="37"/>
      <c r="J565" s="37"/>
      <c r="K565" s="37"/>
      <c r="L565" s="37"/>
      <c r="M565" s="38" t="e">
        <f>+[1]FORM!G655</f>
        <v>#N/A</v>
      </c>
      <c r="N565" s="39" t="e">
        <f>+[1]FORM!H655</f>
        <v>#N/A</v>
      </c>
    </row>
    <row r="566" spans="2:14">
      <c r="B566" s="30"/>
      <c r="C566" s="30"/>
      <c r="D566" s="36"/>
      <c r="E566" s="36"/>
      <c r="F566" s="36"/>
      <c r="G566" s="37"/>
      <c r="H566" s="37"/>
      <c r="I566" s="37"/>
      <c r="J566" s="37"/>
      <c r="K566" s="37"/>
      <c r="L566" s="37"/>
      <c r="M566" s="38" t="e">
        <f>+[1]FORM!G656</f>
        <v>#N/A</v>
      </c>
      <c r="N566" s="39" t="e">
        <f>+[1]FORM!H656</f>
        <v>#N/A</v>
      </c>
    </row>
    <row r="567" spans="2:14">
      <c r="B567" s="30"/>
      <c r="C567" s="30"/>
      <c r="D567" s="36"/>
      <c r="E567" s="36"/>
      <c r="F567" s="36"/>
      <c r="G567" s="37"/>
      <c r="H567" s="37"/>
      <c r="I567" s="37"/>
      <c r="J567" s="37"/>
      <c r="K567" s="37"/>
      <c r="L567" s="37"/>
      <c r="M567" s="38" t="e">
        <f>+[1]FORM!G657</f>
        <v>#N/A</v>
      </c>
      <c r="N567" s="39" t="e">
        <f>+[1]FORM!H657</f>
        <v>#N/A</v>
      </c>
    </row>
    <row r="568" spans="2:14">
      <c r="B568" s="30"/>
      <c r="C568" s="30"/>
      <c r="D568" s="36"/>
      <c r="E568" s="36"/>
      <c r="F568" s="36"/>
      <c r="G568" s="37"/>
      <c r="H568" s="37"/>
      <c r="I568" s="37"/>
      <c r="J568" s="37"/>
      <c r="K568" s="37"/>
      <c r="L568" s="37"/>
      <c r="M568" s="38" t="e">
        <f>+[1]FORM!G658</f>
        <v>#N/A</v>
      </c>
      <c r="N568" s="39" t="e">
        <f>+[1]FORM!H658</f>
        <v>#N/A</v>
      </c>
    </row>
    <row r="569" spans="2:14">
      <c r="B569" s="30"/>
      <c r="C569" s="30"/>
      <c r="D569" s="36"/>
      <c r="E569" s="36"/>
      <c r="F569" s="36"/>
      <c r="G569" s="37"/>
      <c r="H569" s="37"/>
      <c r="I569" s="37"/>
      <c r="J569" s="37"/>
      <c r="K569" s="37"/>
      <c r="L569" s="37"/>
      <c r="M569" s="38" t="e">
        <f>+[1]FORM!G659</f>
        <v>#N/A</v>
      </c>
      <c r="N569" s="39" t="e">
        <f>+[1]FORM!H659</f>
        <v>#N/A</v>
      </c>
    </row>
    <row r="570" spans="2:14">
      <c r="B570" s="30"/>
      <c r="C570" s="30"/>
      <c r="D570" s="36"/>
      <c r="E570" s="36"/>
      <c r="F570" s="36"/>
      <c r="G570" s="37"/>
      <c r="H570" s="37"/>
      <c r="I570" s="37"/>
      <c r="J570" s="37"/>
      <c r="K570" s="37"/>
      <c r="L570" s="37"/>
      <c r="M570" s="38" t="e">
        <f>+[1]FORM!G660</f>
        <v>#N/A</v>
      </c>
      <c r="N570" s="39" t="e">
        <f>+[1]FORM!H660</f>
        <v>#N/A</v>
      </c>
    </row>
    <row r="571" spans="2:14">
      <c r="B571" s="30"/>
      <c r="C571" s="30"/>
      <c r="D571" s="36"/>
      <c r="E571" s="36"/>
      <c r="F571" s="36"/>
      <c r="G571" s="37"/>
      <c r="H571" s="37"/>
      <c r="I571" s="37"/>
      <c r="J571" s="37"/>
      <c r="K571" s="37"/>
      <c r="L571" s="37"/>
      <c r="M571" s="38" t="e">
        <f>+[1]FORM!G661</f>
        <v>#N/A</v>
      </c>
      <c r="N571" s="39" t="e">
        <f>+[1]FORM!H661</f>
        <v>#N/A</v>
      </c>
    </row>
    <row r="572" spans="2:14">
      <c r="B572" s="30"/>
      <c r="C572" s="30"/>
      <c r="D572" s="36"/>
      <c r="E572" s="36"/>
      <c r="F572" s="36"/>
      <c r="G572" s="37"/>
      <c r="H572" s="37"/>
      <c r="I572" s="37"/>
      <c r="J572" s="37"/>
      <c r="K572" s="37"/>
      <c r="L572" s="37"/>
      <c r="M572" s="38" t="e">
        <f>+[1]FORM!G662</f>
        <v>#N/A</v>
      </c>
      <c r="N572" s="39" t="e">
        <f>+[1]FORM!H662</f>
        <v>#N/A</v>
      </c>
    </row>
    <row r="573" spans="2:14">
      <c r="B573" s="30"/>
      <c r="C573" s="30"/>
      <c r="D573" s="36"/>
      <c r="E573" s="36"/>
      <c r="F573" s="36"/>
      <c r="G573" s="37"/>
      <c r="H573" s="37"/>
      <c r="I573" s="37"/>
      <c r="J573" s="37"/>
      <c r="K573" s="37"/>
      <c r="L573" s="37"/>
      <c r="M573" s="38" t="e">
        <f>+[1]FORM!G663</f>
        <v>#N/A</v>
      </c>
      <c r="N573" s="39" t="e">
        <f>+[1]FORM!H663</f>
        <v>#N/A</v>
      </c>
    </row>
    <row r="574" spans="2:14">
      <c r="B574" s="30"/>
      <c r="C574" s="30"/>
      <c r="D574" s="36"/>
      <c r="E574" s="36"/>
      <c r="F574" s="36"/>
      <c r="G574" s="37"/>
      <c r="H574" s="37"/>
      <c r="I574" s="37"/>
      <c r="J574" s="37"/>
      <c r="K574" s="37"/>
      <c r="L574" s="37"/>
      <c r="M574" s="38" t="e">
        <f>+[1]FORM!G664</f>
        <v>#N/A</v>
      </c>
      <c r="N574" s="39" t="e">
        <f>+[1]FORM!H664</f>
        <v>#N/A</v>
      </c>
    </row>
    <row r="575" spans="2:14">
      <c r="B575" s="30"/>
      <c r="C575" s="30"/>
      <c r="D575" s="36"/>
      <c r="E575" s="36"/>
      <c r="F575" s="36"/>
      <c r="G575" s="37"/>
      <c r="H575" s="37"/>
      <c r="I575" s="37"/>
      <c r="J575" s="37"/>
      <c r="K575" s="37"/>
      <c r="L575" s="37"/>
      <c r="M575" s="38" t="e">
        <f>+[1]FORM!G665</f>
        <v>#N/A</v>
      </c>
      <c r="N575" s="39" t="e">
        <f>+[1]FORM!H665</f>
        <v>#N/A</v>
      </c>
    </row>
    <row r="576" spans="2:14">
      <c r="B576" s="30"/>
      <c r="C576" s="30"/>
      <c r="D576" s="36"/>
      <c r="E576" s="36"/>
      <c r="F576" s="36"/>
      <c r="G576" s="37"/>
      <c r="H576" s="37"/>
      <c r="I576" s="37"/>
      <c r="J576" s="37"/>
      <c r="K576" s="37"/>
      <c r="L576" s="37"/>
      <c r="M576" s="38" t="e">
        <f>+[1]FORM!G666</f>
        <v>#N/A</v>
      </c>
      <c r="N576" s="39" t="e">
        <f>+[1]FORM!H666</f>
        <v>#N/A</v>
      </c>
    </row>
    <row r="577" spans="2:14">
      <c r="B577" s="30"/>
      <c r="C577" s="30"/>
      <c r="D577" s="36"/>
      <c r="E577" s="36"/>
      <c r="F577" s="36"/>
      <c r="G577" s="37"/>
      <c r="H577" s="37"/>
      <c r="I577" s="37"/>
      <c r="J577" s="37"/>
      <c r="K577" s="37"/>
      <c r="L577" s="37"/>
      <c r="M577" s="38" t="e">
        <f>+[1]FORM!G667</f>
        <v>#N/A</v>
      </c>
      <c r="N577" s="39" t="e">
        <f>+[1]FORM!H667</f>
        <v>#N/A</v>
      </c>
    </row>
    <row r="578" spans="2:14">
      <c r="B578" s="30"/>
      <c r="C578" s="30"/>
      <c r="D578" s="36"/>
      <c r="E578" s="36"/>
      <c r="F578" s="36"/>
      <c r="G578" s="37"/>
      <c r="H578" s="37"/>
      <c r="I578" s="37"/>
      <c r="J578" s="37"/>
      <c r="K578" s="37"/>
      <c r="L578" s="37"/>
      <c r="M578" s="38" t="e">
        <f>+[1]FORM!G668</f>
        <v>#N/A</v>
      </c>
      <c r="N578" s="39" t="e">
        <f>+[1]FORM!H668</f>
        <v>#N/A</v>
      </c>
    </row>
    <row r="579" spans="2:14">
      <c r="B579" s="30"/>
      <c r="C579" s="30"/>
      <c r="D579" s="36"/>
      <c r="E579" s="36"/>
      <c r="F579" s="36"/>
      <c r="G579" s="37"/>
      <c r="H579" s="37"/>
      <c r="I579" s="37"/>
      <c r="J579" s="37"/>
      <c r="K579" s="37"/>
      <c r="L579" s="37"/>
      <c r="M579" s="38" t="e">
        <f>+[1]FORM!G669</f>
        <v>#N/A</v>
      </c>
      <c r="N579" s="39" t="e">
        <f>+[1]FORM!H669</f>
        <v>#N/A</v>
      </c>
    </row>
    <row r="580" spans="2:14">
      <c r="B580" s="30"/>
      <c r="C580" s="30"/>
      <c r="D580" s="36"/>
      <c r="E580" s="36"/>
      <c r="F580" s="36"/>
      <c r="G580" s="37"/>
      <c r="H580" s="37"/>
      <c r="I580" s="37"/>
      <c r="J580" s="37"/>
      <c r="K580" s="37"/>
      <c r="L580" s="37"/>
      <c r="M580" s="38" t="e">
        <f>+[1]FORM!G670</f>
        <v>#N/A</v>
      </c>
      <c r="N580" s="39" t="e">
        <f>+[1]FORM!H670</f>
        <v>#N/A</v>
      </c>
    </row>
    <row r="581" spans="2:14">
      <c r="B581" s="30"/>
      <c r="C581" s="30"/>
      <c r="D581" s="36"/>
      <c r="E581" s="36"/>
      <c r="F581" s="36"/>
      <c r="G581" s="37"/>
      <c r="H581" s="37"/>
      <c r="I581" s="37"/>
      <c r="J581" s="37"/>
      <c r="K581" s="37"/>
      <c r="L581" s="37"/>
      <c r="M581" s="38" t="e">
        <f>+[1]FORM!G671</f>
        <v>#N/A</v>
      </c>
      <c r="N581" s="39" t="e">
        <f>+[1]FORM!H671</f>
        <v>#N/A</v>
      </c>
    </row>
    <row r="582" spans="2:14">
      <c r="B582" s="30"/>
      <c r="C582" s="30"/>
      <c r="D582" s="36"/>
      <c r="E582" s="36"/>
      <c r="F582" s="36"/>
      <c r="G582" s="37"/>
      <c r="H582" s="37"/>
      <c r="I582" s="37"/>
      <c r="J582" s="37"/>
      <c r="K582" s="37"/>
      <c r="L582" s="37"/>
      <c r="M582" s="38" t="e">
        <f>+[1]FORM!G672</f>
        <v>#N/A</v>
      </c>
      <c r="N582" s="39" t="e">
        <f>+[1]FORM!H672</f>
        <v>#N/A</v>
      </c>
    </row>
    <row r="583" spans="2:14">
      <c r="B583" s="30"/>
      <c r="C583" s="30"/>
      <c r="D583" s="36"/>
      <c r="E583" s="36"/>
      <c r="F583" s="36"/>
      <c r="G583" s="37"/>
      <c r="H583" s="37"/>
      <c r="I583" s="37"/>
      <c r="J583" s="37"/>
      <c r="K583" s="37"/>
      <c r="L583" s="37"/>
      <c r="M583" s="38" t="e">
        <f>+[1]FORM!G673</f>
        <v>#N/A</v>
      </c>
      <c r="N583" s="39" t="e">
        <f>+[1]FORM!H673</f>
        <v>#N/A</v>
      </c>
    </row>
    <row r="584" spans="2:14">
      <c r="B584" s="30"/>
      <c r="C584" s="30"/>
      <c r="D584" s="36"/>
      <c r="E584" s="36"/>
      <c r="F584" s="36"/>
      <c r="G584" s="37"/>
      <c r="H584" s="37"/>
      <c r="I584" s="37"/>
      <c r="J584" s="37"/>
      <c r="K584" s="37"/>
      <c r="L584" s="37"/>
      <c r="M584" s="38" t="e">
        <f>+[1]FORM!G674</f>
        <v>#N/A</v>
      </c>
      <c r="N584" s="39" t="e">
        <f>+[1]FORM!H674</f>
        <v>#N/A</v>
      </c>
    </row>
    <row r="585" spans="2:14">
      <c r="B585" s="30"/>
      <c r="C585" s="30"/>
      <c r="D585" s="36"/>
      <c r="E585" s="36"/>
      <c r="F585" s="36"/>
      <c r="G585" s="37"/>
      <c r="H585" s="37"/>
      <c r="I585" s="37"/>
      <c r="J585" s="37"/>
      <c r="K585" s="37"/>
      <c r="L585" s="37"/>
      <c r="M585" s="38" t="e">
        <f>+[1]FORM!G675</f>
        <v>#N/A</v>
      </c>
      <c r="N585" s="39" t="e">
        <f>+[1]FORM!H675</f>
        <v>#N/A</v>
      </c>
    </row>
    <row r="586" spans="2:14">
      <c r="B586" s="30"/>
      <c r="C586" s="30"/>
      <c r="D586" s="36"/>
      <c r="E586" s="36"/>
      <c r="F586" s="36"/>
      <c r="G586" s="37"/>
      <c r="H586" s="37"/>
      <c r="I586" s="37"/>
      <c r="J586" s="37"/>
      <c r="K586" s="37"/>
      <c r="L586" s="37"/>
      <c r="M586" s="38" t="e">
        <f>+[1]FORM!G676</f>
        <v>#N/A</v>
      </c>
      <c r="N586" s="39" t="e">
        <f>+[1]FORM!H676</f>
        <v>#N/A</v>
      </c>
    </row>
    <row r="587" spans="2:14">
      <c r="B587" s="30"/>
      <c r="C587" s="30"/>
      <c r="D587" s="36"/>
      <c r="E587" s="36"/>
      <c r="F587" s="36"/>
      <c r="G587" s="37"/>
      <c r="H587" s="37"/>
      <c r="I587" s="37"/>
      <c r="J587" s="37"/>
      <c r="K587" s="37"/>
      <c r="L587" s="37"/>
      <c r="M587" s="38" t="e">
        <f>+[1]FORM!G677</f>
        <v>#N/A</v>
      </c>
      <c r="N587" s="39" t="e">
        <f>+[1]FORM!H677</f>
        <v>#N/A</v>
      </c>
    </row>
    <row r="588" spans="2:14">
      <c r="B588" s="30"/>
      <c r="C588" s="30"/>
      <c r="D588" s="36"/>
      <c r="E588" s="36"/>
      <c r="F588" s="36"/>
      <c r="G588" s="37"/>
      <c r="H588" s="37"/>
      <c r="I588" s="37"/>
      <c r="J588" s="37"/>
      <c r="K588" s="37"/>
      <c r="L588" s="37"/>
      <c r="M588" s="38" t="e">
        <f>+[1]FORM!G678</f>
        <v>#N/A</v>
      </c>
      <c r="N588" s="39" t="e">
        <f>+[1]FORM!H678</f>
        <v>#N/A</v>
      </c>
    </row>
    <row r="589" spans="2:14">
      <c r="B589" s="30"/>
      <c r="C589" s="30"/>
      <c r="D589" s="36"/>
      <c r="E589" s="36"/>
      <c r="F589" s="36"/>
      <c r="G589" s="37"/>
      <c r="H589" s="37"/>
      <c r="I589" s="37"/>
      <c r="J589" s="37"/>
      <c r="K589" s="37"/>
      <c r="L589" s="37"/>
      <c r="M589" s="38" t="e">
        <f>+[1]FORM!G679</f>
        <v>#N/A</v>
      </c>
      <c r="N589" s="39" t="e">
        <f>+[1]FORM!H679</f>
        <v>#N/A</v>
      </c>
    </row>
    <row r="590" spans="2:14">
      <c r="B590" s="30"/>
      <c r="C590" s="30"/>
      <c r="D590" s="36"/>
      <c r="E590" s="36"/>
      <c r="F590" s="36"/>
      <c r="G590" s="37"/>
      <c r="H590" s="37"/>
      <c r="I590" s="37"/>
      <c r="J590" s="37"/>
      <c r="K590" s="37"/>
      <c r="L590" s="37"/>
      <c r="M590" s="38" t="e">
        <f>+[1]FORM!G680</f>
        <v>#N/A</v>
      </c>
      <c r="N590" s="39" t="e">
        <f>+[1]FORM!H680</f>
        <v>#N/A</v>
      </c>
    </row>
    <row r="591" spans="2:14">
      <c r="B591" s="30"/>
      <c r="C591" s="30"/>
      <c r="D591" s="36"/>
      <c r="E591" s="36"/>
      <c r="F591" s="36"/>
      <c r="G591" s="37"/>
      <c r="H591" s="37"/>
      <c r="I591" s="37"/>
      <c r="J591" s="37"/>
      <c r="K591" s="37"/>
      <c r="L591" s="37"/>
      <c r="M591" s="38" t="e">
        <f>+[1]FORM!G681</f>
        <v>#N/A</v>
      </c>
      <c r="N591" s="39" t="e">
        <f>+[1]FORM!H681</f>
        <v>#N/A</v>
      </c>
    </row>
    <row r="592" spans="2:14">
      <c r="B592" s="30"/>
      <c r="C592" s="30"/>
      <c r="D592" s="36"/>
      <c r="E592" s="36"/>
      <c r="F592" s="36"/>
      <c r="G592" s="37"/>
      <c r="H592" s="37"/>
      <c r="I592" s="37"/>
      <c r="J592" s="37"/>
      <c r="K592" s="37"/>
      <c r="L592" s="37"/>
      <c r="M592" s="38" t="e">
        <f>+[1]FORM!G682</f>
        <v>#N/A</v>
      </c>
      <c r="N592" s="39" t="e">
        <f>+[1]FORM!H682</f>
        <v>#N/A</v>
      </c>
    </row>
    <row r="593" spans="2:14">
      <c r="B593" s="30"/>
      <c r="C593" s="30"/>
      <c r="D593" s="36"/>
      <c r="E593" s="36"/>
      <c r="F593" s="36"/>
      <c r="G593" s="37"/>
      <c r="H593" s="37"/>
      <c r="I593" s="37"/>
      <c r="J593" s="37"/>
      <c r="K593" s="37"/>
      <c r="L593" s="37"/>
      <c r="M593" s="38" t="e">
        <f>+[1]FORM!G683</f>
        <v>#N/A</v>
      </c>
      <c r="N593" s="39" t="e">
        <f>+[1]FORM!H683</f>
        <v>#N/A</v>
      </c>
    </row>
    <row r="594" spans="2:14">
      <c r="B594" s="30"/>
      <c r="C594" s="30"/>
      <c r="D594" s="36"/>
      <c r="E594" s="36"/>
      <c r="F594" s="36"/>
      <c r="G594" s="37"/>
      <c r="H594" s="37"/>
      <c r="I594" s="37"/>
      <c r="J594" s="37"/>
      <c r="K594" s="37"/>
      <c r="L594" s="37"/>
      <c r="M594" s="38" t="e">
        <f>+[1]FORM!G684</f>
        <v>#N/A</v>
      </c>
      <c r="N594" s="39" t="e">
        <f>+[1]FORM!H684</f>
        <v>#N/A</v>
      </c>
    </row>
    <row r="595" spans="2:14">
      <c r="B595" s="30"/>
      <c r="C595" s="30"/>
      <c r="D595" s="36"/>
      <c r="E595" s="36"/>
      <c r="F595" s="36"/>
      <c r="G595" s="37"/>
      <c r="H595" s="37"/>
      <c r="I595" s="37"/>
      <c r="J595" s="37"/>
      <c r="K595" s="37"/>
      <c r="L595" s="37"/>
      <c r="M595" s="38" t="e">
        <f>+[1]FORM!G685</f>
        <v>#N/A</v>
      </c>
      <c r="N595" s="39" t="e">
        <f>+[1]FORM!H685</f>
        <v>#N/A</v>
      </c>
    </row>
    <row r="596" spans="2:14">
      <c r="B596" s="30"/>
      <c r="C596" s="30"/>
      <c r="D596" s="36"/>
      <c r="E596" s="36"/>
      <c r="F596" s="36"/>
      <c r="G596" s="37"/>
      <c r="H596" s="37"/>
      <c r="I596" s="37"/>
      <c r="J596" s="37"/>
      <c r="K596" s="37"/>
      <c r="L596" s="37"/>
      <c r="M596" s="38" t="e">
        <f>+[1]FORM!G686</f>
        <v>#N/A</v>
      </c>
      <c r="N596" s="39" t="e">
        <f>+[1]FORM!H686</f>
        <v>#N/A</v>
      </c>
    </row>
    <row r="597" spans="2:14">
      <c r="B597" s="30"/>
      <c r="C597" s="30"/>
      <c r="D597" s="36"/>
      <c r="E597" s="36"/>
      <c r="F597" s="36"/>
      <c r="G597" s="37"/>
      <c r="H597" s="37"/>
      <c r="I597" s="37"/>
      <c r="J597" s="37"/>
      <c r="K597" s="37"/>
      <c r="L597" s="37"/>
      <c r="M597" s="38" t="e">
        <f>+[1]FORM!G687</f>
        <v>#N/A</v>
      </c>
      <c r="N597" s="39" t="e">
        <f>+[1]FORM!H687</f>
        <v>#N/A</v>
      </c>
    </row>
    <row r="598" spans="2:14">
      <c r="B598" s="30"/>
      <c r="C598" s="30"/>
      <c r="D598" s="36"/>
      <c r="E598" s="36"/>
      <c r="F598" s="36"/>
      <c r="G598" s="37"/>
      <c r="H598" s="37"/>
      <c r="I598" s="37"/>
      <c r="J598" s="37"/>
      <c r="K598" s="37"/>
      <c r="L598" s="37"/>
      <c r="M598" s="38" t="e">
        <f>+[1]FORM!G688</f>
        <v>#N/A</v>
      </c>
      <c r="N598" s="39" t="e">
        <f>+[1]FORM!H688</f>
        <v>#N/A</v>
      </c>
    </row>
    <row r="599" spans="2:14">
      <c r="B599" s="30"/>
      <c r="C599" s="30"/>
      <c r="D599" s="36"/>
      <c r="E599" s="36"/>
      <c r="F599" s="36"/>
      <c r="G599" s="37"/>
      <c r="H599" s="37"/>
      <c r="I599" s="37"/>
      <c r="J599" s="37"/>
      <c r="K599" s="37"/>
      <c r="L599" s="37"/>
      <c r="M599" s="38" t="e">
        <f>+[1]FORM!G689</f>
        <v>#N/A</v>
      </c>
      <c r="N599" s="39" t="e">
        <f>+[1]FORM!H689</f>
        <v>#N/A</v>
      </c>
    </row>
    <row r="600" spans="2:14">
      <c r="B600" s="30"/>
      <c r="C600" s="30"/>
      <c r="D600" s="36"/>
      <c r="E600" s="36"/>
      <c r="F600" s="36"/>
      <c r="G600" s="37"/>
      <c r="H600" s="37"/>
      <c r="I600" s="37"/>
      <c r="J600" s="37"/>
      <c r="K600" s="37"/>
      <c r="L600" s="37"/>
      <c r="M600" s="38" t="e">
        <f>+[1]FORM!G690</f>
        <v>#N/A</v>
      </c>
      <c r="N600" s="39" t="e">
        <f>+[1]FORM!H690</f>
        <v>#N/A</v>
      </c>
    </row>
    <row r="601" spans="2:14">
      <c r="B601" s="30"/>
      <c r="C601" s="30"/>
      <c r="D601" s="36"/>
      <c r="E601" s="36"/>
      <c r="F601" s="36"/>
      <c r="G601" s="37"/>
      <c r="H601" s="37"/>
      <c r="I601" s="37"/>
      <c r="J601" s="37"/>
      <c r="K601" s="37"/>
      <c r="L601" s="37"/>
      <c r="M601" s="38" t="e">
        <f>+[1]FORM!G691</f>
        <v>#N/A</v>
      </c>
      <c r="N601" s="39" t="e">
        <f>+[1]FORM!H691</f>
        <v>#N/A</v>
      </c>
    </row>
    <row r="602" spans="2:14">
      <c r="B602" s="30"/>
      <c r="C602" s="30"/>
      <c r="D602" s="36"/>
      <c r="E602" s="36"/>
      <c r="F602" s="36"/>
      <c r="G602" s="37"/>
      <c r="H602" s="37"/>
      <c r="I602" s="37"/>
      <c r="J602" s="37"/>
      <c r="K602" s="37"/>
      <c r="L602" s="37"/>
      <c r="M602" s="38" t="e">
        <f>+[1]FORM!G692</f>
        <v>#N/A</v>
      </c>
      <c r="N602" s="39" t="e">
        <f>+[1]FORM!H692</f>
        <v>#N/A</v>
      </c>
    </row>
    <row r="603" spans="2:14">
      <c r="B603" s="30"/>
      <c r="C603" s="30"/>
      <c r="D603" s="36"/>
      <c r="E603" s="36"/>
      <c r="F603" s="36"/>
      <c r="G603" s="37"/>
      <c r="H603" s="37"/>
      <c r="I603" s="37"/>
      <c r="J603" s="37"/>
      <c r="K603" s="37"/>
      <c r="L603" s="37"/>
      <c r="M603" s="38" t="e">
        <f>+[1]FORM!G693</f>
        <v>#N/A</v>
      </c>
      <c r="N603" s="39" t="e">
        <f>+[1]FORM!H693</f>
        <v>#N/A</v>
      </c>
    </row>
    <row r="604" spans="2:14">
      <c r="B604" s="30"/>
      <c r="C604" s="30"/>
      <c r="D604" s="36"/>
      <c r="E604" s="36"/>
      <c r="F604" s="36"/>
      <c r="G604" s="37"/>
      <c r="H604" s="37"/>
      <c r="I604" s="37"/>
      <c r="J604" s="37"/>
      <c r="K604" s="37"/>
      <c r="L604" s="37"/>
      <c r="M604" s="38" t="e">
        <f>+[1]FORM!G694</f>
        <v>#N/A</v>
      </c>
      <c r="N604" s="39" t="e">
        <f>+[1]FORM!H694</f>
        <v>#N/A</v>
      </c>
    </row>
    <row r="605" spans="2:14">
      <c r="I605" s="41"/>
      <c r="J605" s="41"/>
      <c r="K605" s="41"/>
      <c r="L605" s="41"/>
      <c r="M605" s="38" t="e">
        <f>+[1]FORM!G695</f>
        <v>#N/A</v>
      </c>
      <c r="N605" s="39" t="e">
        <f>+[1]FORM!H695</f>
        <v>#N/A</v>
      </c>
    </row>
    <row r="606" spans="2:14">
      <c r="I606" s="41"/>
      <c r="J606" s="41"/>
      <c r="K606" s="41"/>
      <c r="L606" s="41"/>
      <c r="M606" s="38" t="e">
        <f>+[1]FORM!G696</f>
        <v>#N/A</v>
      </c>
      <c r="N606" s="39" t="e">
        <f>+[1]FORM!H696</f>
        <v>#N/A</v>
      </c>
    </row>
    <row r="607" spans="2:14">
      <c r="I607" s="41"/>
      <c r="J607" s="41"/>
      <c r="K607" s="41"/>
      <c r="L607" s="41"/>
      <c r="M607" s="38" t="e">
        <f>+[1]FORM!G697</f>
        <v>#N/A</v>
      </c>
      <c r="N607" s="39" t="e">
        <f>+[1]FORM!H697</f>
        <v>#N/A</v>
      </c>
    </row>
    <row r="608" spans="2:14">
      <c r="M608" s="38" t="e">
        <f>+[1]FORM!G698</f>
        <v>#N/A</v>
      </c>
      <c r="N608" s="39" t="e">
        <f>+[1]FORM!H698</f>
        <v>#N/A</v>
      </c>
    </row>
  </sheetData>
  <autoFilter ref="A10:WRT608" xr:uid="{00000000-0001-0000-0200-000000000000}">
    <filterColumn colId="4" showButton="0"/>
    <filterColumn colId="6" showButton="0"/>
    <filterColumn colId="8" showButton="0"/>
    <filterColumn colId="10" showButton="0"/>
  </autoFilter>
  <mergeCells count="349">
    <mergeCell ref="E77:E78"/>
    <mergeCell ref="D61:D78"/>
    <mergeCell ref="C61:C78"/>
    <mergeCell ref="B61:B78"/>
    <mergeCell ref="A61:A78"/>
    <mergeCell ref="N73:N76"/>
    <mergeCell ref="O73:O76"/>
    <mergeCell ref="P73:P76"/>
    <mergeCell ref="Q73:Q76"/>
    <mergeCell ref="P61:P62"/>
    <mergeCell ref="Q61:Q62"/>
    <mergeCell ref="R73:R76"/>
    <mergeCell ref="S73:S76"/>
    <mergeCell ref="V73:V76"/>
    <mergeCell ref="T74:T76"/>
    <mergeCell ref="U74:U76"/>
    <mergeCell ref="E71:E76"/>
    <mergeCell ref="F73:F76"/>
    <mergeCell ref="G73:G76"/>
    <mergeCell ref="H73:H76"/>
    <mergeCell ref="I73:I76"/>
    <mergeCell ref="J73:J76"/>
    <mergeCell ref="K73:K76"/>
    <mergeCell ref="L73:L76"/>
    <mergeCell ref="M73:M76"/>
    <mergeCell ref="T65:T67"/>
    <mergeCell ref="U65:U67"/>
    <mergeCell ref="F68:F69"/>
    <mergeCell ref="G68:G69"/>
    <mergeCell ref="H68:H69"/>
    <mergeCell ref="I68:I69"/>
    <mergeCell ref="J68:J69"/>
    <mergeCell ref="K68:K69"/>
    <mergeCell ref="L68:L69"/>
    <mergeCell ref="M68:M69"/>
    <mergeCell ref="N68:N69"/>
    <mergeCell ref="O68:O69"/>
    <mergeCell ref="P68:P69"/>
    <mergeCell ref="Q68:Q69"/>
    <mergeCell ref="R68:R69"/>
    <mergeCell ref="J65:J67"/>
    <mergeCell ref="K65:K67"/>
    <mergeCell ref="L65:L67"/>
    <mergeCell ref="M65:M67"/>
    <mergeCell ref="N65:N67"/>
    <mergeCell ref="O65:O67"/>
    <mergeCell ref="P65:P67"/>
    <mergeCell ref="Q65:Q67"/>
    <mergeCell ref="R65:R67"/>
    <mergeCell ref="R61:R62"/>
    <mergeCell ref="S61:S62"/>
    <mergeCell ref="F63:F64"/>
    <mergeCell ref="G63:G64"/>
    <mergeCell ref="H63:H64"/>
    <mergeCell ref="I63:I64"/>
    <mergeCell ref="J63:J64"/>
    <mergeCell ref="K63:K64"/>
    <mergeCell ref="L63:L64"/>
    <mergeCell ref="M63:M64"/>
    <mergeCell ref="N63:N64"/>
    <mergeCell ref="O63:O64"/>
    <mergeCell ref="P63:P64"/>
    <mergeCell ref="Q63:Q64"/>
    <mergeCell ref="R63:R64"/>
    <mergeCell ref="J61:J62"/>
    <mergeCell ref="K61:K62"/>
    <mergeCell ref="L61:L62"/>
    <mergeCell ref="M61:M62"/>
    <mergeCell ref="N61:N62"/>
    <mergeCell ref="O61:O62"/>
    <mergeCell ref="D43:D60"/>
    <mergeCell ref="C43:C60"/>
    <mergeCell ref="B43:B60"/>
    <mergeCell ref="A43:A60"/>
    <mergeCell ref="E61:E70"/>
    <mergeCell ref="F61:F62"/>
    <mergeCell ref="G61:G62"/>
    <mergeCell ref="H61:H62"/>
    <mergeCell ref="I61:I62"/>
    <mergeCell ref="F65:F67"/>
    <mergeCell ref="G65:G67"/>
    <mergeCell ref="H65:H67"/>
    <mergeCell ref="I65:I67"/>
    <mergeCell ref="E59:E60"/>
    <mergeCell ref="F55:F58"/>
    <mergeCell ref="G55:G58"/>
    <mergeCell ref="H55:H58"/>
    <mergeCell ref="I55:I58"/>
    <mergeCell ref="G43:G44"/>
    <mergeCell ref="H43:H44"/>
    <mergeCell ref="I43:I44"/>
    <mergeCell ref="N55:N58"/>
    <mergeCell ref="O55:O58"/>
    <mergeCell ref="P55:P58"/>
    <mergeCell ref="Q55:Q58"/>
    <mergeCell ref="R55:R58"/>
    <mergeCell ref="S55:S58"/>
    <mergeCell ref="V55:V58"/>
    <mergeCell ref="T56:T58"/>
    <mergeCell ref="U56:U58"/>
    <mergeCell ref="J55:J58"/>
    <mergeCell ref="K55:K58"/>
    <mergeCell ref="L55:L58"/>
    <mergeCell ref="M55:M58"/>
    <mergeCell ref="E53:E58"/>
    <mergeCell ref="F47:F49"/>
    <mergeCell ref="M50:M51"/>
    <mergeCell ref="P50:P51"/>
    <mergeCell ref="Q50:Q51"/>
    <mergeCell ref="E43:E52"/>
    <mergeCell ref="L47:L49"/>
    <mergeCell ref="K47:K49"/>
    <mergeCell ref="J47:J49"/>
    <mergeCell ref="I47:I49"/>
    <mergeCell ref="H47:H49"/>
    <mergeCell ref="G47:G49"/>
    <mergeCell ref="F45:F46"/>
    <mergeCell ref="G45:G46"/>
    <mergeCell ref="H45:H46"/>
    <mergeCell ref="I45:I46"/>
    <mergeCell ref="J45:J46"/>
    <mergeCell ref="K45:K46"/>
    <mergeCell ref="L45:L46"/>
    <mergeCell ref="F43:F44"/>
    <mergeCell ref="R50:R51"/>
    <mergeCell ref="O50:O51"/>
    <mergeCell ref="L50:L51"/>
    <mergeCell ref="K50:K51"/>
    <mergeCell ref="J50:J51"/>
    <mergeCell ref="I50:I51"/>
    <mergeCell ref="H50:H51"/>
    <mergeCell ref="G50:G51"/>
    <mergeCell ref="F50:F51"/>
    <mergeCell ref="N50:N51"/>
    <mergeCell ref="T47:T49"/>
    <mergeCell ref="U47:U49"/>
    <mergeCell ref="Q47:Q49"/>
    <mergeCell ref="R47:R49"/>
    <mergeCell ref="P47:P49"/>
    <mergeCell ref="O47:O49"/>
    <mergeCell ref="N47:N49"/>
    <mergeCell ref="M47:M49"/>
    <mergeCell ref="O45:O46"/>
    <mergeCell ref="P45:P46"/>
    <mergeCell ref="Q45:Q46"/>
    <mergeCell ref="R45:R46"/>
    <mergeCell ref="M45:M46"/>
    <mergeCell ref="N45:N46"/>
    <mergeCell ref="J43:J44"/>
    <mergeCell ref="K43:K44"/>
    <mergeCell ref="L43:L44"/>
    <mergeCell ref="M43:M44"/>
    <mergeCell ref="T28:T30"/>
    <mergeCell ref="S37:S38"/>
    <mergeCell ref="N43:N44"/>
    <mergeCell ref="O43:O44"/>
    <mergeCell ref="P43:P44"/>
    <mergeCell ref="Q43:Q44"/>
    <mergeCell ref="R43:R44"/>
    <mergeCell ref="S43:S44"/>
    <mergeCell ref="Q34:Q35"/>
    <mergeCell ref="S27:S30"/>
    <mergeCell ref="I21:I22"/>
    <mergeCell ref="J21:J22"/>
    <mergeCell ref="X9:X10"/>
    <mergeCell ref="X11:X35"/>
    <mergeCell ref="J17:J20"/>
    <mergeCell ref="K17:K20"/>
    <mergeCell ref="L17:L20"/>
    <mergeCell ref="M17:M20"/>
    <mergeCell ref="Q31:Q32"/>
    <mergeCell ref="N27:N30"/>
    <mergeCell ref="O27:O30"/>
    <mergeCell ref="I17:I20"/>
    <mergeCell ref="M31:M32"/>
    <mergeCell ref="N31:N32"/>
    <mergeCell ref="O31:O32"/>
    <mergeCell ref="P31:P32"/>
    <mergeCell ref="R31:R32"/>
    <mergeCell ref="S9:W9"/>
    <mergeCell ref="R27:R30"/>
    <mergeCell ref="R34:R35"/>
    <mergeCell ref="I11:I14"/>
    <mergeCell ref="J11:J14"/>
    <mergeCell ref="K11:K14"/>
    <mergeCell ref="C9:C10"/>
    <mergeCell ref="F27:F30"/>
    <mergeCell ref="F17:F20"/>
    <mergeCell ref="G17:G20"/>
    <mergeCell ref="H17:H20"/>
    <mergeCell ref="E11:E23"/>
    <mergeCell ref="F21:F22"/>
    <mergeCell ref="G21:G22"/>
    <mergeCell ref="H21:H22"/>
    <mergeCell ref="H24:H26"/>
    <mergeCell ref="G24:G26"/>
    <mergeCell ref="F24:F26"/>
    <mergeCell ref="C11:C35"/>
    <mergeCell ref="D11:D35"/>
    <mergeCell ref="F11:F14"/>
    <mergeCell ref="G11:G14"/>
    <mergeCell ref="H11:H14"/>
    <mergeCell ref="A6:X6"/>
    <mergeCell ref="K7:Q7"/>
    <mergeCell ref="V7:X7"/>
    <mergeCell ref="A8:X8"/>
    <mergeCell ref="A1:B5"/>
    <mergeCell ref="C1:V5"/>
    <mergeCell ref="C7:F7"/>
    <mergeCell ref="A7:B7"/>
    <mergeCell ref="T7:U7"/>
    <mergeCell ref="W1:X5"/>
    <mergeCell ref="A9:A10"/>
    <mergeCell ref="D9:D10"/>
    <mergeCell ref="I10:J10"/>
    <mergeCell ref="G9:M9"/>
    <mergeCell ref="K10:L10"/>
    <mergeCell ref="I34:I35"/>
    <mergeCell ref="J34:J35"/>
    <mergeCell ref="K34:K35"/>
    <mergeCell ref="L34:L35"/>
    <mergeCell ref="M34:M35"/>
    <mergeCell ref="G27:G30"/>
    <mergeCell ref="H27:H30"/>
    <mergeCell ref="I27:I30"/>
    <mergeCell ref="J27:J30"/>
    <mergeCell ref="K27:K30"/>
    <mergeCell ref="L27:L30"/>
    <mergeCell ref="F31:F32"/>
    <mergeCell ref="E31:E35"/>
    <mergeCell ref="G31:G32"/>
    <mergeCell ref="H31:H32"/>
    <mergeCell ref="I31:I32"/>
    <mergeCell ref="A11:A35"/>
    <mergeCell ref="B11:B35"/>
    <mergeCell ref="B9:B10"/>
    <mergeCell ref="X40:X42"/>
    <mergeCell ref="Q37:Q38"/>
    <mergeCell ref="R37:R38"/>
    <mergeCell ref="X36:X39"/>
    <mergeCell ref="E37:E38"/>
    <mergeCell ref="F37:F38"/>
    <mergeCell ref="G37:G38"/>
    <mergeCell ref="H37:H38"/>
    <mergeCell ref="I37:I38"/>
    <mergeCell ref="J37:J38"/>
    <mergeCell ref="K37:K38"/>
    <mergeCell ref="L37:L38"/>
    <mergeCell ref="M37:M38"/>
    <mergeCell ref="N37:N38"/>
    <mergeCell ref="O37:O38"/>
    <mergeCell ref="P37:P38"/>
    <mergeCell ref="N9:P9"/>
    <mergeCell ref="Q9:R9"/>
    <mergeCell ref="P27:P30"/>
    <mergeCell ref="F34:F35"/>
    <mergeCell ref="G34:G35"/>
    <mergeCell ref="H34:H35"/>
    <mergeCell ref="N34:N35"/>
    <mergeCell ref="O34:O35"/>
    <mergeCell ref="P34:P35"/>
    <mergeCell ref="J31:J32"/>
    <mergeCell ref="K31:K32"/>
    <mergeCell ref="L31:L32"/>
    <mergeCell ref="E10:F10"/>
    <mergeCell ref="E9:F9"/>
    <mergeCell ref="G10:H10"/>
    <mergeCell ref="N17:N20"/>
    <mergeCell ref="O17:O20"/>
    <mergeCell ref="P17:P20"/>
    <mergeCell ref="Q17:Q20"/>
    <mergeCell ref="R17:R20"/>
    <mergeCell ref="M27:M30"/>
    <mergeCell ref="Q27:Q30"/>
    <mergeCell ref="L21:L22"/>
    <mergeCell ref="M21:M22"/>
    <mergeCell ref="S13:S14"/>
    <mergeCell ref="S18:S19"/>
    <mergeCell ref="R21:R22"/>
    <mergeCell ref="P24:P25"/>
    <mergeCell ref="P11:P14"/>
    <mergeCell ref="N21:N22"/>
    <mergeCell ref="O21:O22"/>
    <mergeCell ref="P21:P22"/>
    <mergeCell ref="Q21:Q22"/>
    <mergeCell ref="R11:R14"/>
    <mergeCell ref="Q11:Q14"/>
    <mergeCell ref="O11:O14"/>
    <mergeCell ref="N11:N14"/>
    <mergeCell ref="N24:N26"/>
    <mergeCell ref="S11:S12"/>
    <mergeCell ref="L11:L14"/>
    <mergeCell ref="M24:M26"/>
    <mergeCell ref="L24:L26"/>
    <mergeCell ref="M11:M14"/>
    <mergeCell ref="X79:X81"/>
    <mergeCell ref="E80:E81"/>
    <mergeCell ref="F80:F81"/>
    <mergeCell ref="G80:G81"/>
    <mergeCell ref="H80:H81"/>
    <mergeCell ref="I80:I81"/>
    <mergeCell ref="J80:J81"/>
    <mergeCell ref="K80:K81"/>
    <mergeCell ref="L80:L81"/>
    <mergeCell ref="M80:M81"/>
    <mergeCell ref="N80:N81"/>
    <mergeCell ref="O80:O81"/>
    <mergeCell ref="P80:P81"/>
    <mergeCell ref="Q80:Q81"/>
    <mergeCell ref="R80:R81"/>
    <mergeCell ref="S80:S81"/>
    <mergeCell ref="T80:T81"/>
    <mergeCell ref="U80:U81"/>
    <mergeCell ref="V80:V81"/>
    <mergeCell ref="W80:W81"/>
    <mergeCell ref="K21:K22"/>
    <mergeCell ref="AA7:AE7"/>
    <mergeCell ref="K24:K26"/>
    <mergeCell ref="A79:A81"/>
    <mergeCell ref="B79:B81"/>
    <mergeCell ref="C79:C81"/>
    <mergeCell ref="D79:D81"/>
    <mergeCell ref="V27:V30"/>
    <mergeCell ref="W27:W30"/>
    <mergeCell ref="A40:A42"/>
    <mergeCell ref="B40:B42"/>
    <mergeCell ref="C40:C42"/>
    <mergeCell ref="D40:D42"/>
    <mergeCell ref="A36:A39"/>
    <mergeCell ref="B36:B39"/>
    <mergeCell ref="C36:C39"/>
    <mergeCell ref="D36:D39"/>
    <mergeCell ref="E24:E30"/>
    <mergeCell ref="J24:J26"/>
    <mergeCell ref="I24:I26"/>
    <mergeCell ref="U27:U30"/>
    <mergeCell ref="R24:R26"/>
    <mergeCell ref="Q24:Q26"/>
    <mergeCell ref="O24:O26"/>
    <mergeCell ref="AA1:AF1"/>
    <mergeCell ref="AH1:AM1"/>
    <mergeCell ref="AA2:AF2"/>
    <mergeCell ref="AH2:AM2"/>
    <mergeCell ref="AB3:AD3"/>
    <mergeCell ref="AI3:AL3"/>
    <mergeCell ref="AB4:AD4"/>
    <mergeCell ref="AI4:AL4"/>
    <mergeCell ref="AC5:AE5"/>
    <mergeCell ref="AJ5:AL5"/>
  </mergeCells>
  <conditionalFormatting sqref="M15:M16">
    <cfRule type="containsErrors" dxfId="86" priority="80">
      <formula>ISERROR(M15)</formula>
    </cfRule>
  </conditionalFormatting>
  <conditionalFormatting sqref="M47">
    <cfRule type="containsErrors" dxfId="85" priority="57">
      <formula>ISERROR(M47)</formula>
    </cfRule>
  </conditionalFormatting>
  <conditionalFormatting sqref="M65">
    <cfRule type="containsErrors" dxfId="84" priority="28">
      <formula>ISERROR(M65)</formula>
    </cfRule>
  </conditionalFormatting>
  <conditionalFormatting sqref="M82:M609">
    <cfRule type="containsErrors" dxfId="83" priority="175">
      <formula>ISERROR(M82)</formula>
    </cfRule>
  </conditionalFormatting>
  <conditionalFormatting sqref="M21:N21">
    <cfRule type="containsErrors" dxfId="82" priority="73">
      <formula>ISERROR(M21)</formula>
    </cfRule>
  </conditionalFormatting>
  <conditionalFormatting sqref="M45:N45">
    <cfRule type="containsErrors" dxfId="81" priority="65">
      <formula>ISERROR(M45)</formula>
    </cfRule>
  </conditionalFormatting>
  <conditionalFormatting sqref="M63:N63">
    <cfRule type="containsErrors" dxfId="80" priority="36">
      <formula>ISERROR(M63)</formula>
    </cfRule>
  </conditionalFormatting>
  <conditionalFormatting sqref="M23:O24">
    <cfRule type="containsErrors" dxfId="79" priority="78">
      <formula>ISERROR(M23)</formula>
    </cfRule>
  </conditionalFormatting>
  <conditionalFormatting sqref="M33:O33">
    <cfRule type="containsErrors" dxfId="78" priority="4">
      <formula>ISERROR(M33)</formula>
    </cfRule>
  </conditionalFormatting>
  <conditionalFormatting sqref="M52:O52">
    <cfRule type="containsErrors" dxfId="77" priority="52">
      <formula>ISERROR(M52)</formula>
    </cfRule>
  </conditionalFormatting>
  <conditionalFormatting sqref="M59:O59 M77:O77 M78:P80">
    <cfRule type="containsErrors" dxfId="76" priority="44">
      <formula>ISERROR(M59)</formula>
    </cfRule>
  </conditionalFormatting>
  <conditionalFormatting sqref="M70:O70">
    <cfRule type="containsErrors" dxfId="75" priority="23">
      <formula>ISERROR(M70)</formula>
    </cfRule>
  </conditionalFormatting>
  <conditionalFormatting sqref="M11:P12 M27:P27 M31:O31 M34:P34">
    <cfRule type="containsErrors" dxfId="74" priority="163">
      <formula>ISERROR(M11)</formula>
    </cfRule>
  </conditionalFormatting>
  <conditionalFormatting sqref="M36:P36 N37:P37">
    <cfRule type="containsErrors" dxfId="73" priority="153">
      <formula>ISERROR(M36)</formula>
    </cfRule>
  </conditionalFormatting>
  <conditionalFormatting sqref="M39:P43">
    <cfRule type="containsErrors" dxfId="72" priority="143">
      <formula>ISERROR(M39)</formula>
    </cfRule>
  </conditionalFormatting>
  <conditionalFormatting sqref="M53:P55">
    <cfRule type="containsErrors" dxfId="71" priority="48">
      <formula>ISERROR(M53)</formula>
    </cfRule>
  </conditionalFormatting>
  <conditionalFormatting sqref="M60:P61">
    <cfRule type="containsErrors" dxfId="70" priority="40">
      <formula>ISERROR(M60)</formula>
    </cfRule>
  </conditionalFormatting>
  <conditionalFormatting sqref="M71:P73">
    <cfRule type="containsErrors" dxfId="69" priority="15">
      <formula>ISERROR(M71)</formula>
    </cfRule>
  </conditionalFormatting>
  <conditionalFormatting sqref="N21">
    <cfRule type="containsText" dxfId="68" priority="72" operator="containsText" text="RIESGO ALTO">
      <formula>NOT(ISERROR(SEARCH("RIESGO ALTO",N21)))</formula>
    </cfRule>
    <cfRule type="containsText" dxfId="67" priority="71" operator="containsText" text="RIESGO MEDIO">
      <formula>NOT(ISERROR(SEARCH("RIESGO MEDIO",N21)))</formula>
    </cfRule>
    <cfRule type="containsText" dxfId="66" priority="70" operator="containsText" text="RIESGO BAJO">
      <formula>NOT(ISERROR(SEARCH("RIESGO BAJO",N21)))</formula>
    </cfRule>
  </conditionalFormatting>
  <conditionalFormatting sqref="N45">
    <cfRule type="containsText" dxfId="65" priority="62" operator="containsText" text="RIESGO BAJO">
      <formula>NOT(ISERROR(SEARCH("RIESGO BAJO",N45)))</formula>
    </cfRule>
    <cfRule type="containsText" dxfId="64" priority="64" operator="containsText" text="RIESGO ALTO">
      <formula>NOT(ISERROR(SEARCH("RIESGO ALTO",N45)))</formula>
    </cfRule>
    <cfRule type="containsText" dxfId="63" priority="63" operator="containsText" text="RIESGO MEDIO">
      <formula>NOT(ISERROR(SEARCH("RIESGO MEDIO",N45)))</formula>
    </cfRule>
  </conditionalFormatting>
  <conditionalFormatting sqref="N63">
    <cfRule type="containsText" dxfId="62" priority="33" operator="containsText" text="RIESGO BAJO">
      <formula>NOT(ISERROR(SEARCH("RIESGO BAJO",N63)))</formula>
    </cfRule>
    <cfRule type="containsText" dxfId="61" priority="34" operator="containsText" text="RIESGO MEDIO">
      <formula>NOT(ISERROR(SEARCH("RIESGO MEDIO",N63)))</formula>
    </cfRule>
    <cfRule type="containsText" dxfId="60" priority="35" operator="containsText" text="RIESGO ALTO">
      <formula>NOT(ISERROR(SEARCH("RIESGO ALTO",N63)))</formula>
    </cfRule>
  </conditionalFormatting>
  <conditionalFormatting sqref="N15:O17">
    <cfRule type="containsText" dxfId="59" priority="85" operator="containsText" text="RIESGO BAJO">
      <formula>NOT(ISERROR(SEARCH("RIESGO BAJO",N15)))</formula>
    </cfRule>
    <cfRule type="containsText" dxfId="58" priority="86" operator="containsText" text="RIESGO MEDIO">
      <formula>NOT(ISERROR(SEARCH("RIESGO MEDIO",N15)))</formula>
    </cfRule>
    <cfRule type="containsText" dxfId="57" priority="87" operator="containsText" text="RIESGO ALTO">
      <formula>NOT(ISERROR(SEARCH("RIESGO ALTO",N15)))</formula>
    </cfRule>
    <cfRule type="containsErrors" dxfId="56" priority="88">
      <formula>ISERROR(N15)</formula>
    </cfRule>
  </conditionalFormatting>
  <conditionalFormatting sqref="N23:O24">
    <cfRule type="containsText" dxfId="55" priority="66" operator="containsText" text="RIESGO BAJO">
      <formula>NOT(ISERROR(SEARCH("RIESGO BAJO",N23)))</formula>
    </cfRule>
    <cfRule type="containsText" dxfId="54" priority="67" operator="containsText" text="RIESGO MEDIO">
      <formula>NOT(ISERROR(SEARCH("RIESGO MEDIO",N23)))</formula>
    </cfRule>
    <cfRule type="containsText" dxfId="53" priority="68" operator="containsText" text="RIESGO ALTO">
      <formula>NOT(ISERROR(SEARCH("RIESGO ALTO",N23)))</formula>
    </cfRule>
  </conditionalFormatting>
  <conditionalFormatting sqref="N33:O33">
    <cfRule type="containsText" dxfId="52" priority="2" operator="containsText" text="RIESGO MEDIO">
      <formula>NOT(ISERROR(SEARCH("RIESGO MEDIO",N33)))</formula>
    </cfRule>
    <cfRule type="containsText" dxfId="51" priority="3" operator="containsText" text="RIESGO ALTO">
      <formula>NOT(ISERROR(SEARCH("RIESGO ALTO",N33)))</formula>
    </cfRule>
    <cfRule type="containsText" dxfId="50" priority="1" operator="containsText" text="RIESGO BAJO">
      <formula>NOT(ISERROR(SEARCH("RIESGO BAJO",N33)))</formula>
    </cfRule>
  </conditionalFormatting>
  <conditionalFormatting sqref="N47:O47">
    <cfRule type="containsErrors" dxfId="49" priority="61">
      <formula>ISERROR(N47)</formula>
    </cfRule>
    <cfRule type="containsText" dxfId="48" priority="58" operator="containsText" text="RIESGO BAJO">
      <formula>NOT(ISERROR(SEARCH("RIESGO BAJO",N47)))</formula>
    </cfRule>
    <cfRule type="containsText" dxfId="47" priority="59" operator="containsText" text="RIESGO MEDIO">
      <formula>NOT(ISERROR(SEARCH("RIESGO MEDIO",N47)))</formula>
    </cfRule>
    <cfRule type="containsText" dxfId="46" priority="60" operator="containsText" text="RIESGO ALTO">
      <formula>NOT(ISERROR(SEARCH("RIESGO ALTO",N47)))</formula>
    </cfRule>
  </conditionalFormatting>
  <conditionalFormatting sqref="N50:O50">
    <cfRule type="containsText" dxfId="45" priority="55" operator="containsText" text="RIESGO ALTO">
      <formula>NOT(ISERROR(SEARCH("RIESGO ALTO",N50)))</formula>
    </cfRule>
    <cfRule type="containsText" dxfId="44" priority="54" operator="containsText" text="RIESGO MEDIO">
      <formula>NOT(ISERROR(SEARCH("RIESGO MEDIO",N50)))</formula>
    </cfRule>
    <cfRule type="containsText" dxfId="43" priority="53" operator="containsText" text="RIESGO BAJO">
      <formula>NOT(ISERROR(SEARCH("RIESGO BAJO",N50)))</formula>
    </cfRule>
    <cfRule type="containsErrors" dxfId="42" priority="56">
      <formula>ISERROR(N50)</formula>
    </cfRule>
  </conditionalFormatting>
  <conditionalFormatting sqref="N52:O52">
    <cfRule type="containsText" dxfId="41" priority="49" operator="containsText" text="RIESGO BAJO">
      <formula>NOT(ISERROR(SEARCH("RIESGO BAJO",N52)))</formula>
    </cfRule>
    <cfRule type="containsText" dxfId="40" priority="51" operator="containsText" text="RIESGO ALTO">
      <formula>NOT(ISERROR(SEARCH("RIESGO ALTO",N52)))</formula>
    </cfRule>
    <cfRule type="containsText" dxfId="39" priority="50" operator="containsText" text="RIESGO MEDIO">
      <formula>NOT(ISERROR(SEARCH("RIESGO MEDIO",N52)))</formula>
    </cfRule>
  </conditionalFormatting>
  <conditionalFormatting sqref="N59:O59 N77:O77 N78:P80">
    <cfRule type="containsText" dxfId="38" priority="43" operator="containsText" text="RIESGO ALTO">
      <formula>NOT(ISERROR(SEARCH("RIESGO ALTO",N59)))</formula>
    </cfRule>
    <cfRule type="containsText" dxfId="37" priority="41" operator="containsText" text="RIESGO BAJO">
      <formula>NOT(ISERROR(SEARCH("RIESGO BAJO",N59)))</formula>
    </cfRule>
    <cfRule type="containsText" dxfId="36" priority="42" operator="containsText" text="RIESGO MEDIO">
      <formula>NOT(ISERROR(SEARCH("RIESGO MEDIO",N59)))</formula>
    </cfRule>
  </conditionalFormatting>
  <conditionalFormatting sqref="N65:O65">
    <cfRule type="containsText" dxfId="35" priority="30" operator="containsText" text="RIESGO MEDIO">
      <formula>NOT(ISERROR(SEARCH("RIESGO MEDIO",N65)))</formula>
    </cfRule>
    <cfRule type="containsText" dxfId="34" priority="31" operator="containsText" text="RIESGO ALTO">
      <formula>NOT(ISERROR(SEARCH("RIESGO ALTO",N65)))</formula>
    </cfRule>
    <cfRule type="containsErrors" dxfId="33" priority="32">
      <formula>ISERROR(N65)</formula>
    </cfRule>
    <cfRule type="containsText" dxfId="32" priority="29" operator="containsText" text="RIESGO BAJO">
      <formula>NOT(ISERROR(SEARCH("RIESGO BAJO",N65)))</formula>
    </cfRule>
  </conditionalFormatting>
  <conditionalFormatting sqref="N68:O68">
    <cfRule type="containsErrors" dxfId="31" priority="27">
      <formula>ISERROR(N68)</formula>
    </cfRule>
    <cfRule type="containsText" dxfId="30" priority="24" operator="containsText" text="RIESGO BAJO">
      <formula>NOT(ISERROR(SEARCH("RIESGO BAJO",N68)))</formula>
    </cfRule>
    <cfRule type="containsText" dxfId="29" priority="25" operator="containsText" text="RIESGO MEDIO">
      <formula>NOT(ISERROR(SEARCH("RIESGO MEDIO",N68)))</formula>
    </cfRule>
    <cfRule type="containsText" dxfId="28" priority="26" operator="containsText" text="RIESGO ALTO">
      <formula>NOT(ISERROR(SEARCH("RIESGO ALTO",N68)))</formula>
    </cfRule>
  </conditionalFormatting>
  <conditionalFormatting sqref="N70:O70">
    <cfRule type="containsText" dxfId="27" priority="22" operator="containsText" text="RIESGO ALTO">
      <formula>NOT(ISERROR(SEARCH("RIESGO ALTO",N70)))</formula>
    </cfRule>
    <cfRule type="containsText" dxfId="26" priority="21" operator="containsText" text="RIESGO MEDIO">
      <formula>NOT(ISERROR(SEARCH("RIESGO MEDIO",N70)))</formula>
    </cfRule>
    <cfRule type="containsText" dxfId="25" priority="20" operator="containsText" text="RIESGO BAJO">
      <formula>NOT(ISERROR(SEARCH("RIESGO BAJO",N70)))</formula>
    </cfRule>
  </conditionalFormatting>
  <conditionalFormatting sqref="N11:P12 N27:P27 N31:O31 N34:P34">
    <cfRule type="containsText" dxfId="24" priority="161" operator="containsText" text="RIESGO MEDIO">
      <formula>NOT(ISERROR(SEARCH("RIESGO MEDIO",N11)))</formula>
    </cfRule>
    <cfRule type="containsText" dxfId="23" priority="160" operator="containsText" text="RIESGO BAJO">
      <formula>NOT(ISERROR(SEARCH("RIESGO BAJO",N11)))</formula>
    </cfRule>
    <cfRule type="containsText" dxfId="22" priority="162" operator="containsText" text="RIESGO ALTO">
      <formula>NOT(ISERROR(SEARCH("RIESGO ALTO",N11)))</formula>
    </cfRule>
  </conditionalFormatting>
  <conditionalFormatting sqref="N36:P37">
    <cfRule type="containsText" dxfId="21" priority="150" operator="containsText" text="RIESGO BAJO">
      <formula>NOT(ISERROR(SEARCH("RIESGO BAJO",N36)))</formula>
    </cfRule>
    <cfRule type="containsText" dxfId="20" priority="151" operator="containsText" text="RIESGO MEDIO">
      <formula>NOT(ISERROR(SEARCH("RIESGO MEDIO",N36)))</formula>
    </cfRule>
    <cfRule type="containsText" dxfId="19" priority="152" operator="containsText" text="RIESGO ALTO">
      <formula>NOT(ISERROR(SEARCH("RIESGO ALTO",N36)))</formula>
    </cfRule>
  </conditionalFormatting>
  <conditionalFormatting sqref="N39:P43">
    <cfRule type="containsText" dxfId="18" priority="140" operator="containsText" text="RIESGO BAJO">
      <formula>NOT(ISERROR(SEARCH("RIESGO BAJO",N39)))</formula>
    </cfRule>
    <cfRule type="containsText" dxfId="17" priority="141" operator="containsText" text="RIESGO MEDIO">
      <formula>NOT(ISERROR(SEARCH("RIESGO MEDIO",N39)))</formula>
    </cfRule>
    <cfRule type="containsText" dxfId="16" priority="142" operator="containsText" text="RIESGO ALTO">
      <formula>NOT(ISERROR(SEARCH("RIESGO ALTO",N39)))</formula>
    </cfRule>
  </conditionalFormatting>
  <conditionalFormatting sqref="N53:P55">
    <cfRule type="containsText" dxfId="15" priority="46" operator="containsText" text="RIESGO MEDIO">
      <formula>NOT(ISERROR(SEARCH("RIESGO MEDIO",N53)))</formula>
    </cfRule>
    <cfRule type="containsText" dxfId="14" priority="45" operator="containsText" text="RIESGO BAJO">
      <formula>NOT(ISERROR(SEARCH("RIESGO BAJO",N53)))</formula>
    </cfRule>
    <cfRule type="containsText" dxfId="13" priority="47" operator="containsText" text="RIESGO ALTO">
      <formula>NOT(ISERROR(SEARCH("RIESGO ALTO",N53)))</formula>
    </cfRule>
  </conditionalFormatting>
  <conditionalFormatting sqref="N60:P61">
    <cfRule type="containsText" dxfId="12" priority="39" operator="containsText" text="RIESGO ALTO">
      <formula>NOT(ISERROR(SEARCH("RIESGO ALTO",N60)))</formula>
    </cfRule>
    <cfRule type="containsText" dxfId="11" priority="38" operator="containsText" text="RIESGO MEDIO">
      <formula>NOT(ISERROR(SEARCH("RIESGO MEDIO",N60)))</formula>
    </cfRule>
    <cfRule type="containsText" dxfId="10" priority="37" operator="containsText" text="RIESGO BAJO">
      <formula>NOT(ISERROR(SEARCH("RIESGO BAJO",N60)))</formula>
    </cfRule>
  </conditionalFormatting>
  <conditionalFormatting sqref="N71:P73">
    <cfRule type="containsText" dxfId="9" priority="14" operator="containsText" text="RIESGO ALTO">
      <formula>NOT(ISERROR(SEARCH("RIESGO ALTO",N71)))</formula>
    </cfRule>
    <cfRule type="containsText" dxfId="8" priority="13" operator="containsText" text="RIESGO MEDIO">
      <formula>NOT(ISERROR(SEARCH("RIESGO MEDIO",N71)))</formula>
    </cfRule>
    <cfRule type="containsText" dxfId="7" priority="12" operator="containsText" text="RIESGO BAJO">
      <formula>NOT(ISERROR(SEARCH("RIESGO BAJO",N71)))</formula>
    </cfRule>
  </conditionalFormatting>
  <conditionalFormatting sqref="N82:P608">
    <cfRule type="containsText" dxfId="6" priority="171" operator="containsText" text="RIESGO BAJO">
      <formula>NOT(ISERROR(SEARCH("RIESGO BAJO",N82)))</formula>
    </cfRule>
    <cfRule type="containsText" dxfId="5" priority="172" operator="containsText" text="RIESGO MEDIO">
      <formula>NOT(ISERROR(SEARCH("RIESGO MEDIO",N82)))</formula>
    </cfRule>
    <cfRule type="containsText" dxfId="4" priority="173" operator="containsText" text="RIESGO ALTO">
      <formula>NOT(ISERROR(SEARCH("RIESGO ALTO",N82)))</formula>
    </cfRule>
    <cfRule type="containsErrors" dxfId="3" priority="174">
      <formula>ISERROR(N82)</formula>
    </cfRule>
  </conditionalFormatting>
  <conditionalFormatting sqref="AF7">
    <cfRule type="containsText" dxfId="2" priority="9" operator="containsText" text="BAJO">
      <formula>NOT(ISERROR(SEARCH("BAJO",AF7)))</formula>
    </cfRule>
    <cfRule type="containsText" dxfId="1" priority="11" operator="containsText" text="CRITICO">
      <formula>NOT(ISERROR(SEARCH("CRITICO",AF7)))</formula>
    </cfRule>
    <cfRule type="containsText" dxfId="0" priority="10" operator="containsText" text="MODERADO">
      <formula>NOT(ISERROR(SEARCH("MODERADO",AF7)))</formula>
    </cfRule>
  </conditionalFormatting>
  <dataValidations count="5">
    <dataValidation type="list" allowBlank="1" showInputMessage="1" showErrorMessage="1" sqref="W65487:W65558 FG65487:FG65558 PC65487:PC65558 YY65487:YY65558 AIU65487:AIU65558 ASQ65487:ASQ65558 BCM65487:BCM65558 BMI65487:BMI65558 BWE65487:BWE65558 CGA65487:CGA65558 CPW65487:CPW65558 CZS65487:CZS65558 DJO65487:DJO65558 DTK65487:DTK65558 EDG65487:EDG65558 ENC65487:ENC65558 EWY65487:EWY65558 FGU65487:FGU65558 FQQ65487:FQQ65558 GAM65487:GAM65558 GKI65487:GKI65558 GUE65487:GUE65558 HEA65487:HEA65558 HNW65487:HNW65558 HXS65487:HXS65558 IHO65487:IHO65558 IRK65487:IRK65558 JBG65487:JBG65558 JLC65487:JLC65558 JUY65487:JUY65558 KEU65487:KEU65558 KOQ65487:KOQ65558 KYM65487:KYM65558 LII65487:LII65558 LSE65487:LSE65558 MCA65487:MCA65558 MLW65487:MLW65558 MVS65487:MVS65558 NFO65487:NFO65558 NPK65487:NPK65558 NZG65487:NZG65558 OJC65487:OJC65558 OSY65487:OSY65558 PCU65487:PCU65558 PMQ65487:PMQ65558 PWM65487:PWM65558 QGI65487:QGI65558 QQE65487:QQE65558 RAA65487:RAA65558 RJW65487:RJW65558 RTS65487:RTS65558 SDO65487:SDO65558 SNK65487:SNK65558 SXG65487:SXG65558 THC65487:THC65558 TQY65487:TQY65558 UAU65487:UAU65558 UKQ65487:UKQ65558 UUM65487:UUM65558 VEI65487:VEI65558 VOE65487:VOE65558 VYA65487:VYA65558 WHW65487:WHW65558 WRS65487:WRS65558 W131023:W131094 FG131023:FG131094 PC131023:PC131094 YY131023:YY131094 AIU131023:AIU131094 ASQ131023:ASQ131094 BCM131023:BCM131094 BMI131023:BMI131094 BWE131023:BWE131094 CGA131023:CGA131094 CPW131023:CPW131094 CZS131023:CZS131094 DJO131023:DJO131094 DTK131023:DTK131094 EDG131023:EDG131094 ENC131023:ENC131094 EWY131023:EWY131094 FGU131023:FGU131094 FQQ131023:FQQ131094 GAM131023:GAM131094 GKI131023:GKI131094 GUE131023:GUE131094 HEA131023:HEA131094 HNW131023:HNW131094 HXS131023:HXS131094 IHO131023:IHO131094 IRK131023:IRK131094 JBG131023:JBG131094 JLC131023:JLC131094 JUY131023:JUY131094 KEU131023:KEU131094 KOQ131023:KOQ131094 KYM131023:KYM131094 LII131023:LII131094 LSE131023:LSE131094 MCA131023:MCA131094 MLW131023:MLW131094 MVS131023:MVS131094 NFO131023:NFO131094 NPK131023:NPK131094 NZG131023:NZG131094 OJC131023:OJC131094 OSY131023:OSY131094 PCU131023:PCU131094 PMQ131023:PMQ131094 PWM131023:PWM131094 QGI131023:QGI131094 QQE131023:QQE131094 RAA131023:RAA131094 RJW131023:RJW131094 RTS131023:RTS131094 SDO131023:SDO131094 SNK131023:SNK131094 SXG131023:SXG131094 THC131023:THC131094 TQY131023:TQY131094 UAU131023:UAU131094 UKQ131023:UKQ131094 UUM131023:UUM131094 VEI131023:VEI131094 VOE131023:VOE131094 VYA131023:VYA131094 WHW131023:WHW131094 WRS131023:WRS131094 W196559:W196630 FG196559:FG196630 PC196559:PC196630 YY196559:YY196630 AIU196559:AIU196630 ASQ196559:ASQ196630 BCM196559:BCM196630 BMI196559:BMI196630 BWE196559:BWE196630 CGA196559:CGA196630 CPW196559:CPW196630 CZS196559:CZS196630 DJO196559:DJO196630 DTK196559:DTK196630 EDG196559:EDG196630 ENC196559:ENC196630 EWY196559:EWY196630 FGU196559:FGU196630 FQQ196559:FQQ196630 GAM196559:GAM196630 GKI196559:GKI196630 GUE196559:GUE196630 HEA196559:HEA196630 HNW196559:HNW196630 HXS196559:HXS196630 IHO196559:IHO196630 IRK196559:IRK196630 JBG196559:JBG196630 JLC196559:JLC196630 JUY196559:JUY196630 KEU196559:KEU196630 KOQ196559:KOQ196630 KYM196559:KYM196630 LII196559:LII196630 LSE196559:LSE196630 MCA196559:MCA196630 MLW196559:MLW196630 MVS196559:MVS196630 NFO196559:NFO196630 NPK196559:NPK196630 NZG196559:NZG196630 OJC196559:OJC196630 OSY196559:OSY196630 PCU196559:PCU196630 PMQ196559:PMQ196630 PWM196559:PWM196630 QGI196559:QGI196630 QQE196559:QQE196630 RAA196559:RAA196630 RJW196559:RJW196630 RTS196559:RTS196630 SDO196559:SDO196630 SNK196559:SNK196630 SXG196559:SXG196630 THC196559:THC196630 TQY196559:TQY196630 UAU196559:UAU196630 UKQ196559:UKQ196630 UUM196559:UUM196630 VEI196559:VEI196630 VOE196559:VOE196630 VYA196559:VYA196630 WHW196559:WHW196630 WRS196559:WRS196630 W262095:W262166 FG262095:FG262166 PC262095:PC262166 YY262095:YY262166 AIU262095:AIU262166 ASQ262095:ASQ262166 BCM262095:BCM262166 BMI262095:BMI262166 BWE262095:BWE262166 CGA262095:CGA262166 CPW262095:CPW262166 CZS262095:CZS262166 DJO262095:DJO262166 DTK262095:DTK262166 EDG262095:EDG262166 ENC262095:ENC262166 EWY262095:EWY262166 FGU262095:FGU262166 FQQ262095:FQQ262166 GAM262095:GAM262166 GKI262095:GKI262166 GUE262095:GUE262166 HEA262095:HEA262166 HNW262095:HNW262166 HXS262095:HXS262166 IHO262095:IHO262166 IRK262095:IRK262166 JBG262095:JBG262166 JLC262095:JLC262166 JUY262095:JUY262166 KEU262095:KEU262166 KOQ262095:KOQ262166 KYM262095:KYM262166 LII262095:LII262166 LSE262095:LSE262166 MCA262095:MCA262166 MLW262095:MLW262166 MVS262095:MVS262166 NFO262095:NFO262166 NPK262095:NPK262166 NZG262095:NZG262166 OJC262095:OJC262166 OSY262095:OSY262166 PCU262095:PCU262166 PMQ262095:PMQ262166 PWM262095:PWM262166 QGI262095:QGI262166 QQE262095:QQE262166 RAA262095:RAA262166 RJW262095:RJW262166 RTS262095:RTS262166 SDO262095:SDO262166 SNK262095:SNK262166 SXG262095:SXG262166 THC262095:THC262166 TQY262095:TQY262166 UAU262095:UAU262166 UKQ262095:UKQ262166 UUM262095:UUM262166 VEI262095:VEI262166 VOE262095:VOE262166 VYA262095:VYA262166 WHW262095:WHW262166 WRS262095:WRS262166 W327631:W327702 FG327631:FG327702 PC327631:PC327702 YY327631:YY327702 AIU327631:AIU327702 ASQ327631:ASQ327702 BCM327631:BCM327702 BMI327631:BMI327702 BWE327631:BWE327702 CGA327631:CGA327702 CPW327631:CPW327702 CZS327631:CZS327702 DJO327631:DJO327702 DTK327631:DTK327702 EDG327631:EDG327702 ENC327631:ENC327702 EWY327631:EWY327702 FGU327631:FGU327702 FQQ327631:FQQ327702 GAM327631:GAM327702 GKI327631:GKI327702 GUE327631:GUE327702 HEA327631:HEA327702 HNW327631:HNW327702 HXS327631:HXS327702 IHO327631:IHO327702 IRK327631:IRK327702 JBG327631:JBG327702 JLC327631:JLC327702 JUY327631:JUY327702 KEU327631:KEU327702 KOQ327631:KOQ327702 KYM327631:KYM327702 LII327631:LII327702 LSE327631:LSE327702 MCA327631:MCA327702 MLW327631:MLW327702 MVS327631:MVS327702 NFO327631:NFO327702 NPK327631:NPK327702 NZG327631:NZG327702 OJC327631:OJC327702 OSY327631:OSY327702 PCU327631:PCU327702 PMQ327631:PMQ327702 PWM327631:PWM327702 QGI327631:QGI327702 QQE327631:QQE327702 RAA327631:RAA327702 RJW327631:RJW327702 RTS327631:RTS327702 SDO327631:SDO327702 SNK327631:SNK327702 SXG327631:SXG327702 THC327631:THC327702 TQY327631:TQY327702 UAU327631:UAU327702 UKQ327631:UKQ327702 UUM327631:UUM327702 VEI327631:VEI327702 VOE327631:VOE327702 VYA327631:VYA327702 WHW327631:WHW327702 WRS327631:WRS327702 W393167:W393238 FG393167:FG393238 PC393167:PC393238 YY393167:YY393238 AIU393167:AIU393238 ASQ393167:ASQ393238 BCM393167:BCM393238 BMI393167:BMI393238 BWE393167:BWE393238 CGA393167:CGA393238 CPW393167:CPW393238 CZS393167:CZS393238 DJO393167:DJO393238 DTK393167:DTK393238 EDG393167:EDG393238 ENC393167:ENC393238 EWY393167:EWY393238 FGU393167:FGU393238 FQQ393167:FQQ393238 GAM393167:GAM393238 GKI393167:GKI393238 GUE393167:GUE393238 HEA393167:HEA393238 HNW393167:HNW393238 HXS393167:HXS393238 IHO393167:IHO393238 IRK393167:IRK393238 JBG393167:JBG393238 JLC393167:JLC393238 JUY393167:JUY393238 KEU393167:KEU393238 KOQ393167:KOQ393238 KYM393167:KYM393238 LII393167:LII393238 LSE393167:LSE393238 MCA393167:MCA393238 MLW393167:MLW393238 MVS393167:MVS393238 NFO393167:NFO393238 NPK393167:NPK393238 NZG393167:NZG393238 OJC393167:OJC393238 OSY393167:OSY393238 PCU393167:PCU393238 PMQ393167:PMQ393238 PWM393167:PWM393238 QGI393167:QGI393238 QQE393167:QQE393238 RAA393167:RAA393238 RJW393167:RJW393238 RTS393167:RTS393238 SDO393167:SDO393238 SNK393167:SNK393238 SXG393167:SXG393238 THC393167:THC393238 TQY393167:TQY393238 UAU393167:UAU393238 UKQ393167:UKQ393238 UUM393167:UUM393238 VEI393167:VEI393238 VOE393167:VOE393238 VYA393167:VYA393238 WHW393167:WHW393238 WRS393167:WRS393238 W458703:W458774 FG458703:FG458774 PC458703:PC458774 YY458703:YY458774 AIU458703:AIU458774 ASQ458703:ASQ458774 BCM458703:BCM458774 BMI458703:BMI458774 BWE458703:BWE458774 CGA458703:CGA458774 CPW458703:CPW458774 CZS458703:CZS458774 DJO458703:DJO458774 DTK458703:DTK458774 EDG458703:EDG458774 ENC458703:ENC458774 EWY458703:EWY458774 FGU458703:FGU458774 FQQ458703:FQQ458774 GAM458703:GAM458774 GKI458703:GKI458774 GUE458703:GUE458774 HEA458703:HEA458774 HNW458703:HNW458774 HXS458703:HXS458774 IHO458703:IHO458774 IRK458703:IRK458774 JBG458703:JBG458774 JLC458703:JLC458774 JUY458703:JUY458774 KEU458703:KEU458774 KOQ458703:KOQ458774 KYM458703:KYM458774 LII458703:LII458774 LSE458703:LSE458774 MCA458703:MCA458774 MLW458703:MLW458774 MVS458703:MVS458774 NFO458703:NFO458774 NPK458703:NPK458774 NZG458703:NZG458774 OJC458703:OJC458774 OSY458703:OSY458774 PCU458703:PCU458774 PMQ458703:PMQ458774 PWM458703:PWM458774 QGI458703:QGI458774 QQE458703:QQE458774 RAA458703:RAA458774 RJW458703:RJW458774 RTS458703:RTS458774 SDO458703:SDO458774 SNK458703:SNK458774 SXG458703:SXG458774 THC458703:THC458774 TQY458703:TQY458774 UAU458703:UAU458774 UKQ458703:UKQ458774 UUM458703:UUM458774 VEI458703:VEI458774 VOE458703:VOE458774 VYA458703:VYA458774 WHW458703:WHW458774 WRS458703:WRS458774 W524239:W524310 FG524239:FG524310 PC524239:PC524310 YY524239:YY524310 AIU524239:AIU524310 ASQ524239:ASQ524310 BCM524239:BCM524310 BMI524239:BMI524310 BWE524239:BWE524310 CGA524239:CGA524310 CPW524239:CPW524310 CZS524239:CZS524310 DJO524239:DJO524310 DTK524239:DTK524310 EDG524239:EDG524310 ENC524239:ENC524310 EWY524239:EWY524310 FGU524239:FGU524310 FQQ524239:FQQ524310 GAM524239:GAM524310 GKI524239:GKI524310 GUE524239:GUE524310 HEA524239:HEA524310 HNW524239:HNW524310 HXS524239:HXS524310 IHO524239:IHO524310 IRK524239:IRK524310 JBG524239:JBG524310 JLC524239:JLC524310 JUY524239:JUY524310 KEU524239:KEU524310 KOQ524239:KOQ524310 KYM524239:KYM524310 LII524239:LII524310 LSE524239:LSE524310 MCA524239:MCA524310 MLW524239:MLW524310 MVS524239:MVS524310 NFO524239:NFO524310 NPK524239:NPK524310 NZG524239:NZG524310 OJC524239:OJC524310 OSY524239:OSY524310 PCU524239:PCU524310 PMQ524239:PMQ524310 PWM524239:PWM524310 QGI524239:QGI524310 QQE524239:QQE524310 RAA524239:RAA524310 RJW524239:RJW524310 RTS524239:RTS524310 SDO524239:SDO524310 SNK524239:SNK524310 SXG524239:SXG524310 THC524239:THC524310 TQY524239:TQY524310 UAU524239:UAU524310 UKQ524239:UKQ524310 UUM524239:UUM524310 VEI524239:VEI524310 VOE524239:VOE524310 VYA524239:VYA524310 WHW524239:WHW524310 WRS524239:WRS524310 W589775:W589846 FG589775:FG589846 PC589775:PC589846 YY589775:YY589846 AIU589775:AIU589846 ASQ589775:ASQ589846 BCM589775:BCM589846 BMI589775:BMI589846 BWE589775:BWE589846 CGA589775:CGA589846 CPW589775:CPW589846 CZS589775:CZS589846 DJO589775:DJO589846 DTK589775:DTK589846 EDG589775:EDG589846 ENC589775:ENC589846 EWY589775:EWY589846 FGU589775:FGU589846 FQQ589775:FQQ589846 GAM589775:GAM589846 GKI589775:GKI589846 GUE589775:GUE589846 HEA589775:HEA589846 HNW589775:HNW589846 HXS589775:HXS589846 IHO589775:IHO589846 IRK589775:IRK589846 JBG589775:JBG589846 JLC589775:JLC589846 JUY589775:JUY589846 KEU589775:KEU589846 KOQ589775:KOQ589846 KYM589775:KYM589846 LII589775:LII589846 LSE589775:LSE589846 MCA589775:MCA589846 MLW589775:MLW589846 MVS589775:MVS589846 NFO589775:NFO589846 NPK589775:NPK589846 NZG589775:NZG589846 OJC589775:OJC589846 OSY589775:OSY589846 PCU589775:PCU589846 PMQ589775:PMQ589846 PWM589775:PWM589846 QGI589775:QGI589846 QQE589775:QQE589846 RAA589775:RAA589846 RJW589775:RJW589846 RTS589775:RTS589846 SDO589775:SDO589846 SNK589775:SNK589846 SXG589775:SXG589846 THC589775:THC589846 TQY589775:TQY589846 UAU589775:UAU589846 UKQ589775:UKQ589846 UUM589775:UUM589846 VEI589775:VEI589846 VOE589775:VOE589846 VYA589775:VYA589846 WHW589775:WHW589846 WRS589775:WRS589846 W655311:W655382 FG655311:FG655382 PC655311:PC655382 YY655311:YY655382 AIU655311:AIU655382 ASQ655311:ASQ655382 BCM655311:BCM655382 BMI655311:BMI655382 BWE655311:BWE655382 CGA655311:CGA655382 CPW655311:CPW655382 CZS655311:CZS655382 DJO655311:DJO655382 DTK655311:DTK655382 EDG655311:EDG655382 ENC655311:ENC655382 EWY655311:EWY655382 FGU655311:FGU655382 FQQ655311:FQQ655382 GAM655311:GAM655382 GKI655311:GKI655382 GUE655311:GUE655382 HEA655311:HEA655382 HNW655311:HNW655382 HXS655311:HXS655382 IHO655311:IHO655382 IRK655311:IRK655382 JBG655311:JBG655382 JLC655311:JLC655382 JUY655311:JUY655382 KEU655311:KEU655382 KOQ655311:KOQ655382 KYM655311:KYM655382 LII655311:LII655382 LSE655311:LSE655382 MCA655311:MCA655382 MLW655311:MLW655382 MVS655311:MVS655382 NFO655311:NFO655382 NPK655311:NPK655382 NZG655311:NZG655382 OJC655311:OJC655382 OSY655311:OSY655382 PCU655311:PCU655382 PMQ655311:PMQ655382 PWM655311:PWM655382 QGI655311:QGI655382 QQE655311:QQE655382 RAA655311:RAA655382 RJW655311:RJW655382 RTS655311:RTS655382 SDO655311:SDO655382 SNK655311:SNK655382 SXG655311:SXG655382 THC655311:THC655382 TQY655311:TQY655382 UAU655311:UAU655382 UKQ655311:UKQ655382 UUM655311:UUM655382 VEI655311:VEI655382 VOE655311:VOE655382 VYA655311:VYA655382 WHW655311:WHW655382 WRS655311:WRS655382 W720847:W720918 FG720847:FG720918 PC720847:PC720918 YY720847:YY720918 AIU720847:AIU720918 ASQ720847:ASQ720918 BCM720847:BCM720918 BMI720847:BMI720918 BWE720847:BWE720918 CGA720847:CGA720918 CPW720847:CPW720918 CZS720847:CZS720918 DJO720847:DJO720918 DTK720847:DTK720918 EDG720847:EDG720918 ENC720847:ENC720918 EWY720847:EWY720918 FGU720847:FGU720918 FQQ720847:FQQ720918 GAM720847:GAM720918 GKI720847:GKI720918 GUE720847:GUE720918 HEA720847:HEA720918 HNW720847:HNW720918 HXS720847:HXS720918 IHO720847:IHO720918 IRK720847:IRK720918 JBG720847:JBG720918 JLC720847:JLC720918 JUY720847:JUY720918 KEU720847:KEU720918 KOQ720847:KOQ720918 KYM720847:KYM720918 LII720847:LII720918 LSE720847:LSE720918 MCA720847:MCA720918 MLW720847:MLW720918 MVS720847:MVS720918 NFO720847:NFO720918 NPK720847:NPK720918 NZG720847:NZG720918 OJC720847:OJC720918 OSY720847:OSY720918 PCU720847:PCU720918 PMQ720847:PMQ720918 PWM720847:PWM720918 QGI720847:QGI720918 QQE720847:QQE720918 RAA720847:RAA720918 RJW720847:RJW720918 RTS720847:RTS720918 SDO720847:SDO720918 SNK720847:SNK720918 SXG720847:SXG720918 THC720847:THC720918 TQY720847:TQY720918 UAU720847:UAU720918 UKQ720847:UKQ720918 UUM720847:UUM720918 VEI720847:VEI720918 VOE720847:VOE720918 VYA720847:VYA720918 WHW720847:WHW720918 WRS720847:WRS720918 W786383:W786454 FG786383:FG786454 PC786383:PC786454 YY786383:YY786454 AIU786383:AIU786454 ASQ786383:ASQ786454 BCM786383:BCM786454 BMI786383:BMI786454 BWE786383:BWE786454 CGA786383:CGA786454 CPW786383:CPW786454 CZS786383:CZS786454 DJO786383:DJO786454 DTK786383:DTK786454 EDG786383:EDG786454 ENC786383:ENC786454 EWY786383:EWY786454 FGU786383:FGU786454 FQQ786383:FQQ786454 GAM786383:GAM786454 GKI786383:GKI786454 GUE786383:GUE786454 HEA786383:HEA786454 HNW786383:HNW786454 HXS786383:HXS786454 IHO786383:IHO786454 IRK786383:IRK786454 JBG786383:JBG786454 JLC786383:JLC786454 JUY786383:JUY786454 KEU786383:KEU786454 KOQ786383:KOQ786454 KYM786383:KYM786454 LII786383:LII786454 LSE786383:LSE786454 MCA786383:MCA786454 MLW786383:MLW786454 MVS786383:MVS786454 NFO786383:NFO786454 NPK786383:NPK786454 NZG786383:NZG786454 OJC786383:OJC786454 OSY786383:OSY786454 PCU786383:PCU786454 PMQ786383:PMQ786454 PWM786383:PWM786454 QGI786383:QGI786454 QQE786383:QQE786454 RAA786383:RAA786454 RJW786383:RJW786454 RTS786383:RTS786454 SDO786383:SDO786454 SNK786383:SNK786454 SXG786383:SXG786454 THC786383:THC786454 TQY786383:TQY786454 UAU786383:UAU786454 UKQ786383:UKQ786454 UUM786383:UUM786454 VEI786383:VEI786454 VOE786383:VOE786454 VYA786383:VYA786454 WHW786383:WHW786454 WRS786383:WRS786454 W851919:W851990 FG851919:FG851990 PC851919:PC851990 YY851919:YY851990 AIU851919:AIU851990 ASQ851919:ASQ851990 BCM851919:BCM851990 BMI851919:BMI851990 BWE851919:BWE851990 CGA851919:CGA851990 CPW851919:CPW851990 CZS851919:CZS851990 DJO851919:DJO851990 DTK851919:DTK851990 EDG851919:EDG851990 ENC851919:ENC851990 EWY851919:EWY851990 FGU851919:FGU851990 FQQ851919:FQQ851990 GAM851919:GAM851990 GKI851919:GKI851990 GUE851919:GUE851990 HEA851919:HEA851990 HNW851919:HNW851990 HXS851919:HXS851990 IHO851919:IHO851990 IRK851919:IRK851990 JBG851919:JBG851990 JLC851919:JLC851990 JUY851919:JUY851990 KEU851919:KEU851990 KOQ851919:KOQ851990 KYM851919:KYM851990 LII851919:LII851990 LSE851919:LSE851990 MCA851919:MCA851990 MLW851919:MLW851990 MVS851919:MVS851990 NFO851919:NFO851990 NPK851919:NPK851990 NZG851919:NZG851990 OJC851919:OJC851990 OSY851919:OSY851990 PCU851919:PCU851990 PMQ851919:PMQ851990 PWM851919:PWM851990 QGI851919:QGI851990 QQE851919:QQE851990 RAA851919:RAA851990 RJW851919:RJW851990 RTS851919:RTS851990 SDO851919:SDO851990 SNK851919:SNK851990 SXG851919:SXG851990 THC851919:THC851990 TQY851919:TQY851990 UAU851919:UAU851990 UKQ851919:UKQ851990 UUM851919:UUM851990 VEI851919:VEI851990 VOE851919:VOE851990 VYA851919:VYA851990 WHW851919:WHW851990 WRS851919:WRS851990 W917455:W917526 FG917455:FG917526 PC917455:PC917526 YY917455:YY917526 AIU917455:AIU917526 ASQ917455:ASQ917526 BCM917455:BCM917526 BMI917455:BMI917526 BWE917455:BWE917526 CGA917455:CGA917526 CPW917455:CPW917526 CZS917455:CZS917526 DJO917455:DJO917526 DTK917455:DTK917526 EDG917455:EDG917526 ENC917455:ENC917526 EWY917455:EWY917526 FGU917455:FGU917526 FQQ917455:FQQ917526 GAM917455:GAM917526 GKI917455:GKI917526 GUE917455:GUE917526 HEA917455:HEA917526 HNW917455:HNW917526 HXS917455:HXS917526 IHO917455:IHO917526 IRK917455:IRK917526 JBG917455:JBG917526 JLC917455:JLC917526 JUY917455:JUY917526 KEU917455:KEU917526 KOQ917455:KOQ917526 KYM917455:KYM917526 LII917455:LII917526 LSE917455:LSE917526 MCA917455:MCA917526 MLW917455:MLW917526 MVS917455:MVS917526 NFO917455:NFO917526 NPK917455:NPK917526 NZG917455:NZG917526 OJC917455:OJC917526 OSY917455:OSY917526 PCU917455:PCU917526 PMQ917455:PMQ917526 PWM917455:PWM917526 QGI917455:QGI917526 QQE917455:QQE917526 RAA917455:RAA917526 RJW917455:RJW917526 RTS917455:RTS917526 SDO917455:SDO917526 SNK917455:SNK917526 SXG917455:SXG917526 THC917455:THC917526 TQY917455:TQY917526 UAU917455:UAU917526 UKQ917455:UKQ917526 UUM917455:UUM917526 VEI917455:VEI917526 VOE917455:VOE917526 VYA917455:VYA917526 WHW917455:WHW917526 WRS917455:WRS917526 W982991:W983062 FG982991:FG983062 PC982991:PC983062 YY982991:YY983062 AIU982991:AIU983062 ASQ982991:ASQ983062 BCM982991:BCM983062 BMI982991:BMI983062 BWE982991:BWE983062 CGA982991:CGA983062 CPW982991:CPW983062 CZS982991:CZS983062 DJO982991:DJO983062 DTK982991:DTK983062 EDG982991:EDG983062 ENC982991:ENC983062 EWY982991:EWY983062 FGU982991:FGU983062 FQQ982991:FQQ983062 GAM982991:GAM983062 GKI982991:GKI983062 GUE982991:GUE983062 HEA982991:HEA983062 HNW982991:HNW983062 HXS982991:HXS983062 IHO982991:IHO983062 IRK982991:IRK983062 JBG982991:JBG983062 JLC982991:JLC983062 JUY982991:JUY983062 KEU982991:KEU983062 KOQ982991:KOQ983062 KYM982991:KYM983062 LII982991:LII983062 LSE982991:LSE983062 MCA982991:MCA983062 MLW982991:MLW983062 MVS982991:MVS983062 NFO982991:NFO983062 NPK982991:NPK983062 NZG982991:NZG983062 OJC982991:OJC983062 OSY982991:OSY983062 PCU982991:PCU983062 PMQ982991:PMQ983062 PWM982991:PWM983062 QGI982991:QGI983062 QQE982991:QQE983062 RAA982991:RAA983062 RJW982991:RJW983062 RTS982991:RTS983062 SDO982991:SDO983062 SNK982991:SNK983062 SXG982991:SXG983062 THC982991:THC983062 TQY982991:TQY983062 UAU982991:UAU983062 UKQ982991:UKQ983062 UUM982991:UUM983062 VEI982991:VEI983062 VOE982991:VOE983062 VYA982991:VYA983062 WHW982991:WHW983062 WRS982991:WRS983062 W11:W27 WHW11:WHW78 VYA11:VYA78 VOE11:VOE78 VEI11:VEI78 UUM11:UUM78 UKQ11:UKQ78 UAU11:UAU78 TQY11:TQY78 THC11:THC78 SXG11:SXG78 SNK11:SNK78 SDO11:SDO78 RTS11:RTS78 RJW11:RJW78 RAA11:RAA78 QQE11:QQE78 QGI11:QGI78 PWM11:PWM78 PMQ11:PMQ78 PCU11:PCU78 OSY11:OSY78 OJC11:OJC78 NZG11:NZG78 NPK11:NPK78 NFO11:NFO78 MVS11:MVS78 MLW11:MLW78 MCA11:MCA78 LSE11:LSE78 LII11:LII78 KYM11:KYM78 KOQ11:KOQ78 KEU11:KEU78 JUY11:JUY78 JLC11:JLC78 JBG11:JBG78 IRK11:IRK78 IHO11:IHO78 HXS11:HXS78 HNW11:HNW78 HEA11:HEA78 GUE11:GUE78 GKI11:GKI78 GAM11:GAM78 FQQ11:FQQ78 FGU11:FGU78 EWY11:EWY78 ENC11:ENC78 EDG11:EDG78 DTK11:DTK78 DJO11:DJO78 CZS11:CZS78 CPW11:CPW78 CGA11:CGA78 BWE11:BWE78 BMI11:BMI78 BCM11:BCM78 ASQ11:ASQ78 AIU11:AIU78 YY11:YY78 PC11:PC78 FG11:FG78 WRS11:WRS78 W31:W80" xr:uid="{00000000-0002-0000-0200-000000000000}">
      <formula1>"PLANEADA, SIN INICIAR, ABIERTA, CERRADA"</formula1>
    </dataValidation>
    <dataValidation type="list" allowBlank="1" showInputMessage="1" showErrorMessage="1" sqref="K65487:K131012 EW65487:EW131012 OS65487:OS131012 YO65487:YO131012 AIK65487:AIK131012 ASG65487:ASG131012 BCC65487:BCC131012 BLY65487:BLY131012 BVU65487:BVU131012 CFQ65487:CFQ131012 CPM65487:CPM131012 CZI65487:CZI131012 DJE65487:DJE131012 DTA65487:DTA131012 ECW65487:ECW131012 EMS65487:EMS131012 EWO65487:EWO131012 FGK65487:FGK131012 FQG65487:FQG131012 GAC65487:GAC131012 GJY65487:GJY131012 GTU65487:GTU131012 HDQ65487:HDQ131012 HNM65487:HNM131012 HXI65487:HXI131012 IHE65487:IHE131012 IRA65487:IRA131012 JAW65487:JAW131012 JKS65487:JKS131012 JUO65487:JUO131012 KEK65487:KEK131012 KOG65487:KOG131012 KYC65487:KYC131012 LHY65487:LHY131012 LRU65487:LRU131012 MBQ65487:MBQ131012 MLM65487:MLM131012 MVI65487:MVI131012 NFE65487:NFE131012 NPA65487:NPA131012 NYW65487:NYW131012 OIS65487:OIS131012 OSO65487:OSO131012 PCK65487:PCK131012 PMG65487:PMG131012 PWC65487:PWC131012 QFY65487:QFY131012 QPU65487:QPU131012 QZQ65487:QZQ131012 RJM65487:RJM131012 RTI65487:RTI131012 SDE65487:SDE131012 SNA65487:SNA131012 SWW65487:SWW131012 TGS65487:TGS131012 TQO65487:TQO131012 UAK65487:UAK131012 UKG65487:UKG131012 UUC65487:UUC131012 VDY65487:VDY131012 VNU65487:VNU131012 VXQ65487:VXQ131012 WHM65487:WHM131012 WRI65487:WRI131012 K131023:K196548 EW131023:EW196548 OS131023:OS196548 YO131023:YO196548 AIK131023:AIK196548 ASG131023:ASG196548 BCC131023:BCC196548 BLY131023:BLY196548 BVU131023:BVU196548 CFQ131023:CFQ196548 CPM131023:CPM196548 CZI131023:CZI196548 DJE131023:DJE196548 DTA131023:DTA196548 ECW131023:ECW196548 EMS131023:EMS196548 EWO131023:EWO196548 FGK131023:FGK196548 FQG131023:FQG196548 GAC131023:GAC196548 GJY131023:GJY196548 GTU131023:GTU196548 HDQ131023:HDQ196548 HNM131023:HNM196548 HXI131023:HXI196548 IHE131023:IHE196548 IRA131023:IRA196548 JAW131023:JAW196548 JKS131023:JKS196548 JUO131023:JUO196548 KEK131023:KEK196548 KOG131023:KOG196548 KYC131023:KYC196548 LHY131023:LHY196548 LRU131023:LRU196548 MBQ131023:MBQ196548 MLM131023:MLM196548 MVI131023:MVI196548 NFE131023:NFE196548 NPA131023:NPA196548 NYW131023:NYW196548 OIS131023:OIS196548 OSO131023:OSO196548 PCK131023:PCK196548 PMG131023:PMG196548 PWC131023:PWC196548 QFY131023:QFY196548 QPU131023:QPU196548 QZQ131023:QZQ196548 RJM131023:RJM196548 RTI131023:RTI196548 SDE131023:SDE196548 SNA131023:SNA196548 SWW131023:SWW196548 TGS131023:TGS196548 TQO131023:TQO196548 UAK131023:UAK196548 UKG131023:UKG196548 UUC131023:UUC196548 VDY131023:VDY196548 VNU131023:VNU196548 VXQ131023:VXQ196548 WHM131023:WHM196548 WRI131023:WRI196548 K196559:K262084 EW196559:EW262084 OS196559:OS262084 YO196559:YO262084 AIK196559:AIK262084 ASG196559:ASG262084 BCC196559:BCC262084 BLY196559:BLY262084 BVU196559:BVU262084 CFQ196559:CFQ262084 CPM196559:CPM262084 CZI196559:CZI262084 DJE196559:DJE262084 DTA196559:DTA262084 ECW196559:ECW262084 EMS196559:EMS262084 EWO196559:EWO262084 FGK196559:FGK262084 FQG196559:FQG262084 GAC196559:GAC262084 GJY196559:GJY262084 GTU196559:GTU262084 HDQ196559:HDQ262084 HNM196559:HNM262084 HXI196559:HXI262084 IHE196559:IHE262084 IRA196559:IRA262084 JAW196559:JAW262084 JKS196559:JKS262084 JUO196559:JUO262084 KEK196559:KEK262084 KOG196559:KOG262084 KYC196559:KYC262084 LHY196559:LHY262084 LRU196559:LRU262084 MBQ196559:MBQ262084 MLM196559:MLM262084 MVI196559:MVI262084 NFE196559:NFE262084 NPA196559:NPA262084 NYW196559:NYW262084 OIS196559:OIS262084 OSO196559:OSO262084 PCK196559:PCK262084 PMG196559:PMG262084 PWC196559:PWC262084 QFY196559:QFY262084 QPU196559:QPU262084 QZQ196559:QZQ262084 RJM196559:RJM262084 RTI196559:RTI262084 SDE196559:SDE262084 SNA196559:SNA262084 SWW196559:SWW262084 TGS196559:TGS262084 TQO196559:TQO262084 UAK196559:UAK262084 UKG196559:UKG262084 UUC196559:UUC262084 VDY196559:VDY262084 VNU196559:VNU262084 VXQ196559:VXQ262084 WHM196559:WHM262084 WRI196559:WRI262084 K262095:K327620 EW262095:EW327620 OS262095:OS327620 YO262095:YO327620 AIK262095:AIK327620 ASG262095:ASG327620 BCC262095:BCC327620 BLY262095:BLY327620 BVU262095:BVU327620 CFQ262095:CFQ327620 CPM262095:CPM327620 CZI262095:CZI327620 DJE262095:DJE327620 DTA262095:DTA327620 ECW262095:ECW327620 EMS262095:EMS327620 EWO262095:EWO327620 FGK262095:FGK327620 FQG262095:FQG327620 GAC262095:GAC327620 GJY262095:GJY327620 GTU262095:GTU327620 HDQ262095:HDQ327620 HNM262095:HNM327620 HXI262095:HXI327620 IHE262095:IHE327620 IRA262095:IRA327620 JAW262095:JAW327620 JKS262095:JKS327620 JUO262095:JUO327620 KEK262095:KEK327620 KOG262095:KOG327620 KYC262095:KYC327620 LHY262095:LHY327620 LRU262095:LRU327620 MBQ262095:MBQ327620 MLM262095:MLM327620 MVI262095:MVI327620 NFE262095:NFE327620 NPA262095:NPA327620 NYW262095:NYW327620 OIS262095:OIS327620 OSO262095:OSO327620 PCK262095:PCK327620 PMG262095:PMG327620 PWC262095:PWC327620 QFY262095:QFY327620 QPU262095:QPU327620 QZQ262095:QZQ327620 RJM262095:RJM327620 RTI262095:RTI327620 SDE262095:SDE327620 SNA262095:SNA327620 SWW262095:SWW327620 TGS262095:TGS327620 TQO262095:TQO327620 UAK262095:UAK327620 UKG262095:UKG327620 UUC262095:UUC327620 VDY262095:VDY327620 VNU262095:VNU327620 VXQ262095:VXQ327620 WHM262095:WHM327620 WRI262095:WRI327620 K327631:K393156 EW327631:EW393156 OS327631:OS393156 YO327631:YO393156 AIK327631:AIK393156 ASG327631:ASG393156 BCC327631:BCC393156 BLY327631:BLY393156 BVU327631:BVU393156 CFQ327631:CFQ393156 CPM327631:CPM393156 CZI327631:CZI393156 DJE327631:DJE393156 DTA327631:DTA393156 ECW327631:ECW393156 EMS327631:EMS393156 EWO327631:EWO393156 FGK327631:FGK393156 FQG327631:FQG393156 GAC327631:GAC393156 GJY327631:GJY393156 GTU327631:GTU393156 HDQ327631:HDQ393156 HNM327631:HNM393156 HXI327631:HXI393156 IHE327631:IHE393156 IRA327631:IRA393156 JAW327631:JAW393156 JKS327631:JKS393156 JUO327631:JUO393156 KEK327631:KEK393156 KOG327631:KOG393156 KYC327631:KYC393156 LHY327631:LHY393156 LRU327631:LRU393156 MBQ327631:MBQ393156 MLM327631:MLM393156 MVI327631:MVI393156 NFE327631:NFE393156 NPA327631:NPA393156 NYW327631:NYW393156 OIS327631:OIS393156 OSO327631:OSO393156 PCK327631:PCK393156 PMG327631:PMG393156 PWC327631:PWC393156 QFY327631:QFY393156 QPU327631:QPU393156 QZQ327631:QZQ393156 RJM327631:RJM393156 RTI327631:RTI393156 SDE327631:SDE393156 SNA327631:SNA393156 SWW327631:SWW393156 TGS327631:TGS393156 TQO327631:TQO393156 UAK327631:UAK393156 UKG327631:UKG393156 UUC327631:UUC393156 VDY327631:VDY393156 VNU327631:VNU393156 VXQ327631:VXQ393156 WHM327631:WHM393156 WRI327631:WRI393156 K393167:K458692 EW393167:EW458692 OS393167:OS458692 YO393167:YO458692 AIK393167:AIK458692 ASG393167:ASG458692 BCC393167:BCC458692 BLY393167:BLY458692 BVU393167:BVU458692 CFQ393167:CFQ458692 CPM393167:CPM458692 CZI393167:CZI458692 DJE393167:DJE458692 DTA393167:DTA458692 ECW393167:ECW458692 EMS393167:EMS458692 EWO393167:EWO458692 FGK393167:FGK458692 FQG393167:FQG458692 GAC393167:GAC458692 GJY393167:GJY458692 GTU393167:GTU458692 HDQ393167:HDQ458692 HNM393167:HNM458692 HXI393167:HXI458692 IHE393167:IHE458692 IRA393167:IRA458692 JAW393167:JAW458692 JKS393167:JKS458692 JUO393167:JUO458692 KEK393167:KEK458692 KOG393167:KOG458692 KYC393167:KYC458692 LHY393167:LHY458692 LRU393167:LRU458692 MBQ393167:MBQ458692 MLM393167:MLM458692 MVI393167:MVI458692 NFE393167:NFE458692 NPA393167:NPA458692 NYW393167:NYW458692 OIS393167:OIS458692 OSO393167:OSO458692 PCK393167:PCK458692 PMG393167:PMG458692 PWC393167:PWC458692 QFY393167:QFY458692 QPU393167:QPU458692 QZQ393167:QZQ458692 RJM393167:RJM458692 RTI393167:RTI458692 SDE393167:SDE458692 SNA393167:SNA458692 SWW393167:SWW458692 TGS393167:TGS458692 TQO393167:TQO458692 UAK393167:UAK458692 UKG393167:UKG458692 UUC393167:UUC458692 VDY393167:VDY458692 VNU393167:VNU458692 VXQ393167:VXQ458692 WHM393167:WHM458692 WRI393167:WRI458692 K458703:K524228 EW458703:EW524228 OS458703:OS524228 YO458703:YO524228 AIK458703:AIK524228 ASG458703:ASG524228 BCC458703:BCC524228 BLY458703:BLY524228 BVU458703:BVU524228 CFQ458703:CFQ524228 CPM458703:CPM524228 CZI458703:CZI524228 DJE458703:DJE524228 DTA458703:DTA524228 ECW458703:ECW524228 EMS458703:EMS524228 EWO458703:EWO524228 FGK458703:FGK524228 FQG458703:FQG524228 GAC458703:GAC524228 GJY458703:GJY524228 GTU458703:GTU524228 HDQ458703:HDQ524228 HNM458703:HNM524228 HXI458703:HXI524228 IHE458703:IHE524228 IRA458703:IRA524228 JAW458703:JAW524228 JKS458703:JKS524228 JUO458703:JUO524228 KEK458703:KEK524228 KOG458703:KOG524228 KYC458703:KYC524228 LHY458703:LHY524228 LRU458703:LRU524228 MBQ458703:MBQ524228 MLM458703:MLM524228 MVI458703:MVI524228 NFE458703:NFE524228 NPA458703:NPA524228 NYW458703:NYW524228 OIS458703:OIS524228 OSO458703:OSO524228 PCK458703:PCK524228 PMG458703:PMG524228 PWC458703:PWC524228 QFY458703:QFY524228 QPU458703:QPU524228 QZQ458703:QZQ524228 RJM458703:RJM524228 RTI458703:RTI524228 SDE458703:SDE524228 SNA458703:SNA524228 SWW458703:SWW524228 TGS458703:TGS524228 TQO458703:TQO524228 UAK458703:UAK524228 UKG458703:UKG524228 UUC458703:UUC524228 VDY458703:VDY524228 VNU458703:VNU524228 VXQ458703:VXQ524228 WHM458703:WHM524228 WRI458703:WRI524228 K524239:K589764 EW524239:EW589764 OS524239:OS589764 YO524239:YO589764 AIK524239:AIK589764 ASG524239:ASG589764 BCC524239:BCC589764 BLY524239:BLY589764 BVU524239:BVU589764 CFQ524239:CFQ589764 CPM524239:CPM589764 CZI524239:CZI589764 DJE524239:DJE589764 DTA524239:DTA589764 ECW524239:ECW589764 EMS524239:EMS589764 EWO524239:EWO589764 FGK524239:FGK589764 FQG524239:FQG589764 GAC524239:GAC589764 GJY524239:GJY589764 GTU524239:GTU589764 HDQ524239:HDQ589764 HNM524239:HNM589764 HXI524239:HXI589764 IHE524239:IHE589764 IRA524239:IRA589764 JAW524239:JAW589764 JKS524239:JKS589764 JUO524239:JUO589764 KEK524239:KEK589764 KOG524239:KOG589764 KYC524239:KYC589764 LHY524239:LHY589764 LRU524239:LRU589764 MBQ524239:MBQ589764 MLM524239:MLM589764 MVI524239:MVI589764 NFE524239:NFE589764 NPA524239:NPA589764 NYW524239:NYW589764 OIS524239:OIS589764 OSO524239:OSO589764 PCK524239:PCK589764 PMG524239:PMG589764 PWC524239:PWC589764 QFY524239:QFY589764 QPU524239:QPU589764 QZQ524239:QZQ589764 RJM524239:RJM589764 RTI524239:RTI589764 SDE524239:SDE589764 SNA524239:SNA589764 SWW524239:SWW589764 TGS524239:TGS589764 TQO524239:TQO589764 UAK524239:UAK589764 UKG524239:UKG589764 UUC524239:UUC589764 VDY524239:VDY589764 VNU524239:VNU589764 VXQ524239:VXQ589764 WHM524239:WHM589764 WRI524239:WRI589764 K589775:K655300 EW589775:EW655300 OS589775:OS655300 YO589775:YO655300 AIK589775:AIK655300 ASG589775:ASG655300 BCC589775:BCC655300 BLY589775:BLY655300 BVU589775:BVU655300 CFQ589775:CFQ655300 CPM589775:CPM655300 CZI589775:CZI655300 DJE589775:DJE655300 DTA589775:DTA655300 ECW589775:ECW655300 EMS589775:EMS655300 EWO589775:EWO655300 FGK589775:FGK655300 FQG589775:FQG655300 GAC589775:GAC655300 GJY589775:GJY655300 GTU589775:GTU655300 HDQ589775:HDQ655300 HNM589775:HNM655300 HXI589775:HXI655300 IHE589775:IHE655300 IRA589775:IRA655300 JAW589775:JAW655300 JKS589775:JKS655300 JUO589775:JUO655300 KEK589775:KEK655300 KOG589775:KOG655300 KYC589775:KYC655300 LHY589775:LHY655300 LRU589775:LRU655300 MBQ589775:MBQ655300 MLM589775:MLM655300 MVI589775:MVI655300 NFE589775:NFE655300 NPA589775:NPA655300 NYW589775:NYW655300 OIS589775:OIS655300 OSO589775:OSO655300 PCK589775:PCK655300 PMG589775:PMG655300 PWC589775:PWC655300 QFY589775:QFY655300 QPU589775:QPU655300 QZQ589775:QZQ655300 RJM589775:RJM655300 RTI589775:RTI655300 SDE589775:SDE655300 SNA589775:SNA655300 SWW589775:SWW655300 TGS589775:TGS655300 TQO589775:TQO655300 UAK589775:UAK655300 UKG589775:UKG655300 UUC589775:UUC655300 VDY589775:VDY655300 VNU589775:VNU655300 VXQ589775:VXQ655300 WHM589775:WHM655300 WRI589775:WRI655300 K655311:K720836 EW655311:EW720836 OS655311:OS720836 YO655311:YO720836 AIK655311:AIK720836 ASG655311:ASG720836 BCC655311:BCC720836 BLY655311:BLY720836 BVU655311:BVU720836 CFQ655311:CFQ720836 CPM655311:CPM720836 CZI655311:CZI720836 DJE655311:DJE720836 DTA655311:DTA720836 ECW655311:ECW720836 EMS655311:EMS720836 EWO655311:EWO720836 FGK655311:FGK720836 FQG655311:FQG720836 GAC655311:GAC720836 GJY655311:GJY720836 GTU655311:GTU720836 HDQ655311:HDQ720836 HNM655311:HNM720836 HXI655311:HXI720836 IHE655311:IHE720836 IRA655311:IRA720836 JAW655311:JAW720836 JKS655311:JKS720836 JUO655311:JUO720836 KEK655311:KEK720836 KOG655311:KOG720836 KYC655311:KYC720836 LHY655311:LHY720836 LRU655311:LRU720836 MBQ655311:MBQ720836 MLM655311:MLM720836 MVI655311:MVI720836 NFE655311:NFE720836 NPA655311:NPA720836 NYW655311:NYW720836 OIS655311:OIS720836 OSO655311:OSO720836 PCK655311:PCK720836 PMG655311:PMG720836 PWC655311:PWC720836 QFY655311:QFY720836 QPU655311:QPU720836 QZQ655311:QZQ720836 RJM655311:RJM720836 RTI655311:RTI720836 SDE655311:SDE720836 SNA655311:SNA720836 SWW655311:SWW720836 TGS655311:TGS720836 TQO655311:TQO720836 UAK655311:UAK720836 UKG655311:UKG720836 UUC655311:UUC720836 VDY655311:VDY720836 VNU655311:VNU720836 VXQ655311:VXQ720836 WHM655311:WHM720836 WRI655311:WRI720836 K720847:K786372 EW720847:EW786372 OS720847:OS786372 YO720847:YO786372 AIK720847:AIK786372 ASG720847:ASG786372 BCC720847:BCC786372 BLY720847:BLY786372 BVU720847:BVU786372 CFQ720847:CFQ786372 CPM720847:CPM786372 CZI720847:CZI786372 DJE720847:DJE786372 DTA720847:DTA786372 ECW720847:ECW786372 EMS720847:EMS786372 EWO720847:EWO786372 FGK720847:FGK786372 FQG720847:FQG786372 GAC720847:GAC786372 GJY720847:GJY786372 GTU720847:GTU786372 HDQ720847:HDQ786372 HNM720847:HNM786372 HXI720847:HXI786372 IHE720847:IHE786372 IRA720847:IRA786372 JAW720847:JAW786372 JKS720847:JKS786372 JUO720847:JUO786372 KEK720847:KEK786372 KOG720847:KOG786372 KYC720847:KYC786372 LHY720847:LHY786372 LRU720847:LRU786372 MBQ720847:MBQ786372 MLM720847:MLM786372 MVI720847:MVI786372 NFE720847:NFE786372 NPA720847:NPA786372 NYW720847:NYW786372 OIS720847:OIS786372 OSO720847:OSO786372 PCK720847:PCK786372 PMG720847:PMG786372 PWC720847:PWC786372 QFY720847:QFY786372 QPU720847:QPU786372 QZQ720847:QZQ786372 RJM720847:RJM786372 RTI720847:RTI786372 SDE720847:SDE786372 SNA720847:SNA786372 SWW720847:SWW786372 TGS720847:TGS786372 TQO720847:TQO786372 UAK720847:UAK786372 UKG720847:UKG786372 UUC720847:UUC786372 VDY720847:VDY786372 VNU720847:VNU786372 VXQ720847:VXQ786372 WHM720847:WHM786372 WRI720847:WRI786372 K786383:K851908 EW786383:EW851908 OS786383:OS851908 YO786383:YO851908 AIK786383:AIK851908 ASG786383:ASG851908 BCC786383:BCC851908 BLY786383:BLY851908 BVU786383:BVU851908 CFQ786383:CFQ851908 CPM786383:CPM851908 CZI786383:CZI851908 DJE786383:DJE851908 DTA786383:DTA851908 ECW786383:ECW851908 EMS786383:EMS851908 EWO786383:EWO851908 FGK786383:FGK851908 FQG786383:FQG851908 GAC786383:GAC851908 GJY786383:GJY851908 GTU786383:GTU851908 HDQ786383:HDQ851908 HNM786383:HNM851908 HXI786383:HXI851908 IHE786383:IHE851908 IRA786383:IRA851908 JAW786383:JAW851908 JKS786383:JKS851908 JUO786383:JUO851908 KEK786383:KEK851908 KOG786383:KOG851908 KYC786383:KYC851908 LHY786383:LHY851908 LRU786383:LRU851908 MBQ786383:MBQ851908 MLM786383:MLM851908 MVI786383:MVI851908 NFE786383:NFE851908 NPA786383:NPA851908 NYW786383:NYW851908 OIS786383:OIS851908 OSO786383:OSO851908 PCK786383:PCK851908 PMG786383:PMG851908 PWC786383:PWC851908 QFY786383:QFY851908 QPU786383:QPU851908 QZQ786383:QZQ851908 RJM786383:RJM851908 RTI786383:RTI851908 SDE786383:SDE851908 SNA786383:SNA851908 SWW786383:SWW851908 TGS786383:TGS851908 TQO786383:TQO851908 UAK786383:UAK851908 UKG786383:UKG851908 UUC786383:UUC851908 VDY786383:VDY851908 VNU786383:VNU851908 VXQ786383:VXQ851908 WHM786383:WHM851908 WRI786383:WRI851908 K851919:K917444 EW851919:EW917444 OS851919:OS917444 YO851919:YO917444 AIK851919:AIK917444 ASG851919:ASG917444 BCC851919:BCC917444 BLY851919:BLY917444 BVU851919:BVU917444 CFQ851919:CFQ917444 CPM851919:CPM917444 CZI851919:CZI917444 DJE851919:DJE917444 DTA851919:DTA917444 ECW851919:ECW917444 EMS851919:EMS917444 EWO851919:EWO917444 FGK851919:FGK917444 FQG851919:FQG917444 GAC851919:GAC917444 GJY851919:GJY917444 GTU851919:GTU917444 HDQ851919:HDQ917444 HNM851919:HNM917444 HXI851919:HXI917444 IHE851919:IHE917444 IRA851919:IRA917444 JAW851919:JAW917444 JKS851919:JKS917444 JUO851919:JUO917444 KEK851919:KEK917444 KOG851919:KOG917444 KYC851919:KYC917444 LHY851919:LHY917444 LRU851919:LRU917444 MBQ851919:MBQ917444 MLM851919:MLM917444 MVI851919:MVI917444 NFE851919:NFE917444 NPA851919:NPA917444 NYW851919:NYW917444 OIS851919:OIS917444 OSO851919:OSO917444 PCK851919:PCK917444 PMG851919:PMG917444 PWC851919:PWC917444 QFY851919:QFY917444 QPU851919:QPU917444 QZQ851919:QZQ917444 RJM851919:RJM917444 RTI851919:RTI917444 SDE851919:SDE917444 SNA851919:SNA917444 SWW851919:SWW917444 TGS851919:TGS917444 TQO851919:TQO917444 UAK851919:UAK917444 UKG851919:UKG917444 UUC851919:UUC917444 VDY851919:VDY917444 VNU851919:VNU917444 VXQ851919:VXQ917444 WHM851919:WHM917444 WRI851919:WRI917444 K917455:K982980 EW917455:EW982980 OS917455:OS982980 YO917455:YO982980 AIK917455:AIK982980 ASG917455:ASG982980 BCC917455:BCC982980 BLY917455:BLY982980 BVU917455:BVU982980 CFQ917455:CFQ982980 CPM917455:CPM982980 CZI917455:CZI982980 DJE917455:DJE982980 DTA917455:DTA982980 ECW917455:ECW982980 EMS917455:EMS982980 EWO917455:EWO982980 FGK917455:FGK982980 FQG917455:FQG982980 GAC917455:GAC982980 GJY917455:GJY982980 GTU917455:GTU982980 HDQ917455:HDQ982980 HNM917455:HNM982980 HXI917455:HXI982980 IHE917455:IHE982980 IRA917455:IRA982980 JAW917455:JAW982980 JKS917455:JKS982980 JUO917455:JUO982980 KEK917455:KEK982980 KOG917455:KOG982980 KYC917455:KYC982980 LHY917455:LHY982980 LRU917455:LRU982980 MBQ917455:MBQ982980 MLM917455:MLM982980 MVI917455:MVI982980 NFE917455:NFE982980 NPA917455:NPA982980 NYW917455:NYW982980 OIS917455:OIS982980 OSO917455:OSO982980 PCK917455:PCK982980 PMG917455:PMG982980 PWC917455:PWC982980 QFY917455:QFY982980 QPU917455:QPU982980 QZQ917455:QZQ982980 RJM917455:RJM982980 RTI917455:RTI982980 SDE917455:SDE982980 SNA917455:SNA982980 SWW917455:SWW982980 TGS917455:TGS982980 TQO917455:TQO982980 UAK917455:UAK982980 UKG917455:UKG982980 UUC917455:UUC982980 VDY917455:VDY982980 VNU917455:VNU982980 VXQ917455:VXQ982980 WHM917455:WHM982980 WRI917455:WRI982980 K982991:K1048576 EW982991:EW1048576 OS982991:OS1048576 YO982991:YO1048576 AIK982991:AIK1048576 ASG982991:ASG1048576 BCC982991:BCC1048576 BLY982991:BLY1048576 BVU982991:BVU1048576 CFQ982991:CFQ1048576 CPM982991:CPM1048576 CZI982991:CZI1048576 DJE982991:DJE1048576 DTA982991:DTA1048576 ECW982991:ECW1048576 EMS982991:EMS1048576 EWO982991:EWO1048576 FGK982991:FGK1048576 FQG982991:FQG1048576 GAC982991:GAC1048576 GJY982991:GJY1048576 GTU982991:GTU1048576 HDQ982991:HDQ1048576 HNM982991:HNM1048576 HXI982991:HXI1048576 IHE982991:IHE1048576 IRA982991:IRA1048576 JAW982991:JAW1048576 JKS982991:JKS1048576 JUO982991:JUO1048576 KEK982991:KEK1048576 KOG982991:KOG1048576 KYC982991:KYC1048576 LHY982991:LHY1048576 LRU982991:LRU1048576 MBQ982991:MBQ1048576 MLM982991:MLM1048576 MVI982991:MVI1048576 NFE982991:NFE1048576 NPA982991:NPA1048576 NYW982991:NYW1048576 OIS982991:OIS1048576 OSO982991:OSO1048576 PCK982991:PCK1048576 PMG982991:PMG1048576 PWC982991:PWC1048576 QFY982991:QFY1048576 QPU982991:QPU1048576 QZQ982991:QZQ1048576 RJM982991:RJM1048576 RTI982991:RTI1048576 SDE982991:SDE1048576 SNA982991:SNA1048576 SWW982991:SWW1048576 TGS982991:TGS1048576 TQO982991:TQO1048576 UAK982991:UAK1048576 UKG982991:UKG1048576 UUC982991:UUC1048576 VDY982991:VDY1048576 VNU982991:VNU1048576 VXQ982991:VXQ1048576 WHM982991:WHM1048576 WRI982991:WRI1048576 I65487:I131012 I131023:I196548 I196559:I262084 I262095:I327620 I327631:I393156 I393167:I458692 I458703:I524228 I524239:I589764 I589775:I655300 I655311:I720836 I720847:I786372 I786383:I851908 I851919:I917444 I917455:I982980 I982991:I1048576 I82:I65476 K82:K65476 EW11:EW65476 OS11:OS65476 YO11:YO65476 AIK11:AIK65476 ASG11:ASG65476 BCC11:BCC65476 BLY11:BLY65476 BVU11:BVU65476 CFQ11:CFQ65476 CPM11:CPM65476 CZI11:CZI65476 DJE11:DJE65476 DTA11:DTA65476 ECW11:ECW65476 EMS11:EMS65476 EWO11:EWO65476 FGK11:FGK65476 FQG11:FQG65476 GAC11:GAC65476 GJY11:GJY65476 GTU11:GTU65476 HDQ11:HDQ65476 HNM11:HNM65476 HXI11:HXI65476 IHE11:IHE65476 IRA11:IRA65476 JAW11:JAW65476 JKS11:JKS65476 JUO11:JUO65476 KEK11:KEK65476 KOG11:KOG65476 KYC11:KYC65476 LHY11:LHY65476 LRU11:LRU65476 MBQ11:MBQ65476 MLM11:MLM65476 MVI11:MVI65476 NFE11:NFE65476 NPA11:NPA65476 NYW11:NYW65476 OIS11:OIS65476 OSO11:OSO65476 PCK11:PCK65476 PMG11:PMG65476 PWC11:PWC65476 QFY11:QFY65476 QPU11:QPU65476 QZQ11:QZQ65476 RJM11:RJM65476 RTI11:RTI65476 SDE11:SDE65476 SNA11:SNA65476 SWW11:SWW65476 TGS11:TGS65476 TQO11:TQO65476 UAK11:UAK65476 UKG11:UKG65476 UUC11:UUC65476 VDY11:VDY65476 VNU11:VNU65476 VXQ11:VXQ65476 WHM11:WHM65476 WRI11:WRI65476" xr:uid="{00000000-0002-0000-0200-000001000000}">
      <formula1>consecuencia</formula1>
    </dataValidation>
    <dataValidation type="list" allowBlank="1" showInputMessage="1" showErrorMessage="1" sqref="G65487:G131012 EU65487:EU131012 OQ65487:OQ131012 YM65487:YM131012 AII65487:AII131012 ASE65487:ASE131012 BCA65487:BCA131012 BLW65487:BLW131012 BVS65487:BVS131012 CFO65487:CFO131012 CPK65487:CPK131012 CZG65487:CZG131012 DJC65487:DJC131012 DSY65487:DSY131012 ECU65487:ECU131012 EMQ65487:EMQ131012 EWM65487:EWM131012 FGI65487:FGI131012 FQE65487:FQE131012 GAA65487:GAA131012 GJW65487:GJW131012 GTS65487:GTS131012 HDO65487:HDO131012 HNK65487:HNK131012 HXG65487:HXG131012 IHC65487:IHC131012 IQY65487:IQY131012 JAU65487:JAU131012 JKQ65487:JKQ131012 JUM65487:JUM131012 KEI65487:KEI131012 KOE65487:KOE131012 KYA65487:KYA131012 LHW65487:LHW131012 LRS65487:LRS131012 MBO65487:MBO131012 MLK65487:MLK131012 MVG65487:MVG131012 NFC65487:NFC131012 NOY65487:NOY131012 NYU65487:NYU131012 OIQ65487:OIQ131012 OSM65487:OSM131012 PCI65487:PCI131012 PME65487:PME131012 PWA65487:PWA131012 QFW65487:QFW131012 QPS65487:QPS131012 QZO65487:QZO131012 RJK65487:RJK131012 RTG65487:RTG131012 SDC65487:SDC131012 SMY65487:SMY131012 SWU65487:SWU131012 TGQ65487:TGQ131012 TQM65487:TQM131012 UAI65487:UAI131012 UKE65487:UKE131012 UUA65487:UUA131012 VDW65487:VDW131012 VNS65487:VNS131012 VXO65487:VXO131012 WHK65487:WHK131012 WRG65487:WRG131012 G131023:G196548 EU131023:EU196548 OQ131023:OQ196548 YM131023:YM196548 AII131023:AII196548 ASE131023:ASE196548 BCA131023:BCA196548 BLW131023:BLW196548 BVS131023:BVS196548 CFO131023:CFO196548 CPK131023:CPK196548 CZG131023:CZG196548 DJC131023:DJC196548 DSY131023:DSY196548 ECU131023:ECU196548 EMQ131023:EMQ196548 EWM131023:EWM196548 FGI131023:FGI196548 FQE131023:FQE196548 GAA131023:GAA196548 GJW131023:GJW196548 GTS131023:GTS196548 HDO131023:HDO196548 HNK131023:HNK196548 HXG131023:HXG196548 IHC131023:IHC196548 IQY131023:IQY196548 JAU131023:JAU196548 JKQ131023:JKQ196548 JUM131023:JUM196548 KEI131023:KEI196548 KOE131023:KOE196548 KYA131023:KYA196548 LHW131023:LHW196548 LRS131023:LRS196548 MBO131023:MBO196548 MLK131023:MLK196548 MVG131023:MVG196548 NFC131023:NFC196548 NOY131023:NOY196548 NYU131023:NYU196548 OIQ131023:OIQ196548 OSM131023:OSM196548 PCI131023:PCI196548 PME131023:PME196548 PWA131023:PWA196548 QFW131023:QFW196548 QPS131023:QPS196548 QZO131023:QZO196548 RJK131023:RJK196548 RTG131023:RTG196548 SDC131023:SDC196548 SMY131023:SMY196548 SWU131023:SWU196548 TGQ131023:TGQ196548 TQM131023:TQM196548 UAI131023:UAI196548 UKE131023:UKE196548 UUA131023:UUA196548 VDW131023:VDW196548 VNS131023:VNS196548 VXO131023:VXO196548 WHK131023:WHK196548 WRG131023:WRG196548 G196559:G262084 EU196559:EU262084 OQ196559:OQ262084 YM196559:YM262084 AII196559:AII262084 ASE196559:ASE262084 BCA196559:BCA262084 BLW196559:BLW262084 BVS196559:BVS262084 CFO196559:CFO262084 CPK196559:CPK262084 CZG196559:CZG262084 DJC196559:DJC262084 DSY196559:DSY262084 ECU196559:ECU262084 EMQ196559:EMQ262084 EWM196559:EWM262084 FGI196559:FGI262084 FQE196559:FQE262084 GAA196559:GAA262084 GJW196559:GJW262084 GTS196559:GTS262084 HDO196559:HDO262084 HNK196559:HNK262084 HXG196559:HXG262084 IHC196559:IHC262084 IQY196559:IQY262084 JAU196559:JAU262084 JKQ196559:JKQ262084 JUM196559:JUM262084 KEI196559:KEI262084 KOE196559:KOE262084 KYA196559:KYA262084 LHW196559:LHW262084 LRS196559:LRS262084 MBO196559:MBO262084 MLK196559:MLK262084 MVG196559:MVG262084 NFC196559:NFC262084 NOY196559:NOY262084 NYU196559:NYU262084 OIQ196559:OIQ262084 OSM196559:OSM262084 PCI196559:PCI262084 PME196559:PME262084 PWA196559:PWA262084 QFW196559:QFW262084 QPS196559:QPS262084 QZO196559:QZO262084 RJK196559:RJK262084 RTG196559:RTG262084 SDC196559:SDC262084 SMY196559:SMY262084 SWU196559:SWU262084 TGQ196559:TGQ262084 TQM196559:TQM262084 UAI196559:UAI262084 UKE196559:UKE262084 UUA196559:UUA262084 VDW196559:VDW262084 VNS196559:VNS262084 VXO196559:VXO262084 WHK196559:WHK262084 WRG196559:WRG262084 G262095:G327620 EU262095:EU327620 OQ262095:OQ327620 YM262095:YM327620 AII262095:AII327620 ASE262095:ASE327620 BCA262095:BCA327620 BLW262095:BLW327620 BVS262095:BVS327620 CFO262095:CFO327620 CPK262095:CPK327620 CZG262095:CZG327620 DJC262095:DJC327620 DSY262095:DSY327620 ECU262095:ECU327620 EMQ262095:EMQ327620 EWM262095:EWM327620 FGI262095:FGI327620 FQE262095:FQE327620 GAA262095:GAA327620 GJW262095:GJW327620 GTS262095:GTS327620 HDO262095:HDO327620 HNK262095:HNK327620 HXG262095:HXG327620 IHC262095:IHC327620 IQY262095:IQY327620 JAU262095:JAU327620 JKQ262095:JKQ327620 JUM262095:JUM327620 KEI262095:KEI327620 KOE262095:KOE327620 KYA262095:KYA327620 LHW262095:LHW327620 LRS262095:LRS327620 MBO262095:MBO327620 MLK262095:MLK327620 MVG262095:MVG327620 NFC262095:NFC327620 NOY262095:NOY327620 NYU262095:NYU327620 OIQ262095:OIQ327620 OSM262095:OSM327620 PCI262095:PCI327620 PME262095:PME327620 PWA262095:PWA327620 QFW262095:QFW327620 QPS262095:QPS327620 QZO262095:QZO327620 RJK262095:RJK327620 RTG262095:RTG327620 SDC262095:SDC327620 SMY262095:SMY327620 SWU262095:SWU327620 TGQ262095:TGQ327620 TQM262095:TQM327620 UAI262095:UAI327620 UKE262095:UKE327620 UUA262095:UUA327620 VDW262095:VDW327620 VNS262095:VNS327620 VXO262095:VXO327620 WHK262095:WHK327620 WRG262095:WRG327620 G327631:G393156 EU327631:EU393156 OQ327631:OQ393156 YM327631:YM393156 AII327631:AII393156 ASE327631:ASE393156 BCA327631:BCA393156 BLW327631:BLW393156 BVS327631:BVS393156 CFO327631:CFO393156 CPK327631:CPK393156 CZG327631:CZG393156 DJC327631:DJC393156 DSY327631:DSY393156 ECU327631:ECU393156 EMQ327631:EMQ393156 EWM327631:EWM393156 FGI327631:FGI393156 FQE327631:FQE393156 GAA327631:GAA393156 GJW327631:GJW393156 GTS327631:GTS393156 HDO327631:HDO393156 HNK327631:HNK393156 HXG327631:HXG393156 IHC327631:IHC393156 IQY327631:IQY393156 JAU327631:JAU393156 JKQ327631:JKQ393156 JUM327631:JUM393156 KEI327631:KEI393156 KOE327631:KOE393156 KYA327631:KYA393156 LHW327631:LHW393156 LRS327631:LRS393156 MBO327631:MBO393156 MLK327631:MLK393156 MVG327631:MVG393156 NFC327631:NFC393156 NOY327631:NOY393156 NYU327631:NYU393156 OIQ327631:OIQ393156 OSM327631:OSM393156 PCI327631:PCI393156 PME327631:PME393156 PWA327631:PWA393156 QFW327631:QFW393156 QPS327631:QPS393156 QZO327631:QZO393156 RJK327631:RJK393156 RTG327631:RTG393156 SDC327631:SDC393156 SMY327631:SMY393156 SWU327631:SWU393156 TGQ327631:TGQ393156 TQM327631:TQM393156 UAI327631:UAI393156 UKE327631:UKE393156 UUA327631:UUA393156 VDW327631:VDW393156 VNS327631:VNS393156 VXO327631:VXO393156 WHK327631:WHK393156 WRG327631:WRG393156 G393167:G458692 EU393167:EU458692 OQ393167:OQ458692 YM393167:YM458692 AII393167:AII458692 ASE393167:ASE458692 BCA393167:BCA458692 BLW393167:BLW458692 BVS393167:BVS458692 CFO393167:CFO458692 CPK393167:CPK458692 CZG393167:CZG458692 DJC393167:DJC458692 DSY393167:DSY458692 ECU393167:ECU458692 EMQ393167:EMQ458692 EWM393167:EWM458692 FGI393167:FGI458692 FQE393167:FQE458692 GAA393167:GAA458692 GJW393167:GJW458692 GTS393167:GTS458692 HDO393167:HDO458692 HNK393167:HNK458692 HXG393167:HXG458692 IHC393167:IHC458692 IQY393167:IQY458692 JAU393167:JAU458692 JKQ393167:JKQ458692 JUM393167:JUM458692 KEI393167:KEI458692 KOE393167:KOE458692 KYA393167:KYA458692 LHW393167:LHW458692 LRS393167:LRS458692 MBO393167:MBO458692 MLK393167:MLK458692 MVG393167:MVG458692 NFC393167:NFC458692 NOY393167:NOY458692 NYU393167:NYU458692 OIQ393167:OIQ458692 OSM393167:OSM458692 PCI393167:PCI458692 PME393167:PME458692 PWA393167:PWA458692 QFW393167:QFW458692 QPS393167:QPS458692 QZO393167:QZO458692 RJK393167:RJK458692 RTG393167:RTG458692 SDC393167:SDC458692 SMY393167:SMY458692 SWU393167:SWU458692 TGQ393167:TGQ458692 TQM393167:TQM458692 UAI393167:UAI458692 UKE393167:UKE458692 UUA393167:UUA458692 VDW393167:VDW458692 VNS393167:VNS458692 VXO393167:VXO458692 WHK393167:WHK458692 WRG393167:WRG458692 G458703:G524228 EU458703:EU524228 OQ458703:OQ524228 YM458703:YM524228 AII458703:AII524228 ASE458703:ASE524228 BCA458703:BCA524228 BLW458703:BLW524228 BVS458703:BVS524228 CFO458703:CFO524228 CPK458703:CPK524228 CZG458703:CZG524228 DJC458703:DJC524228 DSY458703:DSY524228 ECU458703:ECU524228 EMQ458703:EMQ524228 EWM458703:EWM524228 FGI458703:FGI524228 FQE458703:FQE524228 GAA458703:GAA524228 GJW458703:GJW524228 GTS458703:GTS524228 HDO458703:HDO524228 HNK458703:HNK524228 HXG458703:HXG524228 IHC458703:IHC524228 IQY458703:IQY524228 JAU458703:JAU524228 JKQ458703:JKQ524228 JUM458703:JUM524228 KEI458703:KEI524228 KOE458703:KOE524228 KYA458703:KYA524228 LHW458703:LHW524228 LRS458703:LRS524228 MBO458703:MBO524228 MLK458703:MLK524228 MVG458703:MVG524228 NFC458703:NFC524228 NOY458703:NOY524228 NYU458703:NYU524228 OIQ458703:OIQ524228 OSM458703:OSM524228 PCI458703:PCI524228 PME458703:PME524228 PWA458703:PWA524228 QFW458703:QFW524228 QPS458703:QPS524228 QZO458703:QZO524228 RJK458703:RJK524228 RTG458703:RTG524228 SDC458703:SDC524228 SMY458703:SMY524228 SWU458703:SWU524228 TGQ458703:TGQ524228 TQM458703:TQM524228 UAI458703:UAI524228 UKE458703:UKE524228 UUA458703:UUA524228 VDW458703:VDW524228 VNS458703:VNS524228 VXO458703:VXO524228 WHK458703:WHK524228 WRG458703:WRG524228 G524239:G589764 EU524239:EU589764 OQ524239:OQ589764 YM524239:YM589764 AII524239:AII589764 ASE524239:ASE589764 BCA524239:BCA589764 BLW524239:BLW589764 BVS524239:BVS589764 CFO524239:CFO589764 CPK524239:CPK589764 CZG524239:CZG589764 DJC524239:DJC589764 DSY524239:DSY589764 ECU524239:ECU589764 EMQ524239:EMQ589764 EWM524239:EWM589764 FGI524239:FGI589764 FQE524239:FQE589764 GAA524239:GAA589764 GJW524239:GJW589764 GTS524239:GTS589764 HDO524239:HDO589764 HNK524239:HNK589764 HXG524239:HXG589764 IHC524239:IHC589764 IQY524239:IQY589764 JAU524239:JAU589764 JKQ524239:JKQ589764 JUM524239:JUM589764 KEI524239:KEI589764 KOE524239:KOE589764 KYA524239:KYA589764 LHW524239:LHW589764 LRS524239:LRS589764 MBO524239:MBO589764 MLK524239:MLK589764 MVG524239:MVG589764 NFC524239:NFC589764 NOY524239:NOY589764 NYU524239:NYU589764 OIQ524239:OIQ589764 OSM524239:OSM589764 PCI524239:PCI589764 PME524239:PME589764 PWA524239:PWA589764 QFW524239:QFW589764 QPS524239:QPS589764 QZO524239:QZO589764 RJK524239:RJK589764 RTG524239:RTG589764 SDC524239:SDC589764 SMY524239:SMY589764 SWU524239:SWU589764 TGQ524239:TGQ589764 TQM524239:TQM589764 UAI524239:UAI589764 UKE524239:UKE589764 UUA524239:UUA589764 VDW524239:VDW589764 VNS524239:VNS589764 VXO524239:VXO589764 WHK524239:WHK589764 WRG524239:WRG589764 G589775:G655300 EU589775:EU655300 OQ589775:OQ655300 YM589775:YM655300 AII589775:AII655300 ASE589775:ASE655300 BCA589775:BCA655300 BLW589775:BLW655300 BVS589775:BVS655300 CFO589775:CFO655300 CPK589775:CPK655300 CZG589775:CZG655300 DJC589775:DJC655300 DSY589775:DSY655300 ECU589775:ECU655300 EMQ589775:EMQ655300 EWM589775:EWM655300 FGI589775:FGI655300 FQE589775:FQE655300 GAA589775:GAA655300 GJW589775:GJW655300 GTS589775:GTS655300 HDO589775:HDO655300 HNK589775:HNK655300 HXG589775:HXG655300 IHC589775:IHC655300 IQY589775:IQY655300 JAU589775:JAU655300 JKQ589775:JKQ655300 JUM589775:JUM655300 KEI589775:KEI655300 KOE589775:KOE655300 KYA589775:KYA655300 LHW589775:LHW655300 LRS589775:LRS655300 MBO589775:MBO655300 MLK589775:MLK655300 MVG589775:MVG655300 NFC589775:NFC655300 NOY589775:NOY655300 NYU589775:NYU655300 OIQ589775:OIQ655300 OSM589775:OSM655300 PCI589775:PCI655300 PME589775:PME655300 PWA589775:PWA655300 QFW589775:QFW655300 QPS589775:QPS655300 QZO589775:QZO655300 RJK589775:RJK655300 RTG589775:RTG655300 SDC589775:SDC655300 SMY589775:SMY655300 SWU589775:SWU655300 TGQ589775:TGQ655300 TQM589775:TQM655300 UAI589775:UAI655300 UKE589775:UKE655300 UUA589775:UUA655300 VDW589775:VDW655300 VNS589775:VNS655300 VXO589775:VXO655300 WHK589775:WHK655300 WRG589775:WRG655300 G655311:G720836 EU655311:EU720836 OQ655311:OQ720836 YM655311:YM720836 AII655311:AII720836 ASE655311:ASE720836 BCA655311:BCA720836 BLW655311:BLW720836 BVS655311:BVS720836 CFO655311:CFO720836 CPK655311:CPK720836 CZG655311:CZG720836 DJC655311:DJC720836 DSY655311:DSY720836 ECU655311:ECU720836 EMQ655311:EMQ720836 EWM655311:EWM720836 FGI655311:FGI720836 FQE655311:FQE720836 GAA655311:GAA720836 GJW655311:GJW720836 GTS655311:GTS720836 HDO655311:HDO720836 HNK655311:HNK720836 HXG655311:HXG720836 IHC655311:IHC720836 IQY655311:IQY720836 JAU655311:JAU720836 JKQ655311:JKQ720836 JUM655311:JUM720836 KEI655311:KEI720836 KOE655311:KOE720836 KYA655311:KYA720836 LHW655311:LHW720836 LRS655311:LRS720836 MBO655311:MBO720836 MLK655311:MLK720836 MVG655311:MVG720836 NFC655311:NFC720836 NOY655311:NOY720836 NYU655311:NYU720836 OIQ655311:OIQ720836 OSM655311:OSM720836 PCI655311:PCI720836 PME655311:PME720836 PWA655311:PWA720836 QFW655311:QFW720836 QPS655311:QPS720836 QZO655311:QZO720836 RJK655311:RJK720836 RTG655311:RTG720836 SDC655311:SDC720836 SMY655311:SMY720836 SWU655311:SWU720836 TGQ655311:TGQ720836 TQM655311:TQM720836 UAI655311:UAI720836 UKE655311:UKE720836 UUA655311:UUA720836 VDW655311:VDW720836 VNS655311:VNS720836 VXO655311:VXO720836 WHK655311:WHK720836 WRG655311:WRG720836 G720847:G786372 EU720847:EU786372 OQ720847:OQ786372 YM720847:YM786372 AII720847:AII786372 ASE720847:ASE786372 BCA720847:BCA786372 BLW720847:BLW786372 BVS720847:BVS786372 CFO720847:CFO786372 CPK720847:CPK786372 CZG720847:CZG786372 DJC720847:DJC786372 DSY720847:DSY786372 ECU720847:ECU786372 EMQ720847:EMQ786372 EWM720847:EWM786372 FGI720847:FGI786372 FQE720847:FQE786372 GAA720847:GAA786372 GJW720847:GJW786372 GTS720847:GTS786372 HDO720847:HDO786372 HNK720847:HNK786372 HXG720847:HXG786372 IHC720847:IHC786372 IQY720847:IQY786372 JAU720847:JAU786372 JKQ720847:JKQ786372 JUM720847:JUM786372 KEI720847:KEI786372 KOE720847:KOE786372 KYA720847:KYA786372 LHW720847:LHW786372 LRS720847:LRS786372 MBO720847:MBO786372 MLK720847:MLK786372 MVG720847:MVG786372 NFC720847:NFC786372 NOY720847:NOY786372 NYU720847:NYU786372 OIQ720847:OIQ786372 OSM720847:OSM786372 PCI720847:PCI786372 PME720847:PME786372 PWA720847:PWA786372 QFW720847:QFW786372 QPS720847:QPS786372 QZO720847:QZO786372 RJK720847:RJK786372 RTG720847:RTG786372 SDC720847:SDC786372 SMY720847:SMY786372 SWU720847:SWU786372 TGQ720847:TGQ786372 TQM720847:TQM786372 UAI720847:UAI786372 UKE720847:UKE786372 UUA720847:UUA786372 VDW720847:VDW786372 VNS720847:VNS786372 VXO720847:VXO786372 WHK720847:WHK786372 WRG720847:WRG786372 G786383:G851908 EU786383:EU851908 OQ786383:OQ851908 YM786383:YM851908 AII786383:AII851908 ASE786383:ASE851908 BCA786383:BCA851908 BLW786383:BLW851908 BVS786383:BVS851908 CFO786383:CFO851908 CPK786383:CPK851908 CZG786383:CZG851908 DJC786383:DJC851908 DSY786383:DSY851908 ECU786383:ECU851908 EMQ786383:EMQ851908 EWM786383:EWM851908 FGI786383:FGI851908 FQE786383:FQE851908 GAA786383:GAA851908 GJW786383:GJW851908 GTS786383:GTS851908 HDO786383:HDO851908 HNK786383:HNK851908 HXG786383:HXG851908 IHC786383:IHC851908 IQY786383:IQY851908 JAU786383:JAU851908 JKQ786383:JKQ851908 JUM786383:JUM851908 KEI786383:KEI851908 KOE786383:KOE851908 KYA786383:KYA851908 LHW786383:LHW851908 LRS786383:LRS851908 MBO786383:MBO851908 MLK786383:MLK851908 MVG786383:MVG851908 NFC786383:NFC851908 NOY786383:NOY851908 NYU786383:NYU851908 OIQ786383:OIQ851908 OSM786383:OSM851908 PCI786383:PCI851908 PME786383:PME851908 PWA786383:PWA851908 QFW786383:QFW851908 QPS786383:QPS851908 QZO786383:QZO851908 RJK786383:RJK851908 RTG786383:RTG851908 SDC786383:SDC851908 SMY786383:SMY851908 SWU786383:SWU851908 TGQ786383:TGQ851908 TQM786383:TQM851908 UAI786383:UAI851908 UKE786383:UKE851908 UUA786383:UUA851908 VDW786383:VDW851908 VNS786383:VNS851908 VXO786383:VXO851908 WHK786383:WHK851908 WRG786383:WRG851908 G851919:G917444 EU851919:EU917444 OQ851919:OQ917444 YM851919:YM917444 AII851919:AII917444 ASE851919:ASE917444 BCA851919:BCA917444 BLW851919:BLW917444 BVS851919:BVS917444 CFO851919:CFO917444 CPK851919:CPK917444 CZG851919:CZG917444 DJC851919:DJC917444 DSY851919:DSY917444 ECU851919:ECU917444 EMQ851919:EMQ917444 EWM851919:EWM917444 FGI851919:FGI917444 FQE851919:FQE917444 GAA851919:GAA917444 GJW851919:GJW917444 GTS851919:GTS917444 HDO851919:HDO917444 HNK851919:HNK917444 HXG851919:HXG917444 IHC851919:IHC917444 IQY851919:IQY917444 JAU851919:JAU917444 JKQ851919:JKQ917444 JUM851919:JUM917444 KEI851919:KEI917444 KOE851919:KOE917444 KYA851919:KYA917444 LHW851919:LHW917444 LRS851919:LRS917444 MBO851919:MBO917444 MLK851919:MLK917444 MVG851919:MVG917444 NFC851919:NFC917444 NOY851919:NOY917444 NYU851919:NYU917444 OIQ851919:OIQ917444 OSM851919:OSM917444 PCI851919:PCI917444 PME851919:PME917444 PWA851919:PWA917444 QFW851919:QFW917444 QPS851919:QPS917444 QZO851919:QZO917444 RJK851919:RJK917444 RTG851919:RTG917444 SDC851919:SDC917444 SMY851919:SMY917444 SWU851919:SWU917444 TGQ851919:TGQ917444 TQM851919:TQM917444 UAI851919:UAI917444 UKE851919:UKE917444 UUA851919:UUA917444 VDW851919:VDW917444 VNS851919:VNS917444 VXO851919:VXO917444 WHK851919:WHK917444 WRG851919:WRG917444 G917455:G982980 EU917455:EU982980 OQ917455:OQ982980 YM917455:YM982980 AII917455:AII982980 ASE917455:ASE982980 BCA917455:BCA982980 BLW917455:BLW982980 BVS917455:BVS982980 CFO917455:CFO982980 CPK917455:CPK982980 CZG917455:CZG982980 DJC917455:DJC982980 DSY917455:DSY982980 ECU917455:ECU982980 EMQ917455:EMQ982980 EWM917455:EWM982980 FGI917455:FGI982980 FQE917455:FQE982980 GAA917455:GAA982980 GJW917455:GJW982980 GTS917455:GTS982980 HDO917455:HDO982980 HNK917455:HNK982980 HXG917455:HXG982980 IHC917455:IHC982980 IQY917455:IQY982980 JAU917455:JAU982980 JKQ917455:JKQ982980 JUM917455:JUM982980 KEI917455:KEI982980 KOE917455:KOE982980 KYA917455:KYA982980 LHW917455:LHW982980 LRS917455:LRS982980 MBO917455:MBO982980 MLK917455:MLK982980 MVG917455:MVG982980 NFC917455:NFC982980 NOY917455:NOY982980 NYU917455:NYU982980 OIQ917455:OIQ982980 OSM917455:OSM982980 PCI917455:PCI982980 PME917455:PME982980 PWA917455:PWA982980 QFW917455:QFW982980 QPS917455:QPS982980 QZO917455:QZO982980 RJK917455:RJK982980 RTG917455:RTG982980 SDC917455:SDC982980 SMY917455:SMY982980 SWU917455:SWU982980 TGQ917455:TGQ982980 TQM917455:TQM982980 UAI917455:UAI982980 UKE917455:UKE982980 UUA917455:UUA982980 VDW917455:VDW982980 VNS917455:VNS982980 VXO917455:VXO982980 WHK917455:WHK982980 WRG917455:WRG982980 G982991:G1048576 EU982991:EU1048576 OQ982991:OQ1048576 YM982991:YM1048576 AII982991:AII1048576 ASE982991:ASE1048576 BCA982991:BCA1048576 BLW982991:BLW1048576 BVS982991:BVS1048576 CFO982991:CFO1048576 CPK982991:CPK1048576 CZG982991:CZG1048576 DJC982991:DJC1048576 DSY982991:DSY1048576 ECU982991:ECU1048576 EMQ982991:EMQ1048576 EWM982991:EWM1048576 FGI982991:FGI1048576 FQE982991:FQE1048576 GAA982991:GAA1048576 GJW982991:GJW1048576 GTS982991:GTS1048576 HDO982991:HDO1048576 HNK982991:HNK1048576 HXG982991:HXG1048576 IHC982991:IHC1048576 IQY982991:IQY1048576 JAU982991:JAU1048576 JKQ982991:JKQ1048576 JUM982991:JUM1048576 KEI982991:KEI1048576 KOE982991:KOE1048576 KYA982991:KYA1048576 LHW982991:LHW1048576 LRS982991:LRS1048576 MBO982991:MBO1048576 MLK982991:MLK1048576 MVG982991:MVG1048576 NFC982991:NFC1048576 NOY982991:NOY1048576 NYU982991:NYU1048576 OIQ982991:OIQ1048576 OSM982991:OSM1048576 PCI982991:PCI1048576 PME982991:PME1048576 PWA982991:PWA1048576 QFW982991:QFW1048576 QPS982991:QPS1048576 QZO982991:QZO1048576 RJK982991:RJK1048576 RTG982991:RTG1048576 SDC982991:SDC1048576 SMY982991:SMY1048576 SWU982991:SWU1048576 TGQ982991:TGQ1048576 TQM982991:TQM1048576 UAI982991:UAI1048576 UKE982991:UKE1048576 UUA982991:UUA1048576 VDW982991:VDW1048576 VNS982991:VNS1048576 VXO982991:VXO1048576 WHK982991:WHK1048576 WRG982991:WRG1048576 G82:G65476 EU11:EU65476 OQ11:OQ65476 YM11:YM65476 AII11:AII65476 ASE11:ASE65476 BCA11:BCA65476 BLW11:BLW65476 BVS11:BVS65476 CFO11:CFO65476 CPK11:CPK65476 CZG11:CZG65476 DJC11:DJC65476 DSY11:DSY65476 ECU11:ECU65476 EMQ11:EMQ65476 EWM11:EWM65476 FGI11:FGI65476 FQE11:FQE65476 GAA11:GAA65476 GJW11:GJW65476 GTS11:GTS65476 HDO11:HDO65476 HNK11:HNK65476 HXG11:HXG65476 IHC11:IHC65476 IQY11:IQY65476 JAU11:JAU65476 JKQ11:JKQ65476 JUM11:JUM65476 KEI11:KEI65476 KOE11:KOE65476 KYA11:KYA65476 LHW11:LHW65476 LRS11:LRS65476 MBO11:MBO65476 MLK11:MLK65476 MVG11:MVG65476 NFC11:NFC65476 NOY11:NOY65476 NYU11:NYU65476 OIQ11:OIQ65476 OSM11:OSM65476 PCI11:PCI65476 PME11:PME65476 PWA11:PWA65476 QFW11:QFW65476 QPS11:QPS65476 QZO11:QZO65476 RJK11:RJK65476 RTG11:RTG65476 SDC11:SDC65476 SMY11:SMY65476 SWU11:SWU65476 TGQ11:TGQ65476 TQM11:TQM65476 UAI11:UAI65476 UKE11:UKE65476 UUA11:UUA65476 VDW11:VDW65476 VNS11:VNS65476 VXO11:VXO65476 WHK11:WHK65476 WRG11:WRG65476" xr:uid="{00000000-0002-0000-0200-000002000000}">
      <formula1>probabilidad</formula1>
    </dataValidation>
    <dataValidation type="list" allowBlank="1" showInputMessage="1" showErrorMessage="1" sqref="W65559:W66146 FG65559:FG66146 PC65559:PC66146 YY65559:YY66146 AIU65559:AIU66146 ASQ65559:ASQ66146 BCM65559:BCM66146 BMI65559:BMI66146 BWE65559:BWE66146 CGA65559:CGA66146 CPW65559:CPW66146 CZS65559:CZS66146 DJO65559:DJO66146 DTK65559:DTK66146 EDG65559:EDG66146 ENC65559:ENC66146 EWY65559:EWY66146 FGU65559:FGU66146 FQQ65559:FQQ66146 GAM65559:GAM66146 GKI65559:GKI66146 GUE65559:GUE66146 HEA65559:HEA66146 HNW65559:HNW66146 HXS65559:HXS66146 IHO65559:IHO66146 IRK65559:IRK66146 JBG65559:JBG66146 JLC65559:JLC66146 JUY65559:JUY66146 KEU65559:KEU66146 KOQ65559:KOQ66146 KYM65559:KYM66146 LII65559:LII66146 LSE65559:LSE66146 MCA65559:MCA66146 MLW65559:MLW66146 MVS65559:MVS66146 NFO65559:NFO66146 NPK65559:NPK66146 NZG65559:NZG66146 OJC65559:OJC66146 OSY65559:OSY66146 PCU65559:PCU66146 PMQ65559:PMQ66146 PWM65559:PWM66146 QGI65559:QGI66146 QQE65559:QQE66146 RAA65559:RAA66146 RJW65559:RJW66146 RTS65559:RTS66146 SDO65559:SDO66146 SNK65559:SNK66146 SXG65559:SXG66146 THC65559:THC66146 TQY65559:TQY66146 UAU65559:UAU66146 UKQ65559:UKQ66146 UUM65559:UUM66146 VEI65559:VEI66146 VOE65559:VOE66146 VYA65559:VYA66146 WHW65559:WHW66146 WRS65559:WRS66146 W131095:W131682 FG131095:FG131682 PC131095:PC131682 YY131095:YY131682 AIU131095:AIU131682 ASQ131095:ASQ131682 BCM131095:BCM131682 BMI131095:BMI131682 BWE131095:BWE131682 CGA131095:CGA131682 CPW131095:CPW131682 CZS131095:CZS131682 DJO131095:DJO131682 DTK131095:DTK131682 EDG131095:EDG131682 ENC131095:ENC131682 EWY131095:EWY131682 FGU131095:FGU131682 FQQ131095:FQQ131682 GAM131095:GAM131682 GKI131095:GKI131682 GUE131095:GUE131682 HEA131095:HEA131682 HNW131095:HNW131682 HXS131095:HXS131682 IHO131095:IHO131682 IRK131095:IRK131682 JBG131095:JBG131682 JLC131095:JLC131682 JUY131095:JUY131682 KEU131095:KEU131682 KOQ131095:KOQ131682 KYM131095:KYM131682 LII131095:LII131682 LSE131095:LSE131682 MCA131095:MCA131682 MLW131095:MLW131682 MVS131095:MVS131682 NFO131095:NFO131682 NPK131095:NPK131682 NZG131095:NZG131682 OJC131095:OJC131682 OSY131095:OSY131682 PCU131095:PCU131682 PMQ131095:PMQ131682 PWM131095:PWM131682 QGI131095:QGI131682 QQE131095:QQE131682 RAA131095:RAA131682 RJW131095:RJW131682 RTS131095:RTS131682 SDO131095:SDO131682 SNK131095:SNK131682 SXG131095:SXG131682 THC131095:THC131682 TQY131095:TQY131682 UAU131095:UAU131682 UKQ131095:UKQ131682 UUM131095:UUM131682 VEI131095:VEI131682 VOE131095:VOE131682 VYA131095:VYA131682 WHW131095:WHW131682 WRS131095:WRS131682 W196631:W197218 FG196631:FG197218 PC196631:PC197218 YY196631:YY197218 AIU196631:AIU197218 ASQ196631:ASQ197218 BCM196631:BCM197218 BMI196631:BMI197218 BWE196631:BWE197218 CGA196631:CGA197218 CPW196631:CPW197218 CZS196631:CZS197218 DJO196631:DJO197218 DTK196631:DTK197218 EDG196631:EDG197218 ENC196631:ENC197218 EWY196631:EWY197218 FGU196631:FGU197218 FQQ196631:FQQ197218 GAM196631:GAM197218 GKI196631:GKI197218 GUE196631:GUE197218 HEA196631:HEA197218 HNW196631:HNW197218 HXS196631:HXS197218 IHO196631:IHO197218 IRK196631:IRK197218 JBG196631:JBG197218 JLC196631:JLC197218 JUY196631:JUY197218 KEU196631:KEU197218 KOQ196631:KOQ197218 KYM196631:KYM197218 LII196631:LII197218 LSE196631:LSE197218 MCA196631:MCA197218 MLW196631:MLW197218 MVS196631:MVS197218 NFO196631:NFO197218 NPK196631:NPK197218 NZG196631:NZG197218 OJC196631:OJC197218 OSY196631:OSY197218 PCU196631:PCU197218 PMQ196631:PMQ197218 PWM196631:PWM197218 QGI196631:QGI197218 QQE196631:QQE197218 RAA196631:RAA197218 RJW196631:RJW197218 RTS196631:RTS197218 SDO196631:SDO197218 SNK196631:SNK197218 SXG196631:SXG197218 THC196631:THC197218 TQY196631:TQY197218 UAU196631:UAU197218 UKQ196631:UKQ197218 UUM196631:UUM197218 VEI196631:VEI197218 VOE196631:VOE197218 VYA196631:VYA197218 WHW196631:WHW197218 WRS196631:WRS197218 W262167:W262754 FG262167:FG262754 PC262167:PC262754 YY262167:YY262754 AIU262167:AIU262754 ASQ262167:ASQ262754 BCM262167:BCM262754 BMI262167:BMI262754 BWE262167:BWE262754 CGA262167:CGA262754 CPW262167:CPW262754 CZS262167:CZS262754 DJO262167:DJO262754 DTK262167:DTK262754 EDG262167:EDG262754 ENC262167:ENC262754 EWY262167:EWY262754 FGU262167:FGU262754 FQQ262167:FQQ262754 GAM262167:GAM262754 GKI262167:GKI262754 GUE262167:GUE262754 HEA262167:HEA262754 HNW262167:HNW262754 HXS262167:HXS262754 IHO262167:IHO262754 IRK262167:IRK262754 JBG262167:JBG262754 JLC262167:JLC262754 JUY262167:JUY262754 KEU262167:KEU262754 KOQ262167:KOQ262754 KYM262167:KYM262754 LII262167:LII262754 LSE262167:LSE262754 MCA262167:MCA262754 MLW262167:MLW262754 MVS262167:MVS262754 NFO262167:NFO262754 NPK262167:NPK262754 NZG262167:NZG262754 OJC262167:OJC262754 OSY262167:OSY262754 PCU262167:PCU262754 PMQ262167:PMQ262754 PWM262167:PWM262754 QGI262167:QGI262754 QQE262167:QQE262754 RAA262167:RAA262754 RJW262167:RJW262754 RTS262167:RTS262754 SDO262167:SDO262754 SNK262167:SNK262754 SXG262167:SXG262754 THC262167:THC262754 TQY262167:TQY262754 UAU262167:UAU262754 UKQ262167:UKQ262754 UUM262167:UUM262754 VEI262167:VEI262754 VOE262167:VOE262754 VYA262167:VYA262754 WHW262167:WHW262754 WRS262167:WRS262754 W327703:W328290 FG327703:FG328290 PC327703:PC328290 YY327703:YY328290 AIU327703:AIU328290 ASQ327703:ASQ328290 BCM327703:BCM328290 BMI327703:BMI328290 BWE327703:BWE328290 CGA327703:CGA328290 CPW327703:CPW328290 CZS327703:CZS328290 DJO327703:DJO328290 DTK327703:DTK328290 EDG327703:EDG328290 ENC327703:ENC328290 EWY327703:EWY328290 FGU327703:FGU328290 FQQ327703:FQQ328290 GAM327703:GAM328290 GKI327703:GKI328290 GUE327703:GUE328290 HEA327703:HEA328290 HNW327703:HNW328290 HXS327703:HXS328290 IHO327703:IHO328290 IRK327703:IRK328290 JBG327703:JBG328290 JLC327703:JLC328290 JUY327703:JUY328290 KEU327703:KEU328290 KOQ327703:KOQ328290 KYM327703:KYM328290 LII327703:LII328290 LSE327703:LSE328290 MCA327703:MCA328290 MLW327703:MLW328290 MVS327703:MVS328290 NFO327703:NFO328290 NPK327703:NPK328290 NZG327703:NZG328290 OJC327703:OJC328290 OSY327703:OSY328290 PCU327703:PCU328290 PMQ327703:PMQ328290 PWM327703:PWM328290 QGI327703:QGI328290 QQE327703:QQE328290 RAA327703:RAA328290 RJW327703:RJW328290 RTS327703:RTS328290 SDO327703:SDO328290 SNK327703:SNK328290 SXG327703:SXG328290 THC327703:THC328290 TQY327703:TQY328290 UAU327703:UAU328290 UKQ327703:UKQ328290 UUM327703:UUM328290 VEI327703:VEI328290 VOE327703:VOE328290 VYA327703:VYA328290 WHW327703:WHW328290 WRS327703:WRS328290 W393239:W393826 FG393239:FG393826 PC393239:PC393826 YY393239:YY393826 AIU393239:AIU393826 ASQ393239:ASQ393826 BCM393239:BCM393826 BMI393239:BMI393826 BWE393239:BWE393826 CGA393239:CGA393826 CPW393239:CPW393826 CZS393239:CZS393826 DJO393239:DJO393826 DTK393239:DTK393826 EDG393239:EDG393826 ENC393239:ENC393826 EWY393239:EWY393826 FGU393239:FGU393826 FQQ393239:FQQ393826 GAM393239:GAM393826 GKI393239:GKI393826 GUE393239:GUE393826 HEA393239:HEA393826 HNW393239:HNW393826 HXS393239:HXS393826 IHO393239:IHO393826 IRK393239:IRK393826 JBG393239:JBG393826 JLC393239:JLC393826 JUY393239:JUY393826 KEU393239:KEU393826 KOQ393239:KOQ393826 KYM393239:KYM393826 LII393239:LII393826 LSE393239:LSE393826 MCA393239:MCA393826 MLW393239:MLW393826 MVS393239:MVS393826 NFO393239:NFO393826 NPK393239:NPK393826 NZG393239:NZG393826 OJC393239:OJC393826 OSY393239:OSY393826 PCU393239:PCU393826 PMQ393239:PMQ393826 PWM393239:PWM393826 QGI393239:QGI393826 QQE393239:QQE393826 RAA393239:RAA393826 RJW393239:RJW393826 RTS393239:RTS393826 SDO393239:SDO393826 SNK393239:SNK393826 SXG393239:SXG393826 THC393239:THC393826 TQY393239:TQY393826 UAU393239:UAU393826 UKQ393239:UKQ393826 UUM393239:UUM393826 VEI393239:VEI393826 VOE393239:VOE393826 VYA393239:VYA393826 WHW393239:WHW393826 WRS393239:WRS393826 W458775:W459362 FG458775:FG459362 PC458775:PC459362 YY458775:YY459362 AIU458775:AIU459362 ASQ458775:ASQ459362 BCM458775:BCM459362 BMI458775:BMI459362 BWE458775:BWE459362 CGA458775:CGA459362 CPW458775:CPW459362 CZS458775:CZS459362 DJO458775:DJO459362 DTK458775:DTK459362 EDG458775:EDG459362 ENC458775:ENC459362 EWY458775:EWY459362 FGU458775:FGU459362 FQQ458775:FQQ459362 GAM458775:GAM459362 GKI458775:GKI459362 GUE458775:GUE459362 HEA458775:HEA459362 HNW458775:HNW459362 HXS458775:HXS459362 IHO458775:IHO459362 IRK458775:IRK459362 JBG458775:JBG459362 JLC458775:JLC459362 JUY458775:JUY459362 KEU458775:KEU459362 KOQ458775:KOQ459362 KYM458775:KYM459362 LII458775:LII459362 LSE458775:LSE459362 MCA458775:MCA459362 MLW458775:MLW459362 MVS458775:MVS459362 NFO458775:NFO459362 NPK458775:NPK459362 NZG458775:NZG459362 OJC458775:OJC459362 OSY458775:OSY459362 PCU458775:PCU459362 PMQ458775:PMQ459362 PWM458775:PWM459362 QGI458775:QGI459362 QQE458775:QQE459362 RAA458775:RAA459362 RJW458775:RJW459362 RTS458775:RTS459362 SDO458775:SDO459362 SNK458775:SNK459362 SXG458775:SXG459362 THC458775:THC459362 TQY458775:TQY459362 UAU458775:UAU459362 UKQ458775:UKQ459362 UUM458775:UUM459362 VEI458775:VEI459362 VOE458775:VOE459362 VYA458775:VYA459362 WHW458775:WHW459362 WRS458775:WRS459362 W524311:W524898 FG524311:FG524898 PC524311:PC524898 YY524311:YY524898 AIU524311:AIU524898 ASQ524311:ASQ524898 BCM524311:BCM524898 BMI524311:BMI524898 BWE524311:BWE524898 CGA524311:CGA524898 CPW524311:CPW524898 CZS524311:CZS524898 DJO524311:DJO524898 DTK524311:DTK524898 EDG524311:EDG524898 ENC524311:ENC524898 EWY524311:EWY524898 FGU524311:FGU524898 FQQ524311:FQQ524898 GAM524311:GAM524898 GKI524311:GKI524898 GUE524311:GUE524898 HEA524311:HEA524898 HNW524311:HNW524898 HXS524311:HXS524898 IHO524311:IHO524898 IRK524311:IRK524898 JBG524311:JBG524898 JLC524311:JLC524898 JUY524311:JUY524898 KEU524311:KEU524898 KOQ524311:KOQ524898 KYM524311:KYM524898 LII524311:LII524898 LSE524311:LSE524898 MCA524311:MCA524898 MLW524311:MLW524898 MVS524311:MVS524898 NFO524311:NFO524898 NPK524311:NPK524898 NZG524311:NZG524898 OJC524311:OJC524898 OSY524311:OSY524898 PCU524311:PCU524898 PMQ524311:PMQ524898 PWM524311:PWM524898 QGI524311:QGI524898 QQE524311:QQE524898 RAA524311:RAA524898 RJW524311:RJW524898 RTS524311:RTS524898 SDO524311:SDO524898 SNK524311:SNK524898 SXG524311:SXG524898 THC524311:THC524898 TQY524311:TQY524898 UAU524311:UAU524898 UKQ524311:UKQ524898 UUM524311:UUM524898 VEI524311:VEI524898 VOE524311:VOE524898 VYA524311:VYA524898 WHW524311:WHW524898 WRS524311:WRS524898 W589847:W590434 FG589847:FG590434 PC589847:PC590434 YY589847:YY590434 AIU589847:AIU590434 ASQ589847:ASQ590434 BCM589847:BCM590434 BMI589847:BMI590434 BWE589847:BWE590434 CGA589847:CGA590434 CPW589847:CPW590434 CZS589847:CZS590434 DJO589847:DJO590434 DTK589847:DTK590434 EDG589847:EDG590434 ENC589847:ENC590434 EWY589847:EWY590434 FGU589847:FGU590434 FQQ589847:FQQ590434 GAM589847:GAM590434 GKI589847:GKI590434 GUE589847:GUE590434 HEA589847:HEA590434 HNW589847:HNW590434 HXS589847:HXS590434 IHO589847:IHO590434 IRK589847:IRK590434 JBG589847:JBG590434 JLC589847:JLC590434 JUY589847:JUY590434 KEU589847:KEU590434 KOQ589847:KOQ590434 KYM589847:KYM590434 LII589847:LII590434 LSE589847:LSE590434 MCA589847:MCA590434 MLW589847:MLW590434 MVS589847:MVS590434 NFO589847:NFO590434 NPK589847:NPK590434 NZG589847:NZG590434 OJC589847:OJC590434 OSY589847:OSY590434 PCU589847:PCU590434 PMQ589847:PMQ590434 PWM589847:PWM590434 QGI589847:QGI590434 QQE589847:QQE590434 RAA589847:RAA590434 RJW589847:RJW590434 RTS589847:RTS590434 SDO589847:SDO590434 SNK589847:SNK590434 SXG589847:SXG590434 THC589847:THC590434 TQY589847:TQY590434 UAU589847:UAU590434 UKQ589847:UKQ590434 UUM589847:UUM590434 VEI589847:VEI590434 VOE589847:VOE590434 VYA589847:VYA590434 WHW589847:WHW590434 WRS589847:WRS590434 W655383:W655970 FG655383:FG655970 PC655383:PC655970 YY655383:YY655970 AIU655383:AIU655970 ASQ655383:ASQ655970 BCM655383:BCM655970 BMI655383:BMI655970 BWE655383:BWE655970 CGA655383:CGA655970 CPW655383:CPW655970 CZS655383:CZS655970 DJO655383:DJO655970 DTK655383:DTK655970 EDG655383:EDG655970 ENC655383:ENC655970 EWY655383:EWY655970 FGU655383:FGU655970 FQQ655383:FQQ655970 GAM655383:GAM655970 GKI655383:GKI655970 GUE655383:GUE655970 HEA655383:HEA655970 HNW655383:HNW655970 HXS655383:HXS655970 IHO655383:IHO655970 IRK655383:IRK655970 JBG655383:JBG655970 JLC655383:JLC655970 JUY655383:JUY655970 KEU655383:KEU655970 KOQ655383:KOQ655970 KYM655383:KYM655970 LII655383:LII655970 LSE655383:LSE655970 MCA655383:MCA655970 MLW655383:MLW655970 MVS655383:MVS655970 NFO655383:NFO655970 NPK655383:NPK655970 NZG655383:NZG655970 OJC655383:OJC655970 OSY655383:OSY655970 PCU655383:PCU655970 PMQ655383:PMQ655970 PWM655383:PWM655970 QGI655383:QGI655970 QQE655383:QQE655970 RAA655383:RAA655970 RJW655383:RJW655970 RTS655383:RTS655970 SDO655383:SDO655970 SNK655383:SNK655970 SXG655383:SXG655970 THC655383:THC655970 TQY655383:TQY655970 UAU655383:UAU655970 UKQ655383:UKQ655970 UUM655383:UUM655970 VEI655383:VEI655970 VOE655383:VOE655970 VYA655383:VYA655970 WHW655383:WHW655970 WRS655383:WRS655970 W720919:W721506 FG720919:FG721506 PC720919:PC721506 YY720919:YY721506 AIU720919:AIU721506 ASQ720919:ASQ721506 BCM720919:BCM721506 BMI720919:BMI721506 BWE720919:BWE721506 CGA720919:CGA721506 CPW720919:CPW721506 CZS720919:CZS721506 DJO720919:DJO721506 DTK720919:DTK721506 EDG720919:EDG721506 ENC720919:ENC721506 EWY720919:EWY721506 FGU720919:FGU721506 FQQ720919:FQQ721506 GAM720919:GAM721506 GKI720919:GKI721506 GUE720919:GUE721506 HEA720919:HEA721506 HNW720919:HNW721506 HXS720919:HXS721506 IHO720919:IHO721506 IRK720919:IRK721506 JBG720919:JBG721506 JLC720919:JLC721506 JUY720919:JUY721506 KEU720919:KEU721506 KOQ720919:KOQ721506 KYM720919:KYM721506 LII720919:LII721506 LSE720919:LSE721506 MCA720919:MCA721506 MLW720919:MLW721506 MVS720919:MVS721506 NFO720919:NFO721506 NPK720919:NPK721506 NZG720919:NZG721506 OJC720919:OJC721506 OSY720919:OSY721506 PCU720919:PCU721506 PMQ720919:PMQ721506 PWM720919:PWM721506 QGI720919:QGI721506 QQE720919:QQE721506 RAA720919:RAA721506 RJW720919:RJW721506 RTS720919:RTS721506 SDO720919:SDO721506 SNK720919:SNK721506 SXG720919:SXG721506 THC720919:THC721506 TQY720919:TQY721506 UAU720919:UAU721506 UKQ720919:UKQ721506 UUM720919:UUM721506 VEI720919:VEI721506 VOE720919:VOE721506 VYA720919:VYA721506 WHW720919:WHW721506 WRS720919:WRS721506 W786455:W787042 FG786455:FG787042 PC786455:PC787042 YY786455:YY787042 AIU786455:AIU787042 ASQ786455:ASQ787042 BCM786455:BCM787042 BMI786455:BMI787042 BWE786455:BWE787042 CGA786455:CGA787042 CPW786455:CPW787042 CZS786455:CZS787042 DJO786455:DJO787042 DTK786455:DTK787042 EDG786455:EDG787042 ENC786455:ENC787042 EWY786455:EWY787042 FGU786455:FGU787042 FQQ786455:FQQ787042 GAM786455:GAM787042 GKI786455:GKI787042 GUE786455:GUE787042 HEA786455:HEA787042 HNW786455:HNW787042 HXS786455:HXS787042 IHO786455:IHO787042 IRK786455:IRK787042 JBG786455:JBG787042 JLC786455:JLC787042 JUY786455:JUY787042 KEU786455:KEU787042 KOQ786455:KOQ787042 KYM786455:KYM787042 LII786455:LII787042 LSE786455:LSE787042 MCA786455:MCA787042 MLW786455:MLW787042 MVS786455:MVS787042 NFO786455:NFO787042 NPK786455:NPK787042 NZG786455:NZG787042 OJC786455:OJC787042 OSY786455:OSY787042 PCU786455:PCU787042 PMQ786455:PMQ787042 PWM786455:PWM787042 QGI786455:QGI787042 QQE786455:QQE787042 RAA786455:RAA787042 RJW786455:RJW787042 RTS786455:RTS787042 SDO786455:SDO787042 SNK786455:SNK787042 SXG786455:SXG787042 THC786455:THC787042 TQY786455:TQY787042 UAU786455:UAU787042 UKQ786455:UKQ787042 UUM786455:UUM787042 VEI786455:VEI787042 VOE786455:VOE787042 VYA786455:VYA787042 WHW786455:WHW787042 WRS786455:WRS787042 W851991:W852578 FG851991:FG852578 PC851991:PC852578 YY851991:YY852578 AIU851991:AIU852578 ASQ851991:ASQ852578 BCM851991:BCM852578 BMI851991:BMI852578 BWE851991:BWE852578 CGA851991:CGA852578 CPW851991:CPW852578 CZS851991:CZS852578 DJO851991:DJO852578 DTK851991:DTK852578 EDG851991:EDG852578 ENC851991:ENC852578 EWY851991:EWY852578 FGU851991:FGU852578 FQQ851991:FQQ852578 GAM851991:GAM852578 GKI851991:GKI852578 GUE851991:GUE852578 HEA851991:HEA852578 HNW851991:HNW852578 HXS851991:HXS852578 IHO851991:IHO852578 IRK851991:IRK852578 JBG851991:JBG852578 JLC851991:JLC852578 JUY851991:JUY852578 KEU851991:KEU852578 KOQ851991:KOQ852578 KYM851991:KYM852578 LII851991:LII852578 LSE851991:LSE852578 MCA851991:MCA852578 MLW851991:MLW852578 MVS851991:MVS852578 NFO851991:NFO852578 NPK851991:NPK852578 NZG851991:NZG852578 OJC851991:OJC852578 OSY851991:OSY852578 PCU851991:PCU852578 PMQ851991:PMQ852578 PWM851991:PWM852578 QGI851991:QGI852578 QQE851991:QQE852578 RAA851991:RAA852578 RJW851991:RJW852578 RTS851991:RTS852578 SDO851991:SDO852578 SNK851991:SNK852578 SXG851991:SXG852578 THC851991:THC852578 TQY851991:TQY852578 UAU851991:UAU852578 UKQ851991:UKQ852578 UUM851991:UUM852578 VEI851991:VEI852578 VOE851991:VOE852578 VYA851991:VYA852578 WHW851991:WHW852578 WRS851991:WRS852578 W917527:W918114 FG917527:FG918114 PC917527:PC918114 YY917527:YY918114 AIU917527:AIU918114 ASQ917527:ASQ918114 BCM917527:BCM918114 BMI917527:BMI918114 BWE917527:BWE918114 CGA917527:CGA918114 CPW917527:CPW918114 CZS917527:CZS918114 DJO917527:DJO918114 DTK917527:DTK918114 EDG917527:EDG918114 ENC917527:ENC918114 EWY917527:EWY918114 FGU917527:FGU918114 FQQ917527:FQQ918114 GAM917527:GAM918114 GKI917527:GKI918114 GUE917527:GUE918114 HEA917527:HEA918114 HNW917527:HNW918114 HXS917527:HXS918114 IHO917527:IHO918114 IRK917527:IRK918114 JBG917527:JBG918114 JLC917527:JLC918114 JUY917527:JUY918114 KEU917527:KEU918114 KOQ917527:KOQ918114 KYM917527:KYM918114 LII917527:LII918114 LSE917527:LSE918114 MCA917527:MCA918114 MLW917527:MLW918114 MVS917527:MVS918114 NFO917527:NFO918114 NPK917527:NPK918114 NZG917527:NZG918114 OJC917527:OJC918114 OSY917527:OSY918114 PCU917527:PCU918114 PMQ917527:PMQ918114 PWM917527:PWM918114 QGI917527:QGI918114 QQE917527:QQE918114 RAA917527:RAA918114 RJW917527:RJW918114 RTS917527:RTS918114 SDO917527:SDO918114 SNK917527:SNK918114 SXG917527:SXG918114 THC917527:THC918114 TQY917527:TQY918114 UAU917527:UAU918114 UKQ917527:UKQ918114 UUM917527:UUM918114 VEI917527:VEI918114 VOE917527:VOE918114 VYA917527:VYA918114 WHW917527:WHW918114 WRS917527:WRS918114 W983063:W983650 FG983063:FG983650 PC983063:PC983650 YY983063:YY983650 AIU983063:AIU983650 ASQ983063:ASQ983650 BCM983063:BCM983650 BMI983063:BMI983650 BWE983063:BWE983650 CGA983063:CGA983650 CPW983063:CPW983650 CZS983063:CZS983650 DJO983063:DJO983650 DTK983063:DTK983650 EDG983063:EDG983650 ENC983063:ENC983650 EWY983063:EWY983650 FGU983063:FGU983650 FQQ983063:FQQ983650 GAM983063:GAM983650 GKI983063:GKI983650 GUE983063:GUE983650 HEA983063:HEA983650 HNW983063:HNW983650 HXS983063:HXS983650 IHO983063:IHO983650 IRK983063:IRK983650 JBG983063:JBG983650 JLC983063:JLC983650 JUY983063:JUY983650 KEU983063:KEU983650 KOQ983063:KOQ983650 KYM983063:KYM983650 LII983063:LII983650 LSE983063:LSE983650 MCA983063:MCA983650 MLW983063:MLW983650 MVS983063:MVS983650 NFO983063:NFO983650 NPK983063:NPK983650 NZG983063:NZG983650 OJC983063:OJC983650 OSY983063:OSY983650 PCU983063:PCU983650 PMQ983063:PMQ983650 PWM983063:PWM983650 QGI983063:QGI983650 QQE983063:QQE983650 RAA983063:RAA983650 RJW983063:RJW983650 RTS983063:RTS983650 SDO983063:SDO983650 SNK983063:SNK983650 SXG983063:SXG983650 THC983063:THC983650 TQY983063:TQY983650 UAU983063:UAU983650 UKQ983063:UKQ983650 UUM983063:UUM983650 VEI983063:VEI983650 VOE983063:VOE983650 VYA983063:VYA983650 WHW983063:WHW983650 WRS983063:WRS983650 W82:W610 WRS79:WRS610 FG79:FG610 PC79:PC610 YY79:YY610 AIU79:AIU610 ASQ79:ASQ610 BCM79:BCM610 BMI79:BMI610 BWE79:BWE610 CGA79:CGA610 CPW79:CPW610 CZS79:CZS610 DJO79:DJO610 DTK79:DTK610 EDG79:EDG610 ENC79:ENC610 EWY79:EWY610 FGU79:FGU610 FQQ79:FQQ610 GAM79:GAM610 GKI79:GKI610 GUE79:GUE610 HEA79:HEA610 HNW79:HNW610 HXS79:HXS610 IHO79:IHO610 IRK79:IRK610 JBG79:JBG610 JLC79:JLC610 JUY79:JUY610 KEU79:KEU610 KOQ79:KOQ610 KYM79:KYM610 LII79:LII610 LSE79:LSE610 MCA79:MCA610 MLW79:MLW610 MVS79:MVS610 NFO79:NFO610 NPK79:NPK610 NZG79:NZG610 OJC79:OJC610 OSY79:OSY610 PCU79:PCU610 PMQ79:PMQ610 PWM79:PWM610 QGI79:QGI610 QQE79:QQE610 RAA79:RAA610 RJW79:RJW610 RTS79:RTS610 SDO79:SDO610 SNK79:SNK610 SXG79:SXG610 THC79:THC610 TQY79:TQY610 UAU79:UAU610 UKQ79:UKQ610 UUM79:UUM610 VEI79:VEI610 VOE79:VOE610 VYA79:VYA610 WHW79:WHW610" xr:uid="{00000000-0002-0000-0200-000003000000}">
      <formula1>"PLANEADA,EJECUTADA"</formula1>
    </dataValidation>
    <dataValidation type="list" allowBlank="1" showInputMessage="1" showErrorMessage="1" sqref="C61 C79:C81 C11:C43" xr:uid="{F44FAE7A-50E7-438A-8FD5-F85306A900A9}">
      <formula1>"Desplazamiento en Misón Laboral,Deplazamiento Intinere"</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200-000005000000}">
          <x14:formula1>
            <xm:f>'6-LISTADOS'!$E$16:$E$25</xm:f>
          </x14:formula1>
          <xm:sqref>F79 F36 F40 F11:F12 F15:F17 F21 F23 F43 F45 F52 F47 F50 F61 F63 F70 F65 F68</xm:sqref>
        </x14:dataValidation>
        <x14:dataValidation type="list" allowBlank="1" showInputMessage="1" showErrorMessage="1" xr:uid="{00000000-0002-0000-0200-000009000000}">
          <x14:formula1>
            <xm:f>'6-LISTADOS'!$I$16:$I$20</xm:f>
          </x14:formula1>
          <xm:sqref>G15:G16 G33:G34 G11:G12 G36:G37 G21 G27 G23:G24 G39:G43 G45 G47 G52:G55 G60:G61 G65 G63 G70:G73 G78:G80</xm:sqref>
        </x14:dataValidation>
        <x14:dataValidation type="list" allowBlank="1" showInputMessage="1" showErrorMessage="1" xr:uid="{00000000-0002-0000-0200-00000A000000}">
          <x14:formula1>
            <xm:f>'6-LISTADOS'!$J$16:$J$20</xm:f>
          </x14:formula1>
          <xm:sqref>K15:K16 K11:K12 K36:K37 K31 K33:K34 K21 K27 K23:K24 K39:K43 K45 K47 K52:K55 K59:K61 K65 K63 K70:K73 K77:K80</xm:sqref>
        </x14:dataValidation>
        <x14:dataValidation type="list" allowBlank="1" showInputMessage="1" showErrorMessage="1" xr:uid="{E141756F-9650-4FBF-A7B4-0DFA3C33C0C2}">
          <x14:formula1>
            <xm:f>'6-LISTADOS'!$H$16:$H$20</xm:f>
          </x14:formula1>
          <xm:sqref>I11:I12 I36:I37 I31 I33:I34 I27 I15:I16 I21 I24 I39:I43 I45 I47 I53:I55 I59:I61 I65 I63 I73 I77:I80</xm:sqref>
        </x14:dataValidation>
        <x14:dataValidation type="list" allowBlank="1" showInputMessage="1" showErrorMessage="1" xr:uid="{4E85A1FD-1C8B-4670-8B96-891703BA555A}">
          <x14:formula1>
            <xm:f>'6-LISTADOS'!$C$28:$C$30</xm:f>
          </x14:formula1>
          <xm:sqref>Q11:Q12 Q21 Q27:Q31 Q24 Q34:Q45 Q53:Q63 Q71:Q81</xm:sqref>
        </x14:dataValidation>
        <x14:dataValidation type="list" allowBlank="1" showInputMessage="1" showErrorMessage="1" xr:uid="{241CB253-E51F-4E1B-A15A-083502E4663F}">
          <x14:formula1>
            <xm:f>'6-LISTADOS'!$D$28:$D$34</xm:f>
          </x14:formula1>
          <xm:sqref>R11:R12 R15:R16 R21 R27:R31 R23:R24 R34:R45 R47 R52:R63 R65 R70:R81</xm:sqref>
        </x14:dataValidation>
        <x14:dataValidation type="list" allowBlank="1" showInputMessage="1" showErrorMessage="1" xr:uid="{00000000-0002-0000-0200-000007000000}">
          <x14:formula1>
            <xm:f>'6-LISTADOS'!$G$16:$G$23</xm:f>
          </x14:formula1>
          <xm:sqref>F80 F39 F42 F60 F78 F33:F34</xm:sqref>
        </x14:dataValidation>
        <x14:dataValidation type="list" allowBlank="1" showInputMessage="1" showErrorMessage="1" xr:uid="{067061DF-B30B-481C-82B3-03B67C648260}">
          <x14:formula1>
            <xm:f>'6-LISTADOS'!$G$28:$G$45</xm:f>
          </x14:formula1>
          <xm:sqref>S34:S37 S39:S40 S25 S17:S18 S27 S20:S23 S42:S43 S50:S52 S45:S46 S55 S60:S61 S63:S64 S68:S70 S73 S78:S80</xm:sqref>
        </x14:dataValidation>
        <x14:dataValidation type="list" allowBlank="1" showInputMessage="1" showErrorMessage="1" xr:uid="{8AA2217B-08EF-443C-979B-52790FAF2E4E}">
          <x14:formula1>
            <xm:f>'6-LISTADOS'!$I$28:$I$177</xm:f>
          </x14:formula1>
          <xm:sqref>T11:T27 T82:T254 T50:T55 T59:T65 T68:T73 T77:T80 T31:T47</xm:sqref>
        </x14:dataValidation>
        <x14:dataValidation type="list" allowBlank="1" showInputMessage="1" showErrorMessage="1" xr:uid="{00000000-0002-0000-0200-000006000000}">
          <x14:formula1>
            <xm:f>'6-LISTADOS'!$F$16:$F$22</xm:f>
          </x14:formula1>
          <xm:sqref>F27 F41 F37 F53 F55 F71 F73</xm:sqref>
        </x14:dataValidation>
        <x14:dataValidation type="list" allowBlank="1" showInputMessage="1" showErrorMessage="1" xr:uid="{54AE3881-2E80-416A-B5B3-3E5DC763C43D}">
          <x14:formula1>
            <xm:f>'6-LISTADOS'!$G$28:$G$66</xm:f>
          </x14:formula1>
          <xm:sqref>S11 S13 S47:S49 S65:S67</xm:sqref>
        </x14:dataValidation>
        <x14:dataValidation type="list" allowBlank="1" showInputMessage="1" showErrorMessage="1" xr:uid="{FB178746-30DA-4EBD-954C-8F5AD04BEB50}">
          <x14:formula1>
            <xm:f>'2-CARGOS'!$C$15:$C$51</xm:f>
          </x14:formula1>
          <xm:sqref>B79:B81 B11:B39</xm:sqref>
        </x14:dataValidation>
        <x14:dataValidation type="list" allowBlank="1" showInputMessage="1" showErrorMessage="1" xr:uid="{82A138B3-54C8-4F65-9CAF-F05F95D016A2}">
          <x14:formula1>
            <xm:f>'6-LISTADOS'!$F$16:$F$25</xm:f>
          </x14:formula1>
          <xm:sqref>F24</xm:sqref>
        </x14:dataValidation>
        <x14:dataValidation type="list" allowBlank="1" showInputMessage="1" showErrorMessage="1" xr:uid="{8F73183E-8FA6-425F-BC60-1A11704ADB94}">
          <x14:formula1>
            <xm:f>'6-LISTADOS'!$G$28:$G$60</xm:f>
          </x14:formula1>
          <xm:sqref>S26</xm:sqref>
        </x14:dataValidation>
        <x14:dataValidation type="list" allowBlank="1" showInputMessage="1" showErrorMessage="1" xr:uid="{C8D9BCE7-5E13-4C7D-96E8-F8EEEB9ACBF3}">
          <x14:formula1>
            <xm:f>'6-LISTADOS'!$G$28:$G$58</xm:f>
          </x14:formula1>
          <xm:sqref>S24</xm:sqref>
        </x14:dataValidation>
        <x14:dataValidation type="list" allowBlank="1" showInputMessage="1" showErrorMessage="1" xr:uid="{E0C43751-CF99-40A9-B29A-6C447E1ABE41}">
          <x14:formula1>
            <xm:f>'6-LISTADOS'!$F$15:$F$25</xm:f>
          </x14:formula1>
          <xm:sqref>F54 F72</xm:sqref>
        </x14:dataValidation>
        <x14:dataValidation type="list" allowBlank="1" showInputMessage="1" showErrorMessage="1" xr:uid="{B702A8A9-7EAB-4124-818F-3961C5EC7756}">
          <x14:formula1>
            <xm:f>'6-LISTADOS'!$G$28:$G$64</xm:f>
          </x14:formula1>
          <xm:sqref>S54 S72</xm:sqref>
        </x14:dataValidation>
        <x14:dataValidation type="list" allowBlank="1" showInputMessage="1" showErrorMessage="1" xr:uid="{C6F79CA5-073B-4B16-895E-A2AB760DBB05}">
          <x14:formula1>
            <xm:f>'6-LISTADOS'!$D$16:$D$21</xm:f>
          </x14:formula1>
          <xm:sqref>D61 D79:D81 D11:D43</xm:sqref>
        </x14:dataValidation>
        <x14:dataValidation type="list" allowBlank="1" showInputMessage="1" showErrorMessage="1" xr:uid="{AFA4C057-59BD-4DA0-BF98-0E9CAAC08978}">
          <x14:formula1>
            <xm:f>'6-LISTADOS'!$C$16:$C$25</xm:f>
          </x14:formula1>
          <xm:sqref>A61 A79:A118 A11:A43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F2F6-1B33-457E-B76E-B01EFBCA1290}">
  <dimension ref="A1:C4"/>
  <sheetViews>
    <sheetView workbookViewId="0">
      <selection sqref="A1:C4"/>
    </sheetView>
  </sheetViews>
  <sheetFormatPr baseColWidth="10" defaultRowHeight="15"/>
  <cols>
    <col min="2" max="2" width="42.28515625" customWidth="1"/>
    <col min="3" max="3" width="17.140625" customWidth="1"/>
  </cols>
  <sheetData>
    <row r="1" spans="1:3">
      <c r="A1" s="98" t="s">
        <v>389</v>
      </c>
      <c r="B1" s="98" t="s">
        <v>390</v>
      </c>
      <c r="C1" s="98" t="s">
        <v>87</v>
      </c>
    </row>
    <row r="2" spans="1:3" s="99" customFormat="1" ht="60">
      <c r="A2" s="100">
        <v>45684</v>
      </c>
      <c r="B2" s="101" t="s">
        <v>399</v>
      </c>
      <c r="C2" s="101" t="s">
        <v>398</v>
      </c>
    </row>
    <row r="3" spans="1:3" ht="45">
      <c r="A3" s="102">
        <v>45710</v>
      </c>
      <c r="B3" s="103" t="s">
        <v>401</v>
      </c>
      <c r="C3" s="101" t="s">
        <v>398</v>
      </c>
    </row>
    <row r="4" spans="1:3" ht="60">
      <c r="A4" s="102">
        <v>45714</v>
      </c>
      <c r="B4" s="101" t="s">
        <v>406</v>
      </c>
      <c r="C4" s="101" t="s">
        <v>398</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250"/>
  <sheetViews>
    <sheetView view="pageBreakPreview" zoomScale="91" zoomScaleNormal="110" zoomScaleSheetLayoutView="91" workbookViewId="0">
      <selection activeCell="H20" sqref="H20"/>
    </sheetView>
  </sheetViews>
  <sheetFormatPr baseColWidth="10" defaultRowHeight="15"/>
  <cols>
    <col min="1" max="1" width="2.28515625" customWidth="1"/>
    <col min="2" max="2" width="2.85546875" customWidth="1"/>
    <col min="3" max="3" width="28.140625" customWidth="1"/>
    <col min="4" max="4" width="20.5703125" style="11" customWidth="1"/>
    <col min="5" max="5" width="42.85546875" customWidth="1"/>
    <col min="6" max="6" width="25" customWidth="1"/>
    <col min="7" max="7" width="33.42578125" customWidth="1"/>
    <col min="8" max="9" width="42.85546875" customWidth="1"/>
    <col min="10" max="10" width="3.42578125" customWidth="1"/>
  </cols>
  <sheetData>
    <row r="1" spans="2:13" ht="11.25" customHeight="1"/>
    <row r="2" spans="2:13" s="1" customFormat="1" ht="14.25" customHeight="1">
      <c r="B2" s="234"/>
      <c r="C2" s="234"/>
      <c r="D2" s="234"/>
      <c r="E2" s="234"/>
      <c r="F2" s="234"/>
      <c r="G2" s="9"/>
      <c r="H2" s="9"/>
      <c r="I2" s="9"/>
      <c r="J2" s="9"/>
    </row>
    <row r="3" spans="2:13" s="1" customFormat="1" ht="33.75" customHeight="1">
      <c r="B3" s="9"/>
      <c r="C3" s="235" t="s">
        <v>60</v>
      </c>
      <c r="D3" s="235"/>
      <c r="E3" s="235"/>
      <c r="F3" s="235"/>
      <c r="G3" s="235"/>
      <c r="H3" s="235"/>
      <c r="I3" s="235"/>
      <c r="J3" s="9"/>
    </row>
    <row r="4" spans="2:13" s="1" customFormat="1" ht="9.75" customHeight="1">
      <c r="B4" s="9"/>
      <c r="C4" s="234"/>
      <c r="D4" s="234"/>
      <c r="E4" s="234"/>
      <c r="F4" s="9"/>
      <c r="G4" s="9"/>
      <c r="H4" s="9"/>
      <c r="I4" s="9"/>
      <c r="J4" s="9"/>
    </row>
    <row r="5" spans="2:13" s="1" customFormat="1" ht="25.5" customHeight="1">
      <c r="B5" s="9"/>
      <c r="C5" s="236" t="s">
        <v>53</v>
      </c>
      <c r="D5" s="237"/>
      <c r="E5" s="238"/>
      <c r="F5" s="240"/>
      <c r="G5" s="234"/>
      <c r="H5" s="241"/>
      <c r="I5" s="241"/>
      <c r="J5" s="9"/>
    </row>
    <row r="6" spans="2:13" s="1" customFormat="1" ht="14.25" customHeight="1">
      <c r="B6" s="9"/>
      <c r="C6" s="139" t="s">
        <v>280</v>
      </c>
      <c r="D6" s="139"/>
      <c r="E6" s="139"/>
      <c r="F6" s="240"/>
      <c r="G6" s="234"/>
      <c r="H6" s="241"/>
      <c r="I6" s="241"/>
      <c r="J6" s="9"/>
    </row>
    <row r="7" spans="2:13" s="1" customFormat="1" ht="14.25" customHeight="1">
      <c r="B7" s="9"/>
      <c r="C7" s="139"/>
      <c r="D7" s="139"/>
      <c r="E7" s="139"/>
      <c r="F7" s="240"/>
      <c r="G7" s="234"/>
      <c r="H7" s="241"/>
      <c r="I7" s="241"/>
      <c r="J7" s="9"/>
    </row>
    <row r="8" spans="2:13" s="1" customFormat="1" ht="14.25" customHeight="1">
      <c r="B8" s="9"/>
      <c r="C8" s="139"/>
      <c r="D8" s="139"/>
      <c r="E8" s="139"/>
      <c r="F8" s="240"/>
      <c r="G8" s="234"/>
      <c r="H8" s="241"/>
      <c r="I8" s="241"/>
      <c r="J8" s="9"/>
    </row>
    <row r="9" spans="2:13" s="1" customFormat="1" ht="14.25" customHeight="1">
      <c r="B9" s="9"/>
      <c r="C9" s="139"/>
      <c r="D9" s="139"/>
      <c r="E9" s="139"/>
      <c r="F9" s="240"/>
      <c r="G9" s="234"/>
      <c r="H9" s="241"/>
      <c r="I9" s="241"/>
      <c r="J9" s="9"/>
    </row>
    <row r="10" spans="2:13" s="1" customFormat="1" ht="14.25" customHeight="1">
      <c r="B10" s="9"/>
      <c r="C10" s="139"/>
      <c r="D10" s="139"/>
      <c r="E10" s="139"/>
      <c r="F10" s="240"/>
      <c r="G10" s="234"/>
      <c r="H10" s="241"/>
      <c r="I10" s="241"/>
      <c r="J10" s="9"/>
    </row>
    <row r="11" spans="2:13" s="1" customFormat="1" ht="14.25" customHeight="1">
      <c r="B11" s="9"/>
      <c r="C11" s="139"/>
      <c r="D11" s="139"/>
      <c r="E11" s="139"/>
      <c r="F11" s="240"/>
      <c r="G11" s="234"/>
      <c r="H11" s="241"/>
      <c r="I11" s="241"/>
      <c r="J11" s="9"/>
    </row>
    <row r="12" spans="2:13" s="1" customFormat="1" ht="14.25" customHeight="1">
      <c r="B12" s="9"/>
      <c r="C12" s="139"/>
      <c r="D12" s="139"/>
      <c r="E12" s="139"/>
      <c r="F12" s="240"/>
      <c r="G12" s="234"/>
      <c r="H12" s="241"/>
      <c r="I12" s="241"/>
      <c r="J12" s="9"/>
    </row>
    <row r="13" spans="2:13" s="1" customFormat="1" ht="17.25" customHeight="1">
      <c r="B13" s="9"/>
      <c r="C13" s="239" t="s">
        <v>64</v>
      </c>
      <c r="D13" s="239"/>
      <c r="E13" s="239"/>
      <c r="F13" s="239"/>
      <c r="G13" s="239"/>
      <c r="H13" s="239"/>
      <c r="I13" s="239"/>
      <c r="J13" s="9"/>
    </row>
    <row r="14" spans="2:13" s="1" customFormat="1" ht="23.25" customHeight="1">
      <c r="B14" s="9"/>
      <c r="C14" s="239"/>
      <c r="D14" s="239"/>
      <c r="E14" s="239"/>
      <c r="F14" s="239"/>
      <c r="G14" s="239"/>
      <c r="H14" s="239"/>
      <c r="I14" s="239"/>
      <c r="J14" s="9"/>
    </row>
    <row r="15" spans="2:13" ht="18.75" customHeight="1" thickBot="1">
      <c r="B15" s="8"/>
      <c r="C15" s="239"/>
      <c r="D15" s="239"/>
      <c r="E15" s="239"/>
      <c r="F15" s="239"/>
      <c r="G15" s="239"/>
      <c r="H15" s="239"/>
      <c r="I15" s="239"/>
      <c r="J15" s="8"/>
    </row>
    <row r="16" spans="2:13">
      <c r="B16" s="8"/>
      <c r="C16" s="242" t="s">
        <v>8</v>
      </c>
      <c r="D16" s="243"/>
      <c r="E16" s="228" t="s">
        <v>1</v>
      </c>
      <c r="F16" s="229"/>
      <c r="G16" s="229"/>
      <c r="H16" s="229"/>
      <c r="I16" s="230"/>
      <c r="J16" s="9"/>
      <c r="K16" s="1"/>
      <c r="L16" s="1"/>
      <c r="M16" s="1"/>
    </row>
    <row r="17" spans="2:13" ht="15.75" customHeight="1">
      <c r="B17" s="8"/>
      <c r="C17" s="244"/>
      <c r="D17" s="245"/>
      <c r="E17" s="231"/>
      <c r="F17" s="232"/>
      <c r="G17" s="232"/>
      <c r="H17" s="232"/>
      <c r="I17" s="233"/>
      <c r="J17" s="9"/>
      <c r="K17" s="1"/>
      <c r="L17" s="1"/>
      <c r="M17" s="1"/>
    </row>
    <row r="18" spans="2:13">
      <c r="B18" s="8"/>
      <c r="C18" s="244"/>
      <c r="D18" s="245"/>
      <c r="E18" s="231"/>
      <c r="F18" s="232"/>
      <c r="G18" s="232"/>
      <c r="H18" s="232"/>
      <c r="I18" s="233"/>
      <c r="J18" s="9"/>
      <c r="K18" s="1"/>
      <c r="L18" s="1"/>
      <c r="M18" s="1"/>
    </row>
    <row r="19" spans="2:13">
      <c r="B19" s="8"/>
      <c r="C19" s="244"/>
      <c r="D19" s="245"/>
      <c r="E19" s="51" t="s">
        <v>135</v>
      </c>
      <c r="F19" s="47" t="s">
        <v>136</v>
      </c>
      <c r="G19" s="47" t="s">
        <v>9</v>
      </c>
      <c r="H19" s="47" t="s">
        <v>137</v>
      </c>
      <c r="I19" s="48" t="s">
        <v>134</v>
      </c>
      <c r="J19" s="9"/>
      <c r="K19" s="1"/>
      <c r="L19" s="1"/>
      <c r="M19" s="1"/>
    </row>
    <row r="20" spans="2:13" ht="15.75" thickBot="1">
      <c r="B20" s="8"/>
      <c r="C20" s="246"/>
      <c r="D20" s="247"/>
      <c r="E20" s="52">
        <v>1</v>
      </c>
      <c r="F20" s="49">
        <v>2</v>
      </c>
      <c r="G20" s="49">
        <v>3</v>
      </c>
      <c r="H20" s="49">
        <v>4</v>
      </c>
      <c r="I20" s="50">
        <v>5</v>
      </c>
      <c r="J20" s="9"/>
      <c r="K20" s="1"/>
      <c r="L20" s="1"/>
      <c r="M20" s="1"/>
    </row>
    <row r="21" spans="2:13">
      <c r="B21" s="8"/>
      <c r="C21" s="248" t="s">
        <v>2</v>
      </c>
      <c r="D21" s="53" t="s">
        <v>10</v>
      </c>
      <c r="E21" s="254">
        <f>D22+E20+E31</f>
        <v>3</v>
      </c>
      <c r="F21" s="255">
        <f>F20+D22+F31</f>
        <v>5</v>
      </c>
      <c r="G21" s="255">
        <f>G20+D22+G31</f>
        <v>7</v>
      </c>
      <c r="H21" s="226">
        <f>H20+D22+H31</f>
        <v>9</v>
      </c>
      <c r="I21" s="226">
        <f>I20+D22+I31</f>
        <v>11</v>
      </c>
      <c r="J21" s="9"/>
      <c r="K21" s="1"/>
      <c r="L21" s="1"/>
      <c r="M21" s="1"/>
    </row>
    <row r="22" spans="2:13">
      <c r="B22" s="8"/>
      <c r="C22" s="249"/>
      <c r="D22" s="48">
        <v>1</v>
      </c>
      <c r="E22" s="252"/>
      <c r="F22" s="253"/>
      <c r="G22" s="253"/>
      <c r="H22" s="227"/>
      <c r="I22" s="227"/>
      <c r="J22" s="9"/>
      <c r="K22" s="1"/>
      <c r="L22" s="1"/>
      <c r="M22" s="1"/>
    </row>
    <row r="23" spans="2:13" ht="15" customHeight="1">
      <c r="B23" s="8"/>
      <c r="C23" s="249"/>
      <c r="D23" s="48" t="s">
        <v>139</v>
      </c>
      <c r="E23" s="252">
        <f>E20+D24+E31</f>
        <v>4</v>
      </c>
      <c r="F23" s="253">
        <f>F20+D24+F31</f>
        <v>6</v>
      </c>
      <c r="G23" s="227">
        <f>G20+D24+G31</f>
        <v>8</v>
      </c>
      <c r="H23" s="227">
        <f>H20+D24+H31</f>
        <v>10</v>
      </c>
      <c r="I23" s="251">
        <f>I20+D24+I31</f>
        <v>12</v>
      </c>
      <c r="J23" s="9"/>
      <c r="K23" s="1"/>
      <c r="L23" s="1"/>
      <c r="M23" s="1"/>
    </row>
    <row r="24" spans="2:13" ht="15.75" customHeight="1">
      <c r="B24" s="8"/>
      <c r="C24" s="249"/>
      <c r="D24" s="48">
        <v>2</v>
      </c>
      <c r="E24" s="252"/>
      <c r="F24" s="253"/>
      <c r="G24" s="227"/>
      <c r="H24" s="227"/>
      <c r="I24" s="251"/>
      <c r="J24" s="9"/>
      <c r="K24" s="1"/>
      <c r="L24" s="1"/>
      <c r="M24" s="1"/>
    </row>
    <row r="25" spans="2:13">
      <c r="B25" s="8"/>
      <c r="C25" s="249"/>
      <c r="D25" s="48" t="s">
        <v>11</v>
      </c>
      <c r="E25" s="252">
        <f>E20+D26+E31</f>
        <v>5</v>
      </c>
      <c r="F25" s="253">
        <f>F20+D26+F31</f>
        <v>7</v>
      </c>
      <c r="G25" s="227">
        <f>D26+G20+G31</f>
        <v>9</v>
      </c>
      <c r="H25" s="227">
        <f>H20+D26+H31</f>
        <v>11</v>
      </c>
      <c r="I25" s="251">
        <f>I20+D26+I31</f>
        <v>13</v>
      </c>
      <c r="J25" s="9"/>
      <c r="K25" s="1"/>
      <c r="L25" s="1"/>
      <c r="M25" s="1"/>
    </row>
    <row r="26" spans="2:13">
      <c r="B26" s="8"/>
      <c r="C26" s="249"/>
      <c r="D26" s="48">
        <v>3</v>
      </c>
      <c r="E26" s="252"/>
      <c r="F26" s="253"/>
      <c r="G26" s="227"/>
      <c r="H26" s="227"/>
      <c r="I26" s="251"/>
      <c r="J26" s="9"/>
      <c r="K26" s="1"/>
      <c r="L26" s="1"/>
      <c r="M26" s="1"/>
    </row>
    <row r="27" spans="2:13">
      <c r="B27" s="8"/>
      <c r="C27" s="249"/>
      <c r="D27" s="48" t="s">
        <v>138</v>
      </c>
      <c r="E27" s="252">
        <f>D28+E20+E31</f>
        <v>6</v>
      </c>
      <c r="F27" s="227">
        <f>F20+D28+F31</f>
        <v>8</v>
      </c>
      <c r="G27" s="227">
        <f>G20+D28+G31</f>
        <v>10</v>
      </c>
      <c r="H27" s="251">
        <f>H20+D28+H31</f>
        <v>12</v>
      </c>
      <c r="I27" s="251">
        <f>I20+D28+I31</f>
        <v>14</v>
      </c>
      <c r="J27" s="9"/>
      <c r="K27" s="1"/>
      <c r="L27" s="1"/>
      <c r="M27" s="1"/>
    </row>
    <row r="28" spans="2:13">
      <c r="B28" s="8"/>
      <c r="C28" s="249"/>
      <c r="D28" s="48">
        <v>4</v>
      </c>
      <c r="E28" s="252"/>
      <c r="F28" s="227"/>
      <c r="G28" s="227"/>
      <c r="H28" s="251"/>
      <c r="I28" s="251"/>
      <c r="J28" s="9"/>
      <c r="K28" s="1"/>
      <c r="L28" s="1"/>
      <c r="M28" s="1"/>
    </row>
    <row r="29" spans="2:13">
      <c r="B29" s="8"/>
      <c r="C29" s="249"/>
      <c r="D29" s="48" t="s">
        <v>122</v>
      </c>
      <c r="E29" s="252">
        <f>E20+D30+E31</f>
        <v>7</v>
      </c>
      <c r="F29" s="227">
        <f>F31+D30+F20</f>
        <v>9</v>
      </c>
      <c r="G29" s="227">
        <f>G20+G31+D30</f>
        <v>11</v>
      </c>
      <c r="H29" s="251">
        <f>H20+D30+H31</f>
        <v>13</v>
      </c>
      <c r="I29" s="251">
        <f>I31+I20+D30</f>
        <v>15</v>
      </c>
      <c r="J29" s="9"/>
      <c r="K29" s="1"/>
      <c r="L29" s="1"/>
      <c r="M29" s="1"/>
    </row>
    <row r="30" spans="2:13" ht="15.75" thickBot="1">
      <c r="B30" s="8"/>
      <c r="C30" s="250"/>
      <c r="D30" s="54">
        <v>5</v>
      </c>
      <c r="E30" s="260"/>
      <c r="F30" s="261"/>
      <c r="G30" s="261"/>
      <c r="H30" s="259"/>
      <c r="I30" s="259"/>
      <c r="J30" s="9"/>
      <c r="K30" s="1"/>
      <c r="L30" s="1"/>
      <c r="M30" s="1"/>
    </row>
    <row r="31" spans="2:13" ht="15" customHeight="1">
      <c r="B31" s="8"/>
      <c r="C31" s="242" t="s">
        <v>8</v>
      </c>
      <c r="D31" s="243"/>
      <c r="E31" s="55">
        <v>1</v>
      </c>
      <c r="F31" s="56">
        <v>2</v>
      </c>
      <c r="G31" s="56">
        <v>3</v>
      </c>
      <c r="H31" s="56">
        <v>4</v>
      </c>
      <c r="I31" s="57">
        <v>5</v>
      </c>
      <c r="J31" s="9"/>
      <c r="K31" s="1"/>
      <c r="L31" s="1"/>
      <c r="M31" s="1"/>
    </row>
    <row r="32" spans="2:13" ht="15" customHeight="1">
      <c r="B32" s="8"/>
      <c r="C32" s="244"/>
      <c r="D32" s="245"/>
      <c r="E32" s="51" t="s">
        <v>133</v>
      </c>
      <c r="F32" s="47" t="s">
        <v>131</v>
      </c>
      <c r="G32" s="47" t="s">
        <v>43</v>
      </c>
      <c r="H32" s="47" t="s">
        <v>42</v>
      </c>
      <c r="I32" s="48" t="s">
        <v>132</v>
      </c>
      <c r="J32" s="9"/>
      <c r="K32" s="1"/>
      <c r="L32" s="1"/>
      <c r="M32" s="1"/>
    </row>
    <row r="33" spans="2:13" ht="15.75" customHeight="1">
      <c r="B33" s="8"/>
      <c r="C33" s="244"/>
      <c r="D33" s="245"/>
      <c r="E33" s="231" t="s">
        <v>130</v>
      </c>
      <c r="F33" s="232"/>
      <c r="G33" s="232"/>
      <c r="H33" s="232"/>
      <c r="I33" s="233"/>
      <c r="J33" s="9"/>
      <c r="K33" s="1"/>
      <c r="L33" s="1"/>
      <c r="M33" s="1"/>
    </row>
    <row r="34" spans="2:13" ht="15" customHeight="1">
      <c r="B34" s="8"/>
      <c r="C34" s="244"/>
      <c r="D34" s="245"/>
      <c r="E34" s="231"/>
      <c r="F34" s="232"/>
      <c r="G34" s="232"/>
      <c r="H34" s="232"/>
      <c r="I34" s="233"/>
      <c r="J34" s="9"/>
      <c r="K34" s="1"/>
      <c r="L34" s="1"/>
      <c r="M34" s="1"/>
    </row>
    <row r="35" spans="2:13" ht="15.75" customHeight="1" thickBot="1">
      <c r="B35" s="8"/>
      <c r="C35" s="246"/>
      <c r="D35" s="247"/>
      <c r="E35" s="256"/>
      <c r="F35" s="257"/>
      <c r="G35" s="257"/>
      <c r="H35" s="257"/>
      <c r="I35" s="258"/>
      <c r="J35" s="9"/>
      <c r="K35" s="1"/>
      <c r="L35" s="1"/>
      <c r="M35" s="1"/>
    </row>
    <row r="36" spans="2:13" ht="15" customHeight="1">
      <c r="B36" s="8"/>
      <c r="C36" s="10"/>
      <c r="D36" s="12"/>
      <c r="E36" s="8"/>
      <c r="F36" s="8"/>
      <c r="G36" s="8"/>
      <c r="H36" s="8"/>
      <c r="I36" s="8"/>
      <c r="J36" s="9"/>
      <c r="K36" s="1"/>
      <c r="L36" s="1"/>
      <c r="M36" s="1"/>
    </row>
    <row r="37" spans="2:13" ht="36" customHeight="1">
      <c r="B37" s="8"/>
      <c r="C37" s="263" t="s">
        <v>171</v>
      </c>
      <c r="D37" s="264"/>
      <c r="E37" s="58" t="s">
        <v>19</v>
      </c>
      <c r="F37" s="58" t="s">
        <v>20</v>
      </c>
      <c r="G37" s="58" t="s">
        <v>18</v>
      </c>
      <c r="H37" s="262" t="s">
        <v>1</v>
      </c>
      <c r="I37" s="262"/>
      <c r="J37" s="9"/>
      <c r="K37" s="1"/>
      <c r="L37" s="1"/>
      <c r="M37" s="1"/>
    </row>
    <row r="38" spans="2:13" ht="33.75" customHeight="1">
      <c r="B38" s="8"/>
      <c r="C38" s="265" t="str">
        <f>I19</f>
        <v>MUY PROBABLE</v>
      </c>
      <c r="D38" s="266"/>
      <c r="E38" s="60" t="s">
        <v>178</v>
      </c>
      <c r="F38" s="59"/>
      <c r="G38" s="61">
        <v>5</v>
      </c>
      <c r="H38" s="262"/>
      <c r="I38" s="262"/>
      <c r="J38" s="9"/>
      <c r="K38" s="1"/>
      <c r="L38" s="1"/>
      <c r="M38" s="1"/>
    </row>
    <row r="39" spans="2:13" ht="33.75" customHeight="1">
      <c r="B39" s="8"/>
      <c r="C39" s="265" t="str">
        <f>H19</f>
        <v>MEDIANAMENTE PROBABLE</v>
      </c>
      <c r="D39" s="266"/>
      <c r="E39" s="60" t="s">
        <v>181</v>
      </c>
      <c r="F39" s="59"/>
      <c r="G39" s="61">
        <v>4</v>
      </c>
      <c r="H39" s="262"/>
      <c r="I39" s="262"/>
      <c r="J39" s="9"/>
      <c r="K39" s="1"/>
      <c r="L39" s="1"/>
      <c r="M39" s="1"/>
    </row>
    <row r="40" spans="2:13" ht="33.75" customHeight="1">
      <c r="B40" s="8"/>
      <c r="C40" s="265" t="str">
        <f>G19</f>
        <v>PROBABLE</v>
      </c>
      <c r="D40" s="266"/>
      <c r="E40" s="60" t="s">
        <v>180</v>
      </c>
      <c r="F40" s="59"/>
      <c r="G40" s="61">
        <v>3</v>
      </c>
      <c r="H40" s="262"/>
      <c r="I40" s="262"/>
      <c r="J40" s="9"/>
      <c r="K40" s="1"/>
      <c r="L40" s="1"/>
      <c r="M40" s="1"/>
    </row>
    <row r="41" spans="2:13" ht="33.75" customHeight="1">
      <c r="B41" s="8"/>
      <c r="C41" s="265" t="str">
        <f>F19</f>
        <v>POCO PROBABLE</v>
      </c>
      <c r="D41" s="266"/>
      <c r="E41" s="60" t="s">
        <v>239</v>
      </c>
      <c r="F41" s="59"/>
      <c r="G41" s="61">
        <v>2</v>
      </c>
      <c r="H41" s="262"/>
      <c r="I41" s="262"/>
      <c r="J41" s="9"/>
      <c r="K41" s="1"/>
      <c r="L41" s="1"/>
      <c r="M41" s="1"/>
    </row>
    <row r="42" spans="2:13" ht="33.75" customHeight="1">
      <c r="B42" s="8"/>
      <c r="C42" s="265" t="str">
        <f>E19</f>
        <v>NO ES PROBABLE</v>
      </c>
      <c r="D42" s="266"/>
      <c r="E42" s="60" t="s">
        <v>179</v>
      </c>
      <c r="F42" s="59"/>
      <c r="G42" s="61">
        <v>1</v>
      </c>
      <c r="H42" s="262"/>
      <c r="I42" s="262"/>
      <c r="J42" s="9"/>
      <c r="K42" s="1"/>
      <c r="L42" s="1"/>
      <c r="M42" s="1"/>
    </row>
    <row r="43" spans="2:13" ht="14.25" customHeight="1">
      <c r="B43" s="8"/>
      <c r="C43" s="10"/>
      <c r="D43" s="12"/>
      <c r="E43" s="8"/>
      <c r="F43" s="8"/>
      <c r="G43" s="8"/>
      <c r="H43" s="9"/>
      <c r="I43" s="9"/>
      <c r="J43" s="9"/>
      <c r="K43" s="1"/>
      <c r="L43" s="1"/>
      <c r="M43" s="1"/>
    </row>
    <row r="44" spans="2:13" ht="36.75" customHeight="1">
      <c r="B44" s="8"/>
      <c r="C44" s="263" t="s">
        <v>171</v>
      </c>
      <c r="D44" s="264"/>
      <c r="E44" s="58" t="s">
        <v>19</v>
      </c>
      <c r="F44" s="58" t="s">
        <v>20</v>
      </c>
      <c r="G44" s="58" t="s">
        <v>18</v>
      </c>
      <c r="H44" s="262" t="s">
        <v>130</v>
      </c>
      <c r="I44" s="262"/>
      <c r="J44" s="9"/>
      <c r="K44" s="1"/>
      <c r="L44" s="1"/>
      <c r="M44" s="1"/>
    </row>
    <row r="45" spans="2:13" ht="36.75" customHeight="1">
      <c r="B45" s="8"/>
      <c r="C45" s="265" t="str">
        <f>E32</f>
        <v>MINIMA</v>
      </c>
      <c r="D45" s="266"/>
      <c r="E45" s="60" t="s">
        <v>176</v>
      </c>
      <c r="F45" s="59" t="s">
        <v>177</v>
      </c>
      <c r="G45" s="61">
        <v>1</v>
      </c>
      <c r="H45" s="262"/>
      <c r="I45" s="262"/>
      <c r="J45" s="9"/>
      <c r="K45" s="1"/>
      <c r="L45" s="1"/>
      <c r="M45" s="1"/>
    </row>
    <row r="46" spans="2:13" ht="36.75" customHeight="1">
      <c r="B46" s="8"/>
      <c r="C46" s="265" t="str">
        <f>F32</f>
        <v>ESPORADICO</v>
      </c>
      <c r="D46" s="266"/>
      <c r="E46" s="60" t="s">
        <v>172</v>
      </c>
      <c r="F46" s="59" t="s">
        <v>177</v>
      </c>
      <c r="G46" s="61">
        <v>2</v>
      </c>
      <c r="H46" s="262"/>
      <c r="I46" s="262"/>
      <c r="J46" s="9"/>
      <c r="K46" s="1"/>
      <c r="L46" s="1"/>
      <c r="M46" s="1"/>
    </row>
    <row r="47" spans="2:13" ht="36.75" customHeight="1">
      <c r="B47" s="8"/>
      <c r="C47" s="265" t="str">
        <f>G32</f>
        <v>OCASIONAL</v>
      </c>
      <c r="D47" s="266"/>
      <c r="E47" s="60" t="s">
        <v>173</v>
      </c>
      <c r="F47" s="59" t="s">
        <v>177</v>
      </c>
      <c r="G47" s="61">
        <v>3</v>
      </c>
      <c r="H47" s="262"/>
      <c r="I47" s="262"/>
      <c r="J47" s="9"/>
      <c r="K47" s="1"/>
      <c r="L47" s="1"/>
      <c r="M47" s="1"/>
    </row>
    <row r="48" spans="2:13" ht="36.75" customHeight="1">
      <c r="B48" s="8"/>
      <c r="C48" s="265" t="str">
        <f>H32</f>
        <v>FRECUENTE</v>
      </c>
      <c r="D48" s="266"/>
      <c r="E48" s="60" t="s">
        <v>174</v>
      </c>
      <c r="F48" s="59" t="s">
        <v>177</v>
      </c>
      <c r="G48" s="61">
        <v>4</v>
      </c>
      <c r="H48" s="262"/>
      <c r="I48" s="262"/>
      <c r="J48" s="9"/>
      <c r="K48" s="1"/>
      <c r="L48" s="1"/>
      <c r="M48" s="1"/>
    </row>
    <row r="49" spans="2:13" ht="36.75" customHeight="1">
      <c r="B49" s="8"/>
      <c r="C49" s="265" t="str">
        <f>I32</f>
        <v>CONSTANTE</v>
      </c>
      <c r="D49" s="266"/>
      <c r="E49" s="60" t="s">
        <v>175</v>
      </c>
      <c r="F49" s="59" t="s">
        <v>177</v>
      </c>
      <c r="G49" s="61">
        <v>5</v>
      </c>
      <c r="H49" s="262"/>
      <c r="I49" s="262"/>
      <c r="J49" s="9"/>
      <c r="K49" s="1"/>
      <c r="L49" s="1"/>
      <c r="M49" s="1"/>
    </row>
    <row r="50" spans="2:13">
      <c r="B50" s="8"/>
      <c r="C50" s="10"/>
      <c r="D50" s="12"/>
      <c r="E50" s="8"/>
      <c r="F50" s="8"/>
      <c r="G50" s="8"/>
      <c r="H50" s="9"/>
      <c r="I50" s="9"/>
      <c r="J50" s="9"/>
      <c r="K50" s="1"/>
      <c r="L50" s="1"/>
      <c r="M50" s="1"/>
    </row>
    <row r="51" spans="2:13" ht="39.75" customHeight="1">
      <c r="B51" s="8"/>
      <c r="C51" s="263" t="s">
        <v>211</v>
      </c>
      <c r="D51" s="264"/>
      <c r="E51" s="58" t="s">
        <v>19</v>
      </c>
      <c r="F51" s="58" t="s">
        <v>20</v>
      </c>
      <c r="G51" s="58" t="s">
        <v>18</v>
      </c>
      <c r="H51" s="262" t="s">
        <v>2</v>
      </c>
      <c r="I51" s="262"/>
      <c r="J51" s="9"/>
      <c r="K51" s="1"/>
      <c r="L51" s="1"/>
      <c r="M51" s="1"/>
    </row>
    <row r="52" spans="2:13" ht="39.75" customHeight="1">
      <c r="B52" s="8"/>
      <c r="C52" s="265" t="str">
        <f>D21</f>
        <v>INSIGNIFICANTE</v>
      </c>
      <c r="D52" s="266"/>
      <c r="E52" s="67" t="s">
        <v>21</v>
      </c>
      <c r="F52" s="59" t="s">
        <v>182</v>
      </c>
      <c r="G52" s="61">
        <v>1</v>
      </c>
      <c r="H52" s="262"/>
      <c r="I52" s="262"/>
      <c r="J52" s="9"/>
      <c r="K52" s="1"/>
      <c r="L52" s="1"/>
      <c r="M52" s="1"/>
    </row>
    <row r="53" spans="2:13" ht="39.75" customHeight="1">
      <c r="B53" s="8"/>
      <c r="C53" s="265" t="str">
        <f>D23</f>
        <v>MARGINAL</v>
      </c>
      <c r="D53" s="266"/>
      <c r="E53" s="67" t="s">
        <v>22</v>
      </c>
      <c r="F53" s="59" t="s">
        <v>184</v>
      </c>
      <c r="G53" s="61">
        <v>2</v>
      </c>
      <c r="H53" s="262"/>
      <c r="I53" s="262"/>
      <c r="J53" s="9"/>
      <c r="K53" s="1"/>
      <c r="L53" s="1"/>
      <c r="M53" s="1"/>
    </row>
    <row r="54" spans="2:13" ht="39.75" customHeight="1">
      <c r="B54" s="8"/>
      <c r="C54" s="265" t="str">
        <f>D25</f>
        <v>MODERADO</v>
      </c>
      <c r="D54" s="266"/>
      <c r="E54" s="67" t="s">
        <v>23</v>
      </c>
      <c r="F54" s="59" t="s">
        <v>183</v>
      </c>
      <c r="G54" s="61">
        <v>3</v>
      </c>
      <c r="H54" s="262"/>
      <c r="I54" s="262"/>
      <c r="J54" s="9"/>
      <c r="K54" s="1"/>
      <c r="L54" s="1"/>
      <c r="M54" s="1"/>
    </row>
    <row r="55" spans="2:13" ht="39.75" customHeight="1">
      <c r="B55" s="8"/>
      <c r="C55" s="265" t="str">
        <f>D27</f>
        <v>PELIGROSO</v>
      </c>
      <c r="D55" s="266"/>
      <c r="E55" s="67" t="s">
        <v>24</v>
      </c>
      <c r="F55" s="59" t="s">
        <v>185</v>
      </c>
      <c r="G55" s="61">
        <v>4</v>
      </c>
      <c r="H55" s="262"/>
      <c r="I55" s="262"/>
      <c r="J55" s="9"/>
      <c r="K55" s="1"/>
      <c r="L55" s="1"/>
      <c r="M55" s="1"/>
    </row>
    <row r="56" spans="2:13" ht="39.75" customHeight="1">
      <c r="B56" s="8"/>
      <c r="C56" s="265" t="str">
        <f>D29</f>
        <v>CRITICO</v>
      </c>
      <c r="D56" s="266"/>
      <c r="E56" s="67" t="s">
        <v>25</v>
      </c>
      <c r="F56" s="59" t="s">
        <v>186</v>
      </c>
      <c r="G56" s="61">
        <v>5</v>
      </c>
      <c r="H56" s="262"/>
      <c r="I56" s="262"/>
      <c r="J56" s="9"/>
      <c r="K56" s="1"/>
      <c r="L56" s="1"/>
      <c r="M56" s="1"/>
    </row>
    <row r="57" spans="2:13">
      <c r="B57" s="8"/>
      <c r="C57" s="10"/>
      <c r="D57" s="12"/>
      <c r="E57" s="8"/>
      <c r="F57" s="8"/>
      <c r="G57" s="8"/>
      <c r="H57" s="9"/>
      <c r="I57" s="9"/>
      <c r="J57" s="9"/>
      <c r="K57" s="1"/>
      <c r="L57" s="1"/>
      <c r="M57" s="1"/>
    </row>
    <row r="58" spans="2:13">
      <c r="C58" s="1"/>
      <c r="D58" s="13"/>
      <c r="E58" s="1"/>
      <c r="F58" s="1"/>
      <c r="G58" s="1"/>
      <c r="H58" s="1"/>
      <c r="I58" s="1"/>
      <c r="J58" s="1"/>
      <c r="K58" s="1"/>
      <c r="L58" s="1"/>
      <c r="M58" s="1"/>
    </row>
    <row r="59" spans="2:13">
      <c r="C59" s="1"/>
      <c r="D59" s="13"/>
      <c r="E59" s="1"/>
      <c r="F59" s="1"/>
      <c r="G59" s="1"/>
      <c r="H59" s="1"/>
      <c r="I59" s="1"/>
      <c r="J59" s="1"/>
      <c r="K59" s="1"/>
      <c r="L59" s="1"/>
      <c r="M59" s="1"/>
    </row>
    <row r="60" spans="2:13">
      <c r="C60" s="1"/>
      <c r="D60" s="13"/>
      <c r="E60" s="1"/>
      <c r="F60" s="1"/>
      <c r="G60" s="1"/>
      <c r="H60" s="1"/>
      <c r="I60" s="1"/>
      <c r="J60" s="1"/>
      <c r="K60" s="1"/>
      <c r="L60" s="1"/>
      <c r="M60" s="1"/>
    </row>
    <row r="61" spans="2:13">
      <c r="C61" s="1"/>
      <c r="D61" s="13"/>
      <c r="E61" s="1"/>
      <c r="F61" s="1"/>
      <c r="G61" s="1"/>
      <c r="H61" s="1"/>
      <c r="I61" s="1"/>
      <c r="J61" s="1"/>
      <c r="K61" s="1"/>
      <c r="L61" s="1"/>
      <c r="M61" s="1"/>
    </row>
    <row r="62" spans="2:13">
      <c r="C62" s="1"/>
      <c r="D62" s="13"/>
      <c r="E62" s="1"/>
      <c r="F62" s="1"/>
      <c r="G62" s="1"/>
      <c r="H62" s="1"/>
      <c r="I62" s="1"/>
      <c r="J62" s="1"/>
      <c r="K62" s="1"/>
      <c r="L62" s="1"/>
      <c r="M62" s="1"/>
    </row>
    <row r="63" spans="2:13">
      <c r="C63" s="1"/>
      <c r="D63" s="13"/>
      <c r="E63" s="1"/>
      <c r="F63" s="1"/>
      <c r="G63" s="1"/>
      <c r="H63" s="1"/>
      <c r="I63" s="1"/>
      <c r="J63" s="1"/>
      <c r="K63" s="1"/>
      <c r="L63" s="1"/>
      <c r="M63" s="1"/>
    </row>
    <row r="64" spans="2:13">
      <c r="C64" s="1"/>
      <c r="D64" s="13"/>
      <c r="E64" s="1"/>
      <c r="F64" s="1"/>
      <c r="G64" s="1"/>
      <c r="H64" s="1"/>
      <c r="I64" s="1"/>
      <c r="J64" s="1"/>
      <c r="K64" s="1"/>
      <c r="L64" s="1"/>
      <c r="M64" s="1"/>
    </row>
    <row r="65" spans="3:13">
      <c r="C65" s="1"/>
      <c r="D65" s="13"/>
      <c r="E65" s="1"/>
      <c r="F65" s="1"/>
      <c r="G65" s="1"/>
      <c r="H65" s="1"/>
      <c r="I65" s="1"/>
      <c r="J65" s="1"/>
      <c r="K65" s="1"/>
      <c r="L65" s="1"/>
      <c r="M65" s="1"/>
    </row>
    <row r="66" spans="3:13">
      <c r="C66" s="1"/>
      <c r="D66" s="13"/>
      <c r="E66" s="1"/>
      <c r="F66" s="1"/>
      <c r="G66" s="1"/>
      <c r="H66" s="1"/>
      <c r="I66" s="1"/>
      <c r="J66" s="1"/>
      <c r="K66" s="1"/>
      <c r="L66" s="1"/>
      <c r="M66" s="1"/>
    </row>
    <row r="67" spans="3:13">
      <c r="C67" s="1"/>
      <c r="D67" s="13"/>
      <c r="E67" s="1"/>
      <c r="F67" s="1"/>
      <c r="G67" s="1"/>
      <c r="H67" s="1"/>
      <c r="I67" s="1"/>
      <c r="J67" s="1"/>
      <c r="K67" s="1"/>
      <c r="L67" s="1"/>
      <c r="M67" s="1"/>
    </row>
    <row r="68" spans="3:13">
      <c r="C68" s="1"/>
      <c r="D68" s="13"/>
      <c r="E68" s="1"/>
      <c r="F68" s="1"/>
      <c r="G68" s="1"/>
      <c r="H68" s="1"/>
      <c r="I68" s="1"/>
      <c r="J68" s="1"/>
      <c r="K68" s="1"/>
      <c r="L68" s="1"/>
      <c r="M68" s="1"/>
    </row>
    <row r="69" spans="3:13">
      <c r="C69" s="1"/>
      <c r="D69" s="13"/>
      <c r="E69" s="1"/>
      <c r="F69" s="1"/>
      <c r="G69" s="1"/>
      <c r="H69" s="1"/>
      <c r="I69" s="1"/>
      <c r="J69" s="1"/>
      <c r="K69" s="1"/>
      <c r="L69" s="1"/>
      <c r="M69" s="1"/>
    </row>
    <row r="70" spans="3:13">
      <c r="C70" s="1"/>
      <c r="D70" s="13"/>
      <c r="E70" s="1"/>
      <c r="F70" s="1"/>
      <c r="G70" s="1"/>
      <c r="H70" s="1"/>
      <c r="I70" s="1"/>
      <c r="J70" s="1"/>
      <c r="K70" s="1"/>
      <c r="L70" s="1"/>
      <c r="M70" s="1"/>
    </row>
    <row r="71" spans="3:13">
      <c r="C71" s="1"/>
      <c r="D71" s="13"/>
      <c r="E71" s="1"/>
      <c r="F71" s="1"/>
      <c r="G71" s="1"/>
      <c r="H71" s="1"/>
      <c r="I71" s="1"/>
      <c r="J71" s="1"/>
      <c r="K71" s="1"/>
      <c r="L71" s="1"/>
      <c r="M71" s="1"/>
    </row>
    <row r="72" spans="3:13">
      <c r="C72" s="1"/>
      <c r="D72" s="13"/>
      <c r="E72" s="1"/>
      <c r="F72" s="1"/>
      <c r="G72" s="1"/>
      <c r="H72" s="1"/>
      <c r="I72" s="1"/>
      <c r="J72" s="1"/>
      <c r="K72" s="1"/>
      <c r="L72" s="1"/>
      <c r="M72" s="1"/>
    </row>
    <row r="73" spans="3:13">
      <c r="C73" s="1"/>
      <c r="D73" s="13"/>
      <c r="E73" s="1"/>
      <c r="F73" s="1"/>
      <c r="G73" s="1"/>
      <c r="H73" s="1"/>
      <c r="I73" s="1"/>
      <c r="J73" s="1"/>
      <c r="K73" s="1"/>
      <c r="L73" s="1"/>
      <c r="M73" s="1"/>
    </row>
    <row r="74" spans="3:13">
      <c r="C74" s="1"/>
      <c r="D74" s="13"/>
      <c r="E74" s="1"/>
      <c r="F74" s="1"/>
      <c r="G74" s="1"/>
      <c r="H74" s="1"/>
      <c r="I74" s="1"/>
      <c r="J74" s="1"/>
      <c r="K74" s="1"/>
      <c r="L74" s="1"/>
      <c r="M74" s="1"/>
    </row>
    <row r="75" spans="3:13">
      <c r="C75" s="1"/>
      <c r="D75" s="13"/>
      <c r="E75" s="1"/>
      <c r="F75" s="1"/>
      <c r="G75" s="1"/>
      <c r="H75" s="1"/>
      <c r="I75" s="1"/>
      <c r="J75" s="1"/>
      <c r="K75" s="1"/>
      <c r="L75" s="1"/>
      <c r="M75" s="1"/>
    </row>
    <row r="76" spans="3:13">
      <c r="C76" s="1"/>
      <c r="D76" s="13"/>
      <c r="E76" s="1"/>
      <c r="F76" s="1"/>
      <c r="G76" s="1"/>
      <c r="H76" s="1"/>
      <c r="I76" s="1"/>
      <c r="J76" s="1"/>
      <c r="K76" s="1"/>
      <c r="L76" s="1"/>
      <c r="M76" s="1"/>
    </row>
    <row r="77" spans="3:13">
      <c r="C77" s="1"/>
      <c r="D77" s="13"/>
      <c r="E77" s="1"/>
      <c r="F77" s="1"/>
      <c r="G77" s="1"/>
      <c r="H77" s="1"/>
      <c r="I77" s="1"/>
      <c r="J77" s="1"/>
      <c r="K77" s="1"/>
      <c r="L77" s="1"/>
      <c r="M77" s="1"/>
    </row>
    <row r="78" spans="3:13">
      <c r="C78" s="1"/>
      <c r="D78" s="13"/>
      <c r="E78" s="1"/>
      <c r="F78" s="1"/>
      <c r="G78" s="1"/>
      <c r="H78" s="1"/>
      <c r="I78" s="1"/>
      <c r="J78" s="1"/>
      <c r="K78" s="1"/>
      <c r="L78" s="1"/>
      <c r="M78" s="1"/>
    </row>
    <row r="79" spans="3:13">
      <c r="C79" s="1"/>
      <c r="D79" s="13"/>
      <c r="E79" s="1"/>
      <c r="F79" s="1"/>
      <c r="G79" s="1"/>
      <c r="H79" s="1"/>
      <c r="I79" s="1"/>
      <c r="J79" s="1"/>
      <c r="K79" s="1"/>
      <c r="L79" s="1"/>
      <c r="M79" s="1"/>
    </row>
    <row r="80" spans="3:13">
      <c r="C80" s="1"/>
      <c r="D80" s="13"/>
      <c r="E80" s="1"/>
      <c r="F80" s="1"/>
      <c r="G80" s="1"/>
      <c r="H80" s="1"/>
      <c r="I80" s="1"/>
      <c r="J80" s="1"/>
      <c r="K80" s="1"/>
      <c r="L80" s="1"/>
      <c r="M80" s="1"/>
    </row>
    <row r="81" spans="3:13">
      <c r="C81" s="1"/>
      <c r="D81" s="13"/>
      <c r="E81" s="1"/>
      <c r="F81" s="1"/>
      <c r="G81" s="1"/>
      <c r="H81" s="1"/>
      <c r="I81" s="1"/>
      <c r="J81" s="1"/>
      <c r="K81" s="1"/>
      <c r="L81" s="1"/>
      <c r="M81" s="1"/>
    </row>
    <row r="82" spans="3:13">
      <c r="C82" s="1"/>
      <c r="D82" s="13"/>
      <c r="E82" s="1"/>
      <c r="F82" s="1"/>
      <c r="G82" s="1"/>
      <c r="H82" s="1"/>
      <c r="I82" s="1"/>
      <c r="J82" s="1"/>
      <c r="K82" s="1"/>
      <c r="L82" s="1"/>
      <c r="M82" s="1"/>
    </row>
    <row r="83" spans="3:13">
      <c r="C83" s="1"/>
      <c r="D83" s="13"/>
      <c r="E83" s="1"/>
      <c r="F83" s="1"/>
      <c r="G83" s="1"/>
      <c r="H83" s="1"/>
      <c r="I83" s="1"/>
      <c r="J83" s="1"/>
      <c r="K83" s="1"/>
      <c r="L83" s="1"/>
      <c r="M83" s="1"/>
    </row>
    <row r="84" spans="3:13">
      <c r="C84" s="1"/>
      <c r="D84" s="13"/>
      <c r="E84" s="1"/>
      <c r="F84" s="1"/>
      <c r="G84" s="1"/>
      <c r="H84" s="1"/>
      <c r="I84" s="1"/>
      <c r="J84" s="1"/>
      <c r="K84" s="1"/>
      <c r="L84" s="1"/>
      <c r="M84" s="1"/>
    </row>
    <row r="85" spans="3:13">
      <c r="C85" s="1"/>
      <c r="D85" s="13"/>
      <c r="E85" s="1"/>
      <c r="F85" s="1"/>
      <c r="G85" s="1"/>
      <c r="H85" s="1"/>
      <c r="I85" s="1"/>
      <c r="J85" s="1"/>
      <c r="K85" s="1"/>
      <c r="L85" s="1"/>
      <c r="M85" s="1"/>
    </row>
    <row r="86" spans="3:13">
      <c r="C86" s="1"/>
      <c r="D86" s="13"/>
      <c r="E86" s="1"/>
      <c r="F86" s="1"/>
      <c r="G86" s="1"/>
      <c r="H86" s="1"/>
      <c r="I86" s="1"/>
      <c r="J86" s="1"/>
      <c r="K86" s="1"/>
      <c r="L86" s="1"/>
      <c r="M86" s="1"/>
    </row>
    <row r="87" spans="3:13">
      <c r="C87" s="1"/>
      <c r="D87" s="13"/>
      <c r="E87" s="1"/>
      <c r="F87" s="1"/>
      <c r="G87" s="1"/>
      <c r="H87" s="1"/>
      <c r="I87" s="1"/>
      <c r="J87" s="1"/>
      <c r="K87" s="1"/>
      <c r="L87" s="1"/>
      <c r="M87" s="1"/>
    </row>
    <row r="88" spans="3:13">
      <c r="C88" s="1"/>
      <c r="D88" s="13"/>
      <c r="E88" s="1"/>
      <c r="F88" s="1"/>
      <c r="G88" s="1"/>
      <c r="H88" s="1"/>
      <c r="I88" s="1"/>
      <c r="J88" s="1"/>
      <c r="K88" s="1"/>
      <c r="L88" s="1"/>
      <c r="M88" s="1"/>
    </row>
    <row r="89" spans="3:13">
      <c r="C89" s="1"/>
      <c r="D89" s="13"/>
      <c r="E89" s="1"/>
      <c r="F89" s="1"/>
      <c r="G89" s="1"/>
      <c r="H89" s="1"/>
      <c r="I89" s="1"/>
      <c r="J89" s="1"/>
      <c r="K89" s="1"/>
      <c r="L89" s="1"/>
      <c r="M89" s="1"/>
    </row>
    <row r="90" spans="3:13">
      <c r="C90" s="1"/>
      <c r="D90" s="13"/>
      <c r="E90" s="1"/>
      <c r="F90" s="1"/>
      <c r="G90" s="1"/>
      <c r="H90" s="1"/>
      <c r="I90" s="1"/>
      <c r="J90" s="1"/>
      <c r="K90" s="1"/>
      <c r="L90" s="1"/>
      <c r="M90" s="1"/>
    </row>
    <row r="91" spans="3:13">
      <c r="C91" s="1"/>
      <c r="D91" s="13"/>
      <c r="E91" s="1"/>
      <c r="F91" s="1"/>
      <c r="G91" s="1"/>
      <c r="H91" s="1"/>
      <c r="I91" s="1"/>
      <c r="J91" s="1"/>
      <c r="K91" s="1"/>
      <c r="L91" s="1"/>
      <c r="M91" s="1"/>
    </row>
    <row r="92" spans="3:13">
      <c r="C92" s="1"/>
      <c r="D92" s="13"/>
      <c r="E92" s="1"/>
      <c r="F92" s="1"/>
      <c r="G92" s="1"/>
      <c r="H92" s="1"/>
      <c r="I92" s="1"/>
      <c r="J92" s="1"/>
      <c r="K92" s="1"/>
      <c r="L92" s="1"/>
      <c r="M92" s="1"/>
    </row>
    <row r="93" spans="3:13">
      <c r="C93" s="1"/>
      <c r="D93" s="13"/>
      <c r="E93" s="1"/>
      <c r="F93" s="1"/>
      <c r="G93" s="1"/>
      <c r="H93" s="1"/>
      <c r="I93" s="1"/>
      <c r="J93" s="1"/>
      <c r="K93" s="1"/>
      <c r="L93" s="1"/>
      <c r="M93" s="1"/>
    </row>
    <row r="94" spans="3:13">
      <c r="C94" s="1"/>
      <c r="D94" s="13"/>
      <c r="E94" s="1"/>
      <c r="F94" s="1"/>
      <c r="G94" s="1"/>
      <c r="H94" s="1"/>
      <c r="I94" s="1"/>
      <c r="J94" s="1"/>
      <c r="K94" s="1"/>
      <c r="L94" s="1"/>
      <c r="M94" s="1"/>
    </row>
    <row r="95" spans="3:13">
      <c r="C95" s="1"/>
      <c r="D95" s="13"/>
      <c r="E95" s="1"/>
      <c r="F95" s="1"/>
      <c r="G95" s="1"/>
      <c r="H95" s="1"/>
      <c r="I95" s="1"/>
      <c r="J95" s="1"/>
      <c r="K95" s="1"/>
      <c r="L95" s="1"/>
      <c r="M95" s="1"/>
    </row>
    <row r="96" spans="3:13">
      <c r="C96" s="1"/>
      <c r="D96" s="13"/>
      <c r="E96" s="1"/>
      <c r="F96" s="1"/>
      <c r="G96" s="1"/>
      <c r="H96" s="1"/>
      <c r="I96" s="1"/>
      <c r="J96" s="1"/>
      <c r="K96" s="1"/>
      <c r="L96" s="1"/>
      <c r="M96" s="1"/>
    </row>
    <row r="97" spans="3:13">
      <c r="C97" s="1"/>
      <c r="D97" s="13"/>
      <c r="E97" s="1"/>
      <c r="F97" s="1"/>
      <c r="G97" s="1"/>
      <c r="H97" s="1"/>
      <c r="I97" s="1"/>
      <c r="J97" s="1"/>
      <c r="K97" s="1"/>
      <c r="L97" s="1"/>
      <c r="M97" s="1"/>
    </row>
    <row r="98" spans="3:13">
      <c r="C98" s="1"/>
      <c r="D98" s="13"/>
      <c r="E98" s="1"/>
      <c r="F98" s="1"/>
      <c r="G98" s="1"/>
      <c r="H98" s="1"/>
      <c r="I98" s="1"/>
      <c r="J98" s="1"/>
      <c r="K98" s="1"/>
      <c r="L98" s="1"/>
      <c r="M98" s="1"/>
    </row>
    <row r="99" spans="3:13">
      <c r="C99" s="1"/>
      <c r="D99" s="13"/>
      <c r="E99" s="1"/>
      <c r="F99" s="1"/>
      <c r="G99" s="1"/>
      <c r="H99" s="1"/>
      <c r="I99" s="1"/>
      <c r="J99" s="1"/>
      <c r="K99" s="1"/>
      <c r="L99" s="1"/>
      <c r="M99" s="1"/>
    </row>
    <row r="100" spans="3:13">
      <c r="C100" s="1"/>
      <c r="D100" s="13"/>
      <c r="E100" s="1"/>
      <c r="F100" s="1"/>
      <c r="G100" s="1"/>
      <c r="H100" s="1"/>
      <c r="I100" s="1"/>
      <c r="J100" s="1"/>
      <c r="K100" s="1"/>
      <c r="L100" s="1"/>
      <c r="M100" s="1"/>
    </row>
    <row r="101" spans="3:13">
      <c r="C101" s="1"/>
      <c r="D101" s="13"/>
      <c r="E101" s="1"/>
      <c r="F101" s="1"/>
      <c r="G101" s="1"/>
      <c r="H101" s="1"/>
      <c r="I101" s="1"/>
      <c r="J101" s="1"/>
      <c r="K101" s="1"/>
      <c r="L101" s="1"/>
      <c r="M101" s="1"/>
    </row>
    <row r="102" spans="3:13">
      <c r="C102" s="1"/>
      <c r="D102" s="13"/>
      <c r="E102" s="1"/>
      <c r="F102" s="1"/>
      <c r="G102" s="1"/>
      <c r="H102" s="1"/>
      <c r="I102" s="1"/>
      <c r="J102" s="1"/>
      <c r="K102" s="1"/>
      <c r="L102" s="1"/>
      <c r="M102" s="1"/>
    </row>
    <row r="103" spans="3:13">
      <c r="C103" s="1"/>
      <c r="D103" s="13"/>
      <c r="E103" s="1"/>
      <c r="F103" s="1"/>
      <c r="G103" s="1"/>
      <c r="H103" s="1"/>
      <c r="I103" s="1"/>
      <c r="J103" s="1"/>
      <c r="K103" s="1"/>
      <c r="L103" s="1"/>
      <c r="M103" s="1"/>
    </row>
    <row r="104" spans="3:13">
      <c r="C104" s="1"/>
      <c r="D104" s="13"/>
      <c r="E104" s="1"/>
      <c r="F104" s="1"/>
      <c r="G104" s="1"/>
      <c r="H104" s="1"/>
      <c r="I104" s="1"/>
      <c r="J104" s="1"/>
      <c r="K104" s="1"/>
      <c r="L104" s="1"/>
      <c r="M104" s="1"/>
    </row>
    <row r="105" spans="3:13">
      <c r="C105" s="1"/>
      <c r="D105" s="13"/>
      <c r="E105" s="1"/>
      <c r="F105" s="1"/>
      <c r="G105" s="1"/>
      <c r="H105" s="1"/>
      <c r="I105" s="1"/>
      <c r="J105" s="1"/>
      <c r="K105" s="1"/>
      <c r="L105" s="1"/>
      <c r="M105" s="1"/>
    </row>
    <row r="106" spans="3:13">
      <c r="C106" s="1"/>
      <c r="D106" s="13"/>
      <c r="E106" s="1"/>
      <c r="F106" s="1"/>
      <c r="G106" s="1"/>
      <c r="H106" s="1"/>
      <c r="I106" s="1"/>
      <c r="J106" s="1"/>
      <c r="K106" s="1"/>
      <c r="L106" s="1"/>
      <c r="M106" s="1"/>
    </row>
    <row r="107" spans="3:13">
      <c r="C107" s="1"/>
      <c r="D107" s="13"/>
      <c r="E107" s="1"/>
      <c r="F107" s="1"/>
      <c r="G107" s="1"/>
      <c r="H107" s="1"/>
      <c r="I107" s="1"/>
      <c r="J107" s="1"/>
      <c r="K107" s="1"/>
      <c r="L107" s="1"/>
      <c r="M107" s="1"/>
    </row>
    <row r="108" spans="3:13">
      <c r="C108" s="1"/>
      <c r="D108" s="13"/>
      <c r="E108" s="1"/>
      <c r="F108" s="1"/>
      <c r="G108" s="1"/>
      <c r="H108" s="1"/>
      <c r="I108" s="1"/>
      <c r="J108" s="1"/>
      <c r="K108" s="1"/>
      <c r="L108" s="1"/>
      <c r="M108" s="1"/>
    </row>
    <row r="109" spans="3:13">
      <c r="C109" s="1"/>
      <c r="D109" s="13"/>
      <c r="E109" s="1"/>
      <c r="F109" s="1"/>
      <c r="G109" s="1"/>
      <c r="H109" s="1"/>
      <c r="I109" s="1"/>
      <c r="J109" s="1"/>
      <c r="K109" s="1"/>
      <c r="L109" s="1"/>
      <c r="M109" s="1"/>
    </row>
    <row r="110" spans="3:13">
      <c r="C110" s="1"/>
      <c r="D110" s="13"/>
      <c r="E110" s="1"/>
      <c r="F110" s="1"/>
      <c r="G110" s="1"/>
      <c r="H110" s="1"/>
      <c r="I110" s="1"/>
      <c r="J110" s="1"/>
      <c r="K110" s="1"/>
      <c r="L110" s="1"/>
      <c r="M110" s="1"/>
    </row>
    <row r="111" spans="3:13">
      <c r="C111" s="1"/>
      <c r="D111" s="13"/>
      <c r="E111" s="1"/>
      <c r="F111" s="1"/>
      <c r="G111" s="1"/>
      <c r="H111" s="1"/>
      <c r="I111" s="1"/>
      <c r="J111" s="1"/>
      <c r="K111" s="1"/>
      <c r="L111" s="1"/>
      <c r="M111" s="1"/>
    </row>
    <row r="112" spans="3:13">
      <c r="C112" s="1"/>
      <c r="D112" s="13"/>
      <c r="E112" s="1"/>
      <c r="F112" s="1"/>
      <c r="G112" s="1"/>
      <c r="H112" s="1"/>
      <c r="I112" s="1"/>
      <c r="J112" s="1"/>
      <c r="K112" s="1"/>
      <c r="L112" s="1"/>
      <c r="M112" s="1"/>
    </row>
    <row r="113" spans="3:13">
      <c r="C113" s="1"/>
      <c r="D113" s="13"/>
      <c r="E113" s="1"/>
      <c r="F113" s="1"/>
      <c r="G113" s="1"/>
      <c r="H113" s="1"/>
      <c r="I113" s="1"/>
      <c r="J113" s="1"/>
      <c r="K113" s="1"/>
      <c r="L113" s="1"/>
      <c r="M113" s="1"/>
    </row>
    <row r="114" spans="3:13">
      <c r="C114" s="1"/>
      <c r="D114" s="13"/>
      <c r="E114" s="1"/>
      <c r="F114" s="1"/>
      <c r="G114" s="1"/>
      <c r="H114" s="1"/>
      <c r="I114" s="1"/>
      <c r="J114" s="1"/>
      <c r="K114" s="1"/>
      <c r="L114" s="1"/>
      <c r="M114" s="1"/>
    </row>
    <row r="115" spans="3:13">
      <c r="C115" s="1"/>
      <c r="D115" s="13"/>
      <c r="E115" s="1"/>
      <c r="F115" s="1"/>
      <c r="G115" s="1"/>
      <c r="H115" s="1"/>
      <c r="I115" s="1"/>
      <c r="J115" s="1"/>
      <c r="K115" s="1"/>
      <c r="L115" s="1"/>
      <c r="M115" s="1"/>
    </row>
    <row r="116" spans="3:13">
      <c r="C116" s="1"/>
      <c r="D116" s="13"/>
      <c r="E116" s="1"/>
      <c r="F116" s="1"/>
      <c r="G116" s="1"/>
      <c r="H116" s="1"/>
      <c r="I116" s="1"/>
      <c r="J116" s="1"/>
      <c r="K116" s="1"/>
      <c r="L116" s="1"/>
      <c r="M116" s="1"/>
    </row>
    <row r="117" spans="3:13">
      <c r="C117" s="1"/>
      <c r="D117" s="13"/>
      <c r="E117" s="1"/>
      <c r="F117" s="1"/>
      <c r="G117" s="1"/>
      <c r="H117" s="1"/>
      <c r="I117" s="1"/>
      <c r="J117" s="1"/>
      <c r="K117" s="1"/>
      <c r="L117" s="1"/>
      <c r="M117" s="1"/>
    </row>
    <row r="118" spans="3:13">
      <c r="C118" s="1"/>
      <c r="D118" s="13"/>
      <c r="E118" s="1"/>
      <c r="F118" s="1"/>
      <c r="G118" s="1"/>
      <c r="H118" s="1"/>
      <c r="I118" s="1"/>
      <c r="J118" s="1"/>
      <c r="K118" s="1"/>
      <c r="L118" s="1"/>
      <c r="M118" s="1"/>
    </row>
    <row r="119" spans="3:13">
      <c r="C119" s="1"/>
      <c r="D119" s="13"/>
      <c r="E119" s="1"/>
      <c r="F119" s="1"/>
      <c r="G119" s="1"/>
      <c r="H119" s="1"/>
      <c r="I119" s="1"/>
      <c r="J119" s="1"/>
      <c r="K119" s="1"/>
      <c r="L119" s="1"/>
      <c r="M119" s="1"/>
    </row>
    <row r="120" spans="3:13">
      <c r="C120" s="1"/>
      <c r="D120" s="13"/>
      <c r="E120" s="1"/>
      <c r="F120" s="1"/>
      <c r="G120" s="1"/>
      <c r="H120" s="1"/>
      <c r="I120" s="1"/>
      <c r="J120" s="1"/>
      <c r="K120" s="1"/>
      <c r="L120" s="1"/>
      <c r="M120" s="1"/>
    </row>
    <row r="121" spans="3:13">
      <c r="C121" s="1"/>
      <c r="D121" s="13"/>
      <c r="E121" s="1"/>
      <c r="F121" s="1"/>
      <c r="G121" s="1"/>
      <c r="H121" s="1"/>
      <c r="I121" s="1"/>
      <c r="J121" s="1"/>
      <c r="K121" s="1"/>
      <c r="L121" s="1"/>
      <c r="M121" s="1"/>
    </row>
    <row r="122" spans="3:13">
      <c r="C122" s="1"/>
      <c r="D122" s="13"/>
      <c r="E122" s="1"/>
      <c r="F122" s="1"/>
      <c r="G122" s="1"/>
      <c r="H122" s="1"/>
      <c r="I122" s="1"/>
      <c r="J122" s="1"/>
      <c r="K122" s="1"/>
      <c r="L122" s="1"/>
      <c r="M122" s="1"/>
    </row>
    <row r="123" spans="3:13">
      <c r="C123" s="1"/>
      <c r="D123" s="13"/>
      <c r="E123" s="1"/>
      <c r="F123" s="1"/>
      <c r="G123" s="1"/>
      <c r="H123" s="1"/>
      <c r="I123" s="1"/>
      <c r="J123" s="1"/>
      <c r="K123" s="1"/>
      <c r="L123" s="1"/>
      <c r="M123" s="1"/>
    </row>
    <row r="124" spans="3:13">
      <c r="C124" s="1"/>
      <c r="D124" s="13"/>
      <c r="E124" s="1"/>
      <c r="F124" s="1"/>
      <c r="G124" s="1"/>
      <c r="H124" s="1"/>
      <c r="I124" s="1"/>
      <c r="J124" s="1"/>
      <c r="K124" s="1"/>
      <c r="L124" s="1"/>
      <c r="M124" s="1"/>
    </row>
    <row r="125" spans="3:13">
      <c r="C125" s="1"/>
      <c r="D125" s="13"/>
      <c r="E125" s="1"/>
      <c r="F125" s="1"/>
      <c r="G125" s="1"/>
      <c r="H125" s="1"/>
      <c r="I125" s="1"/>
      <c r="J125" s="1"/>
      <c r="K125" s="1"/>
      <c r="L125" s="1"/>
      <c r="M125" s="1"/>
    </row>
    <row r="126" spans="3:13">
      <c r="C126" s="1"/>
      <c r="D126" s="13"/>
      <c r="E126" s="1"/>
      <c r="F126" s="1"/>
      <c r="G126" s="1"/>
      <c r="H126" s="1"/>
      <c r="I126" s="1"/>
      <c r="J126" s="1"/>
      <c r="K126" s="1"/>
      <c r="L126" s="1"/>
      <c r="M126" s="1"/>
    </row>
    <row r="127" spans="3:13">
      <c r="C127" s="1"/>
      <c r="D127" s="13"/>
      <c r="E127" s="1"/>
      <c r="F127" s="1"/>
      <c r="G127" s="1"/>
      <c r="H127" s="1"/>
      <c r="I127" s="1"/>
      <c r="J127" s="1"/>
      <c r="K127" s="1"/>
      <c r="L127" s="1"/>
      <c r="M127" s="1"/>
    </row>
    <row r="128" spans="3:13">
      <c r="C128" s="1"/>
      <c r="D128" s="13"/>
      <c r="E128" s="1"/>
      <c r="F128" s="1"/>
      <c r="G128" s="1"/>
      <c r="H128" s="1"/>
      <c r="I128" s="1"/>
      <c r="J128" s="1"/>
      <c r="K128" s="1"/>
      <c r="L128" s="1"/>
      <c r="M128" s="1"/>
    </row>
    <row r="129" spans="3:13">
      <c r="C129" s="1"/>
      <c r="D129" s="13"/>
      <c r="E129" s="1"/>
      <c r="F129" s="1"/>
      <c r="G129" s="1"/>
      <c r="H129" s="1"/>
      <c r="I129" s="1"/>
      <c r="J129" s="1"/>
      <c r="K129" s="1"/>
      <c r="L129" s="1"/>
      <c r="M129" s="1"/>
    </row>
    <row r="130" spans="3:13">
      <c r="C130" s="1"/>
      <c r="D130" s="13"/>
      <c r="E130" s="1"/>
      <c r="F130" s="1"/>
      <c r="G130" s="1"/>
      <c r="H130" s="1"/>
      <c r="I130" s="1"/>
      <c r="J130" s="1"/>
      <c r="K130" s="1"/>
      <c r="L130" s="1"/>
      <c r="M130" s="1"/>
    </row>
    <row r="131" spans="3:13">
      <c r="C131" s="1"/>
      <c r="D131" s="13"/>
      <c r="E131" s="1"/>
      <c r="F131" s="1"/>
      <c r="G131" s="1"/>
      <c r="H131" s="1"/>
      <c r="I131" s="1"/>
      <c r="J131" s="1"/>
      <c r="K131" s="1"/>
      <c r="L131" s="1"/>
      <c r="M131" s="1"/>
    </row>
    <row r="132" spans="3:13">
      <c r="C132" s="1"/>
      <c r="D132" s="13"/>
      <c r="E132" s="1"/>
      <c r="F132" s="1"/>
      <c r="G132" s="1"/>
      <c r="H132" s="1"/>
      <c r="I132" s="1"/>
      <c r="J132" s="1"/>
      <c r="K132" s="1"/>
      <c r="L132" s="1"/>
      <c r="M132" s="1"/>
    </row>
    <row r="133" spans="3:13">
      <c r="C133" s="1"/>
      <c r="D133" s="13"/>
      <c r="E133" s="1"/>
      <c r="F133" s="1"/>
      <c r="G133" s="1"/>
      <c r="H133" s="1"/>
      <c r="I133" s="1"/>
      <c r="J133" s="1"/>
      <c r="K133" s="1"/>
      <c r="L133" s="1"/>
      <c r="M133" s="1"/>
    </row>
    <row r="134" spans="3:13">
      <c r="C134" s="1"/>
      <c r="D134" s="13"/>
      <c r="E134" s="1"/>
      <c r="F134" s="1"/>
      <c r="G134" s="1"/>
      <c r="H134" s="1"/>
      <c r="I134" s="1"/>
      <c r="J134" s="1"/>
      <c r="K134" s="1"/>
      <c r="L134" s="1"/>
      <c r="M134" s="1"/>
    </row>
    <row r="135" spans="3:13">
      <c r="C135" s="1"/>
      <c r="D135" s="13"/>
      <c r="E135" s="1"/>
      <c r="F135" s="1"/>
      <c r="G135" s="1"/>
      <c r="H135" s="1"/>
      <c r="I135" s="1"/>
      <c r="J135" s="1"/>
      <c r="K135" s="1"/>
      <c r="L135" s="1"/>
      <c r="M135" s="1"/>
    </row>
    <row r="136" spans="3:13">
      <c r="C136" s="1"/>
      <c r="D136" s="13"/>
      <c r="E136" s="1"/>
      <c r="F136" s="1"/>
      <c r="G136" s="1"/>
      <c r="H136" s="1"/>
      <c r="I136" s="1"/>
      <c r="J136" s="1"/>
      <c r="K136" s="1"/>
      <c r="L136" s="1"/>
      <c r="M136" s="1"/>
    </row>
    <row r="137" spans="3:13">
      <c r="C137" s="1"/>
      <c r="D137" s="13"/>
      <c r="E137" s="1"/>
      <c r="F137" s="1"/>
      <c r="G137" s="1"/>
      <c r="H137" s="1"/>
      <c r="I137" s="1"/>
      <c r="J137" s="1"/>
      <c r="K137" s="1"/>
      <c r="L137" s="1"/>
      <c r="M137" s="1"/>
    </row>
    <row r="138" spans="3:13">
      <c r="C138" s="1"/>
      <c r="D138" s="13"/>
      <c r="E138" s="1"/>
      <c r="F138" s="1"/>
      <c r="G138" s="1"/>
      <c r="H138" s="1"/>
      <c r="I138" s="1"/>
      <c r="J138" s="1"/>
      <c r="K138" s="1"/>
      <c r="L138" s="1"/>
      <c r="M138" s="1"/>
    </row>
    <row r="139" spans="3:13">
      <c r="C139" s="1"/>
      <c r="D139" s="13"/>
      <c r="E139" s="1"/>
      <c r="F139" s="1"/>
      <c r="G139" s="1"/>
      <c r="H139" s="1"/>
      <c r="I139" s="1"/>
      <c r="J139" s="1"/>
      <c r="K139" s="1"/>
      <c r="L139" s="1"/>
      <c r="M139" s="1"/>
    </row>
    <row r="140" spans="3:13">
      <c r="C140" s="1"/>
      <c r="D140" s="13"/>
      <c r="E140" s="1"/>
      <c r="F140" s="1"/>
      <c r="G140" s="1"/>
      <c r="H140" s="1"/>
      <c r="I140" s="1"/>
      <c r="J140" s="1"/>
      <c r="K140" s="1"/>
      <c r="L140" s="1"/>
      <c r="M140" s="1"/>
    </row>
    <row r="141" spans="3:13">
      <c r="C141" s="1"/>
      <c r="D141" s="13"/>
      <c r="E141" s="1"/>
      <c r="F141" s="1"/>
      <c r="G141" s="1"/>
      <c r="H141" s="1"/>
      <c r="I141" s="1"/>
      <c r="J141" s="1"/>
      <c r="K141" s="1"/>
      <c r="L141" s="1"/>
      <c r="M141" s="1"/>
    </row>
    <row r="142" spans="3:13">
      <c r="C142" s="1"/>
      <c r="D142" s="13"/>
      <c r="E142" s="1"/>
      <c r="F142" s="1"/>
      <c r="G142" s="1"/>
      <c r="H142" s="1"/>
      <c r="I142" s="1"/>
      <c r="J142" s="1"/>
      <c r="K142" s="1"/>
      <c r="L142" s="1"/>
      <c r="M142" s="1"/>
    </row>
    <row r="143" spans="3:13">
      <c r="C143" s="1"/>
      <c r="D143" s="13"/>
      <c r="E143" s="1"/>
      <c r="F143" s="1"/>
      <c r="G143" s="1"/>
      <c r="H143" s="1"/>
      <c r="I143" s="1"/>
      <c r="J143" s="1"/>
      <c r="K143" s="1"/>
      <c r="L143" s="1"/>
      <c r="M143" s="1"/>
    </row>
    <row r="144" spans="3:13">
      <c r="C144" s="1"/>
      <c r="D144" s="13"/>
      <c r="E144" s="1"/>
      <c r="F144" s="1"/>
      <c r="G144" s="1"/>
      <c r="H144" s="1"/>
      <c r="I144" s="1"/>
      <c r="J144" s="1"/>
      <c r="K144" s="1"/>
      <c r="L144" s="1"/>
      <c r="M144" s="1"/>
    </row>
    <row r="145" spans="3:13">
      <c r="C145" s="1"/>
      <c r="D145" s="13"/>
      <c r="E145" s="1"/>
      <c r="F145" s="1"/>
      <c r="G145" s="1"/>
      <c r="H145" s="1"/>
      <c r="I145" s="1"/>
      <c r="J145" s="1"/>
      <c r="K145" s="1"/>
      <c r="L145" s="1"/>
      <c r="M145" s="1"/>
    </row>
    <row r="146" spans="3:13">
      <c r="C146" s="1"/>
      <c r="D146" s="13"/>
      <c r="E146" s="1"/>
      <c r="F146" s="1"/>
      <c r="G146" s="1"/>
      <c r="H146" s="1"/>
      <c r="I146" s="1"/>
      <c r="J146" s="1"/>
      <c r="K146" s="1"/>
      <c r="L146" s="1"/>
      <c r="M146" s="1"/>
    </row>
    <row r="147" spans="3:13">
      <c r="C147" s="1"/>
      <c r="D147" s="13"/>
      <c r="E147" s="1"/>
      <c r="F147" s="1"/>
      <c r="G147" s="1"/>
      <c r="H147" s="1"/>
      <c r="I147" s="1"/>
      <c r="J147" s="1"/>
      <c r="K147" s="1"/>
      <c r="L147" s="1"/>
      <c r="M147" s="1"/>
    </row>
    <row r="148" spans="3:13">
      <c r="C148" s="1"/>
      <c r="D148" s="13"/>
      <c r="E148" s="1"/>
      <c r="F148" s="1"/>
      <c r="G148" s="1"/>
      <c r="H148" s="1"/>
      <c r="I148" s="1"/>
      <c r="J148" s="1"/>
      <c r="K148" s="1"/>
      <c r="L148" s="1"/>
      <c r="M148" s="1"/>
    </row>
    <row r="149" spans="3:13">
      <c r="C149" s="1"/>
      <c r="D149" s="13"/>
      <c r="E149" s="1"/>
      <c r="F149" s="1"/>
      <c r="G149" s="1"/>
      <c r="H149" s="1"/>
      <c r="I149" s="1"/>
      <c r="J149" s="1"/>
      <c r="K149" s="1"/>
      <c r="L149" s="1"/>
      <c r="M149" s="1"/>
    </row>
    <row r="150" spans="3:13">
      <c r="C150" s="1"/>
      <c r="D150" s="13"/>
      <c r="E150" s="1"/>
      <c r="F150" s="1"/>
      <c r="G150" s="1"/>
      <c r="H150" s="1"/>
      <c r="I150" s="1"/>
      <c r="J150" s="1"/>
      <c r="K150" s="1"/>
      <c r="L150" s="1"/>
      <c r="M150" s="1"/>
    </row>
    <row r="151" spans="3:13">
      <c r="C151" s="1"/>
      <c r="D151" s="13"/>
      <c r="E151" s="1"/>
      <c r="F151" s="1"/>
      <c r="G151" s="1"/>
      <c r="H151" s="1"/>
      <c r="I151" s="1"/>
      <c r="J151" s="1"/>
      <c r="K151" s="1"/>
      <c r="L151" s="1"/>
      <c r="M151" s="1"/>
    </row>
    <row r="152" spans="3:13">
      <c r="C152" s="1"/>
      <c r="D152" s="13"/>
      <c r="E152" s="1"/>
      <c r="F152" s="1"/>
      <c r="G152" s="1"/>
      <c r="H152" s="1"/>
      <c r="I152" s="1"/>
      <c r="J152" s="1"/>
      <c r="K152" s="1"/>
      <c r="L152" s="1"/>
      <c r="M152" s="1"/>
    </row>
    <row r="153" spans="3:13">
      <c r="C153" s="1"/>
      <c r="D153" s="13"/>
      <c r="E153" s="1"/>
      <c r="F153" s="1"/>
      <c r="G153" s="1"/>
      <c r="H153" s="1"/>
      <c r="I153" s="1"/>
      <c r="J153" s="1"/>
      <c r="K153" s="1"/>
      <c r="L153" s="1"/>
      <c r="M153" s="1"/>
    </row>
    <row r="154" spans="3:13">
      <c r="C154" s="1"/>
      <c r="D154" s="13"/>
      <c r="E154" s="1"/>
      <c r="F154" s="1"/>
      <c r="G154" s="1"/>
      <c r="H154" s="1"/>
      <c r="I154" s="1"/>
      <c r="J154" s="1"/>
      <c r="K154" s="1"/>
      <c r="L154" s="1"/>
      <c r="M154" s="1"/>
    </row>
    <row r="155" spans="3:13">
      <c r="C155" s="1"/>
      <c r="D155" s="13"/>
      <c r="E155" s="1"/>
      <c r="F155" s="1"/>
      <c r="G155" s="1"/>
      <c r="H155" s="1"/>
      <c r="I155" s="1"/>
      <c r="J155" s="1"/>
      <c r="K155" s="1"/>
      <c r="L155" s="1"/>
      <c r="M155" s="1"/>
    </row>
    <row r="156" spans="3:13">
      <c r="C156" s="1"/>
      <c r="D156" s="13"/>
      <c r="E156" s="1"/>
      <c r="F156" s="1"/>
      <c r="G156" s="1"/>
      <c r="H156" s="1"/>
      <c r="I156" s="1"/>
      <c r="J156" s="1"/>
      <c r="K156" s="1"/>
      <c r="L156" s="1"/>
      <c r="M156" s="1"/>
    </row>
    <row r="157" spans="3:13">
      <c r="C157" s="1"/>
      <c r="D157" s="13"/>
      <c r="E157" s="1"/>
      <c r="F157" s="1"/>
      <c r="G157" s="1"/>
      <c r="H157" s="1"/>
      <c r="I157" s="1"/>
      <c r="J157" s="1"/>
      <c r="K157" s="1"/>
      <c r="L157" s="1"/>
      <c r="M157" s="1"/>
    </row>
    <row r="158" spans="3:13">
      <c r="C158" s="1"/>
      <c r="D158" s="13"/>
      <c r="E158" s="1"/>
      <c r="F158" s="1"/>
      <c r="G158" s="1"/>
      <c r="H158" s="1"/>
      <c r="I158" s="1"/>
      <c r="J158" s="1"/>
      <c r="K158" s="1"/>
      <c r="L158" s="1"/>
      <c r="M158" s="1"/>
    </row>
    <row r="159" spans="3:13">
      <c r="C159" s="1"/>
      <c r="D159" s="13"/>
      <c r="E159" s="1"/>
      <c r="F159" s="1"/>
      <c r="G159" s="1"/>
      <c r="H159" s="1"/>
      <c r="I159" s="1"/>
      <c r="J159" s="1"/>
      <c r="K159" s="1"/>
      <c r="L159" s="1"/>
      <c r="M159" s="1"/>
    </row>
    <row r="160" spans="3:13">
      <c r="C160" s="1"/>
      <c r="D160" s="13"/>
      <c r="E160" s="1"/>
      <c r="F160" s="1"/>
      <c r="G160" s="1"/>
      <c r="H160" s="1"/>
      <c r="I160" s="1"/>
      <c r="J160" s="1"/>
      <c r="K160" s="1"/>
      <c r="L160" s="1"/>
      <c r="M160" s="1"/>
    </row>
    <row r="161" spans="3:13">
      <c r="C161" s="1"/>
      <c r="D161" s="13"/>
      <c r="E161" s="1"/>
      <c r="F161" s="1"/>
      <c r="G161" s="1"/>
      <c r="H161" s="1"/>
      <c r="I161" s="1"/>
      <c r="J161" s="1"/>
      <c r="K161" s="1"/>
      <c r="L161" s="1"/>
      <c r="M161" s="1"/>
    </row>
    <row r="162" spans="3:13">
      <c r="C162" s="1"/>
      <c r="D162" s="13"/>
      <c r="E162" s="1"/>
      <c r="F162" s="1"/>
      <c r="G162" s="1"/>
      <c r="H162" s="1"/>
      <c r="I162" s="1"/>
      <c r="J162" s="1"/>
      <c r="K162" s="1"/>
      <c r="L162" s="1"/>
      <c r="M162" s="1"/>
    </row>
    <row r="163" spans="3:13">
      <c r="C163" s="1"/>
      <c r="D163" s="13"/>
      <c r="E163" s="1"/>
      <c r="F163" s="1"/>
      <c r="G163" s="1"/>
      <c r="H163" s="1"/>
      <c r="I163" s="1"/>
      <c r="J163" s="1"/>
      <c r="K163" s="1"/>
      <c r="L163" s="1"/>
      <c r="M163" s="1"/>
    </row>
    <row r="164" spans="3:13">
      <c r="C164" s="1"/>
      <c r="D164" s="13"/>
      <c r="E164" s="1"/>
      <c r="F164" s="1"/>
      <c r="G164" s="1"/>
      <c r="H164" s="1"/>
      <c r="I164" s="1"/>
      <c r="J164" s="1"/>
      <c r="K164" s="1"/>
      <c r="L164" s="1"/>
      <c r="M164" s="1"/>
    </row>
    <row r="165" spans="3:13">
      <c r="C165" s="1"/>
      <c r="D165" s="13"/>
      <c r="E165" s="1"/>
      <c r="F165" s="1"/>
      <c r="G165" s="1"/>
      <c r="H165" s="1"/>
      <c r="I165" s="1"/>
      <c r="J165" s="1"/>
      <c r="K165" s="1"/>
      <c r="L165" s="1"/>
      <c r="M165" s="1"/>
    </row>
    <row r="166" spans="3:13">
      <c r="C166" s="1"/>
      <c r="D166" s="13"/>
      <c r="E166" s="1"/>
      <c r="F166" s="1"/>
      <c r="G166" s="1"/>
      <c r="H166" s="1"/>
      <c r="I166" s="1"/>
      <c r="J166" s="1"/>
      <c r="K166" s="1"/>
      <c r="L166" s="1"/>
      <c r="M166" s="1"/>
    </row>
    <row r="167" spans="3:13">
      <c r="C167" s="1"/>
      <c r="D167" s="13"/>
      <c r="E167" s="1"/>
      <c r="F167" s="1"/>
      <c r="G167" s="1"/>
      <c r="H167" s="1"/>
      <c r="I167" s="1"/>
      <c r="J167" s="1"/>
      <c r="K167" s="1"/>
      <c r="L167" s="1"/>
      <c r="M167" s="1"/>
    </row>
    <row r="168" spans="3:13">
      <c r="C168" s="1"/>
      <c r="D168" s="13"/>
      <c r="E168" s="1"/>
      <c r="F168" s="1"/>
      <c r="G168" s="1"/>
      <c r="H168" s="1"/>
      <c r="I168" s="1"/>
      <c r="J168" s="1"/>
      <c r="K168" s="1"/>
      <c r="L168" s="1"/>
      <c r="M168" s="1"/>
    </row>
    <row r="169" spans="3:13">
      <c r="C169" s="1"/>
      <c r="D169" s="13"/>
      <c r="E169" s="1"/>
      <c r="F169" s="1"/>
      <c r="G169" s="1"/>
      <c r="H169" s="1"/>
      <c r="I169" s="1"/>
      <c r="J169" s="1"/>
      <c r="K169" s="1"/>
      <c r="L169" s="1"/>
      <c r="M169" s="1"/>
    </row>
    <row r="170" spans="3:13">
      <c r="C170" s="1"/>
      <c r="D170" s="13"/>
      <c r="E170" s="1"/>
      <c r="F170" s="1"/>
      <c r="G170" s="1"/>
      <c r="H170" s="1"/>
      <c r="I170" s="1"/>
      <c r="J170" s="1"/>
      <c r="K170" s="1"/>
      <c r="L170" s="1"/>
      <c r="M170" s="1"/>
    </row>
    <row r="171" spans="3:13">
      <c r="C171" s="1"/>
      <c r="D171" s="13"/>
      <c r="E171" s="1"/>
      <c r="F171" s="1"/>
      <c r="G171" s="1"/>
      <c r="H171" s="1"/>
      <c r="I171" s="1"/>
      <c r="J171" s="1"/>
      <c r="K171" s="1"/>
      <c r="L171" s="1"/>
      <c r="M171" s="1"/>
    </row>
    <row r="172" spans="3:13">
      <c r="C172" s="1"/>
      <c r="D172" s="13"/>
      <c r="E172" s="1"/>
      <c r="F172" s="1"/>
      <c r="G172" s="1"/>
      <c r="H172" s="1"/>
      <c r="I172" s="1"/>
      <c r="J172" s="1"/>
      <c r="K172" s="1"/>
      <c r="L172" s="1"/>
      <c r="M172" s="1"/>
    </row>
    <row r="173" spans="3:13">
      <c r="C173" s="1"/>
      <c r="D173" s="13"/>
      <c r="E173" s="1"/>
      <c r="F173" s="1"/>
      <c r="G173" s="1"/>
      <c r="H173" s="1"/>
      <c r="I173" s="1"/>
      <c r="J173" s="1"/>
      <c r="K173" s="1"/>
      <c r="L173" s="1"/>
      <c r="M173" s="1"/>
    </row>
    <row r="174" spans="3:13">
      <c r="C174" s="1"/>
      <c r="D174" s="13"/>
      <c r="E174" s="1"/>
      <c r="F174" s="1"/>
      <c r="G174" s="1"/>
      <c r="H174" s="1"/>
      <c r="I174" s="1"/>
      <c r="J174" s="1"/>
      <c r="K174" s="1"/>
      <c r="L174" s="1"/>
      <c r="M174" s="1"/>
    </row>
    <row r="175" spans="3:13">
      <c r="C175" s="1"/>
      <c r="D175" s="13"/>
      <c r="E175" s="1"/>
      <c r="F175" s="1"/>
      <c r="G175" s="1"/>
      <c r="H175" s="1"/>
      <c r="I175" s="1"/>
      <c r="J175" s="1"/>
      <c r="K175" s="1"/>
      <c r="L175" s="1"/>
      <c r="M175" s="1"/>
    </row>
    <row r="176" spans="3:13">
      <c r="C176" s="1"/>
      <c r="D176" s="13"/>
      <c r="E176" s="1"/>
      <c r="F176" s="1"/>
      <c r="G176" s="1"/>
      <c r="H176" s="1"/>
      <c r="I176" s="1"/>
      <c r="J176" s="1"/>
      <c r="K176" s="1"/>
      <c r="L176" s="1"/>
      <c r="M176" s="1"/>
    </row>
    <row r="177" spans="3:13">
      <c r="C177" s="1"/>
      <c r="D177" s="13"/>
      <c r="E177" s="1"/>
      <c r="F177" s="1"/>
      <c r="G177" s="1"/>
      <c r="H177" s="1"/>
      <c r="I177" s="1"/>
      <c r="J177" s="1"/>
      <c r="K177" s="1"/>
      <c r="L177" s="1"/>
      <c r="M177" s="1"/>
    </row>
    <row r="178" spans="3:13">
      <c r="C178" s="1"/>
      <c r="D178" s="13"/>
      <c r="E178" s="1"/>
      <c r="F178" s="1"/>
      <c r="G178" s="1"/>
      <c r="H178" s="1"/>
      <c r="I178" s="1"/>
      <c r="J178" s="1"/>
      <c r="K178" s="1"/>
      <c r="L178" s="1"/>
      <c r="M178" s="1"/>
    </row>
    <row r="179" spans="3:13">
      <c r="C179" s="1"/>
      <c r="D179" s="13"/>
      <c r="E179" s="1"/>
      <c r="F179" s="1"/>
      <c r="G179" s="1"/>
      <c r="H179" s="1"/>
      <c r="I179" s="1"/>
      <c r="J179" s="1"/>
      <c r="K179" s="1"/>
      <c r="L179" s="1"/>
      <c r="M179" s="1"/>
    </row>
    <row r="180" spans="3:13">
      <c r="C180" s="1"/>
      <c r="D180" s="13"/>
      <c r="E180" s="1"/>
      <c r="F180" s="1"/>
      <c r="G180" s="1"/>
      <c r="H180" s="1"/>
      <c r="I180" s="1"/>
      <c r="J180" s="1"/>
      <c r="K180" s="1"/>
      <c r="L180" s="1"/>
      <c r="M180" s="1"/>
    </row>
    <row r="181" spans="3:13">
      <c r="C181" s="1"/>
      <c r="D181" s="13"/>
      <c r="E181" s="1"/>
      <c r="F181" s="1"/>
      <c r="G181" s="1"/>
      <c r="H181" s="1"/>
      <c r="I181" s="1"/>
      <c r="J181" s="1"/>
      <c r="K181" s="1"/>
      <c r="L181" s="1"/>
      <c r="M181" s="1"/>
    </row>
    <row r="182" spans="3:13">
      <c r="C182" s="1"/>
      <c r="D182" s="13"/>
      <c r="E182" s="1"/>
      <c r="F182" s="1"/>
      <c r="G182" s="1"/>
      <c r="H182" s="1"/>
      <c r="I182" s="1"/>
      <c r="J182" s="1"/>
      <c r="K182" s="1"/>
      <c r="L182" s="1"/>
      <c r="M182" s="1"/>
    </row>
    <row r="183" spans="3:13">
      <c r="C183" s="1"/>
      <c r="D183" s="13"/>
      <c r="E183" s="1"/>
      <c r="F183" s="1"/>
      <c r="G183" s="1"/>
      <c r="H183" s="1"/>
      <c r="I183" s="1"/>
      <c r="J183" s="1"/>
      <c r="K183" s="1"/>
      <c r="L183" s="1"/>
      <c r="M183" s="1"/>
    </row>
    <row r="184" spans="3:13">
      <c r="C184" s="1"/>
      <c r="D184" s="13"/>
      <c r="E184" s="1"/>
      <c r="F184" s="1"/>
      <c r="G184" s="1"/>
      <c r="H184" s="1"/>
      <c r="I184" s="1"/>
      <c r="J184" s="1"/>
      <c r="K184" s="1"/>
      <c r="L184" s="1"/>
      <c r="M184" s="1"/>
    </row>
    <row r="185" spans="3:13">
      <c r="C185" s="1"/>
      <c r="D185" s="13"/>
      <c r="E185" s="1"/>
      <c r="F185" s="1"/>
      <c r="G185" s="1"/>
      <c r="H185" s="1"/>
      <c r="I185" s="1"/>
      <c r="J185" s="1"/>
      <c r="K185" s="1"/>
      <c r="L185" s="1"/>
      <c r="M185" s="1"/>
    </row>
    <row r="186" spans="3:13">
      <c r="C186" s="1"/>
      <c r="D186" s="13"/>
      <c r="E186" s="1"/>
      <c r="F186" s="1"/>
      <c r="G186" s="1"/>
      <c r="H186" s="1"/>
      <c r="I186" s="1"/>
      <c r="J186" s="1"/>
      <c r="K186" s="1"/>
      <c r="L186" s="1"/>
      <c r="M186" s="1"/>
    </row>
    <row r="187" spans="3:13">
      <c r="C187" s="1"/>
      <c r="D187" s="13"/>
      <c r="E187" s="1"/>
      <c r="F187" s="1"/>
      <c r="G187" s="1"/>
      <c r="H187" s="1"/>
      <c r="I187" s="1"/>
      <c r="J187" s="1"/>
      <c r="K187" s="1"/>
      <c r="L187" s="1"/>
      <c r="M187" s="1"/>
    </row>
    <row r="188" spans="3:13">
      <c r="C188" s="1"/>
      <c r="D188" s="13"/>
      <c r="E188" s="1"/>
      <c r="F188" s="1"/>
      <c r="G188" s="1"/>
      <c r="H188" s="1"/>
      <c r="I188" s="1"/>
      <c r="J188" s="1"/>
      <c r="K188" s="1"/>
      <c r="L188" s="1"/>
      <c r="M188" s="1"/>
    </row>
    <row r="189" spans="3:13">
      <c r="C189" s="1"/>
      <c r="D189" s="13"/>
      <c r="E189" s="1"/>
      <c r="F189" s="1"/>
      <c r="G189" s="1"/>
      <c r="H189" s="1"/>
      <c r="I189" s="1"/>
      <c r="J189" s="1"/>
      <c r="K189" s="1"/>
      <c r="L189" s="1"/>
      <c r="M189" s="1"/>
    </row>
    <row r="190" spans="3:13">
      <c r="C190" s="1"/>
      <c r="D190" s="13"/>
      <c r="E190" s="1"/>
      <c r="F190" s="1"/>
      <c r="G190" s="1"/>
      <c r="H190" s="1"/>
      <c r="I190" s="1"/>
      <c r="J190" s="1"/>
      <c r="K190" s="1"/>
      <c r="L190" s="1"/>
      <c r="M190" s="1"/>
    </row>
    <row r="191" spans="3:13">
      <c r="C191" s="1"/>
      <c r="D191" s="13"/>
      <c r="E191" s="1"/>
      <c r="F191" s="1"/>
      <c r="G191" s="1"/>
      <c r="H191" s="1"/>
      <c r="I191" s="1"/>
      <c r="J191" s="1"/>
      <c r="K191" s="1"/>
      <c r="L191" s="1"/>
      <c r="M191" s="1"/>
    </row>
    <row r="192" spans="3:13">
      <c r="C192" s="1"/>
      <c r="D192" s="13"/>
      <c r="E192" s="1"/>
      <c r="F192" s="1"/>
      <c r="G192" s="1"/>
      <c r="H192" s="1"/>
      <c r="I192" s="1"/>
      <c r="J192" s="1"/>
      <c r="K192" s="1"/>
      <c r="L192" s="1"/>
      <c r="M192" s="1"/>
    </row>
    <row r="193" spans="3:13">
      <c r="C193" s="1"/>
      <c r="D193" s="13"/>
      <c r="E193" s="1"/>
      <c r="F193" s="1"/>
      <c r="G193" s="1"/>
      <c r="H193" s="1"/>
      <c r="I193" s="1"/>
      <c r="J193" s="1"/>
      <c r="K193" s="1"/>
      <c r="L193" s="1"/>
      <c r="M193" s="1"/>
    </row>
    <row r="194" spans="3:13">
      <c r="C194" s="1"/>
      <c r="D194" s="13"/>
      <c r="E194" s="1"/>
      <c r="F194" s="1"/>
      <c r="G194" s="1"/>
      <c r="H194" s="1"/>
      <c r="I194" s="1"/>
      <c r="J194" s="1"/>
      <c r="K194" s="1"/>
      <c r="L194" s="1"/>
      <c r="M194" s="1"/>
    </row>
    <row r="195" spans="3:13">
      <c r="C195" s="1"/>
      <c r="D195" s="13"/>
      <c r="E195" s="1"/>
      <c r="F195" s="1"/>
      <c r="G195" s="1"/>
      <c r="H195" s="1"/>
      <c r="I195" s="1"/>
      <c r="J195" s="1"/>
      <c r="K195" s="1"/>
      <c r="L195" s="1"/>
      <c r="M195" s="1"/>
    </row>
    <row r="196" spans="3:13">
      <c r="C196" s="1"/>
      <c r="D196" s="13"/>
      <c r="E196" s="1"/>
      <c r="F196" s="1"/>
      <c r="G196" s="1"/>
      <c r="H196" s="1"/>
      <c r="I196" s="1"/>
      <c r="J196" s="1"/>
      <c r="K196" s="1"/>
      <c r="L196" s="1"/>
      <c r="M196" s="1"/>
    </row>
    <row r="197" spans="3:13">
      <c r="C197" s="1"/>
      <c r="D197" s="13"/>
      <c r="E197" s="1"/>
      <c r="F197" s="1"/>
      <c r="G197" s="1"/>
      <c r="H197" s="1"/>
      <c r="I197" s="1"/>
      <c r="J197" s="1"/>
      <c r="K197" s="1"/>
      <c r="L197" s="1"/>
      <c r="M197" s="1"/>
    </row>
    <row r="198" spans="3:13">
      <c r="C198" s="1"/>
      <c r="D198" s="13"/>
      <c r="E198" s="1"/>
      <c r="F198" s="1"/>
      <c r="G198" s="1"/>
      <c r="H198" s="1"/>
      <c r="I198" s="1"/>
      <c r="J198" s="1"/>
      <c r="K198" s="1"/>
      <c r="L198" s="1"/>
      <c r="M198" s="1"/>
    </row>
    <row r="199" spans="3:13">
      <c r="C199" s="1"/>
      <c r="D199" s="13"/>
      <c r="E199" s="1"/>
      <c r="F199" s="1"/>
      <c r="G199" s="1"/>
      <c r="H199" s="1"/>
      <c r="I199" s="1"/>
      <c r="J199" s="1"/>
      <c r="K199" s="1"/>
      <c r="L199" s="1"/>
      <c r="M199" s="1"/>
    </row>
    <row r="200" spans="3:13">
      <c r="C200" s="1"/>
      <c r="D200" s="13"/>
      <c r="E200" s="1"/>
      <c r="F200" s="1"/>
      <c r="G200" s="1"/>
      <c r="H200" s="1"/>
      <c r="I200" s="1"/>
      <c r="J200" s="1"/>
      <c r="K200" s="1"/>
      <c r="L200" s="1"/>
      <c r="M200" s="1"/>
    </row>
    <row r="201" spans="3:13">
      <c r="C201" s="1"/>
      <c r="D201" s="13"/>
      <c r="E201" s="1"/>
      <c r="F201" s="1"/>
      <c r="G201" s="1"/>
      <c r="H201" s="1"/>
      <c r="I201" s="1"/>
      <c r="J201" s="1"/>
      <c r="K201" s="1"/>
      <c r="L201" s="1"/>
      <c r="M201" s="1"/>
    </row>
    <row r="202" spans="3:13">
      <c r="C202" s="1"/>
      <c r="D202" s="13"/>
      <c r="E202" s="1"/>
      <c r="F202" s="1"/>
      <c r="G202" s="1"/>
      <c r="H202" s="1"/>
      <c r="I202" s="1"/>
      <c r="J202" s="1"/>
      <c r="K202" s="1"/>
      <c r="L202" s="1"/>
      <c r="M202" s="1"/>
    </row>
    <row r="203" spans="3:13">
      <c r="C203" s="1"/>
      <c r="D203" s="13"/>
      <c r="E203" s="1"/>
      <c r="F203" s="1"/>
      <c r="G203" s="1"/>
      <c r="H203" s="1"/>
      <c r="I203" s="1"/>
      <c r="J203" s="1"/>
      <c r="K203" s="1"/>
      <c r="L203" s="1"/>
      <c r="M203" s="1"/>
    </row>
    <row r="204" spans="3:13">
      <c r="C204" s="1"/>
      <c r="D204" s="13"/>
      <c r="E204" s="1"/>
      <c r="F204" s="1"/>
      <c r="G204" s="1"/>
      <c r="H204" s="1"/>
      <c r="I204" s="1"/>
      <c r="J204" s="1"/>
      <c r="K204" s="1"/>
      <c r="L204" s="1"/>
      <c r="M204" s="1"/>
    </row>
    <row r="205" spans="3:13">
      <c r="C205" s="1"/>
      <c r="D205" s="13"/>
      <c r="E205" s="1"/>
      <c r="F205" s="1"/>
      <c r="G205" s="1"/>
      <c r="H205" s="1"/>
      <c r="I205" s="1"/>
      <c r="J205" s="1"/>
      <c r="K205" s="1"/>
      <c r="L205" s="1"/>
      <c r="M205" s="1"/>
    </row>
    <row r="206" spans="3:13">
      <c r="C206" s="1"/>
      <c r="D206" s="13"/>
      <c r="E206" s="1"/>
      <c r="F206" s="1"/>
      <c r="G206" s="1"/>
      <c r="H206" s="1"/>
      <c r="I206" s="1"/>
      <c r="J206" s="1"/>
      <c r="K206" s="1"/>
      <c r="L206" s="1"/>
      <c r="M206" s="1"/>
    </row>
    <row r="207" spans="3:13">
      <c r="C207" s="1"/>
      <c r="D207" s="13"/>
      <c r="E207" s="1"/>
      <c r="F207" s="1"/>
      <c r="G207" s="1"/>
      <c r="H207" s="1"/>
      <c r="I207" s="1"/>
      <c r="J207" s="1"/>
      <c r="K207" s="1"/>
      <c r="L207" s="1"/>
      <c r="M207" s="1"/>
    </row>
    <row r="208" spans="3:13">
      <c r="C208" s="1"/>
      <c r="D208" s="13"/>
      <c r="E208" s="1"/>
      <c r="F208" s="1"/>
      <c r="G208" s="1"/>
      <c r="H208" s="1"/>
      <c r="I208" s="1"/>
      <c r="J208" s="1"/>
      <c r="K208" s="1"/>
      <c r="L208" s="1"/>
      <c r="M208" s="1"/>
    </row>
    <row r="209" spans="3:13">
      <c r="C209" s="1"/>
      <c r="D209" s="13"/>
      <c r="E209" s="1"/>
      <c r="F209" s="1"/>
      <c r="G209" s="1"/>
      <c r="H209" s="1"/>
      <c r="I209" s="1"/>
      <c r="J209" s="1"/>
      <c r="K209" s="1"/>
      <c r="L209" s="1"/>
      <c r="M209" s="1"/>
    </row>
    <row r="210" spans="3:13">
      <c r="C210" s="1"/>
      <c r="D210" s="13"/>
      <c r="E210" s="1"/>
      <c r="F210" s="1"/>
      <c r="G210" s="1"/>
      <c r="H210" s="1"/>
      <c r="I210" s="1"/>
      <c r="J210" s="1"/>
      <c r="K210" s="1"/>
      <c r="L210" s="1"/>
      <c r="M210" s="1"/>
    </row>
    <row r="211" spans="3:13">
      <c r="C211" s="1"/>
      <c r="D211" s="13"/>
      <c r="E211" s="1"/>
      <c r="F211" s="1"/>
      <c r="G211" s="1"/>
      <c r="H211" s="1"/>
      <c r="I211" s="1"/>
      <c r="J211" s="1"/>
      <c r="K211" s="1"/>
      <c r="L211" s="1"/>
      <c r="M211" s="1"/>
    </row>
    <row r="212" spans="3:13">
      <c r="C212" s="1"/>
      <c r="D212" s="13"/>
      <c r="E212" s="1"/>
      <c r="F212" s="1"/>
      <c r="G212" s="1"/>
      <c r="H212" s="1"/>
      <c r="I212" s="1"/>
      <c r="J212" s="1"/>
      <c r="K212" s="1"/>
      <c r="L212" s="1"/>
      <c r="M212" s="1"/>
    </row>
    <row r="213" spans="3:13">
      <c r="C213" s="1"/>
      <c r="D213" s="13"/>
      <c r="E213" s="1"/>
      <c r="F213" s="1"/>
      <c r="G213" s="1"/>
      <c r="H213" s="1"/>
      <c r="I213" s="1"/>
      <c r="J213" s="1"/>
      <c r="K213" s="1"/>
      <c r="L213" s="1"/>
      <c r="M213" s="1"/>
    </row>
    <row r="214" spans="3:13">
      <c r="C214" s="1"/>
      <c r="D214" s="13"/>
      <c r="E214" s="1"/>
      <c r="F214" s="1"/>
      <c r="G214" s="1"/>
      <c r="H214" s="1"/>
      <c r="I214" s="1"/>
      <c r="J214" s="1"/>
      <c r="K214" s="1"/>
      <c r="L214" s="1"/>
      <c r="M214" s="1"/>
    </row>
    <row r="215" spans="3:13">
      <c r="C215" s="1"/>
      <c r="D215" s="13"/>
      <c r="E215" s="1"/>
      <c r="F215" s="1"/>
      <c r="G215" s="1"/>
      <c r="H215" s="1"/>
      <c r="I215" s="1"/>
      <c r="J215" s="1"/>
      <c r="K215" s="1"/>
      <c r="L215" s="1"/>
      <c r="M215" s="1"/>
    </row>
    <row r="216" spans="3:13">
      <c r="C216" s="1"/>
      <c r="D216" s="13"/>
      <c r="E216" s="1"/>
      <c r="F216" s="1"/>
      <c r="G216" s="1"/>
      <c r="H216" s="1"/>
      <c r="I216" s="1"/>
      <c r="J216" s="1"/>
      <c r="K216" s="1"/>
      <c r="L216" s="1"/>
      <c r="M216" s="1"/>
    </row>
    <row r="217" spans="3:13">
      <c r="C217" s="1"/>
      <c r="D217" s="13"/>
      <c r="E217" s="1"/>
      <c r="F217" s="1"/>
      <c r="G217" s="1"/>
      <c r="H217" s="1"/>
      <c r="I217" s="1"/>
      <c r="J217" s="1"/>
      <c r="K217" s="1"/>
      <c r="L217" s="1"/>
      <c r="M217" s="1"/>
    </row>
    <row r="218" spans="3:13">
      <c r="C218" s="1"/>
      <c r="D218" s="13"/>
      <c r="E218" s="1"/>
      <c r="F218" s="1"/>
      <c r="G218" s="1"/>
      <c r="H218" s="1"/>
      <c r="I218" s="1"/>
      <c r="J218" s="1"/>
      <c r="K218" s="1"/>
      <c r="L218" s="1"/>
      <c r="M218" s="1"/>
    </row>
    <row r="219" spans="3:13">
      <c r="C219" s="1"/>
      <c r="D219" s="13"/>
      <c r="E219" s="1"/>
      <c r="F219" s="1"/>
      <c r="G219" s="1"/>
      <c r="H219" s="1"/>
      <c r="I219" s="1"/>
      <c r="J219" s="1"/>
      <c r="K219" s="1"/>
      <c r="L219" s="1"/>
      <c r="M219" s="1"/>
    </row>
    <row r="220" spans="3:13">
      <c r="C220" s="1"/>
      <c r="D220" s="13"/>
      <c r="E220" s="1"/>
      <c r="F220" s="1"/>
      <c r="G220" s="1"/>
      <c r="H220" s="1"/>
      <c r="I220" s="1"/>
      <c r="J220" s="1"/>
      <c r="K220" s="1"/>
      <c r="L220" s="1"/>
      <c r="M220" s="1"/>
    </row>
    <row r="221" spans="3:13">
      <c r="C221" s="1"/>
      <c r="D221" s="13"/>
      <c r="E221" s="1"/>
      <c r="F221" s="1"/>
      <c r="G221" s="1"/>
      <c r="H221" s="1"/>
      <c r="I221" s="1"/>
      <c r="J221" s="1"/>
      <c r="K221" s="1"/>
      <c r="L221" s="1"/>
      <c r="M221" s="1"/>
    </row>
    <row r="222" spans="3:13">
      <c r="C222" s="1"/>
      <c r="D222" s="13"/>
      <c r="E222" s="1"/>
      <c r="F222" s="1"/>
      <c r="G222" s="1"/>
      <c r="H222" s="1"/>
      <c r="I222" s="1"/>
      <c r="J222" s="1"/>
      <c r="K222" s="1"/>
      <c r="L222" s="1"/>
      <c r="M222" s="1"/>
    </row>
    <row r="223" spans="3:13">
      <c r="C223" s="1"/>
      <c r="D223" s="13"/>
      <c r="E223" s="1"/>
      <c r="F223" s="1"/>
      <c r="G223" s="1"/>
      <c r="H223" s="1"/>
      <c r="I223" s="1"/>
      <c r="J223" s="1"/>
      <c r="K223" s="1"/>
      <c r="L223" s="1"/>
      <c r="M223" s="1"/>
    </row>
    <row r="224" spans="3:13">
      <c r="C224" s="1"/>
      <c r="D224" s="13"/>
      <c r="E224" s="1"/>
      <c r="F224" s="1"/>
      <c r="G224" s="1"/>
      <c r="H224" s="1"/>
      <c r="I224" s="1"/>
      <c r="J224" s="1"/>
      <c r="K224" s="1"/>
      <c r="L224" s="1"/>
      <c r="M224" s="1"/>
    </row>
    <row r="225" spans="3:13">
      <c r="C225" s="1"/>
      <c r="D225" s="13"/>
      <c r="E225" s="1"/>
      <c r="F225" s="1"/>
      <c r="G225" s="1"/>
      <c r="H225" s="1"/>
      <c r="I225" s="1"/>
      <c r="J225" s="1"/>
      <c r="K225" s="1"/>
      <c r="L225" s="1"/>
      <c r="M225" s="1"/>
    </row>
    <row r="226" spans="3:13">
      <c r="C226" s="1"/>
      <c r="D226" s="13"/>
      <c r="E226" s="1"/>
      <c r="F226" s="1"/>
      <c r="G226" s="1"/>
      <c r="H226" s="1"/>
      <c r="I226" s="1"/>
      <c r="J226" s="1"/>
      <c r="K226" s="1"/>
      <c r="L226" s="1"/>
      <c r="M226" s="1"/>
    </row>
    <row r="227" spans="3:13">
      <c r="C227" s="1"/>
      <c r="D227" s="13"/>
      <c r="E227" s="1"/>
      <c r="F227" s="1"/>
      <c r="G227" s="1"/>
      <c r="H227" s="1"/>
      <c r="I227" s="1"/>
      <c r="J227" s="1"/>
      <c r="K227" s="1"/>
      <c r="L227" s="1"/>
      <c r="M227" s="1"/>
    </row>
    <row r="228" spans="3:13">
      <c r="C228" s="1"/>
      <c r="D228" s="13"/>
      <c r="E228" s="1"/>
      <c r="F228" s="1"/>
      <c r="G228" s="1"/>
      <c r="H228" s="1"/>
      <c r="I228" s="1"/>
      <c r="J228" s="1"/>
      <c r="K228" s="1"/>
      <c r="L228" s="1"/>
      <c r="M228" s="1"/>
    </row>
    <row r="229" spans="3:13">
      <c r="C229" s="1"/>
      <c r="D229" s="13"/>
      <c r="E229" s="1"/>
      <c r="F229" s="1"/>
      <c r="G229" s="1"/>
      <c r="H229" s="1"/>
      <c r="I229" s="1"/>
      <c r="J229" s="1"/>
      <c r="K229" s="1"/>
      <c r="L229" s="1"/>
      <c r="M229" s="1"/>
    </row>
    <row r="230" spans="3:13">
      <c r="C230" s="1"/>
      <c r="D230" s="13"/>
      <c r="E230" s="1"/>
      <c r="F230" s="1"/>
      <c r="G230" s="1"/>
      <c r="H230" s="1"/>
      <c r="I230" s="1"/>
      <c r="J230" s="1"/>
      <c r="K230" s="1"/>
      <c r="L230" s="1"/>
      <c r="M230" s="1"/>
    </row>
    <row r="231" spans="3:13">
      <c r="C231" s="1"/>
      <c r="D231" s="13"/>
      <c r="E231" s="1"/>
      <c r="F231" s="1"/>
      <c r="G231" s="1"/>
      <c r="H231" s="1"/>
      <c r="I231" s="1"/>
      <c r="J231" s="1"/>
      <c r="K231" s="1"/>
      <c r="L231" s="1"/>
      <c r="M231" s="1"/>
    </row>
    <row r="232" spans="3:13">
      <c r="C232" s="1"/>
      <c r="D232" s="13"/>
      <c r="E232" s="1"/>
      <c r="F232" s="1"/>
      <c r="G232" s="1"/>
      <c r="H232" s="1"/>
      <c r="I232" s="1"/>
      <c r="J232" s="1"/>
      <c r="K232" s="1"/>
      <c r="L232" s="1"/>
      <c r="M232" s="1"/>
    </row>
    <row r="233" spans="3:13">
      <c r="C233" s="1"/>
      <c r="D233" s="13"/>
      <c r="E233" s="1"/>
      <c r="F233" s="1"/>
      <c r="G233" s="1"/>
      <c r="H233" s="1"/>
      <c r="I233" s="1"/>
      <c r="J233" s="1"/>
      <c r="K233" s="1"/>
      <c r="L233" s="1"/>
      <c r="M233" s="1"/>
    </row>
    <row r="234" spans="3:13">
      <c r="C234" s="1"/>
      <c r="D234" s="13"/>
      <c r="E234" s="1"/>
      <c r="F234" s="1"/>
      <c r="G234" s="1"/>
      <c r="H234" s="1"/>
      <c r="I234" s="1"/>
      <c r="J234" s="1"/>
      <c r="K234" s="1"/>
      <c r="L234" s="1"/>
      <c r="M234" s="1"/>
    </row>
    <row r="235" spans="3:13">
      <c r="C235" s="1"/>
      <c r="D235" s="13"/>
      <c r="E235" s="1"/>
      <c r="F235" s="1"/>
      <c r="G235" s="1"/>
      <c r="H235" s="1"/>
      <c r="I235" s="1"/>
      <c r="J235" s="1"/>
      <c r="K235" s="1"/>
      <c r="L235" s="1"/>
      <c r="M235" s="1"/>
    </row>
    <row r="236" spans="3:13">
      <c r="C236" s="1"/>
      <c r="D236" s="13"/>
      <c r="E236" s="1"/>
      <c r="F236" s="1"/>
      <c r="G236" s="1"/>
      <c r="H236" s="1"/>
      <c r="I236" s="1"/>
      <c r="J236" s="1"/>
      <c r="K236" s="1"/>
      <c r="L236" s="1"/>
      <c r="M236" s="1"/>
    </row>
    <row r="237" spans="3:13">
      <c r="C237" s="1"/>
      <c r="D237" s="13"/>
      <c r="E237" s="1"/>
      <c r="F237" s="1"/>
      <c r="G237" s="1"/>
      <c r="H237" s="1"/>
      <c r="I237" s="1"/>
      <c r="J237" s="1"/>
      <c r="K237" s="1"/>
      <c r="L237" s="1"/>
      <c r="M237" s="1"/>
    </row>
    <row r="238" spans="3:13">
      <c r="C238" s="1"/>
      <c r="D238" s="13"/>
      <c r="E238" s="1"/>
      <c r="F238" s="1"/>
      <c r="G238" s="1"/>
      <c r="H238" s="1"/>
      <c r="I238" s="1"/>
      <c r="J238" s="1"/>
      <c r="K238" s="1"/>
      <c r="L238" s="1"/>
      <c r="M238" s="1"/>
    </row>
    <row r="239" spans="3:13">
      <c r="C239" s="1"/>
      <c r="D239" s="13"/>
      <c r="E239" s="1"/>
      <c r="F239" s="1"/>
      <c r="G239" s="1"/>
      <c r="H239" s="1"/>
      <c r="I239" s="1"/>
      <c r="J239" s="1"/>
      <c r="K239" s="1"/>
      <c r="L239" s="1"/>
      <c r="M239" s="1"/>
    </row>
    <row r="240" spans="3:13">
      <c r="C240" s="1"/>
      <c r="D240" s="13"/>
      <c r="E240" s="1"/>
      <c r="F240" s="1"/>
      <c r="G240" s="1"/>
      <c r="H240" s="1"/>
      <c r="I240" s="1"/>
      <c r="J240" s="1"/>
      <c r="K240" s="1"/>
      <c r="L240" s="1"/>
      <c r="M240" s="1"/>
    </row>
    <row r="241" spans="3:13">
      <c r="C241" s="1"/>
      <c r="D241" s="13"/>
      <c r="E241" s="1"/>
      <c r="F241" s="1"/>
      <c r="G241" s="1"/>
      <c r="H241" s="1"/>
      <c r="I241" s="1"/>
      <c r="J241" s="1"/>
      <c r="K241" s="1"/>
      <c r="L241" s="1"/>
      <c r="M241" s="1"/>
    </row>
    <row r="242" spans="3:13">
      <c r="C242" s="1"/>
      <c r="D242" s="13"/>
      <c r="E242" s="1"/>
      <c r="F242" s="1"/>
      <c r="G242" s="1"/>
      <c r="H242" s="1"/>
      <c r="I242" s="1"/>
      <c r="J242" s="1"/>
      <c r="K242" s="1"/>
      <c r="L242" s="1"/>
      <c r="M242" s="1"/>
    </row>
    <row r="243" spans="3:13">
      <c r="C243" s="1"/>
      <c r="D243" s="13"/>
      <c r="E243" s="1"/>
      <c r="F243" s="1"/>
      <c r="G243" s="1"/>
      <c r="H243" s="1"/>
      <c r="I243" s="1"/>
      <c r="J243" s="1"/>
      <c r="K243" s="1"/>
      <c r="L243" s="1"/>
      <c r="M243" s="1"/>
    </row>
    <row r="244" spans="3:13">
      <c r="C244" s="1"/>
      <c r="D244" s="13"/>
      <c r="E244" s="1"/>
      <c r="F244" s="1"/>
      <c r="G244" s="1"/>
      <c r="H244" s="1"/>
      <c r="I244" s="1"/>
      <c r="J244" s="1"/>
      <c r="K244" s="1"/>
      <c r="L244" s="1"/>
      <c r="M244" s="1"/>
    </row>
    <row r="245" spans="3:13">
      <c r="C245" s="1"/>
      <c r="D245" s="13"/>
      <c r="E245" s="1"/>
      <c r="F245" s="1"/>
      <c r="G245" s="1"/>
      <c r="H245" s="1"/>
      <c r="I245" s="1"/>
      <c r="J245" s="1"/>
      <c r="K245" s="1"/>
      <c r="L245" s="1"/>
      <c r="M245" s="1"/>
    </row>
    <row r="246" spans="3:13">
      <c r="C246" s="1"/>
      <c r="D246" s="13"/>
      <c r="E246" s="1"/>
      <c r="F246" s="1"/>
      <c r="G246" s="1"/>
      <c r="H246" s="1"/>
      <c r="I246" s="1"/>
      <c r="J246" s="1"/>
      <c r="K246" s="1"/>
      <c r="L246" s="1"/>
      <c r="M246" s="1"/>
    </row>
    <row r="247" spans="3:13">
      <c r="C247" s="1"/>
      <c r="D247" s="13"/>
      <c r="E247" s="1"/>
      <c r="F247" s="1"/>
      <c r="G247" s="1"/>
      <c r="H247" s="1"/>
      <c r="I247" s="1"/>
      <c r="J247" s="1"/>
      <c r="K247" s="1"/>
      <c r="L247" s="1"/>
      <c r="M247" s="1"/>
    </row>
    <row r="248" spans="3:13">
      <c r="C248" s="1"/>
      <c r="D248" s="13"/>
      <c r="E248" s="1"/>
      <c r="F248" s="1"/>
      <c r="G248" s="1"/>
      <c r="H248" s="1"/>
      <c r="I248" s="1"/>
      <c r="J248" s="1"/>
      <c r="K248" s="1"/>
      <c r="L248" s="1"/>
      <c r="M248" s="1"/>
    </row>
    <row r="249" spans="3:13">
      <c r="C249" s="1"/>
      <c r="D249" s="13"/>
      <c r="E249" s="1"/>
      <c r="F249" s="1"/>
      <c r="G249" s="1"/>
      <c r="H249" s="1"/>
      <c r="I249" s="1"/>
      <c r="J249" s="1"/>
      <c r="K249" s="1"/>
      <c r="L249" s="1"/>
      <c r="M249" s="1"/>
    </row>
    <row r="250" spans="3:13">
      <c r="C250" s="1"/>
      <c r="D250" s="13"/>
      <c r="E250" s="1"/>
      <c r="F250" s="1"/>
      <c r="G250" s="1"/>
      <c r="H250" s="1"/>
      <c r="I250" s="1"/>
      <c r="J250" s="1"/>
      <c r="K250" s="1"/>
      <c r="L250" s="1"/>
      <c r="M250" s="1"/>
    </row>
  </sheetData>
  <mergeCells count="59">
    <mergeCell ref="C51:D51"/>
    <mergeCell ref="C52:D52"/>
    <mergeCell ref="C53:D53"/>
    <mergeCell ref="C54:D54"/>
    <mergeCell ref="C55:D55"/>
    <mergeCell ref="H37:I42"/>
    <mergeCell ref="H44:I49"/>
    <mergeCell ref="H51:I56"/>
    <mergeCell ref="C37:D37"/>
    <mergeCell ref="C38:D38"/>
    <mergeCell ref="C39:D39"/>
    <mergeCell ref="C40:D40"/>
    <mergeCell ref="C41:D41"/>
    <mergeCell ref="C42:D42"/>
    <mergeCell ref="C44:D44"/>
    <mergeCell ref="C45:D45"/>
    <mergeCell ref="C46:D46"/>
    <mergeCell ref="C47:D47"/>
    <mergeCell ref="C48:D48"/>
    <mergeCell ref="C49:D49"/>
    <mergeCell ref="C56:D56"/>
    <mergeCell ref="C31:D35"/>
    <mergeCell ref="E33:I35"/>
    <mergeCell ref="I23:I24"/>
    <mergeCell ref="I25:I26"/>
    <mergeCell ref="E27:E28"/>
    <mergeCell ref="F27:F28"/>
    <mergeCell ref="G27:G28"/>
    <mergeCell ref="I29:I30"/>
    <mergeCell ref="E29:E30"/>
    <mergeCell ref="F29:F30"/>
    <mergeCell ref="G29:G30"/>
    <mergeCell ref="H29:H30"/>
    <mergeCell ref="I27:I28"/>
    <mergeCell ref="E23:E24"/>
    <mergeCell ref="F23:F24"/>
    <mergeCell ref="G23:G24"/>
    <mergeCell ref="H23:H24"/>
    <mergeCell ref="G25:G26"/>
    <mergeCell ref="H25:H26"/>
    <mergeCell ref="C21:C30"/>
    <mergeCell ref="H27:H28"/>
    <mergeCell ref="E25:E26"/>
    <mergeCell ref="F25:F26"/>
    <mergeCell ref="E21:E22"/>
    <mergeCell ref="F21:F22"/>
    <mergeCell ref="G21:G22"/>
    <mergeCell ref="H21:H22"/>
    <mergeCell ref="I21:I22"/>
    <mergeCell ref="E16:I18"/>
    <mergeCell ref="B2:F2"/>
    <mergeCell ref="C4:E4"/>
    <mergeCell ref="C3:I3"/>
    <mergeCell ref="C5:E5"/>
    <mergeCell ref="C6:E12"/>
    <mergeCell ref="C13:I15"/>
    <mergeCell ref="F5:G12"/>
    <mergeCell ref="H5:I12"/>
    <mergeCell ref="C16:D20"/>
  </mergeCells>
  <pageMargins left="0.7" right="0.7" top="0.75" bottom="0.75" header="0.3" footer="0.3"/>
  <pageSetup paperSize="9" scale="36" orientation="portrait" r:id="rId1"/>
  <colBreaks count="1" manualBreakCount="1">
    <brk id="9"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68"/>
  <sheetViews>
    <sheetView zoomScale="80" zoomScaleNormal="80" workbookViewId="0">
      <selection activeCell="F41" sqref="F41"/>
    </sheetView>
  </sheetViews>
  <sheetFormatPr baseColWidth="10" defaultColWidth="11.42578125" defaultRowHeight="14.25"/>
  <cols>
    <col min="1" max="1" width="3" style="1" customWidth="1"/>
    <col min="2" max="2" width="3.5703125" style="1" customWidth="1"/>
    <col min="3" max="3" width="43.5703125" style="1" customWidth="1"/>
    <col min="4" max="4" width="46.42578125" style="1" customWidth="1"/>
    <col min="5" max="5" width="47.85546875" style="1" customWidth="1"/>
    <col min="6" max="6" width="45.28515625" style="1" customWidth="1"/>
    <col min="7" max="7" width="91.140625" style="1" customWidth="1"/>
    <col min="8" max="8" width="40.28515625" style="1" customWidth="1"/>
    <col min="9" max="9" width="45.5703125" style="1" customWidth="1"/>
    <col min="10" max="10" width="47.7109375" style="1" customWidth="1"/>
    <col min="11" max="11" width="3.5703125" style="1" customWidth="1"/>
    <col min="12" max="16384" width="11.42578125" style="1"/>
  </cols>
  <sheetData>
    <row r="1" spans="2:11" ht="10.5" customHeight="1"/>
    <row r="2" spans="2:11" ht="37.5" customHeight="1">
      <c r="B2" s="7"/>
      <c r="C2" s="136"/>
      <c r="D2" s="136"/>
      <c r="E2" s="136"/>
      <c r="F2" s="136"/>
      <c r="G2" s="7"/>
      <c r="H2" s="7"/>
      <c r="I2" s="7"/>
      <c r="J2" s="7"/>
      <c r="K2" s="7"/>
    </row>
    <row r="3" spans="2:11" ht="33.75" customHeight="1">
      <c r="B3" s="7"/>
      <c r="C3" s="235" t="s">
        <v>60</v>
      </c>
      <c r="D3" s="235"/>
      <c r="E3" s="235"/>
      <c r="F3" s="235"/>
      <c r="G3" s="235"/>
      <c r="H3" s="235"/>
      <c r="I3" s="235"/>
      <c r="J3" s="235"/>
      <c r="K3" s="7"/>
    </row>
    <row r="4" spans="2:11" ht="15.75" customHeight="1">
      <c r="B4" s="7"/>
      <c r="C4" s="136"/>
      <c r="D4" s="136"/>
      <c r="E4" s="136"/>
      <c r="F4" s="7"/>
      <c r="G4" s="7"/>
      <c r="H4" s="7"/>
      <c r="I4" s="7"/>
      <c r="J4" s="7"/>
      <c r="K4" s="7"/>
    </row>
    <row r="5" spans="2:11">
      <c r="B5" s="7"/>
      <c r="C5" s="269" t="s">
        <v>53</v>
      </c>
      <c r="D5" s="269"/>
      <c r="E5" s="269"/>
      <c r="F5" s="7"/>
      <c r="G5" s="241"/>
      <c r="H5" s="241"/>
      <c r="I5" s="241"/>
      <c r="J5" s="241"/>
      <c r="K5" s="7"/>
    </row>
    <row r="6" spans="2:11" ht="14.25" customHeight="1">
      <c r="B6" s="7"/>
      <c r="C6" s="269"/>
      <c r="D6" s="269"/>
      <c r="E6" s="269"/>
      <c r="F6" s="7"/>
      <c r="G6" s="241"/>
      <c r="H6" s="241"/>
      <c r="I6" s="241"/>
      <c r="J6" s="241"/>
      <c r="K6" s="7"/>
    </row>
    <row r="7" spans="2:11" ht="14.25" customHeight="1">
      <c r="B7" s="7"/>
      <c r="C7" s="270" t="s">
        <v>280</v>
      </c>
      <c r="D7" s="271"/>
      <c r="E7" s="272"/>
      <c r="F7" s="7"/>
      <c r="G7" s="241"/>
      <c r="H7" s="241"/>
      <c r="I7" s="241"/>
      <c r="J7" s="241"/>
      <c r="K7" s="7"/>
    </row>
    <row r="8" spans="2:11" ht="14.25" customHeight="1">
      <c r="B8" s="7"/>
      <c r="C8" s="270"/>
      <c r="D8" s="271"/>
      <c r="E8" s="272"/>
      <c r="F8" s="7"/>
      <c r="G8" s="241"/>
      <c r="H8" s="241"/>
      <c r="I8" s="241"/>
      <c r="J8" s="241"/>
      <c r="K8" s="7"/>
    </row>
    <row r="9" spans="2:11" ht="14.25" customHeight="1">
      <c r="B9" s="7"/>
      <c r="C9" s="270"/>
      <c r="D9" s="271"/>
      <c r="E9" s="272"/>
      <c r="F9" s="7"/>
      <c r="G9" s="241"/>
      <c r="H9" s="241"/>
      <c r="I9" s="241"/>
      <c r="J9" s="241"/>
      <c r="K9" s="7"/>
    </row>
    <row r="10" spans="2:11" ht="14.25" customHeight="1">
      <c r="B10" s="7"/>
      <c r="C10" s="270"/>
      <c r="D10" s="271"/>
      <c r="E10" s="272"/>
      <c r="F10" s="7"/>
      <c r="G10" s="241"/>
      <c r="H10" s="241"/>
      <c r="I10" s="241"/>
      <c r="J10" s="241"/>
      <c r="K10" s="7"/>
    </row>
    <row r="11" spans="2:11" ht="14.25" customHeight="1">
      <c r="B11" s="7"/>
      <c r="C11" s="270"/>
      <c r="D11" s="271"/>
      <c r="E11" s="272"/>
      <c r="F11" s="7"/>
      <c r="G11" s="241"/>
      <c r="H11" s="241"/>
      <c r="I11" s="241"/>
      <c r="J11" s="241"/>
      <c r="K11" s="7"/>
    </row>
    <row r="12" spans="2:11" ht="14.25" customHeight="1">
      <c r="B12" s="7"/>
      <c r="C12" s="273"/>
      <c r="D12" s="274"/>
      <c r="E12" s="275"/>
      <c r="F12" s="7"/>
      <c r="G12" s="241"/>
      <c r="H12" s="241"/>
      <c r="I12" s="241"/>
      <c r="J12" s="241"/>
      <c r="K12" s="7"/>
    </row>
    <row r="13" spans="2:11" ht="17.25" customHeight="1">
      <c r="B13" s="7"/>
      <c r="C13" s="138" t="s">
        <v>63</v>
      </c>
      <c r="D13" s="138"/>
      <c r="E13" s="138"/>
      <c r="F13" s="138"/>
      <c r="G13" s="138"/>
      <c r="H13" s="138"/>
      <c r="I13" s="138"/>
      <c r="J13" s="138"/>
      <c r="K13" s="7"/>
    </row>
    <row r="14" spans="2:11" ht="23.25" customHeight="1">
      <c r="B14" s="7"/>
      <c r="C14" s="268"/>
      <c r="D14" s="268"/>
      <c r="E14" s="268"/>
      <c r="F14" s="268"/>
      <c r="G14" s="268"/>
      <c r="H14" s="268"/>
      <c r="I14" s="268"/>
      <c r="J14" s="268"/>
      <c r="K14" s="7"/>
    </row>
    <row r="15" spans="2:11" ht="32.25" customHeight="1">
      <c r="B15" s="7"/>
      <c r="C15" s="4" t="s">
        <v>0</v>
      </c>
      <c r="D15" s="4" t="s">
        <v>32</v>
      </c>
      <c r="E15" s="4" t="s">
        <v>33</v>
      </c>
      <c r="F15" s="4" t="s">
        <v>34</v>
      </c>
      <c r="G15" s="4" t="s">
        <v>35</v>
      </c>
      <c r="H15" s="4" t="s">
        <v>130</v>
      </c>
      <c r="I15" s="4" t="s">
        <v>1</v>
      </c>
      <c r="J15" s="4" t="s">
        <v>2</v>
      </c>
      <c r="K15" s="7"/>
    </row>
    <row r="16" spans="2:11">
      <c r="B16" s="7"/>
      <c r="C16" s="2" t="s">
        <v>27</v>
      </c>
      <c r="D16" s="23" t="s">
        <v>5</v>
      </c>
      <c r="E16" s="25" t="s">
        <v>41</v>
      </c>
      <c r="F16" s="25" t="s">
        <v>66</v>
      </c>
      <c r="G16" s="25" t="s">
        <v>46</v>
      </c>
      <c r="H16" s="25" t="s">
        <v>132</v>
      </c>
      <c r="I16" s="3" t="s">
        <v>134</v>
      </c>
      <c r="J16" s="2" t="s">
        <v>122</v>
      </c>
      <c r="K16" s="7"/>
    </row>
    <row r="17" spans="2:11">
      <c r="B17" s="7"/>
      <c r="C17" s="2" t="s">
        <v>28</v>
      </c>
      <c r="D17" s="23" t="s">
        <v>36</v>
      </c>
      <c r="E17" s="26" t="s">
        <v>49</v>
      </c>
      <c r="F17" s="26" t="s">
        <v>45</v>
      </c>
      <c r="G17" s="26" t="s">
        <v>7</v>
      </c>
      <c r="H17" s="25" t="s">
        <v>42</v>
      </c>
      <c r="I17" s="3" t="s">
        <v>137</v>
      </c>
      <c r="J17" s="2" t="s">
        <v>138</v>
      </c>
      <c r="K17" s="7"/>
    </row>
    <row r="18" spans="2:11">
      <c r="B18" s="7"/>
      <c r="C18" s="2" t="s">
        <v>29</v>
      </c>
      <c r="D18" s="23" t="s">
        <v>347</v>
      </c>
      <c r="E18" s="26" t="s">
        <v>37</v>
      </c>
      <c r="F18" s="26" t="s">
        <v>67</v>
      </c>
      <c r="G18" s="26" t="s">
        <v>44</v>
      </c>
      <c r="H18" s="26" t="s">
        <v>43</v>
      </c>
      <c r="I18" s="3" t="s">
        <v>9</v>
      </c>
      <c r="J18" s="2" t="s">
        <v>11</v>
      </c>
      <c r="K18" s="7"/>
    </row>
    <row r="19" spans="2:11">
      <c r="B19" s="7"/>
      <c r="C19" s="2" t="s">
        <v>30</v>
      </c>
      <c r="D19" s="23" t="s">
        <v>26</v>
      </c>
      <c r="E19" s="26" t="s">
        <v>269</v>
      </c>
      <c r="F19" s="26" t="s">
        <v>68</v>
      </c>
      <c r="G19" s="26" t="s">
        <v>69</v>
      </c>
      <c r="H19" s="26" t="s">
        <v>131</v>
      </c>
      <c r="I19" s="3" t="s">
        <v>136</v>
      </c>
      <c r="J19" s="2" t="s">
        <v>139</v>
      </c>
      <c r="K19" s="7"/>
    </row>
    <row r="20" spans="2:11">
      <c r="B20" s="7"/>
      <c r="C20" s="2" t="s">
        <v>31</v>
      </c>
      <c r="D20" s="23" t="s">
        <v>48</v>
      </c>
      <c r="E20" s="27" t="s">
        <v>70</v>
      </c>
      <c r="F20" s="26" t="s">
        <v>74</v>
      </c>
      <c r="G20" s="26" t="s">
        <v>72</v>
      </c>
      <c r="H20" s="26" t="s">
        <v>133</v>
      </c>
      <c r="I20" s="3" t="s">
        <v>135</v>
      </c>
      <c r="J20" s="2" t="s">
        <v>10</v>
      </c>
      <c r="K20" s="7"/>
    </row>
    <row r="21" spans="2:11">
      <c r="B21" s="7"/>
      <c r="C21" s="2" t="s">
        <v>95</v>
      </c>
      <c r="D21" s="23" t="s">
        <v>372</v>
      </c>
      <c r="E21" s="27" t="s">
        <v>73</v>
      </c>
      <c r="F21" s="1" t="s">
        <v>224</v>
      </c>
      <c r="G21" s="26" t="s">
        <v>111</v>
      </c>
      <c r="H21" s="43"/>
      <c r="I21" s="24"/>
      <c r="J21" s="3"/>
      <c r="K21" s="7"/>
    </row>
    <row r="22" spans="2:11">
      <c r="B22" s="7"/>
      <c r="C22" s="2" t="s">
        <v>112</v>
      </c>
      <c r="D22" s="23"/>
      <c r="E22" s="26" t="s">
        <v>39</v>
      </c>
      <c r="F22" s="26" t="s">
        <v>50</v>
      </c>
      <c r="G22" s="2" t="s">
        <v>227</v>
      </c>
      <c r="H22" s="43"/>
      <c r="I22" s="24"/>
      <c r="J22" s="3"/>
      <c r="K22" s="7"/>
    </row>
    <row r="23" spans="2:11">
      <c r="B23" s="7"/>
      <c r="C23" s="2" t="s">
        <v>240</v>
      </c>
      <c r="D23" s="23"/>
      <c r="E23" s="26" t="s">
        <v>40</v>
      </c>
      <c r="G23" s="26" t="s">
        <v>50</v>
      </c>
      <c r="H23" s="43"/>
      <c r="I23" s="24"/>
      <c r="J23" s="3"/>
      <c r="K23" s="7"/>
    </row>
    <row r="24" spans="2:11">
      <c r="B24" s="7"/>
      <c r="C24" s="2"/>
      <c r="D24" s="23"/>
      <c r="E24" s="26" t="s">
        <v>270</v>
      </c>
      <c r="F24" s="26"/>
      <c r="G24" s="26"/>
      <c r="H24" s="43"/>
      <c r="I24" s="24"/>
      <c r="J24" s="3"/>
      <c r="K24" s="7"/>
    </row>
    <row r="25" spans="2:11">
      <c r="B25" s="7"/>
      <c r="C25" s="2"/>
      <c r="D25" s="23"/>
      <c r="E25" s="26" t="s">
        <v>50</v>
      </c>
      <c r="F25" s="26"/>
      <c r="G25" s="26"/>
      <c r="H25" s="43"/>
      <c r="I25" s="24"/>
      <c r="J25" s="3"/>
      <c r="K25" s="7"/>
    </row>
    <row r="26" spans="2:11" ht="21.75" customHeight="1">
      <c r="B26" s="7"/>
      <c r="C26" s="7"/>
      <c r="D26" s="7"/>
      <c r="E26" s="7"/>
      <c r="F26" s="7"/>
      <c r="G26" s="7"/>
      <c r="H26" s="7"/>
      <c r="I26" s="7"/>
      <c r="J26" s="7"/>
      <c r="K26" s="7"/>
    </row>
    <row r="27" spans="2:11" ht="20.25">
      <c r="B27" s="7"/>
      <c r="C27" s="44" t="s">
        <v>159</v>
      </c>
      <c r="D27" s="44" t="s">
        <v>156</v>
      </c>
      <c r="E27" s="44"/>
      <c r="F27" s="44"/>
      <c r="G27" s="267" t="s">
        <v>85</v>
      </c>
      <c r="H27" s="267"/>
      <c r="I27" s="267" t="s">
        <v>86</v>
      </c>
      <c r="J27" s="267"/>
      <c r="K27" s="7"/>
    </row>
    <row r="28" spans="2:11" ht="15">
      <c r="B28" s="7"/>
      <c r="C28" s="2" t="s">
        <v>164</v>
      </c>
      <c r="D28" s="2" t="s">
        <v>160</v>
      </c>
      <c r="E28" s="2"/>
      <c r="F28" s="2"/>
      <c r="G28" s="46" t="s">
        <v>143</v>
      </c>
      <c r="H28" s="45"/>
      <c r="I28" s="74" t="s">
        <v>141</v>
      </c>
      <c r="J28" s="75"/>
      <c r="K28" s="7"/>
    </row>
    <row r="29" spans="2:11" ht="15">
      <c r="B29" s="7"/>
      <c r="C29" s="2" t="s">
        <v>165</v>
      </c>
      <c r="D29" s="2" t="s">
        <v>161</v>
      </c>
      <c r="E29" s="2"/>
      <c r="F29" s="2"/>
      <c r="G29" s="46" t="s">
        <v>149</v>
      </c>
      <c r="H29" s="73"/>
      <c r="I29" s="69" t="s">
        <v>241</v>
      </c>
      <c r="J29" s="69"/>
      <c r="K29" s="7"/>
    </row>
    <row r="30" spans="2:11" ht="15">
      <c r="B30" s="7"/>
      <c r="C30" s="2" t="s">
        <v>166</v>
      </c>
      <c r="D30" s="2" t="s">
        <v>162</v>
      </c>
      <c r="E30" s="2"/>
      <c r="F30" s="2"/>
      <c r="G30" s="46" t="s">
        <v>150</v>
      </c>
      <c r="H30" s="73"/>
      <c r="I30" s="69" t="s">
        <v>142</v>
      </c>
      <c r="J30" s="69"/>
      <c r="K30" s="7"/>
    </row>
    <row r="31" spans="2:11" ht="15" customHeight="1">
      <c r="B31" s="7"/>
      <c r="C31" s="2"/>
      <c r="D31" s="2" t="s">
        <v>163</v>
      </c>
      <c r="E31" s="2"/>
      <c r="F31" s="2"/>
      <c r="G31" s="46" t="s">
        <v>92</v>
      </c>
      <c r="H31" s="73"/>
      <c r="I31" s="69" t="s">
        <v>213</v>
      </c>
      <c r="J31" s="69"/>
      <c r="K31" s="7"/>
    </row>
    <row r="32" spans="2:11" ht="15">
      <c r="B32" s="7"/>
      <c r="C32" s="2"/>
      <c r="D32" s="2"/>
      <c r="E32" s="2"/>
      <c r="F32" s="2"/>
      <c r="G32" s="46" t="s">
        <v>244</v>
      </c>
      <c r="H32" s="73"/>
      <c r="I32" s="69" t="s">
        <v>215</v>
      </c>
      <c r="J32" s="69"/>
      <c r="K32" s="7"/>
    </row>
    <row r="33" spans="2:11" ht="15">
      <c r="B33" s="7"/>
      <c r="C33" s="2"/>
      <c r="D33" s="2"/>
      <c r="E33" s="2"/>
      <c r="F33" s="2"/>
      <c r="G33" s="46" t="s">
        <v>147</v>
      </c>
      <c r="H33" s="73"/>
      <c r="I33" s="69" t="s">
        <v>245</v>
      </c>
      <c r="J33" s="69"/>
      <c r="K33" s="7"/>
    </row>
    <row r="34" spans="2:11" ht="15" customHeight="1">
      <c r="B34" s="7"/>
      <c r="C34" s="2"/>
      <c r="D34" s="2"/>
      <c r="E34" s="2"/>
      <c r="F34" s="2"/>
      <c r="G34" s="46" t="s">
        <v>152</v>
      </c>
      <c r="H34" s="73"/>
      <c r="I34" s="69" t="s">
        <v>365</v>
      </c>
      <c r="J34" s="69"/>
      <c r="K34" s="7"/>
    </row>
    <row r="35" spans="2:11" ht="15">
      <c r="B35" s="7"/>
      <c r="C35" s="2"/>
      <c r="D35" s="2"/>
      <c r="E35" s="2"/>
      <c r="F35" s="2"/>
      <c r="G35" s="46" t="s">
        <v>153</v>
      </c>
      <c r="H35" s="73"/>
      <c r="I35" s="69" t="s">
        <v>144</v>
      </c>
      <c r="J35" s="69"/>
      <c r="K35" s="7"/>
    </row>
    <row r="36" spans="2:11" ht="15">
      <c r="B36" s="7"/>
      <c r="C36" s="2"/>
      <c r="D36" s="2"/>
      <c r="E36" s="2"/>
      <c r="F36" s="2"/>
      <c r="G36" s="46" t="s">
        <v>222</v>
      </c>
      <c r="H36" s="73"/>
      <c r="I36" s="69" t="s">
        <v>145</v>
      </c>
      <c r="J36" s="69"/>
      <c r="K36" s="7"/>
    </row>
    <row r="37" spans="2:11" ht="15" customHeight="1">
      <c r="B37" s="7"/>
      <c r="C37" s="2"/>
      <c r="D37" s="2"/>
      <c r="E37" s="2"/>
      <c r="F37" s="2"/>
      <c r="G37" s="46" t="s">
        <v>225</v>
      </c>
      <c r="H37" s="73"/>
      <c r="I37" s="69" t="s">
        <v>221</v>
      </c>
      <c r="J37" s="69"/>
      <c r="K37" s="7"/>
    </row>
    <row r="38" spans="2:11" ht="15">
      <c r="B38" s="7"/>
      <c r="C38" s="2"/>
      <c r="D38" s="2"/>
      <c r="E38" s="2"/>
      <c r="F38" s="2"/>
      <c r="G38" s="46" t="s">
        <v>230</v>
      </c>
      <c r="H38" s="73"/>
      <c r="I38" s="69" t="s">
        <v>246</v>
      </c>
      <c r="J38" s="69"/>
      <c r="K38" s="7"/>
    </row>
    <row r="39" spans="2:11" ht="15">
      <c r="B39" s="7"/>
      <c r="C39" s="2"/>
      <c r="D39" s="2"/>
      <c r="E39" s="2"/>
      <c r="F39" s="2"/>
      <c r="G39" s="1" t="s">
        <v>234</v>
      </c>
      <c r="H39" s="73"/>
      <c r="I39" s="69" t="s">
        <v>148</v>
      </c>
      <c r="J39" s="69"/>
      <c r="K39" s="7"/>
    </row>
    <row r="40" spans="2:11" ht="15" customHeight="1">
      <c r="B40" s="7"/>
      <c r="C40" s="2"/>
      <c r="D40" s="2"/>
      <c r="E40" s="2"/>
      <c r="F40" s="2"/>
      <c r="G40" s="46" t="s">
        <v>250</v>
      </c>
      <c r="H40" s="73"/>
      <c r="I40" s="69" t="s">
        <v>151</v>
      </c>
      <c r="J40" s="69"/>
      <c r="K40" s="7"/>
    </row>
    <row r="41" spans="2:11" ht="15" customHeight="1">
      <c r="B41" s="7"/>
      <c r="C41" s="2"/>
      <c r="D41" s="2"/>
      <c r="E41" s="2"/>
      <c r="F41" s="2"/>
      <c r="G41" s="46" t="s">
        <v>251</v>
      </c>
      <c r="H41" s="73"/>
      <c r="I41" s="69" t="s">
        <v>121</v>
      </c>
      <c r="J41" s="69"/>
      <c r="K41" s="7"/>
    </row>
    <row r="42" spans="2:11" ht="15" customHeight="1">
      <c r="B42" s="7"/>
      <c r="C42" s="2"/>
      <c r="D42" s="2"/>
      <c r="E42" s="2"/>
      <c r="F42" s="2"/>
      <c r="G42" s="46" t="s">
        <v>252</v>
      </c>
      <c r="H42" s="73"/>
      <c r="I42" s="69" t="s">
        <v>154</v>
      </c>
      <c r="J42" s="69"/>
      <c r="K42" s="7"/>
    </row>
    <row r="43" spans="2:11" ht="15">
      <c r="B43" s="7"/>
      <c r="C43" s="2"/>
      <c r="D43" s="2"/>
      <c r="E43" s="2"/>
      <c r="F43" s="2"/>
      <c r="G43" s="1" t="s">
        <v>318</v>
      </c>
      <c r="H43" s="73"/>
      <c r="I43" s="69" t="s">
        <v>212</v>
      </c>
      <c r="J43" s="69"/>
      <c r="K43" s="7"/>
    </row>
    <row r="44" spans="2:11" ht="15" customHeight="1">
      <c r="B44" s="7"/>
      <c r="C44" s="2"/>
      <c r="D44" s="2"/>
      <c r="E44" s="2"/>
      <c r="F44" s="2"/>
      <c r="G44" s="46" t="s">
        <v>325</v>
      </c>
      <c r="H44" s="73"/>
      <c r="I44" s="69" t="s">
        <v>223</v>
      </c>
      <c r="J44" s="69"/>
      <c r="K44" s="7"/>
    </row>
    <row r="45" spans="2:11" ht="15" customHeight="1">
      <c r="B45" s="7"/>
      <c r="C45" s="2"/>
      <c r="D45" s="2"/>
      <c r="E45" s="2"/>
      <c r="F45" s="2"/>
      <c r="G45" s="46" t="s">
        <v>335</v>
      </c>
      <c r="H45" s="73"/>
      <c r="I45" s="69" t="s">
        <v>231</v>
      </c>
      <c r="J45" s="69"/>
      <c r="K45" s="7"/>
    </row>
    <row r="46" spans="2:11" ht="15" customHeight="1">
      <c r="B46" s="7"/>
      <c r="C46" s="2"/>
      <c r="D46" s="2"/>
      <c r="E46" s="2"/>
      <c r="F46" s="2"/>
      <c r="G46" s="46" t="s">
        <v>339</v>
      </c>
      <c r="H46" s="73"/>
      <c r="I46" s="69" t="s">
        <v>235</v>
      </c>
      <c r="J46" s="69"/>
      <c r="K46" s="7"/>
    </row>
    <row r="47" spans="2:11" ht="15">
      <c r="B47" s="7"/>
      <c r="C47" s="2"/>
      <c r="D47" s="2"/>
      <c r="E47" s="2"/>
      <c r="F47" s="2"/>
      <c r="G47" s="1" t="s">
        <v>342</v>
      </c>
      <c r="H47" s="73"/>
      <c r="I47" s="69" t="s">
        <v>248</v>
      </c>
      <c r="J47" s="69"/>
      <c r="K47" s="7"/>
    </row>
    <row r="48" spans="2:11" ht="15" customHeight="1">
      <c r="B48" s="7"/>
      <c r="C48" s="2"/>
      <c r="D48" s="2"/>
      <c r="E48" s="2"/>
      <c r="F48" s="2"/>
      <c r="G48" s="46" t="s">
        <v>354</v>
      </c>
      <c r="H48" s="73"/>
      <c r="I48" s="69" t="s">
        <v>321</v>
      </c>
      <c r="J48" s="69"/>
      <c r="K48" s="7"/>
    </row>
    <row r="49" spans="2:11" ht="15" customHeight="1">
      <c r="B49" s="7"/>
      <c r="C49" s="2"/>
      <c r="D49" s="2"/>
      <c r="E49" s="2"/>
      <c r="F49" s="2"/>
      <c r="G49" s="46" t="s">
        <v>355</v>
      </c>
      <c r="H49" s="73"/>
      <c r="I49" s="69" t="s">
        <v>328</v>
      </c>
      <c r="J49" s="69"/>
      <c r="K49" s="7"/>
    </row>
    <row r="50" spans="2:11" ht="15" customHeight="1">
      <c r="B50" s="7"/>
      <c r="C50" s="2"/>
      <c r="D50" s="2"/>
      <c r="E50" s="2"/>
      <c r="F50" s="2"/>
      <c r="G50" s="46" t="s">
        <v>356</v>
      </c>
      <c r="H50" s="73"/>
      <c r="I50" s="69" t="s">
        <v>331</v>
      </c>
      <c r="J50" s="69"/>
      <c r="K50" s="7"/>
    </row>
    <row r="51" spans="2:11" ht="15">
      <c r="B51" s="7"/>
      <c r="C51" s="2"/>
      <c r="D51" s="2"/>
      <c r="E51" s="2"/>
      <c r="F51" s="2"/>
      <c r="G51" s="1" t="s">
        <v>363</v>
      </c>
      <c r="H51" s="73"/>
      <c r="I51" s="69" t="s">
        <v>336</v>
      </c>
      <c r="J51" s="69"/>
      <c r="K51" s="7"/>
    </row>
    <row r="52" spans="2:11" ht="15" customHeight="1">
      <c r="B52" s="7"/>
      <c r="C52" s="2"/>
      <c r="D52" s="2"/>
      <c r="E52" s="2"/>
      <c r="F52" s="2"/>
      <c r="G52" s="46"/>
      <c r="H52" s="73"/>
      <c r="I52" s="69" t="s">
        <v>340</v>
      </c>
      <c r="J52" s="69"/>
      <c r="K52" s="7"/>
    </row>
    <row r="53" spans="2:11" ht="15" customHeight="1">
      <c r="B53" s="7"/>
      <c r="C53" s="2"/>
      <c r="D53" s="2"/>
      <c r="E53" s="2"/>
      <c r="F53" s="2"/>
      <c r="G53" s="46"/>
      <c r="H53" s="73"/>
      <c r="I53" s="69" t="s">
        <v>359</v>
      </c>
      <c r="J53" s="69"/>
      <c r="K53" s="7"/>
    </row>
    <row r="54" spans="2:11" ht="15" customHeight="1">
      <c r="B54" s="7"/>
      <c r="C54" s="2"/>
      <c r="D54" s="2"/>
      <c r="E54" s="2"/>
      <c r="F54" s="2"/>
      <c r="G54" s="46"/>
      <c r="H54" s="73"/>
      <c r="I54" s="69" t="s">
        <v>364</v>
      </c>
      <c r="J54" s="69"/>
      <c r="K54" s="7"/>
    </row>
    <row r="55" spans="2:11" ht="15.75">
      <c r="B55" s="7"/>
      <c r="C55" s="2"/>
      <c r="D55" s="2"/>
      <c r="E55" s="2"/>
      <c r="F55" s="2"/>
      <c r="H55" s="73"/>
      <c r="I55" s="69" t="s">
        <v>371</v>
      </c>
      <c r="J55" s="69"/>
      <c r="K55" s="7"/>
    </row>
    <row r="56" spans="2:11" ht="15">
      <c r="B56" s="7"/>
      <c r="F56" s="2"/>
      <c r="G56" s="71"/>
      <c r="H56" s="72"/>
      <c r="I56" s="69" t="s">
        <v>397</v>
      </c>
      <c r="J56" s="69"/>
      <c r="K56" s="7"/>
    </row>
    <row r="57" spans="2:11" ht="15">
      <c r="B57" s="7"/>
      <c r="F57" s="2"/>
      <c r="G57" s="71"/>
      <c r="H57" s="72"/>
      <c r="I57" s="69"/>
      <c r="J57" s="69"/>
      <c r="K57" s="7"/>
    </row>
    <row r="58" spans="2:11" ht="15">
      <c r="B58" s="7"/>
      <c r="F58" s="2"/>
      <c r="G58" s="71"/>
      <c r="H58" s="72"/>
      <c r="I58" s="69"/>
      <c r="J58" s="69"/>
      <c r="K58" s="7"/>
    </row>
    <row r="59" spans="2:11" ht="15">
      <c r="B59" s="7"/>
      <c r="F59" s="2"/>
      <c r="G59" s="71"/>
      <c r="H59" s="72"/>
      <c r="I59" s="69"/>
      <c r="J59" s="69"/>
      <c r="K59" s="7"/>
    </row>
    <row r="60" spans="2:11" ht="15">
      <c r="B60" s="7"/>
      <c r="F60" s="2"/>
      <c r="G60" s="71"/>
      <c r="H60" s="72"/>
      <c r="I60" s="69"/>
      <c r="J60" s="69"/>
      <c r="K60" s="7"/>
    </row>
    <row r="61" spans="2:11" ht="15">
      <c r="B61" s="7"/>
      <c r="F61" s="2"/>
      <c r="G61" s="71"/>
      <c r="H61" s="72"/>
      <c r="I61" s="69"/>
      <c r="J61" s="69"/>
      <c r="K61" s="7"/>
    </row>
    <row r="62" spans="2:11" ht="15">
      <c r="B62" s="7"/>
      <c r="F62" s="2"/>
      <c r="G62" s="71"/>
      <c r="H62" s="72"/>
      <c r="I62" s="69"/>
      <c r="J62" s="69"/>
      <c r="K62" s="7"/>
    </row>
    <row r="63" spans="2:11" ht="15">
      <c r="B63" s="7"/>
      <c r="F63" s="2"/>
      <c r="G63" s="71"/>
      <c r="H63" s="72"/>
      <c r="I63" s="69"/>
      <c r="J63" s="69"/>
      <c r="K63" s="7"/>
    </row>
    <row r="64" spans="2:11" ht="15">
      <c r="B64" s="7"/>
      <c r="F64" s="2"/>
      <c r="G64" s="71"/>
      <c r="H64" s="72"/>
      <c r="I64" s="69"/>
      <c r="J64" s="69"/>
      <c r="K64" s="7"/>
    </row>
    <row r="65" spans="2:11" ht="15">
      <c r="B65" s="7"/>
      <c r="F65" s="2"/>
      <c r="G65" s="71"/>
      <c r="H65" s="72"/>
      <c r="I65" s="69"/>
      <c r="J65" s="69"/>
      <c r="K65" s="7"/>
    </row>
    <row r="66" spans="2:11" ht="15">
      <c r="B66" s="7"/>
      <c r="F66" s="2"/>
      <c r="G66" s="71"/>
      <c r="H66" s="72"/>
      <c r="I66" s="69"/>
      <c r="J66" s="69"/>
      <c r="K66" s="7"/>
    </row>
    <row r="67" spans="2:11" ht="15">
      <c r="B67" s="7"/>
      <c r="G67" s="69"/>
      <c r="H67" s="70"/>
      <c r="I67" s="69"/>
      <c r="J67" s="69"/>
      <c r="K67" s="7"/>
    </row>
    <row r="68" spans="2:11">
      <c r="B68" s="7"/>
      <c r="C68" s="7"/>
      <c r="D68" s="7"/>
      <c r="E68" s="7"/>
      <c r="F68" s="7"/>
      <c r="G68" s="7"/>
      <c r="H68" s="7"/>
      <c r="I68" s="7"/>
      <c r="J68" s="7"/>
      <c r="K68" s="7"/>
    </row>
  </sheetData>
  <mergeCells count="9">
    <mergeCell ref="G27:H27"/>
    <mergeCell ref="I27:J27"/>
    <mergeCell ref="C2:F2"/>
    <mergeCell ref="C4:E4"/>
    <mergeCell ref="C3:J3"/>
    <mergeCell ref="C13:J14"/>
    <mergeCell ref="C5:E6"/>
    <mergeCell ref="C7:E12"/>
    <mergeCell ref="G5:J1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20"/>
  <sheetViews>
    <sheetView zoomScale="60" zoomScaleNormal="60" workbookViewId="0">
      <selection activeCell="G52" sqref="G52"/>
    </sheetView>
  </sheetViews>
  <sheetFormatPr baseColWidth="10" defaultRowHeight="15"/>
  <cols>
    <col min="1" max="1" width="2.5703125" customWidth="1"/>
    <col min="3" max="3" width="39.85546875" customWidth="1"/>
    <col min="4" max="4" width="49.7109375" customWidth="1"/>
    <col min="5" max="5" width="57.5703125" customWidth="1"/>
  </cols>
  <sheetData>
    <row r="2" spans="2:6" s="1" customFormat="1" ht="24" customHeight="1">
      <c r="B2" s="234"/>
      <c r="C2" s="234"/>
      <c r="D2" s="234"/>
      <c r="E2" s="234"/>
      <c r="F2" s="9"/>
    </row>
    <row r="3" spans="2:6" s="1" customFormat="1" ht="33.75" customHeight="1">
      <c r="B3" s="9"/>
      <c r="C3" s="235" t="s">
        <v>60</v>
      </c>
      <c r="D3" s="235"/>
      <c r="E3" s="235"/>
      <c r="F3" s="9"/>
    </row>
    <row r="4" spans="2:6" s="1" customFormat="1" ht="9.75" customHeight="1">
      <c r="B4" s="9"/>
      <c r="C4" s="234"/>
      <c r="D4" s="234"/>
      <c r="E4" s="234"/>
      <c r="F4" s="9"/>
    </row>
    <row r="5" spans="2:6" s="1" customFormat="1" ht="25.5" customHeight="1">
      <c r="B5" s="9"/>
      <c r="C5" s="278" t="s">
        <v>53</v>
      </c>
      <c r="D5" s="278"/>
      <c r="E5" s="238"/>
      <c r="F5" s="9"/>
    </row>
    <row r="6" spans="2:6" s="1" customFormat="1" ht="14.25" customHeight="1">
      <c r="B6" s="9"/>
      <c r="C6" s="139" t="s">
        <v>280</v>
      </c>
      <c r="D6" s="139"/>
      <c r="E6" s="279"/>
      <c r="F6" s="9"/>
    </row>
    <row r="7" spans="2:6" s="1" customFormat="1" ht="14.25" customHeight="1">
      <c r="B7" s="9"/>
      <c r="C7" s="139"/>
      <c r="D7" s="139"/>
      <c r="E7" s="279"/>
      <c r="F7" s="9"/>
    </row>
    <row r="8" spans="2:6" s="1" customFormat="1" ht="14.25" customHeight="1">
      <c r="B8" s="9"/>
      <c r="C8" s="139"/>
      <c r="D8" s="139"/>
      <c r="E8" s="279"/>
      <c r="F8" s="9"/>
    </row>
    <row r="9" spans="2:6" s="1" customFormat="1" ht="14.25" customHeight="1">
      <c r="B9" s="9"/>
      <c r="C9" s="139"/>
      <c r="D9" s="139"/>
      <c r="E9" s="279"/>
      <c r="F9" s="9"/>
    </row>
    <row r="10" spans="2:6" s="1" customFormat="1" ht="14.25" customHeight="1">
      <c r="B10" s="9"/>
      <c r="C10" s="139"/>
      <c r="D10" s="139"/>
      <c r="E10" s="279"/>
      <c r="F10" s="9"/>
    </row>
    <row r="11" spans="2:6" s="1" customFormat="1" ht="14.25" customHeight="1">
      <c r="B11" s="9"/>
      <c r="C11" s="139"/>
      <c r="D11" s="139"/>
      <c r="E11" s="279"/>
      <c r="F11" s="9"/>
    </row>
    <row r="12" spans="2:6" s="1" customFormat="1" ht="14.25" customHeight="1">
      <c r="B12" s="9"/>
      <c r="C12" s="139"/>
      <c r="D12" s="139"/>
      <c r="E12" s="280"/>
      <c r="F12" s="9"/>
    </row>
    <row r="13" spans="2:6" s="1" customFormat="1" ht="17.25" customHeight="1">
      <c r="B13" s="9"/>
      <c r="C13" s="276" t="s">
        <v>3</v>
      </c>
      <c r="D13" s="276"/>
      <c r="E13" s="276"/>
      <c r="F13" s="9"/>
    </row>
    <row r="14" spans="2:6" s="1" customFormat="1" ht="23.25" customHeight="1">
      <c r="B14" s="9"/>
      <c r="C14" s="239"/>
      <c r="D14" s="239"/>
      <c r="E14" s="239"/>
      <c r="F14" s="9"/>
    </row>
    <row r="15" spans="2:6" ht="18.75" customHeight="1" thickBot="1">
      <c r="B15" s="8"/>
      <c r="C15" s="277"/>
      <c r="D15" s="277"/>
      <c r="E15" s="277"/>
      <c r="F15" s="8"/>
    </row>
    <row r="16" spans="2:6" ht="45.75" customHeight="1" thickBot="1">
      <c r="B16" s="8"/>
      <c r="C16" s="15" t="s">
        <v>12</v>
      </c>
      <c r="D16" s="16" t="s">
        <v>13</v>
      </c>
      <c r="E16" s="16" t="s">
        <v>14</v>
      </c>
      <c r="F16" s="8"/>
    </row>
    <row r="17" spans="2:6" ht="45.75" customHeight="1" thickBot="1">
      <c r="B17" s="8"/>
      <c r="C17" s="17" t="s">
        <v>167</v>
      </c>
      <c r="D17" s="18" t="s">
        <v>170</v>
      </c>
      <c r="E17" s="19" t="s">
        <v>15</v>
      </c>
      <c r="F17" s="8"/>
    </row>
    <row r="18" spans="2:6" ht="45.75" customHeight="1" thickBot="1">
      <c r="B18" s="8"/>
      <c r="C18" s="20" t="s">
        <v>168</v>
      </c>
      <c r="D18" s="18" t="s">
        <v>189</v>
      </c>
      <c r="E18" s="21" t="s">
        <v>16</v>
      </c>
      <c r="F18" s="8"/>
    </row>
    <row r="19" spans="2:6" ht="45.75" customHeight="1" thickBot="1">
      <c r="B19" s="8"/>
      <c r="C19" s="20" t="s">
        <v>169</v>
      </c>
      <c r="D19" s="18" t="s">
        <v>188</v>
      </c>
      <c r="E19" s="22" t="s">
        <v>17</v>
      </c>
      <c r="F19" s="8"/>
    </row>
    <row r="20" spans="2:6" ht="40.5" customHeight="1">
      <c r="B20" s="8"/>
      <c r="C20" s="14"/>
      <c r="D20" s="8"/>
      <c r="E20" s="8"/>
      <c r="F20" s="8"/>
    </row>
  </sheetData>
  <mergeCells count="7">
    <mergeCell ref="B2:E2"/>
    <mergeCell ref="C4:E4"/>
    <mergeCell ref="C3:E3"/>
    <mergeCell ref="C13:E15"/>
    <mergeCell ref="C6:D12"/>
    <mergeCell ref="C5:D5"/>
    <mergeCell ref="E5:E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9"/>
  <sheetViews>
    <sheetView topLeftCell="A31" zoomScale="80" zoomScaleNormal="80" workbookViewId="0">
      <selection activeCell="C44" sqref="C44:E44"/>
    </sheetView>
  </sheetViews>
  <sheetFormatPr baseColWidth="10" defaultRowHeight="14.25"/>
  <cols>
    <col min="1" max="8" width="28.28515625" style="1" customWidth="1"/>
    <col min="9" max="256" width="11.42578125" style="1"/>
    <col min="257" max="257" width="12.28515625" style="1" customWidth="1"/>
    <col min="258" max="263" width="11.42578125" style="1"/>
    <col min="264" max="264" width="62.28515625" style="1" customWidth="1"/>
    <col min="265" max="512" width="11.42578125" style="1"/>
    <col min="513" max="513" width="12.28515625" style="1" customWidth="1"/>
    <col min="514" max="519" width="11.42578125" style="1"/>
    <col min="520" max="520" width="62.28515625" style="1" customWidth="1"/>
    <col min="521" max="768" width="11.42578125" style="1"/>
    <col min="769" max="769" width="12.28515625" style="1" customWidth="1"/>
    <col min="770" max="775" width="11.42578125" style="1"/>
    <col min="776" max="776" width="62.28515625" style="1" customWidth="1"/>
    <col min="777" max="1024" width="11.42578125" style="1"/>
    <col min="1025" max="1025" width="12.28515625" style="1" customWidth="1"/>
    <col min="1026" max="1031" width="11.42578125" style="1"/>
    <col min="1032" max="1032" width="62.28515625" style="1" customWidth="1"/>
    <col min="1033" max="1280" width="11.42578125" style="1"/>
    <col min="1281" max="1281" width="12.28515625" style="1" customWidth="1"/>
    <col min="1282" max="1287" width="11.42578125" style="1"/>
    <col min="1288" max="1288" width="62.28515625" style="1" customWidth="1"/>
    <col min="1289" max="1536" width="11.42578125" style="1"/>
    <col min="1537" max="1537" width="12.28515625" style="1" customWidth="1"/>
    <col min="1538" max="1543" width="11.42578125" style="1"/>
    <col min="1544" max="1544" width="62.28515625" style="1" customWidth="1"/>
    <col min="1545" max="1792" width="11.42578125" style="1"/>
    <col min="1793" max="1793" width="12.28515625" style="1" customWidth="1"/>
    <col min="1794" max="1799" width="11.42578125" style="1"/>
    <col min="1800" max="1800" width="62.28515625" style="1" customWidth="1"/>
    <col min="1801" max="2048" width="11.42578125" style="1"/>
    <col min="2049" max="2049" width="12.28515625" style="1" customWidth="1"/>
    <col min="2050" max="2055" width="11.42578125" style="1"/>
    <col min="2056" max="2056" width="62.28515625" style="1" customWidth="1"/>
    <col min="2057" max="2304" width="11.42578125" style="1"/>
    <col min="2305" max="2305" width="12.28515625" style="1" customWidth="1"/>
    <col min="2306" max="2311" width="11.42578125" style="1"/>
    <col min="2312" max="2312" width="62.28515625" style="1" customWidth="1"/>
    <col min="2313" max="2560" width="11.42578125" style="1"/>
    <col min="2561" max="2561" width="12.28515625" style="1" customWidth="1"/>
    <col min="2562" max="2567" width="11.42578125" style="1"/>
    <col min="2568" max="2568" width="62.28515625" style="1" customWidth="1"/>
    <col min="2569" max="2816" width="11.42578125" style="1"/>
    <col min="2817" max="2817" width="12.28515625" style="1" customWidth="1"/>
    <col min="2818" max="2823" width="11.42578125" style="1"/>
    <col min="2824" max="2824" width="62.28515625" style="1" customWidth="1"/>
    <col min="2825" max="3072" width="11.42578125" style="1"/>
    <col min="3073" max="3073" width="12.28515625" style="1" customWidth="1"/>
    <col min="3074" max="3079" width="11.42578125" style="1"/>
    <col min="3080" max="3080" width="62.28515625" style="1" customWidth="1"/>
    <col min="3081" max="3328" width="11.42578125" style="1"/>
    <col min="3329" max="3329" width="12.28515625" style="1" customWidth="1"/>
    <col min="3330" max="3335" width="11.42578125" style="1"/>
    <col min="3336" max="3336" width="62.28515625" style="1" customWidth="1"/>
    <col min="3337" max="3584" width="11.42578125" style="1"/>
    <col min="3585" max="3585" width="12.28515625" style="1" customWidth="1"/>
    <col min="3586" max="3591" width="11.42578125" style="1"/>
    <col min="3592" max="3592" width="62.28515625" style="1" customWidth="1"/>
    <col min="3593" max="3840" width="11.42578125" style="1"/>
    <col min="3841" max="3841" width="12.28515625" style="1" customWidth="1"/>
    <col min="3842" max="3847" width="11.42578125" style="1"/>
    <col min="3848" max="3848" width="62.28515625" style="1" customWidth="1"/>
    <col min="3849" max="4096" width="11.42578125" style="1"/>
    <col min="4097" max="4097" width="12.28515625" style="1" customWidth="1"/>
    <col min="4098" max="4103" width="11.42578125" style="1"/>
    <col min="4104" max="4104" width="62.28515625" style="1" customWidth="1"/>
    <col min="4105" max="4352" width="11.42578125" style="1"/>
    <col min="4353" max="4353" width="12.28515625" style="1" customWidth="1"/>
    <col min="4354" max="4359" width="11.42578125" style="1"/>
    <col min="4360" max="4360" width="62.28515625" style="1" customWidth="1"/>
    <col min="4361" max="4608" width="11.42578125" style="1"/>
    <col min="4609" max="4609" width="12.28515625" style="1" customWidth="1"/>
    <col min="4610" max="4615" width="11.42578125" style="1"/>
    <col min="4616" max="4616" width="62.28515625" style="1" customWidth="1"/>
    <col min="4617" max="4864" width="11.42578125" style="1"/>
    <col min="4865" max="4865" width="12.28515625" style="1" customWidth="1"/>
    <col min="4866" max="4871" width="11.42578125" style="1"/>
    <col min="4872" max="4872" width="62.28515625" style="1" customWidth="1"/>
    <col min="4873" max="5120" width="11.42578125" style="1"/>
    <col min="5121" max="5121" width="12.28515625" style="1" customWidth="1"/>
    <col min="5122" max="5127" width="11.42578125" style="1"/>
    <col min="5128" max="5128" width="62.28515625" style="1" customWidth="1"/>
    <col min="5129" max="5376" width="11.42578125" style="1"/>
    <col min="5377" max="5377" width="12.28515625" style="1" customWidth="1"/>
    <col min="5378" max="5383" width="11.42578125" style="1"/>
    <col min="5384" max="5384" width="62.28515625" style="1" customWidth="1"/>
    <col min="5385" max="5632" width="11.42578125" style="1"/>
    <col min="5633" max="5633" width="12.28515625" style="1" customWidth="1"/>
    <col min="5634" max="5639" width="11.42578125" style="1"/>
    <col min="5640" max="5640" width="62.28515625" style="1" customWidth="1"/>
    <col min="5641" max="5888" width="11.42578125" style="1"/>
    <col min="5889" max="5889" width="12.28515625" style="1" customWidth="1"/>
    <col min="5890" max="5895" width="11.42578125" style="1"/>
    <col min="5896" max="5896" width="62.28515625" style="1" customWidth="1"/>
    <col min="5897" max="6144" width="11.42578125" style="1"/>
    <col min="6145" max="6145" width="12.28515625" style="1" customWidth="1"/>
    <col min="6146" max="6151" width="11.42578125" style="1"/>
    <col min="6152" max="6152" width="62.28515625" style="1" customWidth="1"/>
    <col min="6153" max="6400" width="11.42578125" style="1"/>
    <col min="6401" max="6401" width="12.28515625" style="1" customWidth="1"/>
    <col min="6402" max="6407" width="11.42578125" style="1"/>
    <col min="6408" max="6408" width="62.28515625" style="1" customWidth="1"/>
    <col min="6409" max="6656" width="11.42578125" style="1"/>
    <col min="6657" max="6657" width="12.28515625" style="1" customWidth="1"/>
    <col min="6658" max="6663" width="11.42578125" style="1"/>
    <col min="6664" max="6664" width="62.28515625" style="1" customWidth="1"/>
    <col min="6665" max="6912" width="11.42578125" style="1"/>
    <col min="6913" max="6913" width="12.28515625" style="1" customWidth="1"/>
    <col min="6914" max="6919" width="11.42578125" style="1"/>
    <col min="6920" max="6920" width="62.28515625" style="1" customWidth="1"/>
    <col min="6921" max="7168" width="11.42578125" style="1"/>
    <col min="7169" max="7169" width="12.28515625" style="1" customWidth="1"/>
    <col min="7170" max="7175" width="11.42578125" style="1"/>
    <col min="7176" max="7176" width="62.28515625" style="1" customWidth="1"/>
    <col min="7177" max="7424" width="11.42578125" style="1"/>
    <col min="7425" max="7425" width="12.28515625" style="1" customWidth="1"/>
    <col min="7426" max="7431" width="11.42578125" style="1"/>
    <col min="7432" max="7432" width="62.28515625" style="1" customWidth="1"/>
    <col min="7433" max="7680" width="11.42578125" style="1"/>
    <col min="7681" max="7681" width="12.28515625" style="1" customWidth="1"/>
    <col min="7682" max="7687" width="11.42578125" style="1"/>
    <col min="7688" max="7688" width="62.28515625" style="1" customWidth="1"/>
    <col min="7689" max="7936" width="11.42578125" style="1"/>
    <col min="7937" max="7937" width="12.28515625" style="1" customWidth="1"/>
    <col min="7938" max="7943" width="11.42578125" style="1"/>
    <col min="7944" max="7944" width="62.28515625" style="1" customWidth="1"/>
    <col min="7945" max="8192" width="11.42578125" style="1"/>
    <col min="8193" max="8193" width="12.28515625" style="1" customWidth="1"/>
    <col min="8194" max="8199" width="11.42578125" style="1"/>
    <col min="8200" max="8200" width="62.28515625" style="1" customWidth="1"/>
    <col min="8201" max="8448" width="11.42578125" style="1"/>
    <col min="8449" max="8449" width="12.28515625" style="1" customWidth="1"/>
    <col min="8450" max="8455" width="11.42578125" style="1"/>
    <col min="8456" max="8456" width="62.28515625" style="1" customWidth="1"/>
    <col min="8457" max="8704" width="11.42578125" style="1"/>
    <col min="8705" max="8705" width="12.28515625" style="1" customWidth="1"/>
    <col min="8706" max="8711" width="11.42578125" style="1"/>
    <col min="8712" max="8712" width="62.28515625" style="1" customWidth="1"/>
    <col min="8713" max="8960" width="11.42578125" style="1"/>
    <col min="8961" max="8961" width="12.28515625" style="1" customWidth="1"/>
    <col min="8962" max="8967" width="11.42578125" style="1"/>
    <col min="8968" max="8968" width="62.28515625" style="1" customWidth="1"/>
    <col min="8969" max="9216" width="11.42578125" style="1"/>
    <col min="9217" max="9217" width="12.28515625" style="1" customWidth="1"/>
    <col min="9218" max="9223" width="11.42578125" style="1"/>
    <col min="9224" max="9224" width="62.28515625" style="1" customWidth="1"/>
    <col min="9225" max="9472" width="11.42578125" style="1"/>
    <col min="9473" max="9473" width="12.28515625" style="1" customWidth="1"/>
    <col min="9474" max="9479" width="11.42578125" style="1"/>
    <col min="9480" max="9480" width="62.28515625" style="1" customWidth="1"/>
    <col min="9481" max="9728" width="11.42578125" style="1"/>
    <col min="9729" max="9729" width="12.28515625" style="1" customWidth="1"/>
    <col min="9730" max="9735" width="11.42578125" style="1"/>
    <col min="9736" max="9736" width="62.28515625" style="1" customWidth="1"/>
    <col min="9737" max="9984" width="11.42578125" style="1"/>
    <col min="9985" max="9985" width="12.28515625" style="1" customWidth="1"/>
    <col min="9986" max="9991" width="11.42578125" style="1"/>
    <col min="9992" max="9992" width="62.28515625" style="1" customWidth="1"/>
    <col min="9993" max="10240" width="11.42578125" style="1"/>
    <col min="10241" max="10241" width="12.28515625" style="1" customWidth="1"/>
    <col min="10242" max="10247" width="11.42578125" style="1"/>
    <col min="10248" max="10248" width="62.28515625" style="1" customWidth="1"/>
    <col min="10249" max="10496" width="11.42578125" style="1"/>
    <col min="10497" max="10497" width="12.28515625" style="1" customWidth="1"/>
    <col min="10498" max="10503" width="11.42578125" style="1"/>
    <col min="10504" max="10504" width="62.28515625" style="1" customWidth="1"/>
    <col min="10505" max="10752" width="11.42578125" style="1"/>
    <col min="10753" max="10753" width="12.28515625" style="1" customWidth="1"/>
    <col min="10754" max="10759" width="11.42578125" style="1"/>
    <col min="10760" max="10760" width="62.28515625" style="1" customWidth="1"/>
    <col min="10761" max="11008" width="11.42578125" style="1"/>
    <col min="11009" max="11009" width="12.28515625" style="1" customWidth="1"/>
    <col min="11010" max="11015" width="11.42578125" style="1"/>
    <col min="11016" max="11016" width="62.28515625" style="1" customWidth="1"/>
    <col min="11017" max="11264" width="11.42578125" style="1"/>
    <col min="11265" max="11265" width="12.28515625" style="1" customWidth="1"/>
    <col min="11266" max="11271" width="11.42578125" style="1"/>
    <col min="11272" max="11272" width="62.28515625" style="1" customWidth="1"/>
    <col min="11273" max="11520" width="11.42578125" style="1"/>
    <col min="11521" max="11521" width="12.28515625" style="1" customWidth="1"/>
    <col min="11522" max="11527" width="11.42578125" style="1"/>
    <col min="11528" max="11528" width="62.28515625" style="1" customWidth="1"/>
    <col min="11529" max="11776" width="11.42578125" style="1"/>
    <col min="11777" max="11777" width="12.28515625" style="1" customWidth="1"/>
    <col min="11778" max="11783" width="11.42578125" style="1"/>
    <col min="11784" max="11784" width="62.28515625" style="1" customWidth="1"/>
    <col min="11785" max="12032" width="11.42578125" style="1"/>
    <col min="12033" max="12033" width="12.28515625" style="1" customWidth="1"/>
    <col min="12034" max="12039" width="11.42578125" style="1"/>
    <col min="12040" max="12040" width="62.28515625" style="1" customWidth="1"/>
    <col min="12041" max="12288" width="11.42578125" style="1"/>
    <col min="12289" max="12289" width="12.28515625" style="1" customWidth="1"/>
    <col min="12290" max="12295" width="11.42578125" style="1"/>
    <col min="12296" max="12296" width="62.28515625" style="1" customWidth="1"/>
    <col min="12297" max="12544" width="11.42578125" style="1"/>
    <col min="12545" max="12545" width="12.28515625" style="1" customWidth="1"/>
    <col min="12546" max="12551" width="11.42578125" style="1"/>
    <col min="12552" max="12552" width="62.28515625" style="1" customWidth="1"/>
    <col min="12553" max="12800" width="11.42578125" style="1"/>
    <col min="12801" max="12801" width="12.28515625" style="1" customWidth="1"/>
    <col min="12802" max="12807" width="11.42578125" style="1"/>
    <col min="12808" max="12808" width="62.28515625" style="1" customWidth="1"/>
    <col min="12809" max="13056" width="11.42578125" style="1"/>
    <col min="13057" max="13057" width="12.28515625" style="1" customWidth="1"/>
    <col min="13058" max="13063" width="11.42578125" style="1"/>
    <col min="13064" max="13064" width="62.28515625" style="1" customWidth="1"/>
    <col min="13065" max="13312" width="11.42578125" style="1"/>
    <col min="13313" max="13313" width="12.28515625" style="1" customWidth="1"/>
    <col min="13314" max="13319" width="11.42578125" style="1"/>
    <col min="13320" max="13320" width="62.28515625" style="1" customWidth="1"/>
    <col min="13321" max="13568" width="11.42578125" style="1"/>
    <col min="13569" max="13569" width="12.28515625" style="1" customWidth="1"/>
    <col min="13570" max="13575" width="11.42578125" style="1"/>
    <col min="13576" max="13576" width="62.28515625" style="1" customWidth="1"/>
    <col min="13577" max="13824" width="11.42578125" style="1"/>
    <col min="13825" max="13825" width="12.28515625" style="1" customWidth="1"/>
    <col min="13826" max="13831" width="11.42578125" style="1"/>
    <col min="13832" max="13832" width="62.28515625" style="1" customWidth="1"/>
    <col min="13833" max="14080" width="11.42578125" style="1"/>
    <col min="14081" max="14081" width="12.28515625" style="1" customWidth="1"/>
    <col min="14082" max="14087" width="11.42578125" style="1"/>
    <col min="14088" max="14088" width="62.28515625" style="1" customWidth="1"/>
    <col min="14089" max="14336" width="11.42578125" style="1"/>
    <col min="14337" max="14337" width="12.28515625" style="1" customWidth="1"/>
    <col min="14338" max="14343" width="11.42578125" style="1"/>
    <col min="14344" max="14344" width="62.28515625" style="1" customWidth="1"/>
    <col min="14345" max="14592" width="11.42578125" style="1"/>
    <col min="14593" max="14593" width="12.28515625" style="1" customWidth="1"/>
    <col min="14594" max="14599" width="11.42578125" style="1"/>
    <col min="14600" max="14600" width="62.28515625" style="1" customWidth="1"/>
    <col min="14601" max="14848" width="11.42578125" style="1"/>
    <col min="14849" max="14849" width="12.28515625" style="1" customWidth="1"/>
    <col min="14850" max="14855" width="11.42578125" style="1"/>
    <col min="14856" max="14856" width="62.28515625" style="1" customWidth="1"/>
    <col min="14857" max="15104" width="11.42578125" style="1"/>
    <col min="15105" max="15105" width="12.28515625" style="1" customWidth="1"/>
    <col min="15106" max="15111" width="11.42578125" style="1"/>
    <col min="15112" max="15112" width="62.28515625" style="1" customWidth="1"/>
    <col min="15113" max="15360" width="11.42578125" style="1"/>
    <col min="15361" max="15361" width="12.28515625" style="1" customWidth="1"/>
    <col min="15362" max="15367" width="11.42578125" style="1"/>
    <col min="15368" max="15368" width="62.28515625" style="1" customWidth="1"/>
    <col min="15369" max="15616" width="11.42578125" style="1"/>
    <col min="15617" max="15617" width="12.28515625" style="1" customWidth="1"/>
    <col min="15618" max="15623" width="11.42578125" style="1"/>
    <col min="15624" max="15624" width="62.28515625" style="1" customWidth="1"/>
    <col min="15625" max="15872" width="11.42578125" style="1"/>
    <col min="15873" max="15873" width="12.28515625" style="1" customWidth="1"/>
    <col min="15874" max="15879" width="11.42578125" style="1"/>
    <col min="15880" max="15880" width="62.28515625" style="1" customWidth="1"/>
    <col min="15881" max="16128" width="11.42578125" style="1"/>
    <col min="16129" max="16129" width="12.28515625" style="1" customWidth="1"/>
    <col min="16130" max="16135" width="11.42578125" style="1"/>
    <col min="16136" max="16136" width="62.28515625" style="1" customWidth="1"/>
    <col min="16137" max="16384" width="11.42578125" style="1"/>
  </cols>
  <sheetData>
    <row r="1" spans="1:8" ht="31.5" customHeight="1">
      <c r="A1" s="284" t="s">
        <v>96</v>
      </c>
      <c r="B1" s="284"/>
      <c r="C1" s="284"/>
      <c r="D1" s="284"/>
      <c r="E1" s="284"/>
      <c r="F1" s="284"/>
      <c r="G1" s="284"/>
      <c r="H1" s="284"/>
    </row>
    <row r="2" spans="1:8" ht="51.75" customHeight="1">
      <c r="A2" s="285" t="s">
        <v>191</v>
      </c>
      <c r="B2" s="285"/>
      <c r="C2" s="285"/>
      <c r="D2" s="285"/>
      <c r="E2" s="285"/>
      <c r="F2" s="285"/>
      <c r="G2" s="285"/>
      <c r="H2" s="285"/>
    </row>
    <row r="3" spans="1:8" ht="54" customHeight="1">
      <c r="A3" s="285" t="s">
        <v>192</v>
      </c>
      <c r="B3" s="285"/>
      <c r="C3" s="285"/>
      <c r="D3" s="285"/>
      <c r="E3" s="285"/>
      <c r="F3" s="285"/>
      <c r="G3" s="285"/>
      <c r="H3" s="285"/>
    </row>
    <row r="4" spans="1:8">
      <c r="A4" s="241"/>
      <c r="B4" s="241"/>
      <c r="C4" s="241"/>
      <c r="D4" s="241"/>
      <c r="E4" s="241"/>
      <c r="F4" s="241"/>
      <c r="G4" s="241"/>
      <c r="H4" s="241"/>
    </row>
    <row r="5" spans="1:8" ht="18">
      <c r="A5" s="286" t="s">
        <v>97</v>
      </c>
      <c r="B5" s="286"/>
      <c r="C5" s="286"/>
      <c r="D5" s="286"/>
      <c r="E5" s="286"/>
      <c r="F5" s="286"/>
      <c r="G5" s="286"/>
      <c r="H5" s="286"/>
    </row>
    <row r="6" spans="1:8">
      <c r="A6" s="241"/>
      <c r="B6" s="241"/>
      <c r="C6" s="241"/>
      <c r="D6" s="241"/>
      <c r="E6" s="241"/>
      <c r="F6" s="241"/>
      <c r="G6" s="241"/>
      <c r="H6" s="241"/>
    </row>
    <row r="7" spans="1:8" ht="15">
      <c r="A7" s="281" t="s">
        <v>193</v>
      </c>
      <c r="B7" s="282"/>
      <c r="C7" s="282"/>
      <c r="D7" s="282"/>
      <c r="E7" s="282"/>
      <c r="F7" s="282"/>
      <c r="G7" s="282"/>
      <c r="H7" s="283"/>
    </row>
    <row r="8" spans="1:8" ht="15">
      <c r="A8" s="287"/>
      <c r="B8" s="287"/>
      <c r="C8" s="287"/>
      <c r="D8" s="287"/>
      <c r="E8" s="287"/>
      <c r="F8" s="287"/>
      <c r="G8" s="287"/>
      <c r="H8" s="287"/>
    </row>
    <row r="9" spans="1:8" ht="15">
      <c r="A9" s="288" t="s">
        <v>194</v>
      </c>
      <c r="B9" s="289"/>
      <c r="C9" s="289"/>
      <c r="D9" s="289"/>
      <c r="E9" s="289"/>
      <c r="F9" s="289"/>
      <c r="G9" s="289"/>
      <c r="H9" s="290"/>
    </row>
    <row r="10" spans="1:8">
      <c r="A10" s="241"/>
      <c r="B10" s="241"/>
      <c r="C10" s="241"/>
      <c r="D10" s="241"/>
      <c r="E10" s="241"/>
      <c r="F10" s="241"/>
      <c r="G10" s="241"/>
      <c r="H10" s="241"/>
    </row>
    <row r="11" spans="1:8" ht="15">
      <c r="A11" s="281" t="s">
        <v>195</v>
      </c>
      <c r="B11" s="282"/>
      <c r="C11" s="282"/>
      <c r="D11" s="282"/>
      <c r="E11" s="282"/>
      <c r="F11" s="282"/>
      <c r="G11" s="282"/>
      <c r="H11" s="283"/>
    </row>
    <row r="12" spans="1:8" ht="15">
      <c r="A12" s="287"/>
      <c r="B12" s="287"/>
      <c r="C12" s="287"/>
      <c r="D12" s="287"/>
      <c r="E12" s="287"/>
      <c r="F12" s="287"/>
      <c r="G12" s="287"/>
      <c r="H12" s="287"/>
    </row>
    <row r="13" spans="1:8" ht="15">
      <c r="A13" s="281" t="s">
        <v>196</v>
      </c>
      <c r="B13" s="289"/>
      <c r="C13" s="289"/>
      <c r="D13" s="289"/>
      <c r="E13" s="289"/>
      <c r="F13" s="289"/>
      <c r="G13" s="289"/>
      <c r="H13" s="290"/>
    </row>
    <row r="14" spans="1:8">
      <c r="A14" s="241"/>
      <c r="B14" s="241"/>
      <c r="C14" s="241"/>
      <c r="D14" s="241"/>
      <c r="E14" s="241"/>
      <c r="F14" s="241"/>
      <c r="G14" s="241"/>
      <c r="H14" s="241"/>
    </row>
    <row r="15" spans="1:8" ht="15">
      <c r="A15" s="288" t="s">
        <v>197</v>
      </c>
      <c r="B15" s="289"/>
      <c r="C15" s="289"/>
      <c r="D15" s="289"/>
      <c r="E15" s="289"/>
      <c r="F15" s="289"/>
      <c r="G15" s="289"/>
      <c r="H15" s="290"/>
    </row>
    <row r="16" spans="1:8">
      <c r="A16" s="241"/>
      <c r="B16" s="241"/>
      <c r="C16" s="241"/>
      <c r="D16" s="241"/>
      <c r="E16" s="241"/>
      <c r="F16" s="241"/>
      <c r="G16" s="241"/>
      <c r="H16" s="241"/>
    </row>
    <row r="17" spans="1:8">
      <c r="A17" s="294" t="s">
        <v>198</v>
      </c>
      <c r="B17" s="295"/>
      <c r="C17" s="295"/>
      <c r="D17" s="295"/>
      <c r="E17" s="295"/>
      <c r="F17" s="295"/>
      <c r="G17" s="295"/>
      <c r="H17" s="296"/>
    </row>
    <row r="18" spans="1:8" ht="15">
      <c r="A18" s="297"/>
      <c r="B18" s="297"/>
      <c r="C18" s="297"/>
      <c r="D18" s="297"/>
      <c r="E18" s="297"/>
      <c r="F18" s="297"/>
      <c r="G18" s="297"/>
      <c r="H18" s="297"/>
    </row>
    <row r="19" spans="1:8" ht="18" customHeight="1">
      <c r="A19" s="288" t="s">
        <v>199</v>
      </c>
      <c r="B19" s="289"/>
      <c r="C19" s="289"/>
      <c r="D19" s="289"/>
      <c r="E19" s="289"/>
      <c r="F19" s="289"/>
      <c r="G19" s="289"/>
      <c r="H19" s="290"/>
    </row>
    <row r="20" spans="1:8" ht="18" customHeight="1">
      <c r="A20" s="241"/>
      <c r="B20" s="241"/>
      <c r="C20" s="241"/>
      <c r="D20" s="241"/>
      <c r="E20" s="241"/>
      <c r="F20" s="241"/>
      <c r="G20" s="241"/>
      <c r="H20" s="241"/>
    </row>
    <row r="21" spans="1:8" ht="20.25" customHeight="1">
      <c r="A21" s="288" t="s">
        <v>200</v>
      </c>
      <c r="B21" s="289"/>
      <c r="C21" s="289"/>
      <c r="D21" s="289"/>
      <c r="E21" s="289"/>
      <c r="F21" s="289"/>
      <c r="G21" s="289"/>
      <c r="H21" s="290"/>
    </row>
    <row r="22" spans="1:8">
      <c r="A22" s="241"/>
      <c r="B22" s="241"/>
      <c r="C22" s="241"/>
      <c r="D22" s="241"/>
      <c r="E22" s="241"/>
      <c r="F22" s="241"/>
      <c r="G22" s="241"/>
      <c r="H22" s="241"/>
    </row>
    <row r="23" spans="1:8" ht="58.5" customHeight="1">
      <c r="A23" s="291" t="s">
        <v>201</v>
      </c>
      <c r="B23" s="292"/>
      <c r="C23" s="292"/>
      <c r="D23" s="292"/>
      <c r="E23" s="292"/>
      <c r="F23" s="292"/>
      <c r="G23" s="292"/>
      <c r="H23" s="293"/>
    </row>
    <row r="24" spans="1:8" ht="15" customHeight="1">
      <c r="A24" s="302" t="s">
        <v>98</v>
      </c>
      <c r="B24" s="303"/>
      <c r="C24" s="303"/>
      <c r="D24" s="303"/>
      <c r="E24" s="303"/>
      <c r="F24" s="303"/>
      <c r="G24" s="303"/>
      <c r="H24" s="303"/>
    </row>
    <row r="25" spans="1:8">
      <c r="A25" s="294" t="s">
        <v>202</v>
      </c>
      <c r="B25" s="289"/>
      <c r="C25" s="289"/>
      <c r="D25" s="289"/>
      <c r="E25" s="289"/>
      <c r="F25" s="289"/>
      <c r="G25" s="289"/>
      <c r="H25" s="290"/>
    </row>
    <row r="26" spans="1:8">
      <c r="A26" s="302"/>
      <c r="B26" s="303"/>
      <c r="C26" s="303"/>
      <c r="D26" s="303"/>
      <c r="E26" s="303"/>
      <c r="F26" s="303"/>
      <c r="G26" s="303"/>
      <c r="H26" s="303"/>
    </row>
    <row r="27" spans="1:8" ht="32.25" customHeight="1">
      <c r="A27" s="298" t="s">
        <v>203</v>
      </c>
      <c r="B27" s="299"/>
      <c r="C27" s="299"/>
      <c r="D27" s="299"/>
      <c r="E27" s="299"/>
      <c r="F27" s="299"/>
      <c r="G27" s="299"/>
      <c r="H27" s="300"/>
    </row>
    <row r="28" spans="1:8">
      <c r="A28" s="241"/>
      <c r="B28" s="241"/>
      <c r="C28" s="241"/>
      <c r="D28" s="241"/>
      <c r="E28" s="241"/>
      <c r="F28" s="241"/>
      <c r="G28" s="241"/>
      <c r="H28" s="241"/>
    </row>
    <row r="29" spans="1:8" ht="15">
      <c r="A29" s="288" t="s">
        <v>204</v>
      </c>
      <c r="B29" s="289"/>
      <c r="C29" s="289"/>
      <c r="D29" s="289"/>
      <c r="E29" s="289"/>
      <c r="F29" s="289"/>
      <c r="G29" s="289"/>
      <c r="H29" s="290"/>
    </row>
    <row r="30" spans="1:8">
      <c r="A30" s="241"/>
      <c r="B30" s="241"/>
      <c r="C30" s="241"/>
      <c r="D30" s="241"/>
      <c r="E30" s="241"/>
      <c r="F30" s="241"/>
      <c r="G30" s="241"/>
      <c r="H30" s="241"/>
    </row>
    <row r="31" spans="1:8" ht="42.75" customHeight="1">
      <c r="A31" s="291" t="s">
        <v>205</v>
      </c>
      <c r="B31" s="304"/>
      <c r="C31" s="304"/>
      <c r="D31" s="304"/>
      <c r="E31" s="304"/>
      <c r="F31" s="304"/>
      <c r="G31" s="304"/>
      <c r="H31" s="305"/>
    </row>
    <row r="32" spans="1:8" ht="15">
      <c r="A32" s="301"/>
      <c r="B32" s="301"/>
      <c r="C32" s="301"/>
      <c r="D32" s="301"/>
      <c r="E32" s="301"/>
      <c r="F32" s="301"/>
      <c r="G32" s="301"/>
      <c r="H32" s="301"/>
    </row>
    <row r="33" spans="1:8" ht="45.75" customHeight="1">
      <c r="A33" s="306" t="s">
        <v>190</v>
      </c>
      <c r="B33" s="306"/>
      <c r="C33" s="306"/>
      <c r="D33" s="306"/>
      <c r="E33" s="306"/>
      <c r="F33" s="306"/>
      <c r="G33" s="306"/>
      <c r="H33" s="306"/>
    </row>
    <row r="35" spans="1:8" ht="15" customHeight="1">
      <c r="A35" s="307" t="s">
        <v>4</v>
      </c>
      <c r="B35" s="307"/>
      <c r="C35" s="307"/>
      <c r="D35" s="307"/>
      <c r="E35" s="307"/>
      <c r="F35" s="307"/>
      <c r="G35" s="307"/>
      <c r="H35" s="307"/>
    </row>
    <row r="36" spans="1:8" ht="15">
      <c r="A36" s="310" t="s">
        <v>99</v>
      </c>
      <c r="B36" s="310"/>
      <c r="C36" s="308" t="s">
        <v>100</v>
      </c>
      <c r="D36" s="308"/>
      <c r="E36" s="308"/>
      <c r="F36" s="309" t="s">
        <v>6</v>
      </c>
      <c r="G36" s="309"/>
      <c r="H36" s="309"/>
    </row>
    <row r="37" spans="1:8" ht="15">
      <c r="A37" s="311" t="s">
        <v>41</v>
      </c>
      <c r="B37" s="311"/>
      <c r="C37" s="312" t="s">
        <v>46</v>
      </c>
      <c r="D37" s="312"/>
      <c r="E37" s="312"/>
      <c r="F37" s="313" t="s">
        <v>47</v>
      </c>
      <c r="G37" s="313"/>
      <c r="H37" s="313"/>
    </row>
    <row r="38" spans="1:8" ht="15">
      <c r="A38" s="311" t="s">
        <v>101</v>
      </c>
      <c r="B38" s="311"/>
      <c r="C38" s="312" t="s">
        <v>44</v>
      </c>
      <c r="D38" s="312"/>
      <c r="E38" s="312"/>
      <c r="F38" s="313" t="s">
        <v>45</v>
      </c>
      <c r="G38" s="313"/>
      <c r="H38" s="313"/>
    </row>
    <row r="39" spans="1:8" ht="15">
      <c r="A39" s="311" t="s">
        <v>51</v>
      </c>
      <c r="B39" s="311"/>
      <c r="C39" s="312" t="s">
        <v>102</v>
      </c>
      <c r="D39" s="312"/>
      <c r="E39" s="312"/>
      <c r="F39" s="313" t="s">
        <v>103</v>
      </c>
      <c r="G39" s="313"/>
      <c r="H39" s="313"/>
    </row>
    <row r="40" spans="1:8" ht="15">
      <c r="A40" s="311" t="s">
        <v>38</v>
      </c>
      <c r="B40" s="311"/>
      <c r="C40" s="312" t="s">
        <v>7</v>
      </c>
      <c r="D40" s="312"/>
      <c r="E40" s="312"/>
      <c r="F40" s="313" t="s">
        <v>104</v>
      </c>
      <c r="G40" s="313"/>
      <c r="H40" s="313"/>
    </row>
    <row r="41" spans="1:8" ht="15">
      <c r="A41" s="311" t="s">
        <v>105</v>
      </c>
      <c r="B41" s="311"/>
      <c r="C41" s="312" t="s">
        <v>106</v>
      </c>
      <c r="D41" s="312"/>
      <c r="E41" s="312"/>
      <c r="F41" s="319" t="s">
        <v>68</v>
      </c>
      <c r="G41" s="320"/>
      <c r="H41" s="321"/>
    </row>
    <row r="42" spans="1:8" ht="15">
      <c r="A42" s="311" t="s">
        <v>40</v>
      </c>
      <c r="B42" s="311"/>
      <c r="C42" s="312" t="s">
        <v>107</v>
      </c>
      <c r="D42" s="312"/>
      <c r="E42" s="312"/>
      <c r="F42" s="322" t="s">
        <v>66</v>
      </c>
      <c r="G42" s="323"/>
      <c r="H42" s="324"/>
    </row>
    <row r="43" spans="1:8" ht="15">
      <c r="A43" s="311" t="s">
        <v>37</v>
      </c>
      <c r="B43" s="311"/>
      <c r="C43" s="312" t="s">
        <v>108</v>
      </c>
      <c r="D43" s="312"/>
      <c r="E43" s="312"/>
      <c r="F43" s="319" t="s">
        <v>74</v>
      </c>
      <c r="G43" s="320"/>
      <c r="H43" s="321"/>
    </row>
    <row r="44" spans="1:8" ht="15">
      <c r="A44" s="314" t="s">
        <v>70</v>
      </c>
      <c r="B44" s="315"/>
      <c r="C44" s="312" t="s">
        <v>402</v>
      </c>
      <c r="D44" s="312"/>
      <c r="E44" s="312"/>
      <c r="F44" s="316"/>
      <c r="G44" s="317"/>
      <c r="H44" s="318"/>
    </row>
    <row r="45" spans="1:8" ht="15">
      <c r="A45" s="314" t="s">
        <v>73</v>
      </c>
      <c r="B45" s="315"/>
      <c r="C45" s="312" t="s">
        <v>109</v>
      </c>
      <c r="D45" s="312"/>
      <c r="E45" s="312"/>
      <c r="F45" s="316"/>
      <c r="G45" s="317"/>
      <c r="H45" s="318"/>
    </row>
    <row r="46" spans="1:8" ht="15">
      <c r="A46" s="314" t="s">
        <v>270</v>
      </c>
      <c r="B46" s="315"/>
      <c r="C46" s="62" t="s">
        <v>69</v>
      </c>
      <c r="D46" s="63"/>
      <c r="E46" s="64"/>
      <c r="F46" s="316"/>
      <c r="G46" s="317"/>
      <c r="H46" s="318"/>
    </row>
    <row r="47" spans="1:8" ht="15">
      <c r="A47" s="326"/>
      <c r="B47" s="327"/>
      <c r="C47" s="328" t="s">
        <v>111</v>
      </c>
      <c r="D47" s="329"/>
      <c r="E47" s="330"/>
      <c r="F47" s="316"/>
      <c r="G47" s="317"/>
      <c r="H47" s="318"/>
    </row>
    <row r="49" spans="1:8" ht="15">
      <c r="A49" s="294" t="s">
        <v>206</v>
      </c>
      <c r="B49" s="282"/>
      <c r="C49" s="282"/>
      <c r="D49" s="282"/>
      <c r="E49" s="282"/>
      <c r="F49" s="282"/>
      <c r="G49" s="282"/>
      <c r="H49" s="283"/>
    </row>
    <row r="50" spans="1:8">
      <c r="A50" s="241"/>
      <c r="B50" s="241"/>
      <c r="C50" s="241"/>
      <c r="D50" s="241"/>
      <c r="E50" s="241"/>
      <c r="F50" s="241"/>
      <c r="G50" s="241"/>
      <c r="H50" s="241"/>
    </row>
    <row r="51" spans="1:8" ht="15">
      <c r="A51" s="281" t="s">
        <v>207</v>
      </c>
      <c r="B51" s="282"/>
      <c r="C51" s="282"/>
      <c r="D51" s="282"/>
      <c r="E51" s="282"/>
      <c r="F51" s="282"/>
      <c r="G51" s="282"/>
      <c r="H51" s="283"/>
    </row>
    <row r="52" spans="1:8">
      <c r="A52" s="241"/>
      <c r="B52" s="241"/>
      <c r="C52" s="241"/>
      <c r="D52" s="241"/>
      <c r="E52" s="241"/>
      <c r="F52" s="241"/>
      <c r="G52" s="241"/>
      <c r="H52" s="241"/>
    </row>
    <row r="53" spans="1:8" ht="15">
      <c r="A53" s="281" t="s">
        <v>208</v>
      </c>
      <c r="B53" s="282"/>
      <c r="C53" s="282"/>
      <c r="D53" s="282"/>
      <c r="E53" s="282"/>
      <c r="F53" s="282"/>
      <c r="G53" s="282"/>
      <c r="H53" s="283"/>
    </row>
    <row r="54" spans="1:8">
      <c r="A54" s="241"/>
      <c r="B54" s="241"/>
      <c r="C54" s="241"/>
      <c r="D54" s="241"/>
      <c r="E54" s="241"/>
      <c r="F54" s="241"/>
      <c r="G54" s="241"/>
      <c r="H54" s="241"/>
    </row>
    <row r="55" spans="1:8" ht="15">
      <c r="A55" s="281" t="s">
        <v>209</v>
      </c>
      <c r="B55" s="282"/>
      <c r="C55" s="282"/>
      <c r="D55" s="282"/>
      <c r="E55" s="282"/>
      <c r="F55" s="282"/>
      <c r="G55" s="282"/>
      <c r="H55" s="283"/>
    </row>
    <row r="56" spans="1:8">
      <c r="A56" s="241"/>
      <c r="B56" s="241"/>
      <c r="C56" s="241"/>
      <c r="D56" s="241"/>
      <c r="E56" s="241"/>
      <c r="F56" s="241"/>
      <c r="G56" s="241"/>
      <c r="H56" s="241"/>
    </row>
    <row r="57" spans="1:8" ht="15">
      <c r="A57" s="281" t="s">
        <v>210</v>
      </c>
      <c r="B57" s="282"/>
      <c r="C57" s="282"/>
      <c r="D57" s="282"/>
      <c r="E57" s="282"/>
      <c r="F57" s="282"/>
      <c r="G57" s="282"/>
      <c r="H57" s="283"/>
    </row>
    <row r="59" spans="1:8" ht="15.75">
      <c r="A59" s="325" t="s">
        <v>110</v>
      </c>
      <c r="B59" s="325"/>
      <c r="C59" s="325"/>
      <c r="D59" s="325"/>
      <c r="E59" s="325"/>
      <c r="F59" s="325"/>
      <c r="G59" s="325"/>
      <c r="H59" s="325"/>
    </row>
  </sheetData>
  <mergeCells count="79">
    <mergeCell ref="A59:H59"/>
    <mergeCell ref="A47:B47"/>
    <mergeCell ref="C47:E47"/>
    <mergeCell ref="F46:H46"/>
    <mergeCell ref="F47:H47"/>
    <mergeCell ref="A54:H54"/>
    <mergeCell ref="A55:H55"/>
    <mergeCell ref="A56:H56"/>
    <mergeCell ref="A57:H57"/>
    <mergeCell ref="A49:H49"/>
    <mergeCell ref="A50:H50"/>
    <mergeCell ref="A51:H51"/>
    <mergeCell ref="A52:H52"/>
    <mergeCell ref="A53:H53"/>
    <mergeCell ref="A46:B46"/>
    <mergeCell ref="A45:B45"/>
    <mergeCell ref="C45:E45"/>
    <mergeCell ref="F45:H45"/>
    <mergeCell ref="A41:B41"/>
    <mergeCell ref="C41:E41"/>
    <mergeCell ref="F41:H41"/>
    <mergeCell ref="F42:H42"/>
    <mergeCell ref="A42:B42"/>
    <mergeCell ref="C42:E42"/>
    <mergeCell ref="A43:B43"/>
    <mergeCell ref="C43:E43"/>
    <mergeCell ref="A44:B44"/>
    <mergeCell ref="C44:E44"/>
    <mergeCell ref="F43:H43"/>
    <mergeCell ref="F44:H44"/>
    <mergeCell ref="A39:B39"/>
    <mergeCell ref="C39:E39"/>
    <mergeCell ref="F39:H39"/>
    <mergeCell ref="A40:B40"/>
    <mergeCell ref="C40:E40"/>
    <mergeCell ref="F40:H40"/>
    <mergeCell ref="A37:B37"/>
    <mergeCell ref="C37:E37"/>
    <mergeCell ref="F37:H37"/>
    <mergeCell ref="A38:B38"/>
    <mergeCell ref="C38:E38"/>
    <mergeCell ref="F38:H38"/>
    <mergeCell ref="A33:H33"/>
    <mergeCell ref="A29:H29"/>
    <mergeCell ref="A35:H35"/>
    <mergeCell ref="A30:H30"/>
    <mergeCell ref="C36:E36"/>
    <mergeCell ref="F36:H36"/>
    <mergeCell ref="A36:B36"/>
    <mergeCell ref="A27:H27"/>
    <mergeCell ref="A32:H32"/>
    <mergeCell ref="A24:H24"/>
    <mergeCell ref="A25:H25"/>
    <mergeCell ref="A26:H26"/>
    <mergeCell ref="A28:H28"/>
    <mergeCell ref="A31:H31"/>
    <mergeCell ref="A23:H23"/>
    <mergeCell ref="A12:H12"/>
    <mergeCell ref="A13:H13"/>
    <mergeCell ref="A14:H14"/>
    <mergeCell ref="A15:H15"/>
    <mergeCell ref="A17:H17"/>
    <mergeCell ref="A19:H19"/>
    <mergeCell ref="A21:H21"/>
    <mergeCell ref="A22:H22"/>
    <mergeCell ref="A20:H20"/>
    <mergeCell ref="A18:H18"/>
    <mergeCell ref="A16:H16"/>
    <mergeCell ref="A11:H11"/>
    <mergeCell ref="A1:H1"/>
    <mergeCell ref="A2:H2"/>
    <mergeCell ref="A3:H3"/>
    <mergeCell ref="A4:H4"/>
    <mergeCell ref="A5:H5"/>
    <mergeCell ref="A6:H6"/>
    <mergeCell ref="A7:H7"/>
    <mergeCell ref="A8:H8"/>
    <mergeCell ref="A9:H9"/>
    <mergeCell ref="A10:H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E1B8F-5A48-4AE9-AF42-0FA1C99040FB}">
  <dimension ref="B1:I85"/>
  <sheetViews>
    <sheetView topLeftCell="A34" zoomScale="64" zoomScaleNormal="64" workbookViewId="0">
      <selection activeCell="E15" sqref="E15:E84"/>
    </sheetView>
  </sheetViews>
  <sheetFormatPr baseColWidth="10" defaultColWidth="11.42578125" defaultRowHeight="14.25"/>
  <cols>
    <col min="1" max="1" width="1.140625" style="1" customWidth="1"/>
    <col min="2" max="2" width="2.5703125" style="1" customWidth="1"/>
    <col min="3" max="3" width="85.5703125" style="1" customWidth="1"/>
    <col min="4" max="4" width="3" style="1" customWidth="1"/>
    <col min="5" max="5" width="87.5703125" style="1" customWidth="1"/>
    <col min="6" max="6" width="2.85546875" style="1" customWidth="1"/>
    <col min="7" max="7" width="4.42578125" style="1" customWidth="1"/>
    <col min="8" max="8" width="82" style="1" customWidth="1"/>
    <col min="9" max="9" width="2.85546875" style="1" customWidth="1"/>
    <col min="10" max="16384" width="11.42578125" style="1"/>
  </cols>
  <sheetData>
    <row r="1" spans="2:9" ht="9.75" customHeight="1"/>
    <row r="2" spans="2:9" ht="12.75" customHeight="1">
      <c r="B2" s="136"/>
      <c r="C2" s="136"/>
      <c r="D2" s="136"/>
      <c r="E2" s="136"/>
      <c r="F2" s="136"/>
      <c r="G2" s="7"/>
      <c r="H2" s="7"/>
      <c r="I2" s="7"/>
    </row>
    <row r="3" spans="2:9" ht="33.75" customHeight="1">
      <c r="B3" s="7"/>
      <c r="C3" s="116" t="s">
        <v>115</v>
      </c>
      <c r="D3" s="116"/>
      <c r="E3" s="116"/>
      <c r="F3" s="116"/>
      <c r="G3" s="116"/>
      <c r="H3" s="116"/>
      <c r="I3" s="7"/>
    </row>
    <row r="4" spans="2:9" ht="9.75" customHeight="1">
      <c r="B4" s="7"/>
      <c r="C4" s="136"/>
      <c r="D4" s="136"/>
      <c r="E4" s="136"/>
      <c r="F4" s="7"/>
      <c r="G4" s="7"/>
      <c r="H4" s="7"/>
      <c r="I4" s="7"/>
    </row>
    <row r="5" spans="2:9" ht="15">
      <c r="B5" s="7"/>
      <c r="C5" s="29" t="s">
        <v>53</v>
      </c>
      <c r="D5" s="140"/>
      <c r="E5" s="140"/>
      <c r="F5" s="7"/>
      <c r="G5" s="140"/>
      <c r="H5" s="140"/>
      <c r="I5" s="7"/>
    </row>
    <row r="6" spans="2:9">
      <c r="B6" s="7"/>
      <c r="C6" s="139" t="s">
        <v>280</v>
      </c>
      <c r="D6" s="140"/>
      <c r="E6" s="140"/>
      <c r="F6" s="7"/>
      <c r="G6" s="140"/>
      <c r="H6" s="140"/>
      <c r="I6" s="7"/>
    </row>
    <row r="7" spans="2:9">
      <c r="B7" s="7"/>
      <c r="C7" s="139"/>
      <c r="D7" s="140"/>
      <c r="E7" s="140"/>
      <c r="F7" s="7"/>
      <c r="G7" s="140"/>
      <c r="H7" s="140"/>
      <c r="I7" s="7"/>
    </row>
    <row r="8" spans="2:9">
      <c r="B8" s="7"/>
      <c r="C8" s="139"/>
      <c r="D8" s="140"/>
      <c r="E8" s="140"/>
      <c r="F8" s="7"/>
      <c r="G8" s="140"/>
      <c r="H8" s="140"/>
      <c r="I8" s="7"/>
    </row>
    <row r="9" spans="2:9">
      <c r="B9" s="7"/>
      <c r="C9" s="139"/>
      <c r="D9" s="140"/>
      <c r="E9" s="140"/>
      <c r="F9" s="7"/>
      <c r="G9" s="140"/>
      <c r="H9" s="140"/>
      <c r="I9" s="7"/>
    </row>
    <row r="10" spans="2:9">
      <c r="B10" s="7"/>
      <c r="C10" s="139"/>
      <c r="D10" s="140"/>
      <c r="E10" s="140"/>
      <c r="F10" s="7"/>
      <c r="G10" s="140"/>
      <c r="H10" s="140"/>
      <c r="I10" s="7"/>
    </row>
    <row r="11" spans="2:9">
      <c r="B11" s="7"/>
      <c r="C11" s="139"/>
      <c r="D11" s="140"/>
      <c r="E11" s="140"/>
      <c r="F11" s="7"/>
      <c r="G11" s="140"/>
      <c r="H11" s="140"/>
      <c r="I11" s="7"/>
    </row>
    <row r="12" spans="2:9">
      <c r="B12" s="7"/>
      <c r="C12" s="139"/>
      <c r="D12" s="140"/>
      <c r="E12" s="140"/>
      <c r="F12" s="7"/>
      <c r="G12" s="140"/>
      <c r="H12" s="140"/>
      <c r="I12" s="7"/>
    </row>
    <row r="13" spans="2:9" ht="17.25" customHeight="1">
      <c r="B13" s="7"/>
      <c r="C13" s="138" t="s">
        <v>116</v>
      </c>
      <c r="D13" s="138"/>
      <c r="E13" s="138"/>
      <c r="F13" s="138"/>
      <c r="G13" s="138"/>
      <c r="H13" s="138"/>
      <c r="I13" s="7"/>
    </row>
    <row r="14" spans="2:9" ht="14.25" customHeight="1">
      <c r="B14" s="7"/>
      <c r="C14" s="138"/>
      <c r="D14" s="138"/>
      <c r="E14" s="138"/>
      <c r="F14" s="138"/>
      <c r="G14" s="138"/>
      <c r="H14" s="138"/>
      <c r="I14" s="7"/>
    </row>
    <row r="15" spans="2:9" ht="14.25" customHeight="1">
      <c r="B15" s="7"/>
      <c r="C15" s="337" t="s">
        <v>119</v>
      </c>
      <c r="D15" s="340"/>
      <c r="E15" s="341" t="s">
        <v>117</v>
      </c>
      <c r="F15" s="7"/>
      <c r="G15" s="331" t="s">
        <v>118</v>
      </c>
      <c r="H15" s="332"/>
      <c r="I15" s="7"/>
    </row>
    <row r="16" spans="2:9" ht="14.25" customHeight="1">
      <c r="B16" s="7"/>
      <c r="C16" s="338"/>
      <c r="D16" s="340"/>
      <c r="E16" s="342"/>
      <c r="F16" s="7"/>
      <c r="G16" s="333"/>
      <c r="H16" s="334"/>
      <c r="I16" s="7"/>
    </row>
    <row r="17" spans="2:9" ht="14.25" customHeight="1">
      <c r="B17" s="7"/>
      <c r="C17" s="338"/>
      <c r="D17" s="340"/>
      <c r="E17" s="342"/>
      <c r="F17" s="7"/>
      <c r="G17" s="333"/>
      <c r="H17" s="334"/>
      <c r="I17" s="7"/>
    </row>
    <row r="18" spans="2:9" ht="14.25" customHeight="1">
      <c r="B18" s="7"/>
      <c r="C18" s="338"/>
      <c r="D18" s="340"/>
      <c r="E18" s="342"/>
      <c r="F18" s="7"/>
      <c r="G18" s="333"/>
      <c r="H18" s="334"/>
      <c r="I18" s="7"/>
    </row>
    <row r="19" spans="2:9" ht="14.25" customHeight="1">
      <c r="B19" s="7"/>
      <c r="C19" s="338"/>
      <c r="D19" s="340"/>
      <c r="E19" s="342"/>
      <c r="F19" s="7"/>
      <c r="G19" s="333"/>
      <c r="H19" s="334"/>
      <c r="I19" s="7"/>
    </row>
    <row r="20" spans="2:9" ht="14.25" customHeight="1">
      <c r="B20" s="7"/>
      <c r="C20" s="338"/>
      <c r="D20" s="340"/>
      <c r="E20" s="342"/>
      <c r="F20" s="7"/>
      <c r="G20" s="333"/>
      <c r="H20" s="334"/>
      <c r="I20" s="7"/>
    </row>
    <row r="21" spans="2:9" ht="14.25" customHeight="1">
      <c r="B21" s="7"/>
      <c r="C21" s="338"/>
      <c r="D21" s="340"/>
      <c r="E21" s="342"/>
      <c r="F21" s="7"/>
      <c r="G21" s="333"/>
      <c r="H21" s="334"/>
      <c r="I21" s="7"/>
    </row>
    <row r="22" spans="2:9" ht="14.25" customHeight="1">
      <c r="B22" s="7"/>
      <c r="C22" s="338"/>
      <c r="D22" s="340"/>
      <c r="E22" s="342"/>
      <c r="F22" s="7"/>
      <c r="G22" s="333"/>
      <c r="H22" s="334"/>
      <c r="I22" s="7"/>
    </row>
    <row r="23" spans="2:9" ht="14.25" customHeight="1">
      <c r="B23" s="7"/>
      <c r="C23" s="338"/>
      <c r="D23" s="340"/>
      <c r="E23" s="342"/>
      <c r="F23" s="7"/>
      <c r="G23" s="333"/>
      <c r="H23" s="334"/>
      <c r="I23" s="7"/>
    </row>
    <row r="24" spans="2:9" ht="14.25" customHeight="1">
      <c r="B24" s="7"/>
      <c r="C24" s="338"/>
      <c r="D24" s="340"/>
      <c r="E24" s="342"/>
      <c r="F24" s="7"/>
      <c r="G24" s="333"/>
      <c r="H24" s="334"/>
      <c r="I24" s="7"/>
    </row>
    <row r="25" spans="2:9" ht="14.25" customHeight="1">
      <c r="B25" s="7"/>
      <c r="C25" s="338"/>
      <c r="D25" s="340"/>
      <c r="E25" s="342"/>
      <c r="F25" s="7"/>
      <c r="G25" s="333"/>
      <c r="H25" s="334"/>
      <c r="I25" s="7"/>
    </row>
    <row r="26" spans="2:9" ht="14.25" customHeight="1">
      <c r="B26" s="7"/>
      <c r="C26" s="338"/>
      <c r="D26" s="340"/>
      <c r="E26" s="342"/>
      <c r="F26" s="7"/>
      <c r="G26" s="333"/>
      <c r="H26" s="334"/>
      <c r="I26" s="7"/>
    </row>
    <row r="27" spans="2:9" ht="14.25" customHeight="1">
      <c r="B27" s="7"/>
      <c r="C27" s="338"/>
      <c r="D27" s="340"/>
      <c r="E27" s="342"/>
      <c r="F27" s="7"/>
      <c r="G27" s="333"/>
      <c r="H27" s="334"/>
      <c r="I27" s="7"/>
    </row>
    <row r="28" spans="2:9" ht="14.25" customHeight="1">
      <c r="B28" s="7"/>
      <c r="C28" s="338"/>
      <c r="D28" s="340"/>
      <c r="E28" s="342"/>
      <c r="F28" s="7"/>
      <c r="G28" s="333"/>
      <c r="H28" s="334"/>
      <c r="I28" s="7"/>
    </row>
    <row r="29" spans="2:9" ht="14.25" customHeight="1">
      <c r="B29" s="7"/>
      <c r="C29" s="338"/>
      <c r="D29" s="340"/>
      <c r="E29" s="342"/>
      <c r="F29" s="7"/>
      <c r="G29" s="333"/>
      <c r="H29" s="334"/>
      <c r="I29" s="7"/>
    </row>
    <row r="30" spans="2:9" ht="14.25" customHeight="1">
      <c r="B30" s="7"/>
      <c r="C30" s="338"/>
      <c r="D30" s="340"/>
      <c r="E30" s="342"/>
      <c r="F30" s="7"/>
      <c r="G30" s="333"/>
      <c r="H30" s="334"/>
      <c r="I30" s="7"/>
    </row>
    <row r="31" spans="2:9" ht="14.25" customHeight="1">
      <c r="B31" s="7"/>
      <c r="C31" s="338"/>
      <c r="D31" s="340"/>
      <c r="E31" s="342"/>
      <c r="F31" s="7"/>
      <c r="G31" s="333"/>
      <c r="H31" s="334"/>
      <c r="I31" s="7"/>
    </row>
    <row r="32" spans="2:9" ht="14.25" customHeight="1">
      <c r="B32" s="7"/>
      <c r="C32" s="338"/>
      <c r="D32" s="340"/>
      <c r="E32" s="342"/>
      <c r="F32" s="7"/>
      <c r="G32" s="333"/>
      <c r="H32" s="334"/>
      <c r="I32" s="7"/>
    </row>
    <row r="33" spans="2:9" ht="14.25" customHeight="1">
      <c r="B33" s="7"/>
      <c r="C33" s="338"/>
      <c r="D33" s="340"/>
      <c r="E33" s="342"/>
      <c r="F33" s="7"/>
      <c r="G33" s="333"/>
      <c r="H33" s="334"/>
      <c r="I33" s="7"/>
    </row>
    <row r="34" spans="2:9" ht="14.25" customHeight="1">
      <c r="B34" s="7"/>
      <c r="C34" s="338"/>
      <c r="D34" s="340"/>
      <c r="E34" s="342"/>
      <c r="F34" s="7"/>
      <c r="G34" s="333"/>
      <c r="H34" s="334"/>
      <c r="I34" s="7"/>
    </row>
    <row r="35" spans="2:9" ht="14.25" customHeight="1">
      <c r="B35" s="7"/>
      <c r="C35" s="338"/>
      <c r="D35" s="340"/>
      <c r="E35" s="342"/>
      <c r="F35" s="7"/>
      <c r="G35" s="333"/>
      <c r="H35" s="334"/>
      <c r="I35" s="7"/>
    </row>
    <row r="36" spans="2:9" ht="14.25" customHeight="1">
      <c r="B36" s="7"/>
      <c r="C36" s="338"/>
      <c r="D36" s="340"/>
      <c r="E36" s="342"/>
      <c r="F36" s="7"/>
      <c r="G36" s="333"/>
      <c r="H36" s="334"/>
      <c r="I36" s="7"/>
    </row>
    <row r="37" spans="2:9" ht="14.25" customHeight="1">
      <c r="B37" s="7"/>
      <c r="C37" s="338"/>
      <c r="D37" s="340"/>
      <c r="E37" s="342"/>
      <c r="F37" s="7"/>
      <c r="G37" s="333"/>
      <c r="H37" s="334"/>
      <c r="I37" s="7"/>
    </row>
    <row r="38" spans="2:9" ht="14.25" customHeight="1">
      <c r="B38" s="7"/>
      <c r="C38" s="338"/>
      <c r="D38" s="340"/>
      <c r="E38" s="342"/>
      <c r="F38" s="7"/>
      <c r="G38" s="333"/>
      <c r="H38" s="334"/>
      <c r="I38" s="7"/>
    </row>
    <row r="39" spans="2:9" ht="14.25" customHeight="1">
      <c r="B39" s="7"/>
      <c r="C39" s="338"/>
      <c r="D39" s="340"/>
      <c r="E39" s="342"/>
      <c r="F39" s="7"/>
      <c r="G39" s="333"/>
      <c r="H39" s="334"/>
      <c r="I39" s="7"/>
    </row>
    <row r="40" spans="2:9" ht="14.25" customHeight="1">
      <c r="B40" s="7"/>
      <c r="C40" s="338"/>
      <c r="D40" s="340"/>
      <c r="E40" s="342"/>
      <c r="F40" s="7"/>
      <c r="G40" s="333"/>
      <c r="H40" s="334"/>
      <c r="I40" s="7"/>
    </row>
    <row r="41" spans="2:9" ht="14.25" customHeight="1">
      <c r="B41" s="7"/>
      <c r="C41" s="338"/>
      <c r="D41" s="340"/>
      <c r="E41" s="342"/>
      <c r="F41" s="7"/>
      <c r="G41" s="333"/>
      <c r="H41" s="334"/>
      <c r="I41" s="7"/>
    </row>
    <row r="42" spans="2:9" ht="14.25" customHeight="1">
      <c r="B42" s="7"/>
      <c r="C42" s="338"/>
      <c r="D42" s="340"/>
      <c r="E42" s="342"/>
      <c r="F42" s="7"/>
      <c r="G42" s="333"/>
      <c r="H42" s="334"/>
      <c r="I42" s="7"/>
    </row>
    <row r="43" spans="2:9" ht="14.25" customHeight="1">
      <c r="B43" s="7"/>
      <c r="C43" s="338"/>
      <c r="D43" s="340"/>
      <c r="E43" s="342"/>
      <c r="F43" s="7"/>
      <c r="G43" s="333"/>
      <c r="H43" s="334"/>
      <c r="I43" s="7"/>
    </row>
    <row r="44" spans="2:9" ht="14.25" customHeight="1">
      <c r="B44" s="7"/>
      <c r="C44" s="338"/>
      <c r="D44" s="340"/>
      <c r="E44" s="342"/>
      <c r="F44" s="7"/>
      <c r="G44" s="333"/>
      <c r="H44" s="334"/>
      <c r="I44" s="7"/>
    </row>
    <row r="45" spans="2:9" ht="14.25" customHeight="1">
      <c r="B45" s="7"/>
      <c r="C45" s="338"/>
      <c r="D45" s="340"/>
      <c r="E45" s="342"/>
      <c r="F45" s="7"/>
      <c r="G45" s="333"/>
      <c r="H45" s="334"/>
      <c r="I45" s="7"/>
    </row>
    <row r="46" spans="2:9" ht="14.25" customHeight="1">
      <c r="B46" s="7"/>
      <c r="C46" s="338"/>
      <c r="D46" s="340"/>
      <c r="E46" s="342"/>
      <c r="F46" s="7"/>
      <c r="G46" s="333"/>
      <c r="H46" s="334"/>
      <c r="I46" s="7"/>
    </row>
    <row r="47" spans="2:9" ht="14.25" customHeight="1">
      <c r="B47" s="7"/>
      <c r="C47" s="338"/>
      <c r="D47" s="340"/>
      <c r="E47" s="342"/>
      <c r="F47" s="7"/>
      <c r="G47" s="333"/>
      <c r="H47" s="334"/>
      <c r="I47" s="7"/>
    </row>
    <row r="48" spans="2:9" ht="14.25" customHeight="1">
      <c r="B48" s="7"/>
      <c r="C48" s="338"/>
      <c r="D48" s="340"/>
      <c r="E48" s="342"/>
      <c r="F48" s="7"/>
      <c r="G48" s="333"/>
      <c r="H48" s="334"/>
      <c r="I48" s="7"/>
    </row>
    <row r="49" spans="2:9" ht="14.25" customHeight="1">
      <c r="B49" s="7"/>
      <c r="C49" s="338"/>
      <c r="D49" s="340"/>
      <c r="E49" s="342"/>
      <c r="F49" s="7"/>
      <c r="G49" s="333"/>
      <c r="H49" s="334"/>
      <c r="I49" s="7"/>
    </row>
    <row r="50" spans="2:9" ht="14.25" customHeight="1">
      <c r="B50" s="7"/>
      <c r="C50" s="338"/>
      <c r="D50" s="340"/>
      <c r="E50" s="342"/>
      <c r="F50" s="7"/>
      <c r="G50" s="333"/>
      <c r="H50" s="334"/>
      <c r="I50" s="7"/>
    </row>
    <row r="51" spans="2:9" ht="14.25" customHeight="1">
      <c r="B51" s="7"/>
      <c r="C51" s="338"/>
      <c r="D51" s="340"/>
      <c r="E51" s="342"/>
      <c r="F51" s="7"/>
      <c r="G51" s="333"/>
      <c r="H51" s="334"/>
      <c r="I51" s="7"/>
    </row>
    <row r="52" spans="2:9" ht="14.25" customHeight="1">
      <c r="B52" s="7"/>
      <c r="C52" s="338"/>
      <c r="D52" s="340"/>
      <c r="E52" s="342"/>
      <c r="F52" s="7"/>
      <c r="G52" s="333"/>
      <c r="H52" s="334"/>
      <c r="I52" s="7"/>
    </row>
    <row r="53" spans="2:9" ht="14.25" customHeight="1">
      <c r="B53" s="7"/>
      <c r="C53" s="338"/>
      <c r="D53" s="340"/>
      <c r="E53" s="342"/>
      <c r="F53" s="7"/>
      <c r="G53" s="333"/>
      <c r="H53" s="334"/>
      <c r="I53" s="7"/>
    </row>
    <row r="54" spans="2:9" ht="14.25" customHeight="1">
      <c r="B54" s="7"/>
      <c r="C54" s="338"/>
      <c r="D54" s="340"/>
      <c r="E54" s="342"/>
      <c r="F54" s="7"/>
      <c r="G54" s="333"/>
      <c r="H54" s="334"/>
      <c r="I54" s="7"/>
    </row>
    <row r="55" spans="2:9" ht="14.25" customHeight="1">
      <c r="B55" s="7"/>
      <c r="C55" s="338"/>
      <c r="D55" s="340"/>
      <c r="E55" s="342"/>
      <c r="F55" s="7"/>
      <c r="G55" s="333"/>
      <c r="H55" s="334"/>
      <c r="I55" s="7"/>
    </row>
    <row r="56" spans="2:9" ht="14.25" customHeight="1">
      <c r="B56" s="7"/>
      <c r="C56" s="338"/>
      <c r="D56" s="340"/>
      <c r="E56" s="342"/>
      <c r="F56" s="7"/>
      <c r="G56" s="333"/>
      <c r="H56" s="334"/>
      <c r="I56" s="7"/>
    </row>
    <row r="57" spans="2:9" ht="14.25" customHeight="1">
      <c r="B57" s="7"/>
      <c r="C57" s="338"/>
      <c r="D57" s="340"/>
      <c r="E57" s="342"/>
      <c r="F57" s="7"/>
      <c r="G57" s="333"/>
      <c r="H57" s="334"/>
      <c r="I57" s="7"/>
    </row>
    <row r="58" spans="2:9" ht="14.25" customHeight="1">
      <c r="B58" s="7"/>
      <c r="C58" s="338"/>
      <c r="D58" s="340"/>
      <c r="E58" s="342"/>
      <c r="F58" s="7"/>
      <c r="G58" s="333"/>
      <c r="H58" s="334"/>
      <c r="I58" s="7"/>
    </row>
    <row r="59" spans="2:9" ht="14.25" customHeight="1">
      <c r="B59" s="7"/>
      <c r="C59" s="338"/>
      <c r="D59" s="340"/>
      <c r="E59" s="342"/>
      <c r="F59" s="7"/>
      <c r="G59" s="333"/>
      <c r="H59" s="334"/>
      <c r="I59" s="7"/>
    </row>
    <row r="60" spans="2:9" ht="14.25" customHeight="1">
      <c r="B60" s="7"/>
      <c r="C60" s="338"/>
      <c r="D60" s="340"/>
      <c r="E60" s="342"/>
      <c r="F60" s="7"/>
      <c r="G60" s="333"/>
      <c r="H60" s="334"/>
      <c r="I60" s="7"/>
    </row>
    <row r="61" spans="2:9" ht="14.25" customHeight="1">
      <c r="B61" s="7"/>
      <c r="C61" s="338"/>
      <c r="D61" s="340"/>
      <c r="E61" s="342"/>
      <c r="F61" s="7"/>
      <c r="G61" s="333"/>
      <c r="H61" s="334"/>
      <c r="I61" s="7"/>
    </row>
    <row r="62" spans="2:9" ht="14.25" customHeight="1">
      <c r="B62" s="7"/>
      <c r="C62" s="338"/>
      <c r="D62" s="340"/>
      <c r="E62" s="342"/>
      <c r="F62" s="7"/>
      <c r="G62" s="333"/>
      <c r="H62" s="334"/>
      <c r="I62" s="7"/>
    </row>
    <row r="63" spans="2:9" ht="14.25" customHeight="1">
      <c r="B63" s="7"/>
      <c r="C63" s="338"/>
      <c r="D63" s="340"/>
      <c r="E63" s="342"/>
      <c r="F63" s="7"/>
      <c r="G63" s="333"/>
      <c r="H63" s="334"/>
      <c r="I63" s="7"/>
    </row>
    <row r="64" spans="2:9" ht="14.25" customHeight="1">
      <c r="B64" s="7"/>
      <c r="C64" s="338"/>
      <c r="D64" s="340"/>
      <c r="E64" s="342"/>
      <c r="F64" s="7"/>
      <c r="G64" s="333"/>
      <c r="H64" s="334"/>
      <c r="I64" s="7"/>
    </row>
    <row r="65" spans="2:9" ht="14.25" customHeight="1">
      <c r="B65" s="7"/>
      <c r="C65" s="338"/>
      <c r="D65" s="340"/>
      <c r="E65" s="342"/>
      <c r="F65" s="7"/>
      <c r="G65" s="333"/>
      <c r="H65" s="334"/>
      <c r="I65" s="7"/>
    </row>
    <row r="66" spans="2:9" ht="14.25" customHeight="1">
      <c r="B66" s="7"/>
      <c r="C66" s="338"/>
      <c r="D66" s="340"/>
      <c r="E66" s="342"/>
      <c r="F66" s="7"/>
      <c r="G66" s="333"/>
      <c r="H66" s="334"/>
      <c r="I66" s="7"/>
    </row>
    <row r="67" spans="2:9" ht="14.25" customHeight="1">
      <c r="B67" s="7"/>
      <c r="C67" s="338"/>
      <c r="D67" s="340"/>
      <c r="E67" s="342"/>
      <c r="F67" s="7"/>
      <c r="G67" s="333"/>
      <c r="H67" s="334"/>
      <c r="I67" s="7"/>
    </row>
    <row r="68" spans="2:9" ht="14.25" customHeight="1">
      <c r="B68" s="7"/>
      <c r="C68" s="338"/>
      <c r="D68" s="340"/>
      <c r="E68" s="342"/>
      <c r="F68" s="7"/>
      <c r="G68" s="333"/>
      <c r="H68" s="334"/>
      <c r="I68" s="7"/>
    </row>
    <row r="69" spans="2:9" ht="14.25" customHeight="1">
      <c r="B69" s="7"/>
      <c r="C69" s="338"/>
      <c r="D69" s="340"/>
      <c r="E69" s="342"/>
      <c r="F69" s="7"/>
      <c r="G69" s="333"/>
      <c r="H69" s="334"/>
      <c r="I69" s="7"/>
    </row>
    <row r="70" spans="2:9" ht="14.25" customHeight="1">
      <c r="B70" s="7"/>
      <c r="C70" s="338"/>
      <c r="D70" s="340"/>
      <c r="E70" s="342"/>
      <c r="F70" s="7"/>
      <c r="G70" s="333"/>
      <c r="H70" s="334"/>
      <c r="I70" s="7"/>
    </row>
    <row r="71" spans="2:9" ht="14.25" customHeight="1">
      <c r="B71" s="7"/>
      <c r="C71" s="338"/>
      <c r="D71" s="340"/>
      <c r="E71" s="342"/>
      <c r="F71" s="7"/>
      <c r="G71" s="333"/>
      <c r="H71" s="334"/>
      <c r="I71" s="7"/>
    </row>
    <row r="72" spans="2:9" ht="14.25" customHeight="1">
      <c r="B72" s="7"/>
      <c r="C72" s="338"/>
      <c r="D72" s="340"/>
      <c r="E72" s="342"/>
      <c r="F72" s="7"/>
      <c r="G72" s="333"/>
      <c r="H72" s="334"/>
      <c r="I72" s="7"/>
    </row>
    <row r="73" spans="2:9" ht="14.25" customHeight="1">
      <c r="B73" s="7"/>
      <c r="C73" s="338"/>
      <c r="D73" s="340"/>
      <c r="E73" s="342"/>
      <c r="F73" s="7"/>
      <c r="G73" s="333"/>
      <c r="H73" s="334"/>
      <c r="I73" s="7"/>
    </row>
    <row r="74" spans="2:9" ht="14.25" customHeight="1">
      <c r="B74" s="7"/>
      <c r="C74" s="338"/>
      <c r="D74" s="340"/>
      <c r="E74" s="342"/>
      <c r="F74" s="7"/>
      <c r="G74" s="333"/>
      <c r="H74" s="334"/>
      <c r="I74" s="7"/>
    </row>
    <row r="75" spans="2:9" ht="14.25" customHeight="1">
      <c r="B75" s="7"/>
      <c r="C75" s="338"/>
      <c r="D75" s="340"/>
      <c r="E75" s="342"/>
      <c r="F75" s="7"/>
      <c r="G75" s="333"/>
      <c r="H75" s="334"/>
      <c r="I75" s="7"/>
    </row>
    <row r="76" spans="2:9" ht="14.25" customHeight="1">
      <c r="B76" s="7"/>
      <c r="C76" s="338"/>
      <c r="D76" s="340"/>
      <c r="E76" s="342"/>
      <c r="F76" s="7"/>
      <c r="G76" s="333"/>
      <c r="H76" s="334"/>
      <c r="I76" s="7"/>
    </row>
    <row r="77" spans="2:9" ht="14.25" customHeight="1">
      <c r="B77" s="7"/>
      <c r="C77" s="338"/>
      <c r="D77" s="340"/>
      <c r="E77" s="342"/>
      <c r="F77" s="7"/>
      <c r="G77" s="333"/>
      <c r="H77" s="334"/>
      <c r="I77" s="7"/>
    </row>
    <row r="78" spans="2:9" ht="14.25" customHeight="1">
      <c r="B78" s="7"/>
      <c r="C78" s="338"/>
      <c r="D78" s="340"/>
      <c r="E78" s="342"/>
      <c r="F78" s="7"/>
      <c r="G78" s="333"/>
      <c r="H78" s="334"/>
      <c r="I78" s="7"/>
    </row>
    <row r="79" spans="2:9" ht="14.25" customHeight="1">
      <c r="B79" s="7"/>
      <c r="C79" s="338"/>
      <c r="D79" s="340"/>
      <c r="E79" s="342"/>
      <c r="F79" s="7"/>
      <c r="G79" s="333"/>
      <c r="H79" s="334"/>
      <c r="I79" s="7"/>
    </row>
    <row r="80" spans="2:9" ht="14.25" customHeight="1">
      <c r="B80" s="7"/>
      <c r="C80" s="338"/>
      <c r="D80" s="340"/>
      <c r="E80" s="342"/>
      <c r="F80" s="7"/>
      <c r="G80" s="333"/>
      <c r="H80" s="334"/>
      <c r="I80" s="7"/>
    </row>
    <row r="81" spans="2:9" ht="14.25" customHeight="1">
      <c r="B81" s="7"/>
      <c r="C81" s="338"/>
      <c r="D81" s="340"/>
      <c r="E81" s="342"/>
      <c r="F81" s="7"/>
      <c r="G81" s="333"/>
      <c r="H81" s="334"/>
      <c r="I81" s="7"/>
    </row>
    <row r="82" spans="2:9" ht="14.25" customHeight="1">
      <c r="B82" s="7"/>
      <c r="C82" s="338"/>
      <c r="D82" s="340"/>
      <c r="E82" s="342"/>
      <c r="F82" s="7"/>
      <c r="G82" s="333"/>
      <c r="H82" s="334"/>
      <c r="I82" s="7"/>
    </row>
    <row r="83" spans="2:9" ht="14.25" customHeight="1">
      <c r="B83" s="7"/>
      <c r="C83" s="338"/>
      <c r="D83" s="340"/>
      <c r="E83" s="342"/>
      <c r="F83" s="7"/>
      <c r="G83" s="333"/>
      <c r="H83" s="334"/>
      <c r="I83" s="7"/>
    </row>
    <row r="84" spans="2:9" ht="14.25" customHeight="1">
      <c r="B84" s="7"/>
      <c r="C84" s="339"/>
      <c r="D84" s="340"/>
      <c r="E84" s="343"/>
      <c r="F84" s="7"/>
      <c r="G84" s="335"/>
      <c r="H84" s="336"/>
      <c r="I84" s="7"/>
    </row>
    <row r="85" spans="2:9" ht="23.25" customHeight="1">
      <c r="B85" s="7"/>
      <c r="C85" s="7"/>
      <c r="D85" s="7"/>
      <c r="E85" s="7"/>
      <c r="F85" s="7"/>
      <c r="G85" s="7"/>
      <c r="H85" s="7"/>
      <c r="I85" s="7"/>
    </row>
  </sheetData>
  <mergeCells count="11">
    <mergeCell ref="B2:F2"/>
    <mergeCell ref="C4:E4"/>
    <mergeCell ref="D5:E12"/>
    <mergeCell ref="C6:C12"/>
    <mergeCell ref="D15:D84"/>
    <mergeCell ref="E15:E84"/>
    <mergeCell ref="G5:H12"/>
    <mergeCell ref="C3:H3"/>
    <mergeCell ref="G15:H84"/>
    <mergeCell ref="C15:C84"/>
    <mergeCell ref="C13:H1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1-INICIO</vt:lpstr>
      <vt:lpstr>2-CARGOS</vt:lpstr>
      <vt:lpstr>3-MATRIZ</vt:lpstr>
      <vt:lpstr>3-1 CONTROL DE CAMBIOS</vt:lpstr>
      <vt:lpstr>4-PONDERACION</vt:lpstr>
      <vt:lpstr>6-LISTADOS</vt:lpstr>
      <vt:lpstr>5-CALIFICACION</vt:lpstr>
      <vt:lpstr>7-INSTRUCTIVO</vt:lpstr>
      <vt:lpstr>8-MARCO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2026-06-18T14:45:21Z</dcterms:modified>
</cp:coreProperties>
</file>