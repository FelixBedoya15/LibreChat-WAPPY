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enta/Desktop/"/>
    </mc:Choice>
  </mc:AlternateContent>
  <xr:revisionPtr revIDLastSave="0" documentId="8_{CB003885-B27E-6D47-B2FA-DD9D45491F3E}" xr6:coauthVersionLast="47" xr6:coauthVersionMax="47" xr10:uidLastSave="{00000000-0000-0000-0000-000000000000}"/>
  <bookViews>
    <workbookView xWindow="0" yWindow="0" windowWidth="25600" windowHeight="16000" tabRatio="832" activeTab="1" xr2:uid="{00000000-000D-0000-FFFF-FFFF00000000}"/>
  </bookViews>
  <sheets>
    <sheet name="AUXILIAR SG-SST" sheetId="14" r:id="rId1"/>
    <sheet name="PERSONAL OPERATIVO" sheetId="16" r:id="rId2"/>
    <sheet name="1 Nº DAÑO" sheetId="3" r:id="rId3"/>
    <sheet name="2 Nº DEFICIENCIA" sheetId="4" r:id="rId4"/>
    <sheet name="3 Nº EXPOSICIÓN" sheetId="5" r:id="rId5"/>
    <sheet name="4 y  5 Nº PROBABILIDAD" sheetId="6" r:id="rId6"/>
    <sheet name="6 Nº CONSECUENCIAS" sheetId="7" r:id="rId7"/>
    <sheet name="7 Y 8 Nº RIESGO" sheetId="8" r:id="rId8"/>
    <sheet name="CLASIFICACIÒN DE PELIGROS GTC45" sheetId="9" r:id="rId9"/>
  </sheets>
  <definedNames>
    <definedName name="_xlnm._FilterDatabase" localSheetId="0" hidden="1">'AUXILIAR SG-SST'!$A$4:$AB$29</definedName>
    <definedName name="_xlnm._FilterDatabase" localSheetId="1" hidden="1">'PERSONAL OPERATIVO'!$A$4:$AB$154</definedName>
    <definedName name="_xlnm.Print_Area" localSheetId="0">'AUXILIAR SG-SST'!$A$2:$AB$80</definedName>
    <definedName name="_xlnm.Print_Area" localSheetId="1">'PERSONAL OPERATIVO'!$A$2:$AB$209</definedName>
    <definedName name="Excel_BuiltIn__FilterDatabase_3" localSheetId="0">#REF!</definedName>
    <definedName name="Excel_BuiltIn__FilterDatabase_3" localSheetId="1">#REF!</definedName>
    <definedName name="Excel_BuiltIn__FilterDatabase_3">#REF!</definedName>
    <definedName name="Suma" localSheetId="0">#REF!</definedName>
    <definedName name="Suma" localSheetId="1">#REF!</definedName>
    <definedName name="Suma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2" i="16" l="1"/>
  <c r="R152" i="16" s="1"/>
  <c r="S152" i="16" s="1"/>
  <c r="T152" i="16" s="1"/>
  <c r="O139" i="16"/>
  <c r="R139" i="16" s="1"/>
  <c r="S139" i="16" s="1"/>
  <c r="T139" i="16" s="1"/>
  <c r="O103" i="16"/>
  <c r="R103" i="16" s="1"/>
  <c r="S103" i="16" s="1"/>
  <c r="T103" i="16" s="1"/>
  <c r="O96" i="16"/>
  <c r="R96" i="16" s="1"/>
  <c r="S96" i="16" s="1"/>
  <c r="T96" i="16" s="1"/>
  <c r="O80" i="16"/>
  <c r="R80" i="16" s="1"/>
  <c r="S80" i="16" s="1"/>
  <c r="T80" i="16" s="1"/>
  <c r="O69" i="16"/>
  <c r="R69" i="16" s="1"/>
  <c r="S69" i="16" s="1"/>
  <c r="T69" i="16" s="1"/>
  <c r="O62" i="16"/>
  <c r="R62" i="16" s="1"/>
  <c r="S62" i="16" s="1"/>
  <c r="T62" i="16" s="1"/>
  <c r="O45" i="16"/>
  <c r="R45" i="16" s="1"/>
  <c r="S45" i="16" s="1"/>
  <c r="T45" i="16" s="1"/>
  <c r="O26" i="16"/>
  <c r="R26" i="16" s="1"/>
  <c r="S26" i="16" s="1"/>
  <c r="T26" i="16" s="1"/>
  <c r="O27" i="16"/>
  <c r="R27" i="16" s="1"/>
  <c r="S27" i="16" s="1"/>
  <c r="T27" i="16" s="1"/>
  <c r="O25" i="16"/>
  <c r="R25" i="16" s="1"/>
  <c r="S25" i="16" s="1"/>
  <c r="T25" i="16" s="1"/>
  <c r="O24" i="16"/>
  <c r="R24" i="16" s="1"/>
  <c r="S24" i="16" s="1"/>
  <c r="T24" i="16" s="1"/>
  <c r="O23" i="16"/>
  <c r="P23" i="16" s="1"/>
  <c r="O22" i="16"/>
  <c r="R22" i="16" s="1"/>
  <c r="S22" i="16" s="1"/>
  <c r="T22" i="16" s="1"/>
  <c r="O21" i="16"/>
  <c r="R21" i="16" s="1"/>
  <c r="S21" i="16" s="1"/>
  <c r="T21" i="16" s="1"/>
  <c r="O20" i="16"/>
  <c r="R20" i="16" s="1"/>
  <c r="S20" i="16" s="1"/>
  <c r="T20" i="16" s="1"/>
  <c r="O19" i="16"/>
  <c r="R19" i="16" s="1"/>
  <c r="S19" i="16" s="1"/>
  <c r="T19" i="16" s="1"/>
  <c r="O44" i="16"/>
  <c r="P44" i="16" s="1"/>
  <c r="O16" i="16"/>
  <c r="R16" i="16" s="1"/>
  <c r="S16" i="16" s="1"/>
  <c r="T16" i="16" s="1"/>
  <c r="O15" i="16"/>
  <c r="R15" i="16" s="1"/>
  <c r="S15" i="16" s="1"/>
  <c r="T15" i="16" s="1"/>
  <c r="O14" i="16"/>
  <c r="R14" i="16" s="1"/>
  <c r="S14" i="16" s="1"/>
  <c r="T14" i="16" s="1"/>
  <c r="O17" i="16"/>
  <c r="P17" i="16" s="1"/>
  <c r="O13" i="16"/>
  <c r="R13" i="16" s="1"/>
  <c r="S13" i="16" s="1"/>
  <c r="T13" i="16" s="1"/>
  <c r="O12" i="16"/>
  <c r="P12" i="16" s="1"/>
  <c r="O11" i="16"/>
  <c r="R11" i="16" s="1"/>
  <c r="S11" i="16" s="1"/>
  <c r="T11" i="16" s="1"/>
  <c r="O18" i="16"/>
  <c r="P18" i="16" s="1"/>
  <c r="O10" i="16"/>
  <c r="R10" i="16" s="1"/>
  <c r="S10" i="16" s="1"/>
  <c r="T10" i="16" s="1"/>
  <c r="O9" i="16"/>
  <c r="R9" i="16" s="1"/>
  <c r="S9" i="16" s="1"/>
  <c r="T9" i="16" s="1"/>
  <c r="O8" i="16"/>
  <c r="P8" i="16" s="1"/>
  <c r="O7" i="16"/>
  <c r="P7" i="16" s="1"/>
  <c r="O6" i="16"/>
  <c r="R6" i="16" s="1"/>
  <c r="S6" i="16" s="1"/>
  <c r="T6" i="16" s="1"/>
  <c r="O5" i="16"/>
  <c r="R5" i="16" s="1"/>
  <c r="S5" i="16" s="1"/>
  <c r="T5" i="16" s="1"/>
  <c r="O112" i="16"/>
  <c r="R112" i="16" s="1"/>
  <c r="S112" i="16" s="1"/>
  <c r="T112" i="16" s="1"/>
  <c r="O111" i="16"/>
  <c r="R111" i="16" s="1"/>
  <c r="S111" i="16" s="1"/>
  <c r="T111" i="16" s="1"/>
  <c r="O110" i="16"/>
  <c r="R110" i="16" s="1"/>
  <c r="S110" i="16" s="1"/>
  <c r="T110" i="16" s="1"/>
  <c r="O109" i="16"/>
  <c r="R109" i="16" s="1"/>
  <c r="S109" i="16" s="1"/>
  <c r="T109" i="16" s="1"/>
  <c r="O108" i="16"/>
  <c r="R108" i="16" s="1"/>
  <c r="S108" i="16" s="1"/>
  <c r="T108" i="16" s="1"/>
  <c r="O107" i="16"/>
  <c r="P107" i="16" s="1"/>
  <c r="O106" i="16"/>
  <c r="P106" i="16" s="1"/>
  <c r="O105" i="16"/>
  <c r="R105" i="16" s="1"/>
  <c r="S105" i="16" s="1"/>
  <c r="T105" i="16" s="1"/>
  <c r="O104" i="16"/>
  <c r="R104" i="16" s="1"/>
  <c r="S104" i="16" s="1"/>
  <c r="T104" i="16" s="1"/>
  <c r="O102" i="16"/>
  <c r="R102" i="16" s="1"/>
  <c r="S102" i="16" s="1"/>
  <c r="T102" i="16" s="1"/>
  <c r="O101" i="16"/>
  <c r="R101" i="16" s="1"/>
  <c r="S101" i="16" s="1"/>
  <c r="T101" i="16" s="1"/>
  <c r="O100" i="16"/>
  <c r="R100" i="16" s="1"/>
  <c r="S100" i="16" s="1"/>
  <c r="T100" i="16" s="1"/>
  <c r="O99" i="16"/>
  <c r="R99" i="16" s="1"/>
  <c r="S99" i="16" s="1"/>
  <c r="T99" i="16" s="1"/>
  <c r="O98" i="16"/>
  <c r="R98" i="16" s="1"/>
  <c r="S98" i="16" s="1"/>
  <c r="T98" i="16" s="1"/>
  <c r="O97" i="16"/>
  <c r="R97" i="16" s="1"/>
  <c r="S97" i="16" s="1"/>
  <c r="T97" i="16" s="1"/>
  <c r="O95" i="16"/>
  <c r="R95" i="16" s="1"/>
  <c r="S95" i="16" s="1"/>
  <c r="T95" i="16" s="1"/>
  <c r="R94" i="16"/>
  <c r="S94" i="16" s="1"/>
  <c r="T94" i="16" s="1"/>
  <c r="O94" i="16"/>
  <c r="P94" i="16" s="1"/>
  <c r="O93" i="16"/>
  <c r="R93" i="16" s="1"/>
  <c r="S93" i="16" s="1"/>
  <c r="T93" i="16" s="1"/>
  <c r="O92" i="16"/>
  <c r="R92" i="16" s="1"/>
  <c r="S92" i="16" s="1"/>
  <c r="T92" i="16" s="1"/>
  <c r="O91" i="16"/>
  <c r="R91" i="16" s="1"/>
  <c r="S91" i="16" s="1"/>
  <c r="T91" i="16" s="1"/>
  <c r="O90" i="16"/>
  <c r="R90" i="16" s="1"/>
  <c r="S90" i="16" s="1"/>
  <c r="T90" i="16" s="1"/>
  <c r="O89" i="16"/>
  <c r="P89" i="16" s="1"/>
  <c r="O88" i="16"/>
  <c r="R88" i="16" s="1"/>
  <c r="S88" i="16" s="1"/>
  <c r="T88" i="16" s="1"/>
  <c r="O87" i="16"/>
  <c r="P87" i="16" s="1"/>
  <c r="O86" i="16"/>
  <c r="R86" i="16" s="1"/>
  <c r="S86" i="16" s="1"/>
  <c r="T86" i="16" s="1"/>
  <c r="O85" i="16"/>
  <c r="R85" i="16" s="1"/>
  <c r="S85" i="16" s="1"/>
  <c r="T85" i="16" s="1"/>
  <c r="O84" i="16"/>
  <c r="R84" i="16" s="1"/>
  <c r="S84" i="16" s="1"/>
  <c r="T84" i="16" s="1"/>
  <c r="O83" i="16"/>
  <c r="P83" i="16" s="1"/>
  <c r="O82" i="16"/>
  <c r="R82" i="16" s="1"/>
  <c r="S82" i="16" s="1"/>
  <c r="T82" i="16" s="1"/>
  <c r="O81" i="16"/>
  <c r="R81" i="16" s="1"/>
  <c r="S81" i="16" s="1"/>
  <c r="T81" i="16" s="1"/>
  <c r="O79" i="16"/>
  <c r="R79" i="16" s="1"/>
  <c r="S79" i="16" s="1"/>
  <c r="T79" i="16" s="1"/>
  <c r="O78" i="16"/>
  <c r="R78" i="16" s="1"/>
  <c r="S78" i="16" s="1"/>
  <c r="T78" i="16" s="1"/>
  <c r="O77" i="16"/>
  <c r="R77" i="16" s="1"/>
  <c r="S77" i="16" s="1"/>
  <c r="T77" i="16" s="1"/>
  <c r="O76" i="16"/>
  <c r="R76" i="16" s="1"/>
  <c r="S76" i="16" s="1"/>
  <c r="T76" i="16" s="1"/>
  <c r="O75" i="16"/>
  <c r="R75" i="16" s="1"/>
  <c r="S75" i="16" s="1"/>
  <c r="T75" i="16" s="1"/>
  <c r="O74" i="16"/>
  <c r="R74" i="16" s="1"/>
  <c r="S74" i="16" s="1"/>
  <c r="T74" i="16" s="1"/>
  <c r="O73" i="16"/>
  <c r="R73" i="16" s="1"/>
  <c r="S73" i="16" s="1"/>
  <c r="T73" i="16" s="1"/>
  <c r="O72" i="16"/>
  <c r="R72" i="16" s="1"/>
  <c r="S72" i="16" s="1"/>
  <c r="T72" i="16" s="1"/>
  <c r="O71" i="16"/>
  <c r="R71" i="16" s="1"/>
  <c r="S71" i="16" s="1"/>
  <c r="T71" i="16" s="1"/>
  <c r="P20" i="16" l="1"/>
  <c r="P21" i="16"/>
  <c r="P62" i="16"/>
  <c r="P152" i="16"/>
  <c r="P139" i="16"/>
  <c r="P103" i="16"/>
  <c r="P96" i="16"/>
  <c r="P80" i="16"/>
  <c r="P69" i="16"/>
  <c r="P45" i="16"/>
  <c r="P26" i="16"/>
  <c r="P14" i="16"/>
  <c r="P27" i="16"/>
  <c r="P13" i="16"/>
  <c r="R23" i="16"/>
  <c r="S23" i="16" s="1"/>
  <c r="T23" i="16" s="1"/>
  <c r="P25" i="16"/>
  <c r="P19" i="16"/>
  <c r="P16" i="16"/>
  <c r="P22" i="16"/>
  <c r="P24" i="16"/>
  <c r="R44" i="16"/>
  <c r="S44" i="16" s="1"/>
  <c r="T44" i="16" s="1"/>
  <c r="P15" i="16"/>
  <c r="R17" i="16"/>
  <c r="S17" i="16" s="1"/>
  <c r="T17" i="16" s="1"/>
  <c r="R8" i="16"/>
  <c r="S8" i="16" s="1"/>
  <c r="T8" i="16" s="1"/>
  <c r="P6" i="16"/>
  <c r="P11" i="16"/>
  <c r="P85" i="16"/>
  <c r="R89" i="16"/>
  <c r="S89" i="16" s="1"/>
  <c r="T89" i="16" s="1"/>
  <c r="P99" i="16"/>
  <c r="P102" i="16"/>
  <c r="R12" i="16"/>
  <c r="S12" i="16" s="1"/>
  <c r="T12" i="16" s="1"/>
  <c r="P108" i="16"/>
  <c r="P110" i="16"/>
  <c r="P5" i="16"/>
  <c r="R7" i="16"/>
  <c r="S7" i="16" s="1"/>
  <c r="T7" i="16" s="1"/>
  <c r="P10" i="16"/>
  <c r="R106" i="16"/>
  <c r="S106" i="16" s="1"/>
  <c r="T106" i="16" s="1"/>
  <c r="P9" i="16"/>
  <c r="R18" i="16"/>
  <c r="S18" i="16" s="1"/>
  <c r="T18" i="16" s="1"/>
  <c r="P79" i="16"/>
  <c r="R87" i="16"/>
  <c r="S87" i="16" s="1"/>
  <c r="T87" i="16" s="1"/>
  <c r="P97" i="16"/>
  <c r="P86" i="16"/>
  <c r="P91" i="16"/>
  <c r="P75" i="16"/>
  <c r="P78" i="16"/>
  <c r="R83" i="16"/>
  <c r="S83" i="16" s="1"/>
  <c r="T83" i="16" s="1"/>
  <c r="P95" i="16"/>
  <c r="P98" i="16"/>
  <c r="R107" i="16"/>
  <c r="S107" i="16" s="1"/>
  <c r="T107" i="16" s="1"/>
  <c r="P111" i="16"/>
  <c r="P105" i="16"/>
  <c r="P104" i="16"/>
  <c r="P112" i="16"/>
  <c r="P109" i="16"/>
  <c r="P101" i="16"/>
  <c r="P100" i="16"/>
  <c r="P93" i="16"/>
  <c r="P92" i="16"/>
  <c r="P90" i="16"/>
  <c r="P88" i="16"/>
  <c r="P84" i="16"/>
  <c r="P82" i="16"/>
  <c r="P72" i="16"/>
  <c r="P74" i="16"/>
  <c r="P81" i="16"/>
  <c r="P77" i="16"/>
  <c r="P76" i="16"/>
  <c r="P73" i="16"/>
  <c r="P71" i="16"/>
  <c r="O70" i="16" l="1"/>
  <c r="R70" i="16" s="1"/>
  <c r="S70" i="16" s="1"/>
  <c r="T70" i="16" s="1"/>
  <c r="O68" i="16"/>
  <c r="R68" i="16" s="1"/>
  <c r="S68" i="16" s="1"/>
  <c r="T68" i="16" s="1"/>
  <c r="O67" i="16"/>
  <c r="P67" i="16" s="1"/>
  <c r="O66" i="16"/>
  <c r="R66" i="16" s="1"/>
  <c r="S66" i="16" s="1"/>
  <c r="T66" i="16" s="1"/>
  <c r="O65" i="16"/>
  <c r="R65" i="16" s="1"/>
  <c r="S65" i="16" s="1"/>
  <c r="T65" i="16" s="1"/>
  <c r="O64" i="16"/>
  <c r="P64" i="16" s="1"/>
  <c r="O63" i="16"/>
  <c r="P63" i="16" s="1"/>
  <c r="O113" i="16"/>
  <c r="P113" i="16" s="1"/>
  <c r="O61" i="16"/>
  <c r="R61" i="16" s="1"/>
  <c r="S61" i="16" s="1"/>
  <c r="T61" i="16" s="1"/>
  <c r="O60" i="16"/>
  <c r="P60" i="16" s="1"/>
  <c r="O59" i="16"/>
  <c r="R59" i="16" s="1"/>
  <c r="S59" i="16" s="1"/>
  <c r="T59" i="16" s="1"/>
  <c r="O58" i="16"/>
  <c r="R58" i="16" s="1"/>
  <c r="S58" i="16" s="1"/>
  <c r="T58" i="16" s="1"/>
  <c r="O57" i="16"/>
  <c r="P57" i="16" s="1"/>
  <c r="O56" i="16"/>
  <c r="R56" i="16" s="1"/>
  <c r="S56" i="16" s="1"/>
  <c r="T56" i="16" s="1"/>
  <c r="O55" i="16"/>
  <c r="R55" i="16" s="1"/>
  <c r="S55" i="16" s="1"/>
  <c r="T55" i="16" s="1"/>
  <c r="O54" i="16"/>
  <c r="R54" i="16" s="1"/>
  <c r="S54" i="16" s="1"/>
  <c r="T54" i="16" s="1"/>
  <c r="O53" i="16"/>
  <c r="R53" i="16" s="1"/>
  <c r="S53" i="16" s="1"/>
  <c r="T53" i="16" s="1"/>
  <c r="O52" i="16"/>
  <c r="P52" i="16" s="1"/>
  <c r="O51" i="16"/>
  <c r="R51" i="16" s="1"/>
  <c r="S51" i="16" s="1"/>
  <c r="T51" i="16" s="1"/>
  <c r="O50" i="16"/>
  <c r="R50" i="16" s="1"/>
  <c r="S50" i="16" s="1"/>
  <c r="T50" i="16" s="1"/>
  <c r="O49" i="16"/>
  <c r="R49" i="16" s="1"/>
  <c r="S49" i="16" s="1"/>
  <c r="T49" i="16" s="1"/>
  <c r="O48" i="16"/>
  <c r="R48" i="16" s="1"/>
  <c r="S48" i="16" s="1"/>
  <c r="T48" i="16" s="1"/>
  <c r="O47" i="16"/>
  <c r="P47" i="16" s="1"/>
  <c r="O46" i="16"/>
  <c r="R46" i="16" s="1"/>
  <c r="S46" i="16" s="1"/>
  <c r="T46" i="16" s="1"/>
  <c r="O43" i="16"/>
  <c r="R43" i="16" s="1"/>
  <c r="S43" i="16" s="1"/>
  <c r="T43" i="16" s="1"/>
  <c r="O42" i="16"/>
  <c r="R42" i="16" s="1"/>
  <c r="S42" i="16" s="1"/>
  <c r="T42" i="16" s="1"/>
  <c r="O41" i="16"/>
  <c r="R41" i="16" s="1"/>
  <c r="S41" i="16" s="1"/>
  <c r="T41" i="16" s="1"/>
  <c r="O40" i="16"/>
  <c r="R40" i="16" s="1"/>
  <c r="S40" i="16" s="1"/>
  <c r="T40" i="16" s="1"/>
  <c r="O39" i="16"/>
  <c r="R39" i="16" s="1"/>
  <c r="S39" i="16" s="1"/>
  <c r="T39" i="16" s="1"/>
  <c r="O38" i="16"/>
  <c r="R38" i="16" s="1"/>
  <c r="S38" i="16" s="1"/>
  <c r="T38" i="16" s="1"/>
  <c r="O37" i="16"/>
  <c r="R37" i="16" s="1"/>
  <c r="S37" i="16" s="1"/>
  <c r="T37" i="16" s="1"/>
  <c r="O36" i="16"/>
  <c r="R36" i="16" s="1"/>
  <c r="S36" i="16" s="1"/>
  <c r="T36" i="16" s="1"/>
  <c r="R67" i="16" l="1"/>
  <c r="S67" i="16" s="1"/>
  <c r="T67" i="16" s="1"/>
  <c r="R52" i="16"/>
  <c r="S52" i="16" s="1"/>
  <c r="T52" i="16" s="1"/>
  <c r="R60" i="16"/>
  <c r="S60" i="16" s="1"/>
  <c r="T60" i="16" s="1"/>
  <c r="R63" i="16"/>
  <c r="S63" i="16" s="1"/>
  <c r="T63" i="16" s="1"/>
  <c r="P66" i="16"/>
  <c r="P56" i="16"/>
  <c r="R113" i="16"/>
  <c r="S113" i="16" s="1"/>
  <c r="T113" i="16" s="1"/>
  <c r="P36" i="16"/>
  <c r="P54" i="16"/>
  <c r="R64" i="16"/>
  <c r="S64" i="16" s="1"/>
  <c r="T64" i="16" s="1"/>
  <c r="P55" i="16"/>
  <c r="P59" i="16"/>
  <c r="P65" i="16"/>
  <c r="P70" i="16"/>
  <c r="P41" i="16"/>
  <c r="R57" i="16"/>
  <c r="S57" i="16" s="1"/>
  <c r="T57" i="16" s="1"/>
  <c r="P68" i="16"/>
  <c r="P61" i="16"/>
  <c r="P58" i="16"/>
  <c r="P53" i="16"/>
  <c r="P51" i="16"/>
  <c r="P50" i="16"/>
  <c r="P49" i="16"/>
  <c r="R47" i="16"/>
  <c r="S47" i="16" s="1"/>
  <c r="T47" i="16" s="1"/>
  <c r="P43" i="16"/>
  <c r="P42" i="16"/>
  <c r="P48" i="16"/>
  <c r="P46" i="16"/>
  <c r="P39" i="16"/>
  <c r="P40" i="16"/>
  <c r="P38" i="16"/>
  <c r="P37" i="16"/>
  <c r="O35" i="16"/>
  <c r="R35" i="16" s="1"/>
  <c r="S35" i="16" s="1"/>
  <c r="T35" i="16" s="1"/>
  <c r="O34" i="16"/>
  <c r="P34" i="16" s="1"/>
  <c r="O33" i="16"/>
  <c r="R33" i="16" s="1"/>
  <c r="S33" i="16" s="1"/>
  <c r="T33" i="16" s="1"/>
  <c r="O32" i="16"/>
  <c r="R32" i="16" s="1"/>
  <c r="S32" i="16" s="1"/>
  <c r="T32" i="16" s="1"/>
  <c r="O31" i="16"/>
  <c r="R31" i="16" s="1"/>
  <c r="S31" i="16" s="1"/>
  <c r="T31" i="16" s="1"/>
  <c r="O30" i="16"/>
  <c r="R30" i="16" s="1"/>
  <c r="S30" i="16" s="1"/>
  <c r="T30" i="16" s="1"/>
  <c r="O29" i="16"/>
  <c r="R29" i="16" s="1"/>
  <c r="S29" i="16" s="1"/>
  <c r="T29" i="16" s="1"/>
  <c r="R34" i="16" l="1"/>
  <c r="S34" i="16" s="1"/>
  <c r="T34" i="16" s="1"/>
  <c r="P30" i="16"/>
  <c r="P35" i="16"/>
  <c r="P33" i="16"/>
  <c r="P32" i="16"/>
  <c r="P31" i="16"/>
  <c r="P29" i="16"/>
  <c r="O28" i="16" l="1"/>
  <c r="R28" i="16" s="1"/>
  <c r="S28" i="16" s="1"/>
  <c r="T28" i="16" s="1"/>
  <c r="P28" i="16" l="1"/>
  <c r="O14" i="14"/>
  <c r="P14" i="14" s="1"/>
  <c r="O25" i="14"/>
  <c r="R25" i="14" s="1"/>
  <c r="S25" i="14" s="1"/>
  <c r="T25" i="14" s="1"/>
  <c r="O30" i="14"/>
  <c r="R30" i="14" s="1"/>
  <c r="S30" i="14" s="1"/>
  <c r="T30" i="14" s="1"/>
  <c r="R14" i="14" l="1"/>
  <c r="S14" i="14" s="1"/>
  <c r="T14" i="14" s="1"/>
  <c r="P25" i="14"/>
  <c r="P30" i="14"/>
  <c r="O159" i="16" l="1"/>
  <c r="R159" i="16" s="1"/>
  <c r="S159" i="16" s="1"/>
  <c r="T159" i="16" s="1"/>
  <c r="O158" i="16"/>
  <c r="R158" i="16" s="1"/>
  <c r="S158" i="16" s="1"/>
  <c r="T158" i="16" s="1"/>
  <c r="O157" i="16"/>
  <c r="R157" i="16" s="1"/>
  <c r="S157" i="16" s="1"/>
  <c r="T157" i="16" s="1"/>
  <c r="O156" i="16"/>
  <c r="R156" i="16" s="1"/>
  <c r="S156" i="16" s="1"/>
  <c r="T156" i="16" s="1"/>
  <c r="O155" i="16"/>
  <c r="R155" i="16" s="1"/>
  <c r="S155" i="16" s="1"/>
  <c r="T155" i="16" s="1"/>
  <c r="O154" i="16"/>
  <c r="R154" i="16" s="1"/>
  <c r="S154" i="16" s="1"/>
  <c r="T154" i="16" s="1"/>
  <c r="O153" i="16"/>
  <c r="P153" i="16" s="1"/>
  <c r="O151" i="16"/>
  <c r="R151" i="16" s="1"/>
  <c r="S151" i="16" s="1"/>
  <c r="T151" i="16" s="1"/>
  <c r="O149" i="16"/>
  <c r="R149" i="16" s="1"/>
  <c r="S149" i="16" s="1"/>
  <c r="T149" i="16" s="1"/>
  <c r="O148" i="16"/>
  <c r="O147" i="16"/>
  <c r="R147" i="16" s="1"/>
  <c r="S147" i="16" s="1"/>
  <c r="T147" i="16" s="1"/>
  <c r="O150" i="16"/>
  <c r="R150" i="16" s="1"/>
  <c r="S150" i="16" s="1"/>
  <c r="T150" i="16" s="1"/>
  <c r="O143" i="16"/>
  <c r="R143" i="16" s="1"/>
  <c r="S143" i="16" s="1"/>
  <c r="T143" i="16" s="1"/>
  <c r="O144" i="16"/>
  <c r="R144" i="16" s="1"/>
  <c r="S144" i="16" s="1"/>
  <c r="T144" i="16" s="1"/>
  <c r="O145" i="16"/>
  <c r="R145" i="16" s="1"/>
  <c r="S145" i="16" s="1"/>
  <c r="T145" i="16" s="1"/>
  <c r="O146" i="16"/>
  <c r="R146" i="16" s="1"/>
  <c r="S146" i="16" s="1"/>
  <c r="T146" i="16" s="1"/>
  <c r="R148" i="16" l="1"/>
  <c r="S148" i="16" s="1"/>
  <c r="T148" i="16" s="1"/>
  <c r="P148" i="16"/>
  <c r="P159" i="16"/>
  <c r="P155" i="16"/>
  <c r="P157" i="16"/>
  <c r="P150" i="16"/>
  <c r="P147" i="16"/>
  <c r="P151" i="16"/>
  <c r="P154" i="16"/>
  <c r="P156" i="16"/>
  <c r="P158" i="16"/>
  <c r="P146" i="16"/>
  <c r="P143" i="16"/>
  <c r="P145" i="16"/>
  <c r="R153" i="16"/>
  <c r="S153" i="16" s="1"/>
  <c r="T153" i="16" s="1"/>
  <c r="P149" i="16"/>
  <c r="P144" i="16"/>
  <c r="O142" i="16" l="1"/>
  <c r="R142" i="16" s="1"/>
  <c r="S142" i="16" s="1"/>
  <c r="T142" i="16" s="1"/>
  <c r="O141" i="16"/>
  <c r="P141" i="16" s="1"/>
  <c r="O140" i="16"/>
  <c r="R140" i="16" s="1"/>
  <c r="S140" i="16" s="1"/>
  <c r="T140" i="16" s="1"/>
  <c r="O138" i="16"/>
  <c r="R138" i="16" s="1"/>
  <c r="S138" i="16" s="1"/>
  <c r="T138" i="16" s="1"/>
  <c r="O137" i="16"/>
  <c r="R137" i="16" s="1"/>
  <c r="S137" i="16" s="1"/>
  <c r="T137" i="16" s="1"/>
  <c r="O136" i="16"/>
  <c r="R136" i="16" s="1"/>
  <c r="S136" i="16" s="1"/>
  <c r="T136" i="16" s="1"/>
  <c r="O135" i="16"/>
  <c r="R135" i="16" s="1"/>
  <c r="S135" i="16" s="1"/>
  <c r="T135" i="16" s="1"/>
  <c r="O134" i="16"/>
  <c r="R134" i="16" s="1"/>
  <c r="S134" i="16" s="1"/>
  <c r="T134" i="16" s="1"/>
  <c r="O133" i="16"/>
  <c r="R133" i="16" s="1"/>
  <c r="S133" i="16" s="1"/>
  <c r="T133" i="16" s="1"/>
  <c r="O132" i="16"/>
  <c r="R132" i="16" s="1"/>
  <c r="S132" i="16" s="1"/>
  <c r="T132" i="16" s="1"/>
  <c r="O131" i="16"/>
  <c r="P131" i="16" s="1"/>
  <c r="O129" i="16"/>
  <c r="R129" i="16" s="1"/>
  <c r="S129" i="16" s="1"/>
  <c r="T129" i="16" s="1"/>
  <c r="O127" i="16"/>
  <c r="R127" i="16" s="1"/>
  <c r="S127" i="16" s="1"/>
  <c r="T127" i="16" s="1"/>
  <c r="O126" i="16"/>
  <c r="R126" i="16" s="1"/>
  <c r="S126" i="16" s="1"/>
  <c r="T126" i="16" s="1"/>
  <c r="P126" i="16" l="1"/>
  <c r="P127" i="16"/>
  <c r="P129" i="16"/>
  <c r="P136" i="16"/>
  <c r="P137" i="16"/>
  <c r="P138" i="16"/>
  <c r="P140" i="16"/>
  <c r="P132" i="16"/>
  <c r="P133" i="16"/>
  <c r="P134" i="16"/>
  <c r="P142" i="16"/>
  <c r="R141" i="16"/>
  <c r="S141" i="16" s="1"/>
  <c r="T141" i="16" s="1"/>
  <c r="P135" i="16"/>
  <c r="R131" i="16"/>
  <c r="S131" i="16" s="1"/>
  <c r="T131" i="16" s="1"/>
  <c r="O115" i="16" l="1"/>
  <c r="R115" i="16" s="1"/>
  <c r="S115" i="16" s="1"/>
  <c r="T115" i="16" s="1"/>
  <c r="P115" i="16" l="1"/>
  <c r="O125" i="16"/>
  <c r="P125" i="16" s="1"/>
  <c r="C175" i="16"/>
  <c r="L164" i="16"/>
  <c r="O130" i="16"/>
  <c r="R130" i="16" s="1"/>
  <c r="S130" i="16" s="1"/>
  <c r="T130" i="16" s="1"/>
  <c r="O128" i="16"/>
  <c r="R128" i="16" s="1"/>
  <c r="S128" i="16" s="1"/>
  <c r="T128" i="16" s="1"/>
  <c r="O124" i="16"/>
  <c r="P124" i="16" s="1"/>
  <c r="O123" i="16"/>
  <c r="P123" i="16" s="1"/>
  <c r="O122" i="16"/>
  <c r="R122" i="16" s="1"/>
  <c r="S122" i="16" s="1"/>
  <c r="T122" i="16" s="1"/>
  <c r="O121" i="16"/>
  <c r="R121" i="16" s="1"/>
  <c r="S121" i="16" s="1"/>
  <c r="T121" i="16" s="1"/>
  <c r="O120" i="16"/>
  <c r="R120" i="16" s="1"/>
  <c r="S120" i="16" s="1"/>
  <c r="T120" i="16" s="1"/>
  <c r="O119" i="16"/>
  <c r="P119" i="16" s="1"/>
  <c r="O118" i="16"/>
  <c r="R118" i="16" s="1"/>
  <c r="S118" i="16" s="1"/>
  <c r="T118" i="16" s="1"/>
  <c r="O117" i="16"/>
  <c r="R117" i="16" s="1"/>
  <c r="S117" i="16" s="1"/>
  <c r="T117" i="16" s="1"/>
  <c r="O116" i="16"/>
  <c r="P116" i="16" s="1"/>
  <c r="O114" i="16"/>
  <c r="R114" i="16" s="1"/>
  <c r="S114" i="16" s="1"/>
  <c r="T114" i="16" s="1"/>
  <c r="R125" i="16" l="1"/>
  <c r="S125" i="16" s="1"/>
  <c r="T125" i="16" s="1"/>
  <c r="P120" i="16"/>
  <c r="R124" i="16"/>
  <c r="S124" i="16" s="1"/>
  <c r="T124" i="16" s="1"/>
  <c r="P117" i="16"/>
  <c r="R123" i="16"/>
  <c r="S123" i="16" s="1"/>
  <c r="T123" i="16" s="1"/>
  <c r="R119" i="16"/>
  <c r="S119" i="16" s="1"/>
  <c r="T119" i="16" s="1"/>
  <c r="P128" i="16"/>
  <c r="R116" i="16"/>
  <c r="S116" i="16" s="1"/>
  <c r="T116" i="16" s="1"/>
  <c r="P114" i="16"/>
  <c r="P118" i="16"/>
  <c r="P121" i="16"/>
  <c r="P122" i="16"/>
  <c r="P130" i="16"/>
  <c r="O18" i="14"/>
  <c r="P18" i="14" s="1"/>
  <c r="O16" i="14"/>
  <c r="P16" i="14" s="1"/>
  <c r="C46" i="14"/>
  <c r="L35" i="14"/>
  <c r="O29" i="14"/>
  <c r="R29" i="14" s="1"/>
  <c r="S29" i="14" s="1"/>
  <c r="T29" i="14" s="1"/>
  <c r="O28" i="14"/>
  <c r="R28" i="14" s="1"/>
  <c r="S28" i="14" s="1"/>
  <c r="T28" i="14" s="1"/>
  <c r="O27" i="14"/>
  <c r="P27" i="14" s="1"/>
  <c r="O26" i="14"/>
  <c r="P26" i="14" s="1"/>
  <c r="O24" i="14"/>
  <c r="R24" i="14" s="1"/>
  <c r="S24" i="14" s="1"/>
  <c r="T24" i="14" s="1"/>
  <c r="O23" i="14"/>
  <c r="R23" i="14" s="1"/>
  <c r="S23" i="14" s="1"/>
  <c r="T23" i="14" s="1"/>
  <c r="O22" i="14"/>
  <c r="R22" i="14" s="1"/>
  <c r="S22" i="14" s="1"/>
  <c r="T22" i="14" s="1"/>
  <c r="O21" i="14"/>
  <c r="P21" i="14" s="1"/>
  <c r="O20" i="14"/>
  <c r="R20" i="14" s="1"/>
  <c r="S20" i="14" s="1"/>
  <c r="T20" i="14" s="1"/>
  <c r="O19" i="14"/>
  <c r="R19" i="14" s="1"/>
  <c r="S19" i="14" s="1"/>
  <c r="T19" i="14" s="1"/>
  <c r="O17" i="14"/>
  <c r="R17" i="14" s="1"/>
  <c r="S17" i="14" s="1"/>
  <c r="T17" i="14" s="1"/>
  <c r="O15" i="14"/>
  <c r="P15" i="14" s="1"/>
  <c r="O13" i="14"/>
  <c r="R13" i="14" s="1"/>
  <c r="S13" i="14" s="1"/>
  <c r="T13" i="14" s="1"/>
  <c r="O12" i="14"/>
  <c r="R12" i="14" s="1"/>
  <c r="S12" i="14" s="1"/>
  <c r="T12" i="14" s="1"/>
  <c r="O11" i="14"/>
  <c r="R11" i="14" s="1"/>
  <c r="S11" i="14" s="1"/>
  <c r="T11" i="14" s="1"/>
  <c r="O10" i="14"/>
  <c r="P10" i="14" s="1"/>
  <c r="O9" i="14"/>
  <c r="R9" i="14" s="1"/>
  <c r="S9" i="14" s="1"/>
  <c r="T9" i="14" s="1"/>
  <c r="O8" i="14"/>
  <c r="R8" i="14" s="1"/>
  <c r="S8" i="14" s="1"/>
  <c r="T8" i="14" s="1"/>
  <c r="O7" i="14"/>
  <c r="P7" i="14" s="1"/>
  <c r="O6" i="14"/>
  <c r="P6" i="14" s="1"/>
  <c r="O5" i="14"/>
  <c r="R5" i="14" s="1"/>
  <c r="S5" i="14" s="1"/>
  <c r="T5" i="14" s="1"/>
  <c r="R27" i="14" l="1"/>
  <c r="S27" i="14" s="1"/>
  <c r="T27" i="14" s="1"/>
  <c r="R18" i="14"/>
  <c r="S18" i="14" s="1"/>
  <c r="T18" i="14" s="1"/>
  <c r="R16" i="14"/>
  <c r="S16" i="14" s="1"/>
  <c r="T16" i="14" s="1"/>
  <c r="P11" i="14"/>
  <c r="R21" i="14"/>
  <c r="S21" i="14" s="1"/>
  <c r="T21" i="14" s="1"/>
  <c r="R7" i="14"/>
  <c r="S7" i="14" s="1"/>
  <c r="T7" i="14" s="1"/>
  <c r="R10" i="14"/>
  <c r="S10" i="14" s="1"/>
  <c r="T10" i="14" s="1"/>
  <c r="P22" i="14"/>
  <c r="R6" i="14"/>
  <c r="S6" i="14" s="1"/>
  <c r="T6" i="14" s="1"/>
  <c r="P17" i="14"/>
  <c r="R26" i="14"/>
  <c r="S26" i="14" s="1"/>
  <c r="T26" i="14" s="1"/>
  <c r="R15" i="14"/>
  <c r="S15" i="14" s="1"/>
  <c r="T15" i="14" s="1"/>
  <c r="P8" i="14"/>
  <c r="P12" i="14"/>
  <c r="P19" i="14"/>
  <c r="P23" i="14"/>
  <c r="P28" i="14"/>
  <c r="P5" i="14"/>
  <c r="P9" i="14"/>
  <c r="P13" i="14"/>
  <c r="P20" i="14"/>
  <c r="P24" i="14"/>
  <c r="P29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maerr</author>
  </authors>
  <commentList>
    <comment ref="I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EFECTOS POSIBLES:</t>
        </r>
        <r>
          <rPr>
            <sz val="9"/>
            <color indexed="81"/>
            <rFont val="Tahoma"/>
            <family val="2"/>
          </rPr>
          <t xml:space="preserve">
EN LA SALUD,
SEGURIDAD DE LOS TRABAJADORES
DAÑO A LA PROPIEDAD
DAÑOS EN LOS PROCESOS
PERDIDAS ECONOMICAS (PUEDEN SER DANOS LEVES, MEDIOS O EXTREMOS)</t>
        </r>
      </text>
    </comment>
    <comment ref="H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CLASIFICAIÓN:</t>
        </r>
        <r>
          <rPr>
            <sz val="9"/>
            <color indexed="81"/>
            <rFont val="Tahoma"/>
            <family val="2"/>
          </rPr>
          <t xml:space="preserve">
BIOLOGICO
FISICO
QUIMICO
PSICOSOCIAL
BIOMECANICO
CONDICIONES DE SEGURIDAD
FENOMENOS NATURALES</t>
        </r>
      </text>
    </comment>
    <comment ref="M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NIVEL DE DEFICIENCIA:</t>
        </r>
        <r>
          <rPr>
            <sz val="9"/>
            <color indexed="81"/>
            <rFont val="Tahoma"/>
            <family val="2"/>
          </rPr>
          <t xml:space="preserve">
Muy Alto (MA): 10 
Alto (A): 6
Medio (M): 2
Bajo (B): No se asigna valor (NAV)</t>
        </r>
      </text>
    </comment>
    <comment ref="N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NIVEL EXPOSICIÓN: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Continua: 4
Frecuente: 3
Ocasional: 2
Esporádica: 1</t>
        </r>
      </text>
    </comment>
    <comment ref="P4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PROBABILIDAD:</t>
        </r>
        <r>
          <rPr>
            <sz val="9"/>
            <color indexed="81"/>
            <rFont val="Tahoma"/>
            <family val="2"/>
          </rPr>
          <t xml:space="preserve">
Muy Alto (MA): entre 40 y 24
Alto (A): entre 20 y 10
Medio (M): entre 8 y 6
Bajo (B): entre 4 y 2</t>
        </r>
      </text>
    </comment>
    <comment ref="Q4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CONSECUENCIAS:</t>
        </r>
        <r>
          <rPr>
            <sz val="9"/>
            <color indexed="81"/>
            <rFont val="Tahoma"/>
            <family val="2"/>
          </rPr>
          <t xml:space="preserve">
Mortal o Catastrófica</t>
        </r>
        <r>
          <rPr>
            <b/>
            <sz val="9"/>
            <color indexed="81"/>
            <rFont val="Tahoma"/>
            <family val="2"/>
          </rPr>
          <t xml:space="preserve"> (M): 100</t>
        </r>
        <r>
          <rPr>
            <sz val="9"/>
            <color indexed="81"/>
            <rFont val="Tahoma"/>
            <family val="2"/>
          </rPr>
          <t xml:space="preserve"> Muerte
Muy grave </t>
        </r>
        <r>
          <rPr>
            <b/>
            <sz val="9"/>
            <color indexed="81"/>
            <rFont val="Tahoma"/>
            <family val="2"/>
          </rPr>
          <t>(MG): 60</t>
        </r>
        <r>
          <rPr>
            <sz val="9"/>
            <color indexed="81"/>
            <rFont val="Tahoma"/>
            <family val="2"/>
          </rPr>
          <t xml:space="preserve"> Lesiones graves irreparables (Incapacidad permanente parcial o invalidez)
Grave</t>
        </r>
        <r>
          <rPr>
            <b/>
            <sz val="9"/>
            <color indexed="81"/>
            <rFont val="Tahoma"/>
            <family val="2"/>
          </rPr>
          <t xml:space="preserve"> (G): 25</t>
        </r>
        <r>
          <rPr>
            <sz val="9"/>
            <color indexed="81"/>
            <rFont val="Tahoma"/>
            <family val="2"/>
          </rPr>
          <t xml:space="preserve"> Lesiones con incapacidad laboral temporal (ILT)
Leve </t>
        </r>
        <r>
          <rPr>
            <b/>
            <sz val="9"/>
            <color indexed="81"/>
            <rFont val="Tahoma"/>
            <family val="2"/>
          </rPr>
          <t>(L): 10</t>
        </r>
        <r>
          <rPr>
            <sz val="9"/>
            <color indexed="81"/>
            <rFont val="Tahoma"/>
            <family val="2"/>
          </rPr>
          <t xml:space="preserve"> Lesiones que no requieren hospitalización</t>
        </r>
      </text>
    </comment>
    <comment ref="R4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INTERVENCIÓN NIVEL DEL RIESGO:</t>
        </r>
        <r>
          <rPr>
            <sz val="9"/>
            <color indexed="81"/>
            <rFont val="Tahoma"/>
            <family val="2"/>
          </rPr>
          <t xml:space="preserve">
Probabilidad x consecuencia
I: No aceptable 4000 a 600 (Situación crítica. Suspender actividades hasta que el riesgo esté bajo control. Intervención urgente.)
II: No aceptable 500 - 150 (Corregir y adoptar medidas de control de inmediato. Sin embargo suspenda actividades si el nivel de consecuencia está por encima de 360)
III: Aceptable 120 - 40 (Mejorar si es posible. Seria conveniente justificar la intervención y su rentabilidad)
IV: Aceptable  20 (Mantener las medidas de control existentes, pero se deberían considerar soluciones o mejoras y de deben hacer comprobaciones periódicas para asegurar que el riesgo aún es tolerable</t>
        </r>
      </text>
    </comment>
    <comment ref="S4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NIVEL DEL RIESGO:</t>
        </r>
        <r>
          <rPr>
            <sz val="9"/>
            <color indexed="81"/>
            <rFont val="Tahoma"/>
            <family val="2"/>
          </rPr>
          <t xml:space="preserve">
I: 4000 - 600
II: 500 - 150
III: 120 - 40
IV: 20</t>
        </r>
      </text>
    </comment>
    <comment ref="T4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ACEPTABILIDAD:</t>
        </r>
        <r>
          <rPr>
            <sz val="9"/>
            <color indexed="81"/>
            <rFont val="Tahoma"/>
            <family val="2"/>
          </rPr>
          <t xml:space="preserve">
I: No aceptable
II: No aceptable o Aceptable con Control Específico
III: Mejorable
IV: Aceptable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maerr</author>
  </authors>
  <commentList>
    <comment ref="I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EFECTOS POSIBLES:</t>
        </r>
        <r>
          <rPr>
            <sz val="9"/>
            <color indexed="81"/>
            <rFont val="Tahoma"/>
            <family val="2"/>
          </rPr>
          <t xml:space="preserve">
EN LA SALUD,
SEGURIDAD DE LOS TRABAJADORES
DAÑO A LA PROPIEDAD
DAÑOS EN LOS PROCESOS
PERDIDAS ECONOMICAS (PUEDEN SER DANOS LEVES, MEDIOS O EXTREMOS)</t>
        </r>
      </text>
    </comment>
    <comment ref="H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CLASIFICAIÓN:</t>
        </r>
        <r>
          <rPr>
            <sz val="9"/>
            <color indexed="81"/>
            <rFont val="Tahoma"/>
            <family val="2"/>
          </rPr>
          <t xml:space="preserve">
BIOLOGICO
FISICO
QUIMICO
PSICOSOCIAL
BIOMECANICO
CONDICIONES DE SEGURIDAD
FENOMENOS NATURALES</t>
        </r>
      </text>
    </comment>
    <comment ref="M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NIVEL DE DEFICIENCIA:</t>
        </r>
        <r>
          <rPr>
            <sz val="9"/>
            <color indexed="81"/>
            <rFont val="Tahoma"/>
            <family val="2"/>
          </rPr>
          <t xml:space="preserve">
Muy Alto (MA): 10 
Alto (A): 6
Medio (M): 2
Bajo (B): No se asigna valor (NAV)</t>
        </r>
      </text>
    </comment>
    <comment ref="N4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NIVEL EXPOSICIÓN: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Continua: 4
Frecuente: 3
Ocasional: 2
Esporádica: 1</t>
        </r>
      </text>
    </comment>
    <comment ref="P4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PROBABILIDAD:</t>
        </r>
        <r>
          <rPr>
            <sz val="9"/>
            <color indexed="81"/>
            <rFont val="Tahoma"/>
            <family val="2"/>
          </rPr>
          <t xml:space="preserve">
Muy Alto (MA): entre 40 y 24
Alto (A): entre 20 y 10
Medio (M): entre 8 y 6
Bajo (B): entre 4 y 2</t>
        </r>
      </text>
    </comment>
    <comment ref="Q4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CONSECUENCIAS:</t>
        </r>
        <r>
          <rPr>
            <sz val="9"/>
            <color indexed="81"/>
            <rFont val="Tahoma"/>
            <family val="2"/>
          </rPr>
          <t xml:space="preserve">
Mortal o Catastrófica</t>
        </r>
        <r>
          <rPr>
            <b/>
            <sz val="9"/>
            <color indexed="81"/>
            <rFont val="Tahoma"/>
            <family val="2"/>
          </rPr>
          <t xml:space="preserve"> (M): 100</t>
        </r>
        <r>
          <rPr>
            <sz val="9"/>
            <color indexed="81"/>
            <rFont val="Tahoma"/>
            <family val="2"/>
          </rPr>
          <t xml:space="preserve"> Muerte
Muy grave </t>
        </r>
        <r>
          <rPr>
            <b/>
            <sz val="9"/>
            <color indexed="81"/>
            <rFont val="Tahoma"/>
            <family val="2"/>
          </rPr>
          <t>(MG): 60</t>
        </r>
        <r>
          <rPr>
            <sz val="9"/>
            <color indexed="81"/>
            <rFont val="Tahoma"/>
            <family val="2"/>
          </rPr>
          <t xml:space="preserve"> Lesiones graves irreparables (Incapacidad permanente parcial o invalidez)
Grave</t>
        </r>
        <r>
          <rPr>
            <b/>
            <sz val="9"/>
            <color indexed="81"/>
            <rFont val="Tahoma"/>
            <family val="2"/>
          </rPr>
          <t xml:space="preserve"> (G): 25</t>
        </r>
        <r>
          <rPr>
            <sz val="9"/>
            <color indexed="81"/>
            <rFont val="Tahoma"/>
            <family val="2"/>
          </rPr>
          <t xml:space="preserve"> Lesiones con incapacidad laboral temporal (ILT)
Leve </t>
        </r>
        <r>
          <rPr>
            <b/>
            <sz val="9"/>
            <color indexed="81"/>
            <rFont val="Tahoma"/>
            <family val="2"/>
          </rPr>
          <t>(L): 10</t>
        </r>
        <r>
          <rPr>
            <sz val="9"/>
            <color indexed="81"/>
            <rFont val="Tahoma"/>
            <family val="2"/>
          </rPr>
          <t xml:space="preserve"> Lesiones que no requieren hospitalización</t>
        </r>
      </text>
    </comment>
    <comment ref="R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INTERVENCIÓN NIVEL DEL RIESGO:</t>
        </r>
        <r>
          <rPr>
            <sz val="9"/>
            <color indexed="81"/>
            <rFont val="Tahoma"/>
            <family val="2"/>
          </rPr>
          <t xml:space="preserve">
Probabilidad x consecuencia
I: No aceptable 4000 a 600 (Situación crítica. Suspender actividades hasta que el riesgo esté bajo control. Intervención urgente.)
II: No aceptable 500 - 150 (Corregir y adoptar medidas de control de inmediato. Sin embargo suspenda actividades si el nivel de consecuencia está por encima de 360)
III: Aceptable 120 - 40 (Mejorar si es posible. Seria conveniente justificar la intervención y su rentabilidad)
IV: Aceptable  20 (Mantener las medidas de control existentes, pero se deberían considerar soluciones o mejoras y de deben hacer comprobaciones periódicas para asegurar que el riesgo aún es tolerable</t>
        </r>
      </text>
    </comment>
    <comment ref="S4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NIVEL DEL RIESGO:</t>
        </r>
        <r>
          <rPr>
            <sz val="9"/>
            <color indexed="81"/>
            <rFont val="Tahoma"/>
            <family val="2"/>
          </rPr>
          <t xml:space="preserve">
I: 4000 - 600
II: 500 - 150
III: 120 - 40
IV: 20</t>
        </r>
      </text>
    </comment>
    <comment ref="T4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ACEPTABILIDAD:</t>
        </r>
        <r>
          <rPr>
            <sz val="9"/>
            <color indexed="81"/>
            <rFont val="Tahoma"/>
            <family val="2"/>
          </rPr>
          <t xml:space="preserve">
I: No aceptable
II: No aceptable o Aceptable con Control Específico
III: Mejorable
IV: Aceptable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Vargas</author>
  </authors>
  <commentList>
    <comment ref="G4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 xml:space="preserve">No aceptable </t>
        </r>
      </text>
    </comment>
    <comment ref="G5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No aceptable o aceptable con control específico</t>
        </r>
      </text>
    </comment>
    <comment ref="G6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Aceptable</t>
        </r>
      </text>
    </comment>
    <comment ref="G7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Aceptable</t>
        </r>
      </text>
    </comment>
  </commentList>
</comments>
</file>

<file path=xl/sharedStrings.xml><?xml version="1.0" encoding="utf-8"?>
<sst xmlns="http://schemas.openxmlformats.org/spreadsheetml/2006/main" count="2853" uniqueCount="684">
  <si>
    <t>Proceso</t>
  </si>
  <si>
    <t>Zona/lugar</t>
  </si>
  <si>
    <t>Actividades</t>
  </si>
  <si>
    <t>Tareas</t>
  </si>
  <si>
    <t>Rutinario (si o no)</t>
  </si>
  <si>
    <t>Peligro</t>
  </si>
  <si>
    <t>Efectos posibles</t>
  </si>
  <si>
    <t>Controles existentes</t>
  </si>
  <si>
    <t>Criterios para establecer controles</t>
  </si>
  <si>
    <t>Medidas de intervención</t>
  </si>
  <si>
    <t>Descripcion</t>
  </si>
  <si>
    <t>Clasificación</t>
  </si>
  <si>
    <t>Fuente</t>
  </si>
  <si>
    <t>Medio</t>
  </si>
  <si>
    <t>Nivel de deficiencia</t>
  </si>
  <si>
    <t>Nivel de Exposicion</t>
  </si>
  <si>
    <t>Nivel de probabilidad (ND*NE)</t>
  </si>
  <si>
    <t>Interpretacion del nivel de probabilidad</t>
  </si>
  <si>
    <t>Nivel de consecuencia</t>
  </si>
  <si>
    <t>Nivel del riesgo</t>
  </si>
  <si>
    <t>Aceptabilidad del riesgo</t>
  </si>
  <si>
    <t>Peor consecuencia</t>
  </si>
  <si>
    <t>Controles administrativos, señalización, advertencia</t>
  </si>
  <si>
    <t>Equipos/elementos de protección personal</t>
  </si>
  <si>
    <t>SI</t>
  </si>
  <si>
    <t>Ninguno</t>
  </si>
  <si>
    <t>N/A</t>
  </si>
  <si>
    <t>Fatiga, cansancio  visual, cefaleas</t>
  </si>
  <si>
    <t>De seguridad tecnológico</t>
  </si>
  <si>
    <t>Posible Contacto con Baja Tensión</t>
  </si>
  <si>
    <t>De seguridad eléctrico</t>
  </si>
  <si>
    <t>Diseñar e implementar un programa de mantenimiento preventivo y correctivo a redes e instalaciones eléctricas, maquinaria y equipos con potencial de generar incendio.</t>
  </si>
  <si>
    <t xml:space="preserve">Posición sentada prolongada </t>
  </si>
  <si>
    <t>Pausas activas, buenos estilos de vida saludable y alternan con otras tareas durante la jornada.</t>
  </si>
  <si>
    <t>Lesiones osteomusculares</t>
  </si>
  <si>
    <t>Cansancio muscular, lesiones osteomusculares</t>
  </si>
  <si>
    <t xml:space="preserve">Superficies de trabajo.       </t>
  </si>
  <si>
    <t>De seguridad mecánico</t>
  </si>
  <si>
    <t>Heridas, lesión en manos</t>
  </si>
  <si>
    <t>De seguridad locativo</t>
  </si>
  <si>
    <t>RIESGOS</t>
  </si>
  <si>
    <t>NIVEL DE RIESGO</t>
  </si>
  <si>
    <t>BIOMECANICO</t>
  </si>
  <si>
    <t>TOTAL</t>
  </si>
  <si>
    <t>DE SEGURIDAD ELECTRICO</t>
  </si>
  <si>
    <t>DE SEGURIDAD LOCATIVO</t>
  </si>
  <si>
    <t>DE SEGURIDAD MECÁNICO</t>
  </si>
  <si>
    <t>DE SEGURIDAD TECNOLOGICO</t>
  </si>
  <si>
    <t>FISICO</t>
  </si>
  <si>
    <t xml:space="preserve">  Evaluación del Riesgo</t>
  </si>
  <si>
    <t>Valoración del Riesgo</t>
  </si>
  <si>
    <t>Schok, heridas en múltiples partes del cuerpo, lesiones, quemaduras</t>
  </si>
  <si>
    <t>Equipos con cables encauchetados y seguros</t>
  </si>
  <si>
    <t>Shock, quemaduras graves</t>
  </si>
  <si>
    <t>Sismo</t>
  </si>
  <si>
    <t>Lesiones graves. Estrés</t>
  </si>
  <si>
    <t>Cuentan con sillas adecuadas para el desarrollo de su labor y descansa pies si se requiere</t>
  </si>
  <si>
    <t>Físico</t>
  </si>
  <si>
    <t>Fenómeno Natural</t>
  </si>
  <si>
    <t>FENÓMENO NATURAL</t>
  </si>
  <si>
    <r>
      <t xml:space="preserve">NO ACEPTABLE
</t>
    </r>
    <r>
      <rPr>
        <b/>
        <sz val="10"/>
        <rFont val="Arial"/>
        <family val="2"/>
      </rPr>
      <t>I</t>
    </r>
  </si>
  <si>
    <r>
      <t xml:space="preserve">NO ACEPTABLE O ACEPTABLE CON CONTROL ESPECÍFICO
</t>
    </r>
    <r>
      <rPr>
        <b/>
        <sz val="9"/>
        <rFont val="Arial"/>
        <family val="2"/>
      </rPr>
      <t>II</t>
    </r>
  </si>
  <si>
    <r>
      <t xml:space="preserve">MEJORABLE
</t>
    </r>
    <r>
      <rPr>
        <b/>
        <sz val="10"/>
        <rFont val="Arial"/>
        <family val="2"/>
      </rPr>
      <t>III</t>
    </r>
  </si>
  <si>
    <r>
      <t xml:space="preserve">ACEPTABLE
</t>
    </r>
    <r>
      <rPr>
        <b/>
        <sz val="10"/>
        <rFont val="Arial"/>
        <family val="2"/>
      </rPr>
      <t>IV</t>
    </r>
  </si>
  <si>
    <t>Nivel de Riesgo (NR) e intervención  (N.probabilidad x Consecuencia)</t>
  </si>
  <si>
    <t>Nro. de expuestos</t>
  </si>
  <si>
    <t>Controles de ingeniería</t>
  </si>
  <si>
    <t>Biomecánico</t>
  </si>
  <si>
    <t>Iluminación (luz visible por exceso o deficiencia)</t>
  </si>
  <si>
    <t>Inspección a las luminarias realizar cambios cuando se requiera.</t>
  </si>
  <si>
    <t>Mantenimiento periódico a las luminarias y lámparas. (Limpieza a las carcasas y tubos), ubicación de luminarias en cantidad adecuada para el área de trabajo</t>
  </si>
  <si>
    <t>Quemaduras, amputaciones, alteraciones de órganos y sentidos, muerte y daño en elementos estructurales y de amueblamiento.</t>
  </si>
  <si>
    <t>Mantenimiento en redes eléctricas</t>
  </si>
  <si>
    <t>Lesiones osteomusculares, fatiga física y muscular</t>
  </si>
  <si>
    <t>Adecuación de puesto de trabajo(sillas, ubicación de los implementos), uso de descansa pies si se requiere, posición correcta.</t>
  </si>
  <si>
    <t>Incendios</t>
  </si>
  <si>
    <t>Programa de mantenimiento eléctrico y equipos</t>
  </si>
  <si>
    <t>Quemaduras graves</t>
  </si>
  <si>
    <t>Lesiones del sistema musculo esquelético, estrés, miedo, shock</t>
  </si>
  <si>
    <t>Condiciones de la Tarea (Carga mental, Contenido de la Tarea, Demandas emocionales, Definición de Roles)</t>
  </si>
  <si>
    <t>Psicosocial</t>
  </si>
  <si>
    <t>Estrés, Cansancio, Cefalea, Problemas Gastrointestinales.</t>
  </si>
  <si>
    <t xml:space="preserve">Aplicación de Baterias de Riesgo Psicosocial. Se esta desarrollando el Programa de Riesgo Psicosocial. Capacitar al personal en el riesgo psicosocial. </t>
  </si>
  <si>
    <t>Capacitación en los Roles y Funciones de la tarea.</t>
  </si>
  <si>
    <t>PSICOSOCIAL</t>
  </si>
  <si>
    <t>Capacitar al personal en el riesgo mecánico y autocuidado</t>
  </si>
  <si>
    <t>Lesiones, heridas</t>
  </si>
  <si>
    <t>Accidentes de Tránsito</t>
  </si>
  <si>
    <t>De Seguridad (Accidentes de Tránsito)</t>
  </si>
  <si>
    <t>Lesiones en las personas graves, severas, muerte y daños materiales.</t>
  </si>
  <si>
    <t>Lesiones  graves o la muerte</t>
  </si>
  <si>
    <t>Capacitar al personal en normas de transito y seguridad vial, autocuidado</t>
  </si>
  <si>
    <t>Tiempo de exposición</t>
  </si>
  <si>
    <t>Sustitución</t>
  </si>
  <si>
    <t>Persona</t>
  </si>
  <si>
    <t>Programación y verificación del mantenimiento de las sillas</t>
  </si>
  <si>
    <t>Organización del tiempo de trabajo</t>
  </si>
  <si>
    <t>Capacitar al personal en el riesgo psicosocial. Implementar el programa de riesgo psicosocial.</t>
  </si>
  <si>
    <t>Ubicación correcta de las lámparas vs puestos de trabajo</t>
  </si>
  <si>
    <t>Manipulación de Materiales o elementos corto punzantes de oficina</t>
  </si>
  <si>
    <t xml:space="preserve">Materiales y utensilios en buenas condiciones </t>
  </si>
  <si>
    <t>Pausas activas en cada jornada y diariamente, buenos estilos de vida saludable</t>
  </si>
  <si>
    <t>Organizar el  tiempo de trabajo para evitar generar estrés, realizar pausas activas.</t>
  </si>
  <si>
    <t>Estrés</t>
  </si>
  <si>
    <t>Golpes, contusiones, caídas a mismo nivel o diferente nivel</t>
  </si>
  <si>
    <t>Realizar inspecciones periódicas generales y especificas a áreas de trabajo, equipos . Capacitar sobre los riesgos locativos</t>
  </si>
  <si>
    <t>Extintores, gabinetes contra incendios.
Sensores de humo</t>
  </si>
  <si>
    <t>Señalización en parqueaderos</t>
  </si>
  <si>
    <t>Capacitación en evacuación y que hacer en caso de un sismo.</t>
  </si>
  <si>
    <t xml:space="preserve">Si </t>
  </si>
  <si>
    <t>Fatiga, cansancio mental, hipoacusia</t>
  </si>
  <si>
    <t>Inundación por ruptura de tuberia</t>
  </si>
  <si>
    <t>Buen diseño en la Red de acueducto.</t>
  </si>
  <si>
    <t>Reducción o Eliminación</t>
  </si>
  <si>
    <t>Si</t>
  </si>
  <si>
    <t>Cansancio, cefalea. Estres</t>
  </si>
  <si>
    <t>Radiaciones no ionizantes (Computador)</t>
  </si>
  <si>
    <t>Aumento temperatura corporal, Alteración de las reacciones químicas</t>
  </si>
  <si>
    <t>Agotamiento , fatiga, estrés</t>
  </si>
  <si>
    <t>Capacitar al personal en pausas activas visuales</t>
  </si>
  <si>
    <t>DE SEGURIDAD ACCIDENTE DE TRANSITO</t>
  </si>
  <si>
    <t>TABLA I. CLASIFICACIÓN DE LOS NIVELES DE DAÑO</t>
  </si>
  <si>
    <t>Categoria del daño</t>
  </si>
  <si>
    <t>Daño leve</t>
  </si>
  <si>
    <t>Daño medio</t>
  </si>
  <si>
    <t>Daño extremo</t>
  </si>
  <si>
    <t>Salud</t>
  </si>
  <si>
    <t>Molestias e irritación (ejemplo: dolor de cabeza); enfermedad temporal que produce malestar (ejemplo: diarrea)</t>
  </si>
  <si>
    <t>Enfermedades que causan incapacidad temporal. Ejemplo: perdida parcial de la audición; dermatitis; asma; desordenes de las extremidades superiores.</t>
  </si>
  <si>
    <t>Enfermedades agudas o cronicas que generan enfermedad permanente parcial, invalidez o muerte.</t>
  </si>
  <si>
    <t>Seguridad</t>
  </si>
  <si>
    <t>Lesiones superficiales; heridas de poca profundidad, contusiones; irritaciones del ojo por material particulado.</t>
  </si>
  <si>
    <t>Laseraciones; heridas profundas; quemaduras de primer grado; conmoción cerebral; esguinses graves; fractura de huesos cortos.</t>
  </si>
  <si>
    <t>lesiones que generan amputaciones; fracturas de huesos largos; trauma cráneo encefálico; quemaduras de segundo y tercer grado; alteraciones severas de mano, de columna vertebral con compromiso de la médula espinal, oculares que comprometan el campo visual; disminuyan la capacidad auditiva.</t>
  </si>
  <si>
    <t>TABLA II. DETERMINACIÓN DEL NIVEL DE DEFICIENCIA</t>
  </si>
  <si>
    <t>Valor de ND</t>
  </si>
  <si>
    <t>Significado</t>
  </si>
  <si>
    <t xml:space="preserve">Muy alto (MA) </t>
  </si>
  <si>
    <t>Se ha(n) detectado peligro(s) que determina(n) como posible la generación de incidentes, o la eficacia del conjunto de medidas preventivas existentes respecto al riesgo es nula no existe, o ambos</t>
  </si>
  <si>
    <t>Alto (A)</t>
  </si>
  <si>
    <t>Se ha(n) detectado algún(os) peligro(s) que puede(n) dar lugar a consecuencias significativa(s) o la eficacia del conjunto de medidas preventivas existentes es baja, o ambos</t>
  </si>
  <si>
    <t>Medio (M)</t>
  </si>
  <si>
    <t>Se han detectado peligros que pueden dar lugar a consecuencias poco significativa(s) o de menor importancia, o la eficacia del conjunto de medidas preventivas existentes es moderada, o ambos.</t>
  </si>
  <si>
    <t>Bajo (B)</t>
  </si>
  <si>
    <t>No se asigna valor</t>
  </si>
  <si>
    <t>No se ha destacado anomalía destacable alguna, o la eficacia del conjunto de medidas preventivas existentes es alta, o ambos. El riesgo esta controlado.</t>
  </si>
  <si>
    <t>TABLA III. DETERMINACIÓN DEL NIVEL DE EXPOSICIÓN</t>
  </si>
  <si>
    <t>Nivel de exposición</t>
  </si>
  <si>
    <t>Valor de NE</t>
  </si>
  <si>
    <t xml:space="preserve">Continua (EC) </t>
  </si>
  <si>
    <t>La situación de exposición se presenta sin interrupcion o varias veces con tiempo prolongado durante la jornada laboral.</t>
  </si>
  <si>
    <t>Frecuente (EF)</t>
  </si>
  <si>
    <t>La situación de exposición se presenta varias veces durante la jornada laboral por tiempos cortos.</t>
  </si>
  <si>
    <t>Ocacional (EO)</t>
  </si>
  <si>
    <t>La situación de exposición se presenta alguna vez durante la jornada laboral y por un periodo de tiempo corto.</t>
  </si>
  <si>
    <t>Esporadica (EE)</t>
  </si>
  <si>
    <t>La situación de exposición se presenta de manera eventual.</t>
  </si>
  <si>
    <t>TABLA IV. DETERMINACIÓN DEL NIVEL DE PROBABILIDAD</t>
  </si>
  <si>
    <t>Niveles de probabilidad</t>
  </si>
  <si>
    <t>Nivel de deficiencia (ND)</t>
  </si>
  <si>
    <t>MA - 40</t>
  </si>
  <si>
    <t>MA - 30</t>
  </si>
  <si>
    <t>A - 20</t>
  </si>
  <si>
    <t>A - 10</t>
  </si>
  <si>
    <t>MA - 24</t>
  </si>
  <si>
    <t>A - 18</t>
  </si>
  <si>
    <t>A - 12</t>
  </si>
  <si>
    <t>M - 6</t>
  </si>
  <si>
    <t>M - 8</t>
  </si>
  <si>
    <t>B - 4</t>
  </si>
  <si>
    <t>B - 2</t>
  </si>
  <si>
    <t>TABLA V. SIGNIFICADO DE LOS DIFERENTES NIVELES DE PROBABILIDAD</t>
  </si>
  <si>
    <t>Nivel de Probabilidad</t>
  </si>
  <si>
    <t xml:space="preserve">Valor de NP </t>
  </si>
  <si>
    <t>Muy alto (MA)</t>
  </si>
  <si>
    <t>Entre 40 y 24</t>
  </si>
  <si>
    <t>Situación deficiente con exposición continua.
Normalmente la materialización del riesgo ocurre con frecuencia</t>
  </si>
  <si>
    <t>Entre 20 y 10</t>
  </si>
  <si>
    <t xml:space="preserve">Situación deficiente con exposición frecuente u ocacional, o bien situación muy deficiente con exposición ocacional o esporádica.
La materialización del riesgo es posible que suceda varias veces durante la vida laboral </t>
  </si>
  <si>
    <t>Entre 8 y 6</t>
  </si>
  <si>
    <t>Situacion deficiente con exposición esporádica, o bien situación mejorable con exposición continuada o frecuente. 
Es posible que suceda el daño alguna vez.</t>
  </si>
  <si>
    <t>Entre 4 y 2</t>
  </si>
  <si>
    <t>Situación mejorable con exposición ocacional o esporádica, o situación sin anomalia destacable con cualquier nivel de exposición.
No es esperable que se materialice el riesgo, aunque puede ser concebible.</t>
  </si>
  <si>
    <t>TABLA VI. DETERMINACIÓN DEL NIVEL DE CONSECUENCIAS</t>
  </si>
  <si>
    <t>Nivel de consecuencias</t>
  </si>
  <si>
    <t>NC</t>
  </si>
  <si>
    <t>Daños personales</t>
  </si>
  <si>
    <t xml:space="preserve">Mortal o catastrófico (M)  </t>
  </si>
  <si>
    <t>Muerte(s)</t>
  </si>
  <si>
    <t>Muy grave (MG)</t>
  </si>
  <si>
    <t>Lesiones o enfermedades graves irreparables (incapacidad permanente, parcial o invalidez).</t>
  </si>
  <si>
    <t xml:space="preserve">Grave (G) </t>
  </si>
  <si>
    <t>Lesiones o enfermedades con incapacidad laboral temporal (ILT).</t>
  </si>
  <si>
    <t>Leve (L)</t>
  </si>
  <si>
    <t>Lesiones o enfermedades que no requieren incapacidad.</t>
  </si>
  <si>
    <t>TABLA VII. DETERMINACIÓN DEL NIVEL DE RIESGO</t>
  </si>
  <si>
    <t>TABLA VIII. SIGNIFICADO DEL NIVEL DE RIESGO</t>
  </si>
  <si>
    <t>Nivel de riesgo 
NR = NP X NC</t>
  </si>
  <si>
    <t>Nivel de probabilidad (NP)</t>
  </si>
  <si>
    <t>Nivel de riesgo</t>
  </si>
  <si>
    <t>Valor del NR</t>
  </si>
  <si>
    <t>40 - 24</t>
  </si>
  <si>
    <t>20 - 10</t>
  </si>
  <si>
    <t>8 - 6.</t>
  </si>
  <si>
    <t>4 - 2.</t>
  </si>
  <si>
    <t>Nivel de consecuencias (NC)</t>
  </si>
  <si>
    <t>I
4000 - 2400</t>
  </si>
  <si>
    <t>I
2000 - 1000</t>
  </si>
  <si>
    <t>I
800 - 600</t>
  </si>
  <si>
    <t>II 
400 - 200</t>
  </si>
  <si>
    <t>I</t>
  </si>
  <si>
    <t>4000 - 600</t>
  </si>
  <si>
    <t>Situación crítica. Suspender actividades hasta que el riesgop este bajo control. Intervencion Urgente.</t>
  </si>
  <si>
    <t>I
2400 - 1440</t>
  </si>
  <si>
    <t>I
1200 - 600</t>
  </si>
  <si>
    <t>II
480 - 360</t>
  </si>
  <si>
    <t>II 240
III 120</t>
  </si>
  <si>
    <t>II</t>
  </si>
  <si>
    <t>500 - 150</t>
  </si>
  <si>
    <t>Corregir y adoptar medidas de control de inmediato. Sin embargo, suspenda actividades si el nivel de riesgo esta por encima o igual de 360.</t>
  </si>
  <si>
    <t>I 
1000 - 600</t>
  </si>
  <si>
    <t>II 
500 - 250</t>
  </si>
  <si>
    <t>II
200 - 150</t>
  </si>
  <si>
    <t>III 
100 - 50</t>
  </si>
  <si>
    <t>III</t>
  </si>
  <si>
    <t>120 - 40</t>
  </si>
  <si>
    <t>Mejorar si es posible. Seria conveniente justificar la intervención y su rentabilidad.</t>
  </si>
  <si>
    <t>II
400 - 240</t>
  </si>
  <si>
    <t>II 200
III 100</t>
  </si>
  <si>
    <t>III 
80 - 60</t>
  </si>
  <si>
    <t>III 40
IV 20</t>
  </si>
  <si>
    <t>IV</t>
  </si>
  <si>
    <t>Mantener las medidas de control existentes, pero se deberian considerar soluciones o mejoras y se deben hacer comprobaciones periódicas para asegurar que el riesgo es aún aceptable.</t>
  </si>
  <si>
    <t>CLASIFICACIÓN DE PELIGROS</t>
  </si>
  <si>
    <t>Descripción</t>
  </si>
  <si>
    <t>Biológico</t>
  </si>
  <si>
    <t xml:space="preserve">Físico </t>
  </si>
  <si>
    <t>Químico</t>
  </si>
  <si>
    <t>Biomecánicos</t>
  </si>
  <si>
    <t>Condiciones de seguridad</t>
  </si>
  <si>
    <t>Fenomenos naturales*</t>
  </si>
  <si>
    <t xml:space="preserve">Virus </t>
  </si>
  <si>
    <t xml:space="preserve">Ruido (de impacto, intermitente o continuo)  </t>
  </si>
  <si>
    <t>Polvos organicos inorganicos</t>
  </si>
  <si>
    <t>Gestion organizacional (estilo de mando, pago, contratación, participación, inducción y capacitación, bienestar social, evaluación del desempeno, manejo de cambios).</t>
  </si>
  <si>
    <t>Postura (prolongada, mantenida, forzada, antigravitacional).</t>
  </si>
  <si>
    <t>Mecánico (elementos o partes de maquinas, herramientas, equipos, piezas a trabajar, materiales proyectados solidos o fluidos).</t>
  </si>
  <si>
    <t xml:space="preserve">Bacterias </t>
  </si>
  <si>
    <t>Iluminación (luz visible por exeso o deficiencia)</t>
  </si>
  <si>
    <t>Fibras</t>
  </si>
  <si>
    <t>Caracteristicas de la organización del trabajo (comunicación, tecnologia, organización del trabajo, demandas cualitativas y cuantitativas de la labor).</t>
  </si>
  <si>
    <t>Esfuerzo</t>
  </si>
  <si>
    <t>Eléctrico (alta y baja tensión, estática)</t>
  </si>
  <si>
    <t>Terremoto</t>
  </si>
  <si>
    <t>Hongos</t>
  </si>
  <si>
    <t xml:space="preserve">Vibración (cuerpo entero, segmentaria) </t>
  </si>
  <si>
    <t>Liquidos (nieblas y rocios)</t>
  </si>
  <si>
    <t>Características del grupo social de trabajo (relaciones, cohesión, calidad de interacciones, trabajo en equipo).</t>
  </si>
  <si>
    <t>Movimiento repetitivo</t>
  </si>
  <si>
    <t xml:space="preserve">Locativo (sistemas y medios de almacenamiento) superficies de trabajo (irregulares, deslizantes, con diferencia del nivel) condiciones de orden y aseo (caidas de objeto) </t>
  </si>
  <si>
    <t>Vendaval</t>
  </si>
  <si>
    <t>Ricketsias</t>
  </si>
  <si>
    <t>Temperaturas extremas (calor y frio)</t>
  </si>
  <si>
    <t>Gases y vapores</t>
  </si>
  <si>
    <t>Condiciones de la tarea (carga mental, contenidos de la tarea, demandas emosionales, sistema de comtrol, definición de roles, monotonia, etc).</t>
  </si>
  <si>
    <t>Manipulación manual de cargas</t>
  </si>
  <si>
    <t>Tecnologico (explosión, fuga, derrame, incendio).</t>
  </si>
  <si>
    <t>Inundación</t>
  </si>
  <si>
    <t>Parásitos</t>
  </si>
  <si>
    <t xml:space="preserve">Presión atmosférica (normal y ajustada) </t>
  </si>
  <si>
    <t xml:space="preserve">Humos metalicos no metalicos </t>
  </si>
  <si>
    <t>Interfase persona-tarea (conocimientos, habilidades en relación con la demanda de la tarea, iniciativa, autonomia y reconocimiento, identificación de la persona con la tarea y la organización).</t>
  </si>
  <si>
    <t>Accidentes de tránsito</t>
  </si>
  <si>
    <t>Derrumbe</t>
  </si>
  <si>
    <t>Picaduras</t>
  </si>
  <si>
    <t>Radiaciones ionizantes (rayos X, gama, beta y alfa)</t>
  </si>
  <si>
    <t>Material particulado</t>
  </si>
  <si>
    <t>Jornada de trabajo (pausas, trabajo nocturno, rotación, horas extras, descansos)</t>
  </si>
  <si>
    <t>Publico (robos, asaltos, atracos, atentados, de orden publico, etc).</t>
  </si>
  <si>
    <t>Presipitaciones (lluvias, granizadas, heladas).</t>
  </si>
  <si>
    <t>Mordeduras</t>
  </si>
  <si>
    <t xml:space="preserve">Radiaciones no ionizantes (láser, ultravioleta, infraroja, radiofrecuencia, microondas) </t>
  </si>
  <si>
    <t>Trabajo en alturas</t>
  </si>
  <si>
    <t xml:space="preserve">Fluidos o excrementos </t>
  </si>
  <si>
    <t>Espacios confinados</t>
  </si>
  <si>
    <t>* Tener en cuenta únicamente los peligros de fenómenos naturales que afectan la seguridad y bienestar de las personas en el desarrollo de una actividad. En el plan de emergencias de cada empresa, se consideran todos los fenómenos naturales que pudieran afectarla.</t>
  </si>
  <si>
    <t>ADMINISTRATIVO</t>
  </si>
  <si>
    <t>OPERATIVO</t>
  </si>
  <si>
    <t>Auxiliar de Seguridad y Salud en el Trabajo</t>
  </si>
  <si>
    <t>• Garantizar el desarrollo y cumplimiento del SG-SST
• Entrega de los Elementos de Protección Personal
• Elaboración de permisos de trabajo y seguimiento a las tareas en materia de seguridad industrial</t>
  </si>
  <si>
    <t>Ruido continuo</t>
  </si>
  <si>
    <t>Capacitar al personal en pausas activas.</t>
  </si>
  <si>
    <t>Agotamiento , fatiga visual, Lesiones visuales</t>
  </si>
  <si>
    <t>Agotamiento , fatiga auditiva, Lesiones auditivas</t>
  </si>
  <si>
    <t>Capacitar al personal en pausas activas visuales y realizar visiometrias periódicas por el uso frecuente de computador</t>
  </si>
  <si>
    <t>Computadores con filtro en pantalla</t>
  </si>
  <si>
    <t>Ubicación adecuada del puesto de trabajo, se hace mantenimiento periódico a las sillas.</t>
  </si>
  <si>
    <t>Movimiento repetitivo de miembros superiores al Digitar en teclado y controlar el mouse.</t>
  </si>
  <si>
    <t>Alteraciones osteomuscular - Lesiones por trauma acumulativo - síndrome del túnel del carpo.</t>
  </si>
  <si>
    <t>Equipos PC de escritorio para ayudar a una buena postura corporal</t>
  </si>
  <si>
    <t>Realizar inspecciones periódicas generales y especificas a áreas de trabajo, equipos de control de incendios portátiles y fijos. Capacitar a todo el personal en el manejo de extintores</t>
  </si>
  <si>
    <t>Secuestro, robo, asalto, extorsión.</t>
  </si>
  <si>
    <t>De Seguridad (Robo, Alsalto, Atraco)</t>
  </si>
  <si>
    <t>Lesiones en las personas graves y severas, secuestro, muerte.</t>
  </si>
  <si>
    <t>Circuito Cerrado de Televisión</t>
  </si>
  <si>
    <t>Capacitar al personal en normas de seguridad y como afrontar una situación de emergencia. Incrementar las estrategias y mecanismos de seguridad.</t>
  </si>
  <si>
    <t>Lluvias y granizdas</t>
  </si>
  <si>
    <t>Daños en área locativa y en la estructura, equipos y herramientas</t>
  </si>
  <si>
    <t>Revisión continua de techos y bajantes</t>
  </si>
  <si>
    <t>Lesionesen las personas. Estrés,  daños en equipos y herramientas</t>
  </si>
  <si>
    <t>Capacitar al personal en el Plan de Prevención y como afrontar una situación de emergencia. Preparación y Respuesta ante Emergencias y realizar los simulacros.</t>
  </si>
  <si>
    <t>DE SEGURIDAD ROBO ASALTO</t>
  </si>
  <si>
    <t>Daños en área locativa y en la estructura, equipos, herramientas y mobiliario de la empresa</t>
  </si>
  <si>
    <t>Estrés, daños en equipos, herramientas y estructura</t>
  </si>
  <si>
    <t>Lesiones en tejidos blandos, lesiones oseas, transmisión de enfermedades.</t>
  </si>
  <si>
    <t>Transmisión de enfermedades.</t>
  </si>
  <si>
    <t>Capacitar al personal en Preparación y Respuesta ante Emergencias y realizar los simulacros.</t>
  </si>
  <si>
    <t>BIOLÓGICO</t>
  </si>
  <si>
    <t>Radiaciones no ionizantes (Exposición al Sol)</t>
  </si>
  <si>
    <t>Temperaturas Extremas (Calor)</t>
  </si>
  <si>
    <t>Material Particulado en las Obras</t>
  </si>
  <si>
    <t>Pausas activas, buenos estilos de vida saludable, utilización de protectores auditivos en obra.</t>
  </si>
  <si>
    <t>Protector Auditivo cuando estan en obra</t>
  </si>
  <si>
    <t>Capacitar al personal en pausas activas y en el uso y cuidado de los EPP.</t>
  </si>
  <si>
    <t>N/A.</t>
  </si>
  <si>
    <t>Ropa de manga larga. Utilizar cubre cabeza.</t>
  </si>
  <si>
    <t>Agotamiento , fatiga, estrés, lesiones en la piel.</t>
  </si>
  <si>
    <t>Aumento temperatura corporal, Alteración de las reacciones qC</t>
  </si>
  <si>
    <t xml:space="preserve">Aumento temperatura corporal, Alteración de las reacciones químicas, </t>
  </si>
  <si>
    <t>hidratacion permanente antes y durante el desarrollo de la jornada de trabajo.</t>
  </si>
  <si>
    <t>Capacitar al personal en pausas activas y autocuidado.</t>
  </si>
  <si>
    <t>Lesiones oculares o afectación respiratoria</t>
  </si>
  <si>
    <t>Utilización de gafas y protector respiratorio</t>
  </si>
  <si>
    <t>Irritación ocular y afectación respiratoria</t>
  </si>
  <si>
    <t>Capacitar al personal en el uso y cuidado de los EPP</t>
  </si>
  <si>
    <t xml:space="preserve">Mantenimiento preventivo a los pisos y escalas. </t>
  </si>
  <si>
    <t>Cintas antideslizantes en ascalas. Señalización en obra de lugares críticos.</t>
  </si>
  <si>
    <t>QUÍMICO</t>
  </si>
  <si>
    <t>Verificación de tareas y eleboración de permisos para Trabajo en Alturas</t>
  </si>
  <si>
    <t>De Seguridad (Trabajo en Alturas)</t>
  </si>
  <si>
    <t>Caida a diferente nivel, lesiones graves, traumas osteomusculares, la muerte</t>
  </si>
  <si>
    <t>Puntos de anclaje</t>
  </si>
  <si>
    <t>Capacitación en trabajo seguro en alturas, EPP para trabajo en alturas</t>
  </si>
  <si>
    <t>Capacitar al personal en normas de seguridad, autocuidado, uso y cuidado de los elementos de protección personal para trabajo en alturas.</t>
  </si>
  <si>
    <t>Capacitar al personal en el autocuidado, Hidratación adecuada. Garantizar el uso constante de bloqueador solar.</t>
  </si>
  <si>
    <t>Arnes, Eslinga, líneas de vida, Frenos</t>
  </si>
  <si>
    <t>Protector ocular y protector auditivo</t>
  </si>
  <si>
    <t>DE SEGURIDAD TRABAJO EN ALTURAS</t>
  </si>
  <si>
    <t>Lesiones osteomusculares (Lumbalgias)</t>
  </si>
  <si>
    <t>Ayudas mecánicas</t>
  </si>
  <si>
    <t>Buena postura al levantar las cargas</t>
  </si>
  <si>
    <t>Lumbalgia</t>
  </si>
  <si>
    <t>Capacitar al personal en el manejo de la mecánica corporal y manipulación manual de cargas</t>
  </si>
  <si>
    <t>Material preyectado o que cae.</t>
  </si>
  <si>
    <t>Lesiones osteomusculares, lesiones en cráneo, golpes contusos</t>
  </si>
  <si>
    <t>Casco de seguridad</t>
  </si>
  <si>
    <t>Lesiones en cráneo, heridas</t>
  </si>
  <si>
    <t>Capacitar al personal en el riesgo mecánico y autocuidado, usoy cuidad de los EPP</t>
  </si>
  <si>
    <t>Casco de seguridad con barbuquejo</t>
  </si>
  <si>
    <t>Gases y Vapores</t>
  </si>
  <si>
    <t>Guantes</t>
  </si>
  <si>
    <t>OBRAS</t>
  </si>
  <si>
    <t>Instalacion de muros drywall, superboad, vigas, dinteles en drywall, ajustes de columnas, pintura de columnas, pintura en muros, pintura en muros drywall y superboad,aplicación de estuco, señalización de pisos, pinturas en rampas, instalaciones hidrosanitarias, instalación de enchape</t>
  </si>
  <si>
    <t xml:space="preserve">Ruido intermitente y continuo </t>
  </si>
  <si>
    <t>Disconfot, cefalea, falta de concentracion</t>
  </si>
  <si>
    <t>Suministro de elementos de proteccion personal (proteccion auditiva).</t>
  </si>
  <si>
    <t>Perdida auditiva parcial o permanente.</t>
  </si>
  <si>
    <t xml:space="preserve">*Capacitación sobre uso y mantenimiento de los elementos de protección personal                                   *Seguimiento a uso adecuado de los elementos de protección personal                                                       *Matriz de elementos de proteccion personal                                                                </t>
  </si>
  <si>
    <t>Proteccion auditiva de inserción.</t>
  </si>
  <si>
    <t>Lesiones en piel, intoxicaciones agudas y crónicas</t>
  </si>
  <si>
    <t>Suministro de elementos de proteccion personal (proteccion respiratoria)</t>
  </si>
  <si>
    <t>Enfermedades pulmonares</t>
  </si>
  <si>
    <t>* Capacitación al personal de manejo de sustancias quimicas                                       *Matriz de elementos de proteccion personal                                                                  *Divulgacion de riesgos existentes en el area de trabajo</t>
  </si>
  <si>
    <t>Proteccion respiratoria.</t>
  </si>
  <si>
    <t>Suministro de monogafas y proteccion respiratoria</t>
  </si>
  <si>
    <t>*Capacitar al personal sobre la importancia del uso y mantenimiento de epp.</t>
  </si>
  <si>
    <t>De seguridad</t>
  </si>
  <si>
    <t>De seguridad: riesgo electrico</t>
  </si>
  <si>
    <t xml:space="preserve"> (alta y baja tensión, estática)</t>
  </si>
  <si>
    <t xml:space="preserve"> Ninguno</t>
  </si>
  <si>
    <t>cortos, incendios,  heridas</t>
  </si>
  <si>
    <t>Quemaduras</t>
  </si>
  <si>
    <t xml:space="preserve"> *capacitación en autocuidado</t>
  </si>
  <si>
    <t>Enfermedades Osteomusculares como tendinitis, Sindrome del tunel del Carpo, Hombro Doloroso.</t>
  </si>
  <si>
    <t>Lumbalgias, lumbagos .</t>
  </si>
  <si>
    <t>Implementacion del programa de pausas activas.</t>
  </si>
  <si>
    <t>*Continuar con la implementacion del programa de pausas activas exsitente en la empresa.
*Realizar evaluaciones medicas ocupacionales (Osteomuscular) Periodicamente al personal expuesto a los movimientos repetitivos de Acuerdo ala Resolución 2346/2007
*Capacitación de higiene postural.</t>
  </si>
  <si>
    <t>Postura (prologada mantenida, forzada)</t>
  </si>
  <si>
    <t xml:space="preserve"> Fatiga</t>
  </si>
  <si>
    <t>Obesidad, Osteoporosis,, Problemas Cardiacos, problemas de Espalda y Sindrome Patelo Femoral</t>
  </si>
  <si>
    <t>*Continuar con la implemetacion  Programa de Pausas Activas para todo el personal
*Realizar evaluaciones medicas ocupacionales (Osteomuscular) Periodicamente al personal expuesto a los movimientos repetitivos de Acuerdo ala Resolución 2346/2008</t>
  </si>
  <si>
    <t>Manipulacion manual de cargas</t>
  </si>
  <si>
    <t>Cansancio, fatiga, hernias</t>
  </si>
  <si>
    <t xml:space="preserve">Enfermedades Osteomusculares </t>
  </si>
  <si>
    <t xml:space="preserve">Condiciones de seguridad: riesgo mecanico </t>
  </si>
  <si>
    <t>Golpes por o  contra objetos, maquinas y herramientas</t>
  </si>
  <si>
    <t>Suministro de elementos de proteccion personal</t>
  </si>
  <si>
    <t xml:space="preserve">Heridas penetrantes o lesiones contusas, </t>
  </si>
  <si>
    <t>lesiones del sistema musculoesquelético y de piel</t>
  </si>
  <si>
    <t>Heridas penetrantes o lesiones contusas.</t>
  </si>
  <si>
    <t>*Continuar con la Implementacion  el Programa de Pausas Activas para todo el personal
*Realizar evaluaciones medicas ocupacionales (Osteomuscular) Periodicamente al personal expuesto a los movimientos repetitivos de Acuerdo ala Resolución 2346/2010
*capacitar al personal sobre higiene postural</t>
  </si>
  <si>
    <t xml:space="preserve">*Diserñar e implementar el programa de orden y aseo
* Inspecciones de seguridad planeadas, *Capacitacion del personal sobre manejo de herramientas electricas y manuales.
</t>
  </si>
  <si>
    <t>Botas de seguridad con punteras.</t>
  </si>
  <si>
    <t xml:space="preserve">Cortes con herramientas cortopunzantes  </t>
  </si>
  <si>
    <t xml:space="preserve">Suministro de elementos de proteccion personal </t>
  </si>
  <si>
    <t>*Inspecciones de seguridad
*programa de capacitaciones. *capacitacion en el manejo de herramientas manuales</t>
  </si>
  <si>
    <t>Proyeccion de particulas</t>
  </si>
  <si>
    <t>Suministro de elementos de proteccion personal (monogafas,guantes,botas de seguridad)</t>
  </si>
  <si>
    <t>lesiones en los ojos o en la piel</t>
  </si>
  <si>
    <t xml:space="preserve">*Inspecciones de seguridad
* programa de capacitaciones *capacitacion en el manejo de herramientas manuales 
*uso adecuado de epp, autocuidado </t>
  </si>
  <si>
    <t>Monogafas
Botas de seguridad
Guantes</t>
  </si>
  <si>
    <t>Condiciones de seguridad: trabajo en alturas</t>
  </si>
  <si>
    <t>Golpes, contusiones, fracturas, esguinces y luxaciones.</t>
  </si>
  <si>
    <t>Muerte</t>
  </si>
  <si>
    <t>Sistemas anticaidas- arnes, eslingas, lineas de vida, puntos de anclaje etc.</t>
  </si>
  <si>
    <t>Capacitación certificación en alturas, examenes medicos ocupacionales, seguridad social,Botas de seguridad con puntera, casco, guantes - sistemas anticaidas, arnes. Eslingas, lineas de vida</t>
  </si>
  <si>
    <t>*Documentar procedimientos de trabajo seguro para alturas.
*capacitacion  trabajo seguro en alturas. *inspeccion a los equipos de alturas, area  de trabajo, certificación en alturas.
*Entrenamiento y reentrenamiento en trabajo seguro en alturas.</t>
  </si>
  <si>
    <t>Botas de seguridad.
Casco de seguridad.
Guantes
Monogafas</t>
  </si>
  <si>
    <t>Condiciones de seguridad- riesgo locativo</t>
  </si>
  <si>
    <t xml:space="preserve">Locativo (sistemas y medios de almacenamiento, superficies de trabajo (irregulares, deslizantes, con diferencia del nivel) condiciones de orden y aseo, caídas de objeto) </t>
  </si>
  <si>
    <t xml:space="preserve">Jornadas de orden y aseo </t>
  </si>
  <si>
    <t>Golpes, contusiones.</t>
  </si>
  <si>
    <t>fracturas, esguinces y luxaciones.</t>
  </si>
  <si>
    <t xml:space="preserve">*Diseñar el programa de orden y aseo .
*Implementar jornadas de orden y aseo en las areas de trabajo.
*capacitacion procedimiento orden y aseo 
*Inspecciones planeadas.
</t>
  </si>
  <si>
    <t xml:space="preserve">Botas de seguridad
Casco de seguridad
</t>
  </si>
  <si>
    <t xml:space="preserve">Riesgo fisico </t>
  </si>
  <si>
    <t>Radiaciones no ionizantes (láser, ultravioleta infrarroja, radiofrecuencia, microondas)</t>
  </si>
  <si>
    <t xml:space="preserve">Cansancio, fatiga, </t>
  </si>
  <si>
    <t>quemaduras , cancer</t>
  </si>
  <si>
    <t xml:space="preserve">Ropa de manga larga. </t>
  </si>
  <si>
    <t xml:space="preserve">Capacitación al personal en el autocuidado y estilos de vida saludables </t>
  </si>
  <si>
    <t>fisico</t>
  </si>
  <si>
    <t>Vibraciones</t>
  </si>
  <si>
    <t xml:space="preserve">Baja Frecuencia,Lumbalgias, lumbociáticas, hernias-discales. </t>
  </si>
  <si>
    <t>Agravamiento de lesiones raquídeas menores e incidencia sobre trastornos debidos a vicios posturales</t>
  </si>
  <si>
    <t xml:space="preserve">*Implementar el programa de pausas activas estipulado por al empresa.
*Disminuir el tiempo de exposicion </t>
  </si>
  <si>
    <t>Utilizar los equipos de protección individual: guantes anti - vibración, zapatos, botas, etc., cuando sea necesario</t>
  </si>
  <si>
    <t>Proyección de partículas</t>
  </si>
  <si>
    <t xml:space="preserve"> Lesiones oculares</t>
  </si>
  <si>
    <t>Uso de los EPP (Gafas de seguridad)</t>
  </si>
  <si>
    <t>Mamposteria interna y externa, cortador de bloques y ladrillos , operador de la pluma , operador de la concretadora, anclador</t>
  </si>
  <si>
    <t>Demoliciones, pintura, cemeto, pegar adobe, reboque,resane etc</t>
  </si>
  <si>
    <t>Caidas y resbalones</t>
  </si>
  <si>
    <t>Manejo de herramientas manuales</t>
  </si>
  <si>
    <t xml:space="preserve">De seguridad </t>
  </si>
  <si>
    <t xml:space="preserve">Golpes por o contra objetos </t>
  </si>
  <si>
    <t xml:space="preserve"> Caidas de un nivel superior</t>
  </si>
  <si>
    <t>Superficie o locación de trabajo (defectuosa, irregular, resbalosa)</t>
  </si>
  <si>
    <t>Heridas, abrasiones.</t>
  </si>
  <si>
    <t>Capacitación sobre uso y mantenimiento de los elementos de protección personal
Seguimiento a uso adecuado de los elementos de protección personal, Matriz y procedimiento de EPP</t>
  </si>
  <si>
    <t>Gafas de seguridad</t>
  </si>
  <si>
    <t>Traumas múltiples, lesiones del sistema musculoesquelético</t>
  </si>
  <si>
    <t>Uso de EPP Botas de seguridad con suela antideslizante</t>
  </si>
  <si>
    <t>Inspección del área de trabajo, Programa de orden y aseo, Capacitación de orden y aseo.</t>
  </si>
  <si>
    <t>Calzado de seguridad de puntera de acero y suela de acero</t>
  </si>
  <si>
    <t>Contusiones, heridas</t>
  </si>
  <si>
    <t>Suministro de elementos de proteccion personal (guantes, monogafas)</t>
  </si>
  <si>
    <t>Amputaciones</t>
  </si>
  <si>
    <t>Estandarizar manejo de herramientas manuales
Capacitarcitación en manejo seguro de herramientras manuales</t>
  </si>
  <si>
    <t xml:space="preserve">Disponer adecuadamente lugares para la ubicación de materiales, herramentas, equipos </t>
  </si>
  <si>
    <t xml:space="preserve">Capacitación en orden y aseo para la disposición de materiales, herramientas, equipos </t>
  </si>
  <si>
    <t xml:space="preserve">Capacitación en autocuidado 
Capacitación  en identificación de riesgos en obra , Programa de orden y aseo     </t>
  </si>
  <si>
    <t>Botas de seguridad con zuela antideslizante</t>
  </si>
  <si>
    <t>fracturas y muerte.</t>
  </si>
  <si>
    <t>Golpes, contusiones</t>
  </si>
  <si>
    <t xml:space="preserve">Mallatrapa de objetos </t>
  </si>
  <si>
    <t xml:space="preserve">Avisos de señalización preventiva de Caída de Objetos </t>
  </si>
  <si>
    <t xml:space="preserve">Capacitación en autocuidado para el personal y trabajos seguros en Alturas </t>
  </si>
  <si>
    <t xml:space="preserve"> Caidas de objetos </t>
  </si>
  <si>
    <t>Capacitar en autocuidado 
Capacitar en identificación de riesgos en obra
Asegurar herramientas, equipos, materiales cuando se este laborando en alturas y manipulando (estandarizar proceso)</t>
  </si>
  <si>
    <t xml:space="preserve">Uso de Casco de seguridad y  barbuquejo </t>
  </si>
  <si>
    <t xml:space="preserve"> Lesiones del sistema musculoesquelético y de piel.</t>
  </si>
  <si>
    <t xml:space="preserve">Avisos de señalización de rutas de evación </t>
  </si>
  <si>
    <t>Fracturas</t>
  </si>
  <si>
    <t>Capacitar en autocuidado 
Capacitar en identificación de riesgos en obra</t>
  </si>
  <si>
    <t xml:space="preserve">Botas de seguridad con zuela antideslizante </t>
  </si>
  <si>
    <t xml:space="preserve">Falta de orden y aseo </t>
  </si>
  <si>
    <t>Traumas múltiples, lesiones del sistema musculoesquelético por caidas al tropezarse</t>
  </si>
  <si>
    <t>Estandarizacion de normas de seguridad para almacenamiento seguro de materiles
Programa de Manejo y disposicón final de residuos
Realizar programa de orden, aseo y limpieza</t>
  </si>
  <si>
    <t>Fisico</t>
  </si>
  <si>
    <t xml:space="preserve"> Exposicion a rayos solares (UV),</t>
  </si>
  <si>
    <t>Mayor desgaste, deshidratación, disconfort</t>
  </si>
  <si>
    <t xml:space="preserve">*Implemantacion de pausas activas.
*Descansos durante la jornada laboral
</t>
  </si>
  <si>
    <t xml:space="preserve">Material Particulado </t>
  </si>
  <si>
    <t>Biologico</t>
  </si>
  <si>
    <t xml:space="preserve">Microorganismos (bacterias, parásitos, hongos o virus) </t>
  </si>
  <si>
    <t xml:space="preserve">Uso de los EPP Guantes manga larga, delantar PVC Y Guantes de caucho </t>
  </si>
  <si>
    <t>infecciones</t>
  </si>
  <si>
    <t xml:space="preserve">  infestaciones agudas o crónicas</t>
  </si>
  <si>
    <t>Capacitación en riesgos biologicos, Matriz de Epp por oficio, Seguimiento de uso y entrega de EPP</t>
  </si>
  <si>
    <t>Botas de caucho, Guantes de caucho manga larga, delantar PVC</t>
  </si>
  <si>
    <t>Atrapamiento</t>
  </si>
  <si>
    <t>Heridas, fracturas</t>
  </si>
  <si>
    <t>Guardas de seguridad</t>
  </si>
  <si>
    <t>Mantenimiento preventido a la maquinaria.
Capacitacion sobre autocuidado
Inspecciones planeadas
Seguimiento de uso y entrega de EPP
Estandar para manejo de cortadora</t>
  </si>
  <si>
    <t xml:space="preserve">Guantes
Monogafas
</t>
  </si>
  <si>
    <t>Ruido (Ambiente de trabajo)</t>
  </si>
  <si>
    <t xml:space="preserve">Ninguno </t>
  </si>
  <si>
    <t>Postura (forzada)</t>
  </si>
  <si>
    <t xml:space="preserve"> Mecanico (Golpeado por o contra)</t>
  </si>
  <si>
    <t xml:space="preserve">Radiaciones no ionizantes (laser, UV, Infraroja) </t>
  </si>
  <si>
    <t>Virus</t>
  </si>
  <si>
    <t xml:space="preserve">Riesgo biologico </t>
  </si>
  <si>
    <t>Fiebre, dolor de cabeza, dolor muscular, congestion nasal, afecciones en el sistema respiratorio</t>
  </si>
  <si>
    <t>adecuacion de areas de desinfeccion y lavado de manos.</t>
  </si>
  <si>
    <t>implmentacion de jornadas de aseo y desinfeccion en areas de trabajo, areas comunes, epp y herramientas.</t>
  </si>
  <si>
    <t>Suministro de elementos de bioseguridad( tapaboca, guantes, gafas), toma y registro de temperatura, charlas de seguridad</t>
  </si>
  <si>
    <t>Continuar con la implementacion correcta de los protocolos de bioseguridad.
Capacitar al personal en temas referentes al COVID-19 (medidas de prevencion, signos y sintomas y que hacer en caso de sintomatologia).
Suministro continuo de los elementos de bioseguridad necesarios para la prevencion del COVID-19.</t>
  </si>
  <si>
    <t>OFICINA</t>
  </si>
  <si>
    <t>OBRA BLANCA (ACABADOS)</t>
  </si>
  <si>
    <t>OBRA NEGRA ( CONSTRUCCION, REFORMAS Y ADECUACIONES DE EDIFICACIONES)</t>
  </si>
  <si>
    <t>MAMPOSTERIA</t>
  </si>
  <si>
    <t xml:space="preserve">CONSTRUCCION DE PILAS </t>
  </si>
  <si>
    <t xml:space="preserve">EXCAVACION MANUAL DE PILAS </t>
  </si>
  <si>
    <t xml:space="preserve">Condiciones de seguridad </t>
  </si>
  <si>
    <t xml:space="preserve">Trabajos en alturas </t>
  </si>
  <si>
    <t>Fracturas, golpes</t>
  </si>
  <si>
    <t xml:space="preserve">CERTIFICADO  DE ENTRENAMIENTO O REENTRENAMIENTO PARA TRABAJO SEGURO EN ALTURAS. 
SUMINISTRO DE ELEMENTOS DE PROTECCION PERSONAL ( GUANTES , MONOGAFAS, BOTAS DE SEGURIDAD,CASCO CON BARBUQUEJO).
SUMINISTRO DE EQUIPOS DE PROTECCION CONTRA CAIDAS.
</t>
  </si>
  <si>
    <t xml:space="preserve">Muerte </t>
  </si>
  <si>
    <t>*Capacitar al personal sobre trabajo seguro en alturas.                                                                                                              *ARO  de la actividad.                                                                             *Inspecciones planeadas.                                                                    *Divulgar al personal los riesgos exitentes durante el desarrollo de la actividad.
*Diseñar y socializar con el personal el procedimiento de trabajo seguro en alturas.</t>
  </si>
  <si>
    <t xml:space="preserve">condiciones de seguridad </t>
  </si>
  <si>
    <t>Locativo (caida de objetos)</t>
  </si>
  <si>
    <t>Traumatismos, contusiones, fracturas (graves, leves).</t>
  </si>
  <si>
    <t>*Delimitacion de areas de trabajo.</t>
  </si>
  <si>
    <t>*Capacitar al personal sobre la importancia del respeto por la señales de seguridad.
*Realizar ARO de la actividad,</t>
  </si>
  <si>
    <t>condiciones de seguridad</t>
  </si>
  <si>
    <t>Locativo (superficie de trabajo)</t>
  </si>
  <si>
    <t>Golpes, contusiones, heridas</t>
  </si>
  <si>
    <t>Implementacion de jornadas de orden y aseo.</t>
  </si>
  <si>
    <t>Suministro de botas de seguridad .</t>
  </si>
  <si>
    <t>*Mantener las areas en optimas condiciones de orden, aseo y seguras.                                                                                                   *Divulgar al personal los riesgos existentes.                             *Realizar ARO de la actividad</t>
  </si>
  <si>
    <t>Biomecanico</t>
  </si>
  <si>
    <t xml:space="preserve">Hormigueo en manos, dolores musculares, espasmos </t>
  </si>
  <si>
    <t>Implementacion de programa de pausas activas.</t>
  </si>
  <si>
    <t>Bursitis, tendinitis, cuello u hombros tensos</t>
  </si>
  <si>
    <t>* Realizar ejercicios de calistenia antes de iniciar la labor.                                                                                              * Verificar de acuerdo a los examenes periodicos la viabilidad de diseñar el programa    epidemiologio osteomuscular.                                                                       * Diseño del programa de pausas activas.                   * Capacitacion al personal en  riesgo biomecanico.</t>
  </si>
  <si>
    <t>Postura (mantenida)</t>
  </si>
  <si>
    <t>Agotamiento, Dolor en extremidades inferiores</t>
  </si>
  <si>
    <t xml:space="preserve">Lesiones osteomusculares </t>
  </si>
  <si>
    <t>n/A</t>
  </si>
  <si>
    <t>Fatiga muscular, lumbagos,esguince</t>
  </si>
  <si>
    <t>*Capacitar al personal constantemente en el tema de manipulacion adecuada de cargas.
*Divulgacion de los riesgos existentes.
*Elaborar ATS de la actividad.</t>
  </si>
  <si>
    <t xml:space="preserve">manipulacion manual de cargas </t>
  </si>
  <si>
    <t>Lumbalgias, molestias en la columna</t>
  </si>
  <si>
    <t>Lesiones musculoesqueleticas a nivel de vertebras cervicales, lumbares y dorsales, Hernias discales.</t>
  </si>
  <si>
    <t>Mecanico (materiales proyectados solidos y fluidos)</t>
  </si>
  <si>
    <t xml:space="preserve">Heridas, fracturas, contusiones </t>
  </si>
  <si>
    <t>Suministro de elementos de proteccion personal (monogafas)</t>
  </si>
  <si>
    <t>Lesiones oculares</t>
  </si>
  <si>
    <t>*Inspecciones planeadas.                                                                     *Diseñar ARO de la actividad.                                                          *Capacitar al  personal sobre uso de elementos de protección personal requerido por la actividad.</t>
  </si>
  <si>
    <t xml:space="preserve">Radiaciones Ionizantes (Rayos x, gama, beta y alfa) </t>
  </si>
  <si>
    <t xml:space="preserve">Afecciones oculares, quemaduras en piel </t>
  </si>
  <si>
    <t>Ropa de trabajo (camisa manga larga, jean), suministro de elementos de proteccion personal (monogafas, guantes)</t>
  </si>
  <si>
    <t xml:space="preserve">Cáncer de piel </t>
  </si>
  <si>
    <t xml:space="preserve">* Realizar examenes periodicos al personal.                                            * Suministro de ropa manga larga para el uso mientras se desarrolla la actividad.    
*Suministrar hidratacion.                                                                             </t>
  </si>
  <si>
    <t>OPERACIÓN DE MOLINETE</t>
  </si>
  <si>
    <t>ninguno</t>
  </si>
  <si>
    <t xml:space="preserve"> Postura (mantenida)</t>
  </si>
  <si>
    <t>* Realizar ejercicios de calistenia antes de iniciar la labor.                                                                                              * Verificar de acuerdo a los examenes periodicos la viabilidad de diseñar el programa    epidemiologio osteomuscular.                                                  * Diseño del programa de pausas activas.                   * Capacitacion al personal en riesgo biomecanico</t>
  </si>
  <si>
    <t>Lumbagos, Dorsalgias, desviaciones de columna , heridas.</t>
  </si>
  <si>
    <t xml:space="preserve">Suministro de guantes </t>
  </si>
  <si>
    <t>Lesiones de la columna, Amputaciones</t>
  </si>
  <si>
    <t>* Realizar examenes periodicos al personal.                                                  * Capacitacion al personal en higiene postural.                                                                      * Diseño e implementacion del programa de pausas activas.                                                                                         * Realizar calistenia antes de comenzar la labor.
*Capacitacion importancia del uso de los epp.</t>
  </si>
  <si>
    <t>Esfuerzos</t>
  </si>
  <si>
    <t>Afecciones en sistema musculoesqueletico</t>
  </si>
  <si>
    <t>*Evitar posturas inadecuadas a la hora de realizar la actividad.
*usar ayudas mecanicas para el izaje de la carga.
+Realizar ATS de la actividad.</t>
  </si>
  <si>
    <t xml:space="preserve">EXCAVACION MECANICA DE PILAS </t>
  </si>
  <si>
    <t xml:space="preserve">Ruido (Maquinas) </t>
  </si>
  <si>
    <t>Estrés, transtornos del sueño.</t>
  </si>
  <si>
    <t>Suministro de proteccion auditiva</t>
  </si>
  <si>
    <t>Perdida del procentaje auditivo</t>
  </si>
  <si>
    <t xml:space="preserve">*Capacitar al personal sobre la importancia del uso de la proteccion auditiva en ambientes ruidosos.
*Diseñar estandar de seguridad de la actividad.
</t>
  </si>
  <si>
    <t>Vibracion (Cuerpo entero o segmentaria)</t>
  </si>
  <si>
    <t>Lumbalgias,lumbociaticas.</t>
  </si>
  <si>
    <t>Hernias.lesiones raquideas menores.</t>
  </si>
  <si>
    <t>ARMADO DE ANILLADO Y CANASTA</t>
  </si>
  <si>
    <t>Mecanico (Manipulacion de herramientas cortopunzantes)</t>
  </si>
  <si>
    <t>Heridas, trastornos de tejidos blandos, golpes</t>
  </si>
  <si>
    <t>*Calzado de seguridad                
   *monogafas               
 *Guantes de seguridad.</t>
  </si>
  <si>
    <t>Fracturas, amputaciones</t>
  </si>
  <si>
    <t>Heridas, golpes, contuciones, lesiones oculares</t>
  </si>
  <si>
    <t>Amputacion de dedos o lesiones oculares.</t>
  </si>
  <si>
    <t xml:space="preserve">IZAJE DE CANASTA  EN PILA </t>
  </si>
  <si>
    <t xml:space="preserve"> Movimiento repetitivo</t>
  </si>
  <si>
    <t>Agotamiento, disconfot</t>
  </si>
  <si>
    <t>afecciones musculoesqueleticas</t>
  </si>
  <si>
    <t>Agotamiento, dolores lumbares.</t>
  </si>
  <si>
    <t xml:space="preserve"> Locativo (superficie de trabajo)</t>
  </si>
  <si>
    <t xml:space="preserve">VACIADO DE PILA </t>
  </si>
  <si>
    <t xml:space="preserve"> Ruido (Maquinas)</t>
  </si>
  <si>
    <t>Lumbalgias, fatiga muscular, molestias en la columna vertebral</t>
  </si>
  <si>
    <t xml:space="preserve">* Capacitacion al personal en higiene postural.                                                                  * Diseño de programa de pausas activas.        * Examnes periodicos al personal.           </t>
  </si>
  <si>
    <t xml:space="preserve">Polvos organicos, inorganicos </t>
  </si>
  <si>
    <t>Dermatitis, irritacion</t>
  </si>
  <si>
    <t>Suministro de elementos de proteccion personal (botas de caucho con puntera, guantes, monogafas, proteccion respiratoria)</t>
  </si>
  <si>
    <t>Cáncer de piel , quemaduras de tercer y cuarto grado.</t>
  </si>
  <si>
    <t>*Verificar por medio de inspecciones planeadas el uso de los elementos de proteccion personal requeridos para el desarrollo de la actividad.
*Capacitar al personal sobre el manejo seguro de sustancias quimicas (cemento).
*Realizar ATS de la actividad.
*Negar la autorizacion de realizar actividades de vaciado cuando no se usan los elementos de proteccion personal adecuados y requeridos para dicha actividad.</t>
  </si>
  <si>
    <t>Electrico (Alta y baja tension)</t>
  </si>
  <si>
    <t xml:space="preserve">electrocucion </t>
  </si>
  <si>
    <t>Mantenimiento a equipo</t>
  </si>
  <si>
    <t>Suministro de elementos de proteccion personal (guantes)</t>
  </si>
  <si>
    <t>Transtornos cardiovasculares</t>
  </si>
  <si>
    <t>*Inspeccionar periodicamente las condiciones de las conexiones y extensiones electricas.
*Conectar la extension de lugares autorizados y adecuados para  la funcion.
*Capacitar al personal sobre riesgo electrico.
*Divulgar los riesgos existentes de la actividad.</t>
  </si>
  <si>
    <t>ESTRUCTURA</t>
  </si>
  <si>
    <t xml:space="preserve">OPERACIÓN DE PLUMA </t>
  </si>
  <si>
    <t xml:space="preserve"> Locativo (caida de objetos)</t>
  </si>
  <si>
    <t>Mecanico (atrapamiento)</t>
  </si>
  <si>
    <t xml:space="preserve">ninguno </t>
  </si>
  <si>
    <t>Mantenimiento preventido a la maquinaria.
Capacitacion sobre autocuidado
Inspecciones planeadas
Seguimiento de uso y entrega de EPP
Estandar para manejo de herramientas</t>
  </si>
  <si>
    <t xml:space="preserve">*Implementar el programa de pausas activas.                     
  *Capacitar al personal sobre higiene postural </t>
  </si>
  <si>
    <t>*Inspeccionar periodicamente las condiciones del extractor.
*Conectar la extension de lugares autorizados y adecuados para  la funcion.
*Capacitar al personal sobre riesgo electrico.
*Divulgar los riesgos existentes de la actividad.</t>
  </si>
  <si>
    <t xml:space="preserve">* Realizar examenes periodicos al personal.                                         
   * Suministro de ropa manga larga para el uso mientras se desarrolla la actividad.    
*Suministrar hidratacion.                                                                             </t>
  </si>
  <si>
    <t xml:space="preserve"> Material particulado </t>
  </si>
  <si>
    <t>Mecanico (Manipulacion de herramientas)</t>
  </si>
  <si>
    <t>Locativo (condiciones de orden y aseo)</t>
  </si>
  <si>
    <t xml:space="preserve"> Esfuerzo</t>
  </si>
  <si>
    <t xml:space="preserve"> Radiaciones no ionizantes (laser, UV, Infraroja) </t>
  </si>
  <si>
    <t>Mecanico (Golpeado por o contra)</t>
  </si>
  <si>
    <t xml:space="preserve"> Mecanico (Manipulacion de herramientas)</t>
  </si>
  <si>
    <t xml:space="preserve">ADECUACION DE AREA DE TRABAJO </t>
  </si>
  <si>
    <t>Radiaciones no Ionizantes.</t>
  </si>
  <si>
    <t xml:space="preserve"> Radiaciones  no Ionizantes</t>
  </si>
  <si>
    <t xml:space="preserve">Radiaciones no Ionizantes </t>
  </si>
  <si>
    <t>Interno/ externo</t>
  </si>
  <si>
    <t>Interno</t>
  </si>
  <si>
    <t>Interna/externa</t>
  </si>
  <si>
    <t>Interna</t>
  </si>
  <si>
    <t xml:space="preserve">Externo </t>
  </si>
  <si>
    <t>*Mantener las areas en optimas condiciones de orden, aseo y seguras.                                                                                                   *Continuar con la Divulgacion al personal los riesgos existentes.                            
* Continuar con la elaboracion de los  ARO de la actividad</t>
  </si>
  <si>
    <t>*Continuar con las Inspecciones planeadas.                                                                                                                              *Continuar con las capacitaciones al  personal sobre uso de elementos de protección personal requerido por la actividad.</t>
  </si>
  <si>
    <t xml:space="preserve">*Continuar con los mantenimientos preventivo a maquinas o herramientas.                                                                                              *Continuar con la implementacion de los Estandar de seguridad para la operación de maquinas o herramientas.                                                               *Continuar con las inspecciones periodicas a herramientas.                                 </t>
  </si>
  <si>
    <t>*Continuar con la capacitacion al personal sobre la importancia del respeto por la señales de seguridad.
*Contiuar con la implementacion del ARO de la actividad,</t>
  </si>
  <si>
    <t>*Continuar con las Inspecciones periodicamente las condiciones de las conexiones y extensiones electricas.
*Conectar la extension de lugares autorizados y adecuados para  la funcion.
*Continuar con la capacitacion al personal sobre riesgo electrico.
*Continuar con la divulgacion de  los riesgos existentes de la actividad.</t>
  </si>
  <si>
    <t>Continuar con los mantenimientos preventido a la maquinaria.
Continuar con la capacitacion sobre autocuidado
Continuar con las inspecciones planeadas
Continuar con el Seguimiento de uso y entrega de EPP
Continuar con la implementacion del Estandar para manejo de herramientas</t>
  </si>
  <si>
    <t>Continuar con la Estandarizacion de normas de seguridad para almacenamiento seguro de materiles
Continuar con la implementacion del Programa de Manejo y disposicón final de residuos
Continuar con le implementacion del programa de orden, aseo y limpieza</t>
  </si>
  <si>
    <t xml:space="preserve">Continuar con la capacitación en autocuidado 
Continuar con la capacitación  en identificación de riesgos en obra , Programa de orden y aseo     </t>
  </si>
  <si>
    <t>Continuar con el Estandar de  manejo de herramientas manuales
Continuar con la capacitarcitación en manejo seguro de herramientras manuales</t>
  </si>
  <si>
    <t>Continuar con la Inspección del área de trabajo, Programa de orden y aseo, Capacitación de orden y aseo.</t>
  </si>
  <si>
    <t xml:space="preserve">*Continuar con la implementacion  del programa de orden y aseo
*Continuar con las Inspecciones de seguridad planeadas, 
*Cotiuar con la capacitacion del personal sobre manejo de herramientas electricas y manuales.
</t>
  </si>
  <si>
    <t xml:space="preserve">* Continuar con la elaboracion de los examenes periodicos al personal.                                          
  * Continuar con el Suministro de ropa manga larga para el uso mientras se desarrolla la actividad.    
*Continuar con el Suministro hidratacion.                                                                             </t>
  </si>
  <si>
    <t xml:space="preserve">*Continuar capacitando al personal sobre la importancia del uso de la proteccion auditiva en ambientes ruidosos.
*Continuar implementando el estandar de seguridad de la actividad.
</t>
  </si>
  <si>
    <t xml:space="preserve">*Continuar con la implementacion del programa de pausas activas.
</t>
  </si>
  <si>
    <t>* Continuar con los ejercicios de calistenia antes de iniciar la labor.                                                                                                                                            * Continuar con la implementacion del programa de pausas activas.                   * *Continuar con la capacitacion al personal en riesgo biomecanico</t>
  </si>
  <si>
    <t>*Continuar con la capacitacion al personal constantemente en el tema de manipulacion adecuada de cargas.
*Continuar con la Divulgacion de los riesgos existentes.
*Continuar con la elaboracion de ATS de la actividad.</t>
  </si>
  <si>
    <t>* Continuar con le elaboracion de los examenes periodicos al personal.                                                 
 * Continuar con la capacitacion al personal en higiene postural.                                                                      * Continuar con la implementacion del programa de pausas activas.                                                                                         *Continuar con la elaboracion de  calistenia antes de comenzar la labor.
*Continuar con la capacitacion importancia del uso de los epp.</t>
  </si>
  <si>
    <t xml:space="preserve">*Continuar con la Implementacion del programa de pausas activas.                     
  *Continuar con las capacitaciones  al personal sobre higiene postural </t>
  </si>
  <si>
    <t>*Continuar conla capacitacion al personal constantemente en el tema de manipulacion adecuada de cargas.
*Continuar con la Divulgacion de los riesgos existentes.
*Continuar con la elaboracion de ATS de la actividad.</t>
  </si>
  <si>
    <t>Continuar con la implementacion correcta de los protocolos de bioseguridad.
Continuar con la capacitacion al personal en temas referentes al COVID-19 (medidas de prevencion, signos y sintomas y que hacer en caso de sintomatologia).
Continuar con Suministro continuo de los elementos de bioseguridad necesarios para la prevencion del COVID-19.</t>
  </si>
  <si>
    <t xml:space="preserve">* Continuar con elaboracion  examenes periodicos al personal.                                          
  *Continuar con el  Suministro de ropa manga larga para el uso mientras se desarrolla la actividad.    
*Continuar con el suministro hidratacion.                                                                             </t>
  </si>
  <si>
    <t>Continuar con la implementacion correcta de los protocolos de bioseguridad.
Continuar con la capacitacion al personal en temas referentes al COVID-19 (medidas de prevencion, signos y sintomas y que hacer en caso de sintomatologia).
Continuar con el suministro continuo de los elementos de bioseguridad necesarios para la prevencion del COVID-19.</t>
  </si>
  <si>
    <t>*Continuar con la capacitacion al personal sobre la importancia del respeto por la señales de seguridad.
*Continuar con la implementcion de ARO de la actividad,</t>
  </si>
  <si>
    <t>*Continuar con  las areas en optimas condiciones de orden, aseo y seguras.                                                                                                   *Continuar con la divulgacion al personal los riesgos existentes.                            
 * Continuar con la implementacion del ARO de la actividad</t>
  </si>
  <si>
    <t>* Continuar con la elaboracion de ejercicios de calistenia antes de iniciar la labor.                                                                                              *Continuar con la Verificacion  de acuerdo a los examenes periodicos la viabilidad de diseñar el programa    epidemiologio osteomuscular.                                                                       * Continuar con la implementacion del programa de pausas activas.                  
 * Continuar con la capacitacion al personal en  riesgo biomecanico.</t>
  </si>
  <si>
    <t xml:space="preserve">i*Continuar con la Implementacion el programa de pausas activas.                     
  *Continuar con la capacitacion al personal sobre higiene postural </t>
  </si>
  <si>
    <t>*Continuar con la capacitacion al personal constantemente en el tema de manipulacion adecuada de cargas.
*Continuar con la divulgacion de los riesgos existentes.
*Continuar con la elaboracion de ATS de la actividad.</t>
  </si>
  <si>
    <t>*Continuar con la elaboracion de examenes periodicos al personal.                        
*Continuar con la Implementarcion el programa de pausas activas.                     
  *Continuar con la capacitacion al personal sobremanipulación de cargas.                                                                                                              *Continuar con la elaboracion de ATS de la actividad.</t>
  </si>
  <si>
    <t>*Continuar con las Inspecciones planeadas.                                                                     *Continuar con la implementacion de ARO de la actividad.                                                          *Continnuar con la capacitacion al  personal sobre uso de elementos de protección personal requerido por la actividad.</t>
  </si>
  <si>
    <t xml:space="preserve">* Continuar con le elaboracionr der examenes periodicos al personal.                                        
* Continuar con el suministro de ropa manga larga para el uso mientras se desarrolla la actividad.    
*Continuar con el  suministro de hidratacion.                                                                             </t>
  </si>
  <si>
    <t>*Continuar con la capacitacion al personal sobre trabajo seguro en alturas.                                                                                                              *Continuar con elaboracion de ARO  de la actividad.                                                                             *Continuar con las Inspecciones planeadas.                                                                    *Continuar con la divulgacion al personal los riesgos exitentes durante el desarrollo de la actividad.
*Continuar con la implementacion del  procedimiento de trabajo seguro en alturas.</t>
  </si>
  <si>
    <t>*Continuar con la Limpieza de excesos en superficie de inmediato.                                                                                                   *Continuar con la divulgacion al personal los riesgos existentes.                         
*Continuar con la implementacion ARO de la actividad</t>
  </si>
  <si>
    <t xml:space="preserve">*Continuar con la implementacion del programa de pausas activas.                    
 *Continuar con la capacitacion al personal sobre higiene postural </t>
  </si>
  <si>
    <t>*Continuar con la higien postural  al realizar las actividades.
*Continuar usando ayudas mecanicas para el izaje de la carga.
*Continuar con la elaboracion de ATS de la actividad.</t>
  </si>
  <si>
    <t xml:space="preserve">*Continuar  Realizando examenes periodicos al personal.                                         
 *Continuar con el  Suministro de ropa manga larga para el uso mientras se desarrolla la actividad.    
*Continuar con le suministro de hidratacion.                                                                             </t>
  </si>
  <si>
    <t>*Continuar con la capacitacion al personal sobre trabajo seguro en alturas.                                                                                                              *Continuar con la implementacion de ARO  de la actividad.                                                                             *Continuar con las Inspecciones planeadas.                                                                    *Continuar con la divulgacion al personal los riesgos exitentes durante el desarrollo de la actividad.
*Continuar con la implementacion del programa de proteccion contra caidas</t>
  </si>
  <si>
    <t xml:space="preserve">*Continuar con la capacitacion al personal sobre la importancia del uso de la proteccion auditiva en ambientes ruidosos.
*Continuar con la implementacion del  estandar de seguridad de la actividad.
</t>
  </si>
  <si>
    <t xml:space="preserve">*Continuar con la  implementacion el programa de pausas activas.
</t>
  </si>
  <si>
    <t>*Continuar con la implementacion correcta de los protocolos de bioseguridad.
 Continuar con la capacitacion al personal en temas referentes al COVID-19 (medidas de prevencion, signos y sintomas y que hacer en caso de sintomatologia).
Suministro continuo de los elementos de bioseguridad necesarios para la prevencion del COVID-19.</t>
  </si>
  <si>
    <t>*Continuar con la Limpieza de excesos en superficie de inmediato.                                                                                                   *Continuar con la divulgacion al personal los riesgos existentes.                          
*Contiuar con la implementacion de los  ARO de la actividad</t>
  </si>
  <si>
    <t xml:space="preserve">*Continuar con la implementacion del programa de pausas activas.                       
*Continuar con la capacitacion al personal sobre higiene postural </t>
  </si>
  <si>
    <t>* Continuar con la elaboracion de ejercicios de calistenia antes de iniciar la labor.                                                                                              * Continuar con la verificacion de acuerdo a los examenes periodicos la viabilidad de diseñar el programa    epidemiologio osteomuscular.                                                  *Continuar con la implementacion del programa de pausas activas.                
*Continuar con la capacitacion al personal en riesgo biomecanico</t>
  </si>
  <si>
    <t xml:space="preserve">*Continuar con la Implementacion el programa de pausas activas.                    
 *Continuar con la capacitacion al personal sobre higiene postural </t>
  </si>
  <si>
    <t>* Continuar con la implementacion de ejercicios de calistenia antes de iniciar la labor.                                                                                              *Continuar con la verificacion de acuerdo a los examenes periodicos la viabilidad de diseñar el programa    epidemiologio osteomuscular.                                                  * Continuar con la implementacion del programa de pausas activas.                 
  * Continuar con la capacitacion al personal en riesgo biomecanico</t>
  </si>
  <si>
    <t>* Continuar con la elaboracion de examenes periodicos al personal.                                                  * Continuar con la capacitacion al personal en higiene postural.                                                                      * Continuar con la  implementacion del programa de pausas activas.                                                                                         *Continuar  realizando calistenia antes de comenzar la labor.
*Continuar con la capacitacion de importancia del uso de los epp.</t>
  </si>
  <si>
    <t xml:space="preserve">*Continuar con el mantenimiento preventivo a maquinas o herramientas.                                                                                              *Continuar con el Estandar de seguridad para la operación de maquinas o herramientas.                                                               *Continuar con las inspecciones periodicas a herramientas.                                 </t>
  </si>
  <si>
    <t>*Contiuar Usando de elemento de protección visual .                                   *Capacitar al personal sobre autocuidado.                             
*Continuar con la capacitacion al personal sobre uso de elementos de protección personal.</t>
  </si>
  <si>
    <t xml:space="preserve">*Continuar con la capacitarcion al personal sobre la importancia del uso de la proteccion auditiva en ambientes ruidosos.
*Continuar con la implementacion de estandar de seguridad de la actividad.
</t>
  </si>
  <si>
    <t xml:space="preserve">* Continuar con la elaboracion de examenes periodicos al personal.                                            * Continuar con el Suministro de ropa manga larga para el uso mientras se desarrolla la actividad.    
*Continuar con el suministro de  hidratacion.                                                                             </t>
  </si>
  <si>
    <t>* Realizar examenes periodicos al personal.                                                 
 * Capacitacion al personal en higiene postural.                                                                      * Diseño e implementacion del programa de pausas activas.                                                                                         * Realizar calistenia antes de comenzar la labor.
*Continuar con la capacitacion importancia del uso de los epp.</t>
  </si>
  <si>
    <t>* Continuar con la implementacion de ejercicios de calistenia antes de iniciar la labor.                                                                                              *Contiuar con la  verificacion de acuerdo a los examenes periodicos la viabilidad de diseñar el programa    epidemiologio osteomuscular.                                                  * Continuar con la implementacion del programa de pausas activas.               
   * Continuar con la capacitacion al personal en riesgo biomecanico</t>
  </si>
  <si>
    <t>*Continuar con la elaboracion de examenes periodicos al personal.                        *Continuar con la implementacion del programa de pausas activas.                      
 *Continuar con la capacitacion al personal sobre higiene postural.</t>
  </si>
  <si>
    <t>*Evitar posturas inadecuadas a la hora de realizar la actividad.
*usar ayudas mecanicas para el izaje de la carga.
+Continuar realizando ATS de la actividad.</t>
  </si>
  <si>
    <t xml:space="preserve">LIMPIEZA DE AREAS MIXTA (MAQUINARIA O MANUAL), demolicion, replanteo,excavación, relleno y compactacion, resinte y estabilidad de terreno </t>
  </si>
  <si>
    <t>*ARMADO DE HIERRO DE COLUMNAS, VIGAS,LOSA Y ESCALERAS, INSTALACION ELECTRICA Y HIDROSANITARIO, AGUA POTABLE Y RESIDUAL 
*ENCOFRADO DE COLUMNAS VIGAS Y LOSA.
+DESENCOFRE VIGAS, COLUMNAS, LOSA.</t>
  </si>
  <si>
    <t>FUNDICION DE CEMETO EN COLUMNAS, VIGAS ,LOSA ESCALERAS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</si>
</sst>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$-80A]#,##0.00;[Red]\-[$$-80A]#,##0.00"/>
    <numFmt numFmtId="165" formatCode="m\o\n\th\ d\,\ yyyy"/>
    <numFmt numFmtId="166" formatCode="_ [$€-2]\ * #,##0.00_ ;_ [$€-2]\ * \-#,##0.00_ ;_ [$€-2]\ * &quot;-&quot;??_ "/>
    <numFmt numFmtId="167" formatCode="#.00"/>
    <numFmt numFmtId="168" formatCode="#."/>
    <numFmt numFmtId="169" formatCode="0.0"/>
  </numFmts>
  <fonts count="3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1"/>
      <name val="Tahoma"/>
      <family val="2"/>
    </font>
    <font>
      <b/>
      <i/>
      <sz val="16"/>
      <color indexed="8"/>
      <name val="Arial1"/>
    </font>
    <font>
      <sz val="10"/>
      <color indexed="8"/>
      <name val="Arial1"/>
    </font>
    <font>
      <sz val="11"/>
      <color indexed="8"/>
      <name val="Arial"/>
      <family val="2"/>
    </font>
    <font>
      <sz val="11"/>
      <color indexed="8"/>
      <name val="Arial1"/>
    </font>
    <font>
      <b/>
      <i/>
      <u/>
      <sz val="11"/>
      <color indexed="8"/>
      <name val="Arial1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z val="11"/>
      <color indexed="8"/>
      <name val="Tahoma"/>
      <family val="2"/>
    </font>
    <font>
      <sz val="11"/>
      <color theme="1"/>
      <name val="Tahoma"/>
      <family val="2"/>
    </font>
    <font>
      <b/>
      <sz val="11"/>
      <color indexed="8"/>
      <name val="Tahoma"/>
      <family val="2"/>
    </font>
    <font>
      <sz val="18"/>
      <color indexed="8"/>
      <name val="Tahoma"/>
      <family val="2"/>
    </font>
    <font>
      <b/>
      <sz val="11"/>
      <color indexed="9"/>
      <name val="Tahoma"/>
      <family val="2"/>
    </font>
    <font>
      <sz val="16"/>
      <color indexed="8"/>
      <name val="Tahoma"/>
      <family val="2"/>
    </font>
    <font>
      <sz val="11"/>
      <name val="Tahoma"/>
      <family val="2"/>
    </font>
    <font>
      <i/>
      <sz val="11"/>
      <name val="Tahoma"/>
      <family val="2"/>
    </font>
    <font>
      <sz val="16"/>
      <color indexed="8"/>
      <name val="Calibri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1"/>
      <color theme="1"/>
      <name val="Arial"/>
      <family val="2"/>
    </font>
    <font>
      <sz val="10"/>
      <color indexed="8"/>
      <name val="Century Gothic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2"/>
      <color theme="0"/>
      <name val="Arial"/>
      <family val="2"/>
    </font>
    <font>
      <b/>
      <sz val="10"/>
      <color theme="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6">
    <xf numFmtId="0" fontId="0" fillId="0" borderId="0"/>
    <xf numFmtId="0" fontId="1" fillId="0" borderId="0"/>
    <xf numFmtId="0" fontId="1" fillId="0" borderId="0" applyNumberFormat="0" applyBorder="0" applyProtection="0"/>
    <xf numFmtId="0" fontId="10" fillId="0" borderId="0" applyNumberFormat="0" applyBorder="0" applyProtection="0">
      <alignment horizontal="center"/>
    </xf>
    <xf numFmtId="0" fontId="10" fillId="0" borderId="0" applyNumberFormat="0" applyBorder="0" applyProtection="0">
      <alignment horizontal="center" textRotation="90"/>
    </xf>
    <xf numFmtId="0" fontId="5" fillId="0" borderId="0" applyBorder="0" applyProtection="0"/>
    <xf numFmtId="0" fontId="11" fillId="0" borderId="0" applyNumberFormat="0" applyBorder="0" applyProtection="0"/>
    <xf numFmtId="0" fontId="12" fillId="0" borderId="0"/>
    <xf numFmtId="0" fontId="13" fillId="0" borderId="0"/>
    <xf numFmtId="0" fontId="14" fillId="0" borderId="0" applyNumberFormat="0" applyBorder="0" applyProtection="0"/>
    <xf numFmtId="164" fontId="14" fillId="0" borderId="0" applyBorder="0" applyProtection="0"/>
    <xf numFmtId="165" fontId="29" fillId="0" borderId="0">
      <protection locked="0"/>
    </xf>
    <xf numFmtId="166" fontId="1" fillId="0" borderId="0" applyFont="0" applyFill="0" applyBorder="0" applyAlignment="0" applyProtection="0"/>
    <xf numFmtId="167" fontId="29" fillId="0" borderId="0">
      <protection locked="0"/>
    </xf>
    <xf numFmtId="168" fontId="30" fillId="0" borderId="0">
      <protection locked="0"/>
    </xf>
    <xf numFmtId="9" fontId="1" fillId="0" borderId="0" applyFont="0" applyFill="0" applyBorder="0" applyAlignment="0" applyProtection="0"/>
  </cellStyleXfs>
  <cellXfs count="343">
    <xf numFmtId="0" fontId="0" fillId="0" borderId="0" xfId="0"/>
    <xf numFmtId="0" fontId="1" fillId="0" borderId="0" xfId="1"/>
    <xf numFmtId="0" fontId="2" fillId="0" borderId="0" xfId="1" applyFont="1"/>
    <xf numFmtId="0" fontId="1" fillId="0" borderId="0" xfId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1" fillId="3" borderId="1" xfId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4" fillId="4" borderId="6" xfId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" fillId="3" borderId="7" xfId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textRotation="90" wrapText="1"/>
    </xf>
    <xf numFmtId="0" fontId="2" fillId="0" borderId="0" xfId="1" applyFont="1" applyAlignment="1">
      <alignment vertical="center"/>
    </xf>
    <xf numFmtId="0" fontId="15" fillId="4" borderId="7" xfId="1" applyFont="1" applyFill="1" applyBorder="1" applyAlignment="1">
      <alignment horizontal="center" vertical="center" textRotation="90" wrapText="1"/>
    </xf>
    <xf numFmtId="0" fontId="4" fillId="4" borderId="7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 wrapText="1"/>
    </xf>
    <xf numFmtId="0" fontId="1" fillId="4" borderId="22" xfId="1" applyFill="1" applyBorder="1" applyAlignment="1">
      <alignment horizontal="center" vertical="center" wrapText="1"/>
    </xf>
    <xf numFmtId="0" fontId="4" fillId="4" borderId="22" xfId="1" applyFont="1" applyFill="1" applyBorder="1" applyAlignment="1">
      <alignment horizontal="center" vertical="center" wrapText="1"/>
    </xf>
    <xf numFmtId="0" fontId="4" fillId="4" borderId="18" xfId="1" applyFont="1" applyFill="1" applyBorder="1" applyAlignment="1">
      <alignment horizontal="center" vertical="center" wrapText="1"/>
    </xf>
    <xf numFmtId="0" fontId="4" fillId="4" borderId="19" xfId="1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0" fontId="21" fillId="0" borderId="0" xfId="0" applyFont="1"/>
    <xf numFmtId="0" fontId="20" fillId="10" borderId="10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0" fillId="10" borderId="22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justify" vertical="top" wrapText="1"/>
    </xf>
    <xf numFmtId="0" fontId="21" fillId="0" borderId="22" xfId="0" applyFont="1" applyBorder="1" applyAlignment="1">
      <alignment horizontal="justify" vertical="top" wrapText="1"/>
    </xf>
    <xf numFmtId="0" fontId="21" fillId="0" borderId="9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justify" vertical="top" wrapText="1"/>
    </xf>
    <xf numFmtId="0" fontId="21" fillId="0" borderId="19" xfId="0" applyFont="1" applyBorder="1" applyAlignment="1">
      <alignment horizontal="justify" vertical="top" wrapText="1"/>
    </xf>
    <xf numFmtId="0" fontId="21" fillId="0" borderId="0" xfId="0" applyFont="1" applyAlignment="1">
      <alignment horizontal="justify" vertical="justify" wrapText="1"/>
    </xf>
    <xf numFmtId="0" fontId="21" fillId="10" borderId="10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10" borderId="22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/>
    </xf>
    <xf numFmtId="0" fontId="24" fillId="11" borderId="1" xfId="0" applyFont="1" applyFill="1" applyBorder="1"/>
    <xf numFmtId="0" fontId="21" fillId="12" borderId="1" xfId="0" applyFont="1" applyFill="1" applyBorder="1"/>
    <xf numFmtId="0" fontId="21" fillId="10" borderId="1" xfId="0" applyFont="1" applyFill="1" applyBorder="1"/>
    <xf numFmtId="0" fontId="21" fillId="0" borderId="1" xfId="0" applyFont="1" applyBorder="1"/>
    <xf numFmtId="0" fontId="22" fillId="0" borderId="10" xfId="0" applyFont="1" applyBorder="1" applyAlignment="1">
      <alignment horizontal="center" vertical="center" wrapText="1"/>
    </xf>
    <xf numFmtId="0" fontId="22" fillId="0" borderId="1" xfId="0" applyFont="1" applyBorder="1"/>
    <xf numFmtId="0" fontId="21" fillId="0" borderId="1" xfId="0" applyFont="1" applyBorder="1" applyAlignment="1">
      <alignment horizontal="center" vertical="center" wrapText="1"/>
    </xf>
    <xf numFmtId="0" fontId="21" fillId="10" borderId="18" xfId="0" applyFont="1" applyFill="1" applyBorder="1" applyAlignment="1">
      <alignment horizontal="center" vertical="center" wrapText="1"/>
    </xf>
    <xf numFmtId="0" fontId="21" fillId="10" borderId="22" xfId="0" applyFont="1" applyFill="1" applyBorder="1" applyAlignment="1">
      <alignment horizontal="center" vertical="center" wrapText="1"/>
    </xf>
    <xf numFmtId="0" fontId="0" fillId="10" borderId="1" xfId="0" applyFill="1" applyBorder="1"/>
    <xf numFmtId="16" fontId="0" fillId="10" borderId="1" xfId="0" applyNumberFormat="1" applyFill="1" applyBorder="1"/>
    <xf numFmtId="0" fontId="0" fillId="10" borderId="2" xfId="0" applyFill="1" applyBorder="1"/>
    <xf numFmtId="0" fontId="0" fillId="13" borderId="1" xfId="0" applyFill="1" applyBorder="1" applyAlignment="1">
      <alignment wrapText="1"/>
    </xf>
    <xf numFmtId="0" fontId="0" fillId="14" borderId="2" xfId="0" applyFill="1" applyBorder="1" applyAlignment="1">
      <alignment wrapText="1"/>
    </xf>
    <xf numFmtId="0" fontId="0" fillId="0" borderId="10" xfId="0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0" borderId="22" xfId="0" applyBorder="1" applyAlignment="1">
      <alignment horizontal="justify" vertical="top" wrapText="1"/>
    </xf>
    <xf numFmtId="0" fontId="0" fillId="14" borderId="1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14" borderId="1" xfId="0" applyFill="1" applyBorder="1" applyAlignment="1">
      <alignment horizontal="center" vertical="center" wrapText="1"/>
    </xf>
    <xf numFmtId="0" fontId="0" fillId="15" borderId="2" xfId="0" applyFill="1" applyBorder="1" applyAlignment="1">
      <alignment wrapText="1"/>
    </xf>
    <xf numFmtId="0" fontId="0" fillId="15" borderId="1" xfId="0" applyFill="1" applyBorder="1" applyAlignment="1">
      <alignment horizontal="center" vertical="center" wrapText="1"/>
    </xf>
    <xf numFmtId="0" fontId="0" fillId="14" borderId="7" xfId="0" applyFill="1" applyBorder="1" applyAlignment="1">
      <alignment wrapText="1"/>
    </xf>
    <xf numFmtId="0" fontId="0" fillId="0" borderId="7" xfId="0" applyBorder="1" applyAlignment="1">
      <alignment wrapText="1"/>
    </xf>
    <xf numFmtId="0" fontId="0" fillId="15" borderId="7" xfId="0" applyFill="1" applyBorder="1" applyAlignment="1">
      <alignment wrapText="1"/>
    </xf>
    <xf numFmtId="0" fontId="0" fillId="15" borderId="14" xfId="0" applyFill="1" applyBorder="1" applyAlignment="1">
      <alignment wrapText="1"/>
    </xf>
    <xf numFmtId="0" fontId="0" fillId="0" borderId="9" xfId="0" applyBorder="1" applyAlignment="1">
      <alignment horizontal="center" vertical="center" wrapText="1"/>
    </xf>
    <xf numFmtId="0" fontId="0" fillId="0" borderId="19" xfId="0" applyBorder="1" applyAlignment="1">
      <alignment horizontal="justify" vertical="top" wrapText="1"/>
    </xf>
    <xf numFmtId="0" fontId="22" fillId="10" borderId="1" xfId="0" applyFont="1" applyFill="1" applyBorder="1" applyAlignment="1">
      <alignment horizontal="center"/>
    </xf>
    <xf numFmtId="0" fontId="22" fillId="10" borderId="22" xfId="0" applyFont="1" applyFill="1" applyBorder="1" applyAlignment="1">
      <alignment horizontal="center"/>
    </xf>
    <xf numFmtId="0" fontId="26" fillId="4" borderId="1" xfId="0" applyFont="1" applyFill="1" applyBorder="1" applyAlignment="1">
      <alignment horizontal="center" vertical="center" wrapText="1"/>
    </xf>
    <xf numFmtId="0" fontId="26" fillId="4" borderId="22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15" fillId="4" borderId="1" xfId="1" applyFont="1" applyFill="1" applyBorder="1" applyAlignment="1">
      <alignment horizontal="center" vertical="center" textRotation="90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0" fontId="1" fillId="4" borderId="6" xfId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 wrapText="1"/>
    </xf>
    <xf numFmtId="0" fontId="1" fillId="4" borderId="7" xfId="1" applyFill="1" applyBorder="1" applyAlignment="1">
      <alignment horizontal="center" vertical="center" wrapText="1"/>
    </xf>
    <xf numFmtId="0" fontId="1" fillId="4" borderId="6" xfId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4" borderId="0" xfId="1" applyFill="1"/>
    <xf numFmtId="0" fontId="2" fillId="0" borderId="7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6" fillId="4" borderId="0" xfId="1" applyFont="1" applyFill="1" applyAlignment="1">
      <alignment vertical="center" textRotation="90" wrapText="1"/>
    </xf>
    <xf numFmtId="0" fontId="1" fillId="0" borderId="22" xfId="1" applyBorder="1" applyAlignment="1">
      <alignment horizontal="center" vertical="center"/>
    </xf>
    <xf numFmtId="0" fontId="1" fillId="0" borderId="22" xfId="1" applyBorder="1" applyAlignment="1">
      <alignment horizontal="center" vertical="center" wrapText="1"/>
    </xf>
    <xf numFmtId="0" fontId="1" fillId="0" borderId="19" xfId="1" applyBorder="1" applyAlignment="1">
      <alignment horizontal="center" vertical="center"/>
    </xf>
    <xf numFmtId="0" fontId="12" fillId="4" borderId="1" xfId="0" applyFont="1" applyFill="1" applyBorder="1" applyAlignment="1" applyProtection="1">
      <alignment horizontal="center" vertical="center" wrapText="1"/>
      <protection locked="0"/>
    </xf>
    <xf numFmtId="0" fontId="1" fillId="4" borderId="5" xfId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left" vertical="center" wrapText="1"/>
    </xf>
    <xf numFmtId="0" fontId="1" fillId="4" borderId="1" xfId="1" applyFill="1" applyBorder="1" applyAlignment="1">
      <alignment horizontal="left" vertical="center" wrapText="1"/>
    </xf>
    <xf numFmtId="0" fontId="32" fillId="4" borderId="1" xfId="0" applyFont="1" applyFill="1" applyBorder="1" applyAlignment="1" applyProtection="1">
      <alignment horizontal="left" vertical="center" wrapText="1"/>
      <protection hidden="1"/>
    </xf>
    <xf numFmtId="169" fontId="33" fillId="4" borderId="1" xfId="0" applyNumberFormat="1" applyFont="1" applyFill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 wrapText="1"/>
    </xf>
    <xf numFmtId="169" fontId="33" fillId="4" borderId="1" xfId="0" applyNumberFormat="1" applyFont="1" applyFill="1" applyBorder="1" applyAlignment="1">
      <alignment horizontal="left" vertical="center" wrapText="1"/>
    </xf>
    <xf numFmtId="0" fontId="15" fillId="4" borderId="5" xfId="1" applyFont="1" applyFill="1" applyBorder="1" applyAlignment="1">
      <alignment horizontal="center" vertical="center" textRotation="90" wrapText="1"/>
    </xf>
    <xf numFmtId="0" fontId="17" fillId="4" borderId="12" xfId="0" applyFont="1" applyFill="1" applyBorder="1" applyAlignment="1" applyProtection="1">
      <alignment horizontal="center" vertical="center" wrapText="1"/>
      <protection locked="0"/>
    </xf>
    <xf numFmtId="0" fontId="17" fillId="4" borderId="21" xfId="0" applyFont="1" applyFill="1" applyBorder="1" applyAlignment="1" applyProtection="1">
      <alignment horizontal="center" vertical="center" wrapText="1"/>
      <protection locked="0"/>
    </xf>
    <xf numFmtId="0" fontId="4" fillId="4" borderId="5" xfId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left" vertical="center" wrapText="1"/>
    </xf>
    <xf numFmtId="0" fontId="4" fillId="4" borderId="27" xfId="1" applyFont="1" applyFill="1" applyBorder="1" applyAlignment="1">
      <alignment horizontal="center" vertical="center" wrapText="1"/>
    </xf>
    <xf numFmtId="0" fontId="2" fillId="4" borderId="0" xfId="1" applyFont="1" applyFill="1"/>
    <xf numFmtId="0" fontId="1" fillId="4" borderId="0" xfId="1" applyFill="1" applyAlignment="1">
      <alignment horizontal="center" vertical="center"/>
    </xf>
    <xf numFmtId="0" fontId="1" fillId="4" borderId="0" xfId="1" applyFill="1" applyAlignment="1">
      <alignment horizontal="center" vertical="center" wrapText="1"/>
    </xf>
    <xf numFmtId="0" fontId="1" fillId="4" borderId="0" xfId="1" applyFill="1" applyAlignment="1">
      <alignment vertical="center"/>
    </xf>
    <xf numFmtId="0" fontId="1" fillId="4" borderId="22" xfId="1" applyFill="1" applyBorder="1" applyAlignment="1">
      <alignment horizontal="center" vertical="center"/>
    </xf>
    <xf numFmtId="0" fontId="2" fillId="4" borderId="7" xfId="1" applyFont="1" applyFill="1" applyBorder="1" applyAlignment="1">
      <alignment horizontal="center" vertical="center"/>
    </xf>
    <xf numFmtId="0" fontId="2" fillId="4" borderId="19" xfId="1" applyFont="1" applyFill="1" applyBorder="1" applyAlignment="1">
      <alignment horizontal="center" vertical="center"/>
    </xf>
    <xf numFmtId="0" fontId="2" fillId="4" borderId="0" xfId="1" applyFont="1" applyFill="1" applyAlignment="1">
      <alignment vertical="center"/>
    </xf>
    <xf numFmtId="0" fontId="1" fillId="4" borderId="19" xfId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 textRotation="90" wrapText="1"/>
    </xf>
    <xf numFmtId="169" fontId="33" fillId="4" borderId="5" xfId="0" applyNumberFormat="1" applyFont="1" applyFill="1" applyBorder="1" applyAlignment="1">
      <alignment horizontal="left" vertical="center" wrapText="1"/>
    </xf>
    <xf numFmtId="0" fontId="1" fillId="4" borderId="12" xfId="1" applyFill="1" applyBorder="1" applyAlignment="1">
      <alignment horizontal="center" vertical="center" wrapText="1"/>
    </xf>
    <xf numFmtId="0" fontId="4" fillId="4" borderId="4" xfId="1" applyFont="1" applyFill="1" applyBorder="1" applyAlignment="1">
      <alignment horizontal="center" vertical="center" wrapText="1"/>
    </xf>
    <xf numFmtId="0" fontId="4" fillId="4" borderId="46" xfId="1" applyFont="1" applyFill="1" applyBorder="1" applyAlignment="1">
      <alignment horizontal="center" vertical="center" wrapText="1"/>
    </xf>
    <xf numFmtId="0" fontId="6" fillId="0" borderId="49" xfId="1" applyFont="1" applyBorder="1" applyAlignment="1">
      <alignment horizontal="center" vertical="center" textRotation="90" wrapText="1"/>
    </xf>
    <xf numFmtId="0" fontId="1" fillId="0" borderId="49" xfId="1" applyBorder="1" applyAlignment="1">
      <alignment horizontal="center" vertical="center" wrapText="1"/>
    </xf>
    <xf numFmtId="0" fontId="15" fillId="4" borderId="12" xfId="1" applyFont="1" applyFill="1" applyBorder="1" applyAlignment="1">
      <alignment horizontal="center" vertical="center" textRotation="90" wrapText="1"/>
    </xf>
    <xf numFmtId="0" fontId="1" fillId="4" borderId="44" xfId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4" fillId="4" borderId="0" xfId="1" applyFont="1" applyFill="1" applyAlignment="1">
      <alignment horizontal="center" vertical="center" wrapText="1"/>
    </xf>
    <xf numFmtId="0" fontId="4" fillId="4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1" fillId="4" borderId="2" xfId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left" vertical="center" wrapText="1"/>
    </xf>
    <xf numFmtId="0" fontId="1" fillId="4" borderId="12" xfId="0" applyFont="1" applyFill="1" applyBorder="1" applyAlignment="1">
      <alignment horizontal="justify" vertical="center" wrapText="1"/>
    </xf>
    <xf numFmtId="0" fontId="1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 applyProtection="1">
      <alignment horizontal="left" vertical="top" wrapText="1"/>
      <protection hidden="1"/>
    </xf>
    <xf numFmtId="0" fontId="1" fillId="0" borderId="32" xfId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left" vertical="center" wrapText="1"/>
      <protection hidden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69" fontId="1" fillId="4" borderId="1" xfId="0" applyNumberFormat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169" fontId="1" fillId="4" borderId="5" xfId="0" applyNumberFormat="1" applyFont="1" applyFill="1" applyBorder="1" applyAlignment="1">
      <alignment horizontal="left" vertical="center" wrapText="1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1" fillId="0" borderId="6" xfId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6" fillId="16" borderId="6" xfId="1" applyFont="1" applyFill="1" applyBorder="1" applyAlignment="1">
      <alignment horizontal="center" vertical="center" wrapText="1"/>
    </xf>
    <xf numFmtId="0" fontId="35" fillId="16" borderId="5" xfId="1" applyFont="1" applyFill="1" applyBorder="1" applyAlignment="1">
      <alignment horizontal="center" vertical="center" textRotation="90"/>
    </xf>
    <xf numFmtId="0" fontId="36" fillId="16" borderId="5" xfId="1" applyFont="1" applyFill="1" applyBorder="1" applyAlignment="1">
      <alignment horizontal="center" vertical="center" textRotation="90"/>
    </xf>
    <xf numFmtId="0" fontId="36" fillId="16" borderId="5" xfId="1" applyFont="1" applyFill="1" applyBorder="1" applyAlignment="1">
      <alignment horizontal="center" vertical="center" textRotation="90" wrapText="1"/>
    </xf>
    <xf numFmtId="0" fontId="36" fillId="16" borderId="27" xfId="1" applyFont="1" applyFill="1" applyBorder="1" applyAlignment="1">
      <alignment horizontal="center" vertical="center" textRotation="90" wrapText="1"/>
    </xf>
    <xf numFmtId="0" fontId="3" fillId="4" borderId="1" xfId="1" applyFont="1" applyFill="1" applyBorder="1" applyAlignment="1">
      <alignment horizontal="center" vertical="center" wrapText="1"/>
    </xf>
    <xf numFmtId="0" fontId="6" fillId="4" borderId="37" xfId="1" applyFont="1" applyFill="1" applyBorder="1" applyAlignment="1">
      <alignment horizontal="center" vertical="center" textRotation="90" wrapText="1"/>
    </xf>
    <xf numFmtId="0" fontId="6" fillId="4" borderId="51" xfId="1" applyFont="1" applyFill="1" applyBorder="1" applyAlignment="1">
      <alignment horizontal="center" vertical="center" textRotation="90" wrapText="1"/>
    </xf>
    <xf numFmtId="0" fontId="6" fillId="4" borderId="39" xfId="1" applyFont="1" applyFill="1" applyBorder="1" applyAlignment="1">
      <alignment horizontal="center" vertical="center" textRotation="90" wrapText="1"/>
    </xf>
    <xf numFmtId="0" fontId="6" fillId="4" borderId="5" xfId="1" applyFont="1" applyFill="1" applyBorder="1" applyAlignment="1">
      <alignment horizontal="center" vertical="center" textRotation="90" wrapText="1"/>
    </xf>
    <xf numFmtId="0" fontId="6" fillId="4" borderId="21" xfId="1" applyFont="1" applyFill="1" applyBorder="1" applyAlignment="1">
      <alignment horizontal="center" vertical="center" textRotation="90" wrapText="1"/>
    </xf>
    <xf numFmtId="0" fontId="6" fillId="4" borderId="12" xfId="1" applyFont="1" applyFill="1" applyBorder="1" applyAlignment="1">
      <alignment horizontal="center" vertical="center" textRotation="90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21" xfId="1" applyFont="1" applyFill="1" applyBorder="1" applyAlignment="1">
      <alignment horizontal="center" vertical="center" wrapText="1"/>
    </xf>
    <xf numFmtId="0" fontId="3" fillId="4" borderId="12" xfId="1" applyFont="1" applyFill="1" applyBorder="1" applyAlignment="1">
      <alignment horizontal="center" vertical="center" wrapText="1"/>
    </xf>
    <xf numFmtId="0" fontId="3" fillId="4" borderId="32" xfId="1" applyFont="1" applyFill="1" applyBorder="1" applyAlignment="1">
      <alignment horizontal="center" vertical="center" wrapText="1"/>
    </xf>
    <xf numFmtId="0" fontId="3" fillId="4" borderId="48" xfId="1" applyFont="1" applyFill="1" applyBorder="1" applyAlignment="1">
      <alignment horizontal="center" vertical="center" wrapText="1"/>
    </xf>
    <xf numFmtId="0" fontId="3" fillId="4" borderId="37" xfId="1" applyFont="1" applyFill="1" applyBorder="1" applyAlignment="1">
      <alignment horizontal="center" vertical="center" wrapText="1"/>
    </xf>
    <xf numFmtId="0" fontId="3" fillId="4" borderId="51" xfId="1" applyFont="1" applyFill="1" applyBorder="1" applyAlignment="1">
      <alignment horizontal="center" vertical="center" wrapText="1"/>
    </xf>
    <xf numFmtId="0" fontId="3" fillId="4" borderId="53" xfId="1" applyFont="1" applyFill="1" applyBorder="1" applyAlignment="1">
      <alignment horizontal="center" vertical="center" wrapText="1"/>
    </xf>
    <xf numFmtId="0" fontId="2" fillId="4" borderId="10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4" borderId="32" xfId="1" applyFont="1" applyFill="1" applyBorder="1" applyAlignment="1">
      <alignment horizontal="center" vertical="center" wrapText="1"/>
    </xf>
    <xf numFmtId="0" fontId="2" fillId="4" borderId="21" xfId="1" applyFont="1" applyFill="1" applyBorder="1" applyAlignment="1">
      <alignment horizontal="center" vertical="center" wrapText="1"/>
    </xf>
    <xf numFmtId="0" fontId="2" fillId="4" borderId="12" xfId="1" applyFont="1" applyFill="1" applyBorder="1" applyAlignment="1">
      <alignment horizontal="center" vertical="center" wrapText="1"/>
    </xf>
    <xf numFmtId="0" fontId="1" fillId="4" borderId="5" xfId="1" applyFill="1" applyBorder="1" applyAlignment="1">
      <alignment horizontal="center" vertical="center" wrapText="1"/>
    </xf>
    <xf numFmtId="0" fontId="1" fillId="4" borderId="21" xfId="1" applyFill="1" applyBorder="1" applyAlignment="1">
      <alignment horizontal="center" vertical="center" wrapText="1"/>
    </xf>
    <xf numFmtId="0" fontId="1" fillId="4" borderId="12" xfId="1" applyFill="1" applyBorder="1" applyAlignment="1">
      <alignment horizontal="center" vertical="center" wrapText="1"/>
    </xf>
    <xf numFmtId="0" fontId="1" fillId="4" borderId="48" xfId="1" applyFill="1" applyBorder="1" applyAlignment="1">
      <alignment horizontal="center" vertical="center" wrapText="1"/>
    </xf>
    <xf numFmtId="0" fontId="1" fillId="4" borderId="32" xfId="1" applyFill="1" applyBorder="1" applyAlignment="1">
      <alignment horizontal="center" vertical="center" wrapText="1"/>
    </xf>
    <xf numFmtId="0" fontId="35" fillId="16" borderId="6" xfId="1" applyFont="1" applyFill="1" applyBorder="1" applyAlignment="1">
      <alignment horizontal="center" vertical="center"/>
    </xf>
    <xf numFmtId="0" fontId="36" fillId="16" borderId="6" xfId="1" applyFont="1" applyFill="1" applyBorder="1" applyAlignment="1">
      <alignment horizontal="center" vertical="center"/>
    </xf>
    <xf numFmtId="0" fontId="36" fillId="16" borderId="6" xfId="1" applyFont="1" applyFill="1" applyBorder="1" applyAlignment="1">
      <alignment horizontal="center" vertical="center" wrapText="1"/>
    </xf>
    <xf numFmtId="0" fontId="2" fillId="4" borderId="40" xfId="1" applyFont="1" applyFill="1" applyBorder="1" applyAlignment="1">
      <alignment horizontal="center" vertical="center"/>
    </xf>
    <xf numFmtId="0" fontId="2" fillId="4" borderId="41" xfId="1" applyFont="1" applyFill="1" applyBorder="1" applyAlignment="1">
      <alignment horizontal="center" vertical="center"/>
    </xf>
    <xf numFmtId="0" fontId="2" fillId="4" borderId="46" xfId="1" applyFont="1" applyFill="1" applyBorder="1" applyAlignment="1">
      <alignment horizontal="center" vertical="center"/>
    </xf>
    <xf numFmtId="0" fontId="2" fillId="4" borderId="7" xfId="1" applyFont="1" applyFill="1" applyBorder="1" applyAlignment="1">
      <alignment horizontal="center" vertical="center"/>
    </xf>
    <xf numFmtId="0" fontId="19" fillId="4" borderId="33" xfId="1" applyFont="1" applyFill="1" applyBorder="1" applyAlignment="1">
      <alignment horizontal="center" vertical="center" wrapText="1"/>
    </xf>
    <xf numFmtId="0" fontId="19" fillId="4" borderId="34" xfId="1" applyFont="1" applyFill="1" applyBorder="1" applyAlignment="1">
      <alignment horizontal="center" vertical="center" wrapText="1"/>
    </xf>
    <xf numFmtId="0" fontId="19" fillId="4" borderId="35" xfId="1" applyFont="1" applyFill="1" applyBorder="1" applyAlignment="1">
      <alignment horizontal="center" vertical="center" wrapText="1"/>
    </xf>
    <xf numFmtId="0" fontId="1" fillId="4" borderId="36" xfId="1" applyFill="1" applyBorder="1" applyAlignment="1">
      <alignment horizontal="center" vertical="center" wrapText="1"/>
    </xf>
    <xf numFmtId="0" fontId="1" fillId="4" borderId="28" xfId="1" applyFill="1" applyBorder="1" applyAlignment="1">
      <alignment horizontal="center" vertical="center" wrapText="1"/>
    </xf>
    <xf numFmtId="0" fontId="1" fillId="4" borderId="37" xfId="1" applyFill="1" applyBorder="1" applyAlignment="1">
      <alignment horizontal="center" vertical="center" wrapText="1"/>
    </xf>
    <xf numFmtId="0" fontId="1" fillId="4" borderId="38" xfId="1" applyFill="1" applyBorder="1" applyAlignment="1">
      <alignment horizontal="center" vertical="center" wrapText="1"/>
    </xf>
    <xf numFmtId="0" fontId="1" fillId="4" borderId="49" xfId="1" applyFill="1" applyBorder="1" applyAlignment="1">
      <alignment horizontal="center" vertical="center" wrapText="1"/>
    </xf>
    <xf numFmtId="0" fontId="1" fillId="4" borderId="39" xfId="1" applyFill="1" applyBorder="1" applyAlignment="1">
      <alignment horizontal="center" vertical="center" wrapText="1"/>
    </xf>
    <xf numFmtId="0" fontId="17" fillId="4" borderId="43" xfId="1" applyFont="1" applyFill="1" applyBorder="1" applyAlignment="1">
      <alignment horizontal="center" vertical="center" wrapText="1"/>
    </xf>
    <xf numFmtId="0" fontId="17" fillId="4" borderId="37" xfId="1" applyFont="1" applyFill="1" applyBorder="1" applyAlignment="1">
      <alignment horizontal="center" vertical="center" wrapText="1"/>
    </xf>
    <xf numFmtId="0" fontId="17" fillId="4" borderId="44" xfId="1" applyFont="1" applyFill="1" applyBorder="1" applyAlignment="1">
      <alignment horizontal="center" vertical="center" wrapText="1"/>
    </xf>
    <xf numFmtId="0" fontId="17" fillId="4" borderId="39" xfId="1" applyFont="1" applyFill="1" applyBorder="1" applyAlignment="1">
      <alignment horizontal="center" vertical="center" wrapText="1"/>
    </xf>
    <xf numFmtId="0" fontId="35" fillId="16" borderId="6" xfId="1" applyFont="1" applyFill="1" applyBorder="1" applyAlignment="1">
      <alignment horizontal="center" vertical="center" textRotation="90"/>
    </xf>
    <xf numFmtId="0" fontId="35" fillId="16" borderId="5" xfId="1" applyFont="1" applyFill="1" applyBorder="1" applyAlignment="1">
      <alignment horizontal="center" vertical="center" textRotation="90"/>
    </xf>
    <xf numFmtId="0" fontId="35" fillId="16" borderId="32" xfId="1" applyFont="1" applyFill="1" applyBorder="1" applyAlignment="1">
      <alignment horizontal="center" vertical="center" textRotation="90"/>
    </xf>
    <xf numFmtId="0" fontId="35" fillId="16" borderId="48" xfId="1" applyFont="1" applyFill="1" applyBorder="1" applyAlignment="1">
      <alignment horizontal="center" vertical="center" textRotation="90"/>
    </xf>
    <xf numFmtId="0" fontId="2" fillId="4" borderId="10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4" borderId="45" xfId="1" applyFont="1" applyFill="1" applyBorder="1" applyAlignment="1">
      <alignment horizontal="center" vertical="center" wrapText="1"/>
    </xf>
    <xf numFmtId="0" fontId="2" fillId="4" borderId="4" xfId="1" applyFont="1" applyFill="1" applyBorder="1" applyAlignment="1">
      <alignment horizontal="center" vertical="center" wrapText="1"/>
    </xf>
    <xf numFmtId="0" fontId="19" fillId="4" borderId="33" xfId="1" applyFont="1" applyFill="1" applyBorder="1" applyAlignment="1">
      <alignment horizontal="center" vertical="center"/>
    </xf>
    <xf numFmtId="0" fontId="19" fillId="4" borderId="34" xfId="1" applyFont="1" applyFill="1" applyBorder="1" applyAlignment="1">
      <alignment horizontal="center" vertical="center"/>
    </xf>
    <xf numFmtId="0" fontId="19" fillId="4" borderId="35" xfId="1" applyFont="1" applyFill="1" applyBorder="1" applyAlignment="1">
      <alignment horizontal="center" vertical="center"/>
    </xf>
    <xf numFmtId="0" fontId="1" fillId="4" borderId="47" xfId="1" applyFill="1" applyBorder="1" applyAlignment="1">
      <alignment horizontal="center"/>
    </xf>
    <xf numFmtId="0" fontId="0" fillId="4" borderId="15" xfId="0" applyFill="1" applyBorder="1" applyAlignment="1">
      <alignment horizontal="center" wrapText="1"/>
    </xf>
    <xf numFmtId="0" fontId="0" fillId="4" borderId="16" xfId="0" applyFill="1" applyBorder="1" applyAlignment="1">
      <alignment horizontal="center" wrapText="1"/>
    </xf>
    <xf numFmtId="0" fontId="0" fillId="4" borderId="17" xfId="0" applyFill="1" applyBorder="1" applyAlignment="1">
      <alignment horizontal="center" wrapText="1"/>
    </xf>
    <xf numFmtId="0" fontId="2" fillId="4" borderId="27" xfId="1" applyFont="1" applyFill="1" applyBorder="1" applyAlignment="1">
      <alignment horizontal="center" vertical="center"/>
    </xf>
    <xf numFmtId="0" fontId="2" fillId="4" borderId="24" xfId="1" applyFont="1" applyFill="1" applyBorder="1" applyAlignment="1">
      <alignment horizontal="center" vertical="center"/>
    </xf>
    <xf numFmtId="0" fontId="36" fillId="16" borderId="18" xfId="1" applyFont="1" applyFill="1" applyBorder="1" applyAlignment="1">
      <alignment horizontal="center" vertical="center"/>
    </xf>
    <xf numFmtId="0" fontId="35" fillId="16" borderId="8" xfId="1" applyFont="1" applyFill="1" applyBorder="1" applyAlignment="1">
      <alignment horizontal="center" vertical="center" textRotation="90"/>
    </xf>
    <xf numFmtId="0" fontId="35" fillId="16" borderId="11" xfId="1" applyFont="1" applyFill="1" applyBorder="1" applyAlignment="1">
      <alignment horizontal="center" vertical="center" textRotation="90"/>
    </xf>
    <xf numFmtId="0" fontId="35" fillId="16" borderId="18" xfId="1" applyFont="1" applyFill="1" applyBorder="1" applyAlignment="1">
      <alignment horizontal="center" vertical="center" textRotation="90"/>
    </xf>
    <xf numFmtId="0" fontId="35" fillId="16" borderId="22" xfId="1" applyFont="1" applyFill="1" applyBorder="1" applyAlignment="1">
      <alignment horizontal="center" vertical="center" textRotation="90"/>
    </xf>
    <xf numFmtId="0" fontId="35" fillId="16" borderId="8" xfId="1" applyFont="1" applyFill="1" applyBorder="1" applyAlignment="1">
      <alignment horizontal="center" vertical="center" textRotation="90" wrapText="1"/>
    </xf>
    <xf numFmtId="0" fontId="35" fillId="16" borderId="10" xfId="1" applyFont="1" applyFill="1" applyBorder="1" applyAlignment="1">
      <alignment horizontal="center" vertical="center" textRotation="90" wrapText="1"/>
    </xf>
    <xf numFmtId="0" fontId="35" fillId="16" borderId="32" xfId="1" applyFont="1" applyFill="1" applyBorder="1" applyAlignment="1">
      <alignment horizontal="center" vertical="center" textRotation="90" wrapText="1"/>
    </xf>
    <xf numFmtId="0" fontId="35" fillId="16" borderId="48" xfId="1" applyFont="1" applyFill="1" applyBorder="1" applyAlignment="1">
      <alignment horizontal="center" vertical="center" textRotation="90" wrapText="1"/>
    </xf>
    <xf numFmtId="0" fontId="6" fillId="0" borderId="5" xfId="1" applyFont="1" applyBorder="1" applyAlignment="1">
      <alignment horizontal="center" vertical="center" textRotation="90" wrapText="1"/>
    </xf>
    <xf numFmtId="0" fontId="6" fillId="0" borderId="21" xfId="1" applyFont="1" applyBorder="1" applyAlignment="1">
      <alignment horizontal="center" vertical="center" textRotation="90" wrapText="1"/>
    </xf>
    <xf numFmtId="0" fontId="6" fillId="0" borderId="12" xfId="1" applyFont="1" applyBorder="1" applyAlignment="1">
      <alignment horizontal="center" vertical="center" textRotation="90" wrapText="1"/>
    </xf>
    <xf numFmtId="0" fontId="6" fillId="0" borderId="37" xfId="1" applyFont="1" applyBorder="1" applyAlignment="1">
      <alignment horizontal="center" vertical="center" textRotation="90" wrapText="1"/>
    </xf>
    <xf numFmtId="0" fontId="6" fillId="0" borderId="51" xfId="1" applyFont="1" applyBorder="1" applyAlignment="1">
      <alignment horizontal="center" vertical="center" textRotation="90" wrapText="1"/>
    </xf>
    <xf numFmtId="0" fontId="6" fillId="0" borderId="39" xfId="1" applyFont="1" applyBorder="1" applyAlignment="1">
      <alignment horizontal="center" vertical="center" textRotation="90" wrapText="1"/>
    </xf>
    <xf numFmtId="0" fontId="1" fillId="0" borderId="32" xfId="1" applyBorder="1" applyAlignment="1">
      <alignment horizontal="center" vertical="center" wrapText="1"/>
    </xf>
    <xf numFmtId="0" fontId="1" fillId="0" borderId="21" xfId="1" applyBorder="1" applyAlignment="1">
      <alignment horizontal="center" vertical="center" wrapText="1"/>
    </xf>
    <xf numFmtId="0" fontId="1" fillId="0" borderId="12" xfId="1" applyBorder="1" applyAlignment="1">
      <alignment horizontal="center" vertical="center" wrapText="1"/>
    </xf>
    <xf numFmtId="0" fontId="6" fillId="0" borderId="32" xfId="1" applyFont="1" applyBorder="1" applyAlignment="1">
      <alignment horizontal="center" vertical="center" textRotation="90" wrapText="1"/>
    </xf>
    <xf numFmtId="0" fontId="6" fillId="0" borderId="52" xfId="1" applyFont="1" applyBorder="1" applyAlignment="1">
      <alignment horizontal="center" vertical="center" textRotation="90" wrapText="1"/>
    </xf>
    <xf numFmtId="0" fontId="1" fillId="0" borderId="5" xfId="1" applyBorder="1" applyAlignment="1">
      <alignment horizontal="center" vertical="center" wrapText="1"/>
    </xf>
    <xf numFmtId="0" fontId="1" fillId="0" borderId="47" xfId="1" applyBorder="1" applyAlignment="1">
      <alignment horizontal="center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2" fillId="8" borderId="40" xfId="1" applyFont="1" applyFill="1" applyBorder="1" applyAlignment="1">
      <alignment horizontal="center" vertical="center"/>
    </xf>
    <xf numFmtId="0" fontId="2" fillId="8" borderId="46" xfId="1" applyFont="1" applyFill="1" applyBorder="1" applyAlignment="1">
      <alignment horizontal="center" vertical="center"/>
    </xf>
    <xf numFmtId="0" fontId="2" fillId="9" borderId="10" xfId="1" applyFont="1" applyFill="1" applyBorder="1" applyAlignment="1">
      <alignment horizontal="center" vertical="center" wrapText="1"/>
    </xf>
    <xf numFmtId="0" fontId="2" fillId="9" borderId="1" xfId="1" applyFont="1" applyFill="1" applyBorder="1" applyAlignment="1">
      <alignment horizontal="center" vertical="center" wrapText="1"/>
    </xf>
    <xf numFmtId="0" fontId="2" fillId="9" borderId="10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/>
    </xf>
    <xf numFmtId="0" fontId="2" fillId="9" borderId="45" xfId="1" applyFont="1" applyFill="1" applyBorder="1" applyAlignment="1">
      <alignment horizontal="center" vertical="center" wrapText="1"/>
    </xf>
    <xf numFmtId="0" fontId="2" fillId="9" borderId="4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19" fillId="5" borderId="38" xfId="1" applyFont="1" applyFill="1" applyBorder="1" applyAlignment="1">
      <alignment horizontal="center" vertical="center"/>
    </xf>
    <xf numFmtId="0" fontId="19" fillId="5" borderId="49" xfId="1" applyFont="1" applyFill="1" applyBorder="1" applyAlignment="1">
      <alignment horizontal="center" vertical="center"/>
    </xf>
    <xf numFmtId="0" fontId="19" fillId="5" borderId="50" xfId="1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19" fillId="5" borderId="8" xfId="1" applyFont="1" applyFill="1" applyBorder="1" applyAlignment="1">
      <alignment horizontal="center" vertical="center" wrapText="1"/>
    </xf>
    <xf numFmtId="0" fontId="19" fillId="5" borderId="6" xfId="1" applyFont="1" applyFill="1" applyBorder="1" applyAlignment="1">
      <alignment horizontal="center" vertical="center" wrapText="1"/>
    </xf>
    <xf numFmtId="0" fontId="19" fillId="5" borderId="18" xfId="1" applyFont="1" applyFill="1" applyBorder="1" applyAlignment="1">
      <alignment horizontal="center" vertical="center" wrapText="1"/>
    </xf>
    <xf numFmtId="0" fontId="1" fillId="6" borderId="10" xfId="1" applyFill="1" applyBorder="1" applyAlignment="1">
      <alignment horizontal="center" vertical="center" wrapText="1"/>
    </xf>
    <xf numFmtId="0" fontId="1" fillId="6" borderId="1" xfId="1" applyFill="1" applyBorder="1" applyAlignment="1">
      <alignment horizontal="center" vertical="center" wrapText="1"/>
    </xf>
    <xf numFmtId="0" fontId="17" fillId="2" borderId="1" xfId="1" applyFont="1" applyFill="1" applyBorder="1" applyAlignment="1">
      <alignment horizontal="center" vertical="center" wrapText="1"/>
    </xf>
    <xf numFmtId="0" fontId="1" fillId="7" borderId="1" xfId="1" applyFill="1" applyBorder="1" applyAlignment="1">
      <alignment horizontal="center" vertical="center" wrapText="1"/>
    </xf>
    <xf numFmtId="0" fontId="1" fillId="4" borderId="1" xfId="1" applyFill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35" fillId="16" borderId="25" xfId="1" applyFont="1" applyFill="1" applyBorder="1" applyAlignment="1">
      <alignment horizontal="center" vertical="center" textRotation="90"/>
    </xf>
    <xf numFmtId="0" fontId="35" fillId="16" borderId="43" xfId="1" applyFont="1" applyFill="1" applyBorder="1" applyAlignment="1">
      <alignment horizontal="center" vertical="center" textRotation="90"/>
    </xf>
    <xf numFmtId="0" fontId="35" fillId="16" borderId="11" xfId="1" applyFont="1" applyFill="1" applyBorder="1" applyAlignment="1">
      <alignment horizontal="center" vertical="center" textRotation="90" wrapText="1"/>
    </xf>
    <xf numFmtId="0" fontId="20" fillId="10" borderId="8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0" borderId="18" xfId="0" applyFont="1" applyFill="1" applyBorder="1" applyAlignment="1">
      <alignment horizontal="center"/>
    </xf>
    <xf numFmtId="0" fontId="21" fillId="10" borderId="8" xfId="0" applyFont="1" applyFill="1" applyBorder="1" applyAlignment="1">
      <alignment horizontal="center"/>
    </xf>
    <xf numFmtId="0" fontId="21" fillId="10" borderId="6" xfId="0" applyFont="1" applyFill="1" applyBorder="1" applyAlignment="1">
      <alignment horizontal="center"/>
    </xf>
    <xf numFmtId="0" fontId="21" fillId="10" borderId="18" xfId="0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1" fillId="0" borderId="1" xfId="0" applyFont="1" applyBorder="1" applyAlignment="1">
      <alignment horizontal="justify" vertical="top" wrapText="1"/>
    </xf>
    <xf numFmtId="0" fontId="21" fillId="0" borderId="22" xfId="0" applyFont="1" applyBorder="1" applyAlignment="1">
      <alignment horizontal="justify" vertical="top" wrapText="1"/>
    </xf>
    <xf numFmtId="0" fontId="21" fillId="0" borderId="7" xfId="0" applyFont="1" applyBorder="1" applyAlignment="1">
      <alignment horizontal="justify" vertical="top" wrapText="1"/>
    </xf>
    <xf numFmtId="0" fontId="21" fillId="0" borderId="19" xfId="0" applyFont="1" applyBorder="1" applyAlignment="1">
      <alignment horizontal="justify" vertical="top" wrapText="1"/>
    </xf>
    <xf numFmtId="0" fontId="22" fillId="0" borderId="29" xfId="0" applyFont="1" applyBorder="1" applyAlignment="1">
      <alignment horizontal="center"/>
    </xf>
    <xf numFmtId="0" fontId="22" fillId="0" borderId="30" xfId="0" applyFont="1" applyBorder="1" applyAlignment="1">
      <alignment horizontal="center"/>
    </xf>
    <xf numFmtId="0" fontId="22" fillId="0" borderId="31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21" fillId="0" borderId="5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/>
    </xf>
    <xf numFmtId="0" fontId="21" fillId="10" borderId="15" xfId="0" applyFont="1" applyFill="1" applyBorder="1" applyAlignment="1">
      <alignment horizontal="center"/>
    </xf>
    <xf numFmtId="0" fontId="21" fillId="10" borderId="16" xfId="0" applyFont="1" applyFill="1" applyBorder="1" applyAlignment="1">
      <alignment horizontal="center"/>
    </xf>
    <xf numFmtId="0" fontId="21" fillId="10" borderId="17" xfId="0" applyFont="1" applyFill="1" applyBorder="1" applyAlignment="1">
      <alignment horizontal="center"/>
    </xf>
    <xf numFmtId="0" fontId="21" fillId="10" borderId="26" xfId="0" applyFont="1" applyFill="1" applyBorder="1" applyAlignment="1">
      <alignment horizontal="center" vertical="center" wrapText="1"/>
    </xf>
    <xf numFmtId="0" fontId="21" fillId="10" borderId="13" xfId="0" applyFont="1" applyFill="1" applyBorder="1" applyAlignment="1">
      <alignment horizontal="center" vertical="center" wrapText="1"/>
    </xf>
    <xf numFmtId="0" fontId="21" fillId="10" borderId="32" xfId="0" applyFont="1" applyFill="1" applyBorder="1" applyAlignment="1">
      <alignment horizontal="center" vertical="center" wrapText="1"/>
    </xf>
    <xf numFmtId="0" fontId="21" fillId="10" borderId="12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10" borderId="8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0" fontId="0" fillId="10" borderId="33" xfId="0" applyFill="1" applyBorder="1" applyAlignment="1">
      <alignment horizontal="center"/>
    </xf>
    <xf numFmtId="0" fontId="0" fillId="10" borderId="34" xfId="0" applyFill="1" applyBorder="1" applyAlignment="1">
      <alignment horizontal="center"/>
    </xf>
    <xf numFmtId="0" fontId="0" fillId="10" borderId="35" xfId="0" applyFill="1" applyBorder="1" applyAlignment="1">
      <alignment horizontal="center"/>
    </xf>
    <xf numFmtId="0" fontId="0" fillId="10" borderId="36" xfId="0" applyFill="1" applyBorder="1" applyAlignment="1">
      <alignment horizontal="center" wrapText="1"/>
    </xf>
    <xf numFmtId="0" fontId="0" fillId="10" borderId="37" xfId="0" applyFill="1" applyBorder="1" applyAlignment="1">
      <alignment horizontal="center"/>
    </xf>
    <xf numFmtId="0" fontId="0" fillId="10" borderId="38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11" xfId="0" applyFill="1" applyBorder="1" applyAlignment="1">
      <alignment horizontal="center" vertical="center" wrapText="1"/>
    </xf>
    <xf numFmtId="0" fontId="0" fillId="10" borderId="13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0" fillId="10" borderId="12" xfId="0" applyFill="1" applyBorder="1" applyAlignment="1">
      <alignment horizontal="center" vertical="center" wrapText="1"/>
    </xf>
    <xf numFmtId="0" fontId="0" fillId="10" borderId="27" xfId="0" applyFill="1" applyBorder="1" applyAlignment="1">
      <alignment horizontal="center" vertical="center" wrapText="1"/>
    </xf>
    <xf numFmtId="0" fontId="0" fillId="10" borderId="24" xfId="0" applyFill="1" applyBorder="1" applyAlignment="1">
      <alignment horizontal="center" vertical="center" wrapText="1"/>
    </xf>
    <xf numFmtId="0" fontId="22" fillId="10" borderId="33" xfId="0" applyFont="1" applyFill="1" applyBorder="1" applyAlignment="1">
      <alignment horizontal="center"/>
    </xf>
    <xf numFmtId="0" fontId="22" fillId="10" borderId="34" xfId="0" applyFont="1" applyFill="1" applyBorder="1" applyAlignment="1">
      <alignment horizontal="center"/>
    </xf>
    <xf numFmtId="0" fontId="22" fillId="10" borderId="35" xfId="0" applyFont="1" applyFill="1" applyBorder="1" applyAlignment="1">
      <alignment horizontal="center"/>
    </xf>
    <xf numFmtId="0" fontId="25" fillId="10" borderId="11" xfId="0" applyFont="1" applyFill="1" applyBorder="1" applyAlignment="1">
      <alignment horizontal="center" vertical="center" textRotation="90"/>
    </xf>
    <xf numFmtId="0" fontId="25" fillId="10" borderId="20" xfId="0" applyFont="1" applyFill="1" applyBorder="1" applyAlignment="1">
      <alignment horizontal="center" vertical="center" textRotation="90"/>
    </xf>
    <xf numFmtId="0" fontId="28" fillId="0" borderId="1" xfId="0" applyFont="1" applyBorder="1" applyAlignment="1">
      <alignment horizontal="center" vertical="center" textRotation="90"/>
    </xf>
    <xf numFmtId="0" fontId="0" fillId="10" borderId="40" xfId="0" applyFill="1" applyBorder="1" applyAlignment="1">
      <alignment horizontal="center" vertical="center" wrapText="1"/>
    </xf>
    <xf numFmtId="0" fontId="0" fillId="10" borderId="41" xfId="0" applyFill="1" applyBorder="1" applyAlignment="1">
      <alignment horizontal="center" vertical="center" wrapText="1"/>
    </xf>
    <xf numFmtId="0" fontId="0" fillId="10" borderId="42" xfId="0" applyFill="1" applyBorder="1" applyAlignment="1">
      <alignment horizontal="center" vertical="center" wrapText="1"/>
    </xf>
  </cellXfs>
  <cellStyles count="16">
    <cellStyle name="Date" xfId="11" xr:uid="{00000000-0005-0000-0000-000000000000}"/>
    <cellStyle name="Euro" xfId="12" xr:uid="{00000000-0005-0000-0000-000001000000}"/>
    <cellStyle name="Fixed" xfId="13" xr:uid="{00000000-0005-0000-0000-000002000000}"/>
    <cellStyle name="Graphics" xfId="2" xr:uid="{00000000-0005-0000-0000-000003000000}"/>
    <cellStyle name="Heading" xfId="3" xr:uid="{00000000-0005-0000-0000-000004000000}"/>
    <cellStyle name="Heading1" xfId="4" xr:uid="{00000000-0005-0000-0000-000005000000}"/>
    <cellStyle name="Heading2" xfId="14" xr:uid="{00000000-0005-0000-0000-000006000000}"/>
    <cellStyle name="Normal" xfId="0" builtinId="0"/>
    <cellStyle name="Normal 2" xfId="1" xr:uid="{00000000-0005-0000-0000-000008000000}"/>
    <cellStyle name="Normal 2 2" xfId="5" xr:uid="{00000000-0005-0000-0000-000009000000}"/>
    <cellStyle name="Normal 2 3" xfId="6" xr:uid="{00000000-0005-0000-0000-00000A000000}"/>
    <cellStyle name="Normal 3" xfId="7" xr:uid="{00000000-0005-0000-0000-00000B000000}"/>
    <cellStyle name="Normal 4" xfId="8" xr:uid="{00000000-0005-0000-0000-00000C000000}"/>
    <cellStyle name="Porcentual 2" xfId="15" xr:uid="{00000000-0005-0000-0000-00000D000000}"/>
    <cellStyle name="Result" xfId="9" xr:uid="{00000000-0005-0000-0000-00000E000000}"/>
    <cellStyle name="Result2" xfId="10" xr:uid="{00000000-0005-0000-0000-00000F000000}"/>
  </cellStyles>
  <dxfs count="75">
    <dxf>
      <fill>
        <patternFill>
          <bgColor indexed="11"/>
        </patternFill>
      </fill>
    </dxf>
    <dxf>
      <font>
        <b/>
        <i val="0"/>
        <condense val="0"/>
        <extend val="0"/>
        <color auto="1"/>
      </font>
      <fill>
        <patternFill>
          <fgColor indexed="29"/>
          <bgColor indexed="13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fgColor indexed="29"/>
          <bgColor indexed="13"/>
        </patternFill>
      </fill>
    </dxf>
    <dxf>
      <fill>
        <patternFill>
          <bgColor indexed="11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fgColor indexed="29"/>
          <bgColor indexed="13"/>
        </patternFill>
      </fill>
    </dxf>
    <dxf>
      <fill>
        <patternFill>
          <bgColor indexed="11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fgColor indexed="29"/>
          <bgColor indexed="13"/>
        </patternFill>
      </fill>
    </dxf>
    <dxf>
      <fill>
        <patternFill>
          <bgColor indexed="11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fgColor indexed="29"/>
          <bgColor indexed="13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ont>
        <b/>
        <i val="0"/>
        <condense val="0"/>
        <extend val="0"/>
        <color auto="1"/>
      </font>
      <fill>
        <patternFill>
          <fgColor indexed="29"/>
          <bgColor indexed="13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ont>
        <b/>
        <i val="0"/>
        <condense val="0"/>
        <extend val="0"/>
        <color auto="1"/>
      </font>
      <fill>
        <patternFill>
          <fgColor indexed="29"/>
          <bgColor indexed="13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fgColor indexed="29"/>
          <bgColor indexed="13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fgColor indexed="29"/>
          <bgColor indexed="13"/>
        </patternFill>
      </fill>
    </dxf>
    <dxf>
      <fill>
        <patternFill>
          <bgColor indexed="11"/>
        </patternFill>
      </fill>
    </dxf>
    <dxf>
      <font>
        <b/>
        <i val="0"/>
        <condense val="0"/>
        <extend val="0"/>
        <color auto="1"/>
      </font>
      <fill>
        <patternFill>
          <fgColor indexed="29"/>
          <bgColor indexed="13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fgColor indexed="29"/>
          <bgColor indexed="13"/>
        </patternFill>
      </fill>
    </dxf>
    <dxf>
      <fill>
        <patternFill>
          <bgColor indexed="11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fgColor indexed="29"/>
          <bgColor indexed="13"/>
        </patternFill>
      </fill>
    </dxf>
    <dxf>
      <fill>
        <patternFill>
          <bgColor indexed="11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fgColor indexed="29"/>
          <bgColor indexed="13"/>
        </patternFill>
      </fill>
    </dxf>
    <dxf>
      <fill>
        <patternFill>
          <bgColor indexed="11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ont>
        <b/>
        <i val="0"/>
        <condense val="0"/>
        <extend val="0"/>
        <color auto="1"/>
      </font>
      <fill>
        <patternFill>
          <fgColor indexed="29"/>
          <bgColor indexed="13"/>
        </patternFill>
      </fill>
    </dxf>
    <dxf>
      <fill>
        <patternFill>
          <bgColor indexed="11"/>
        </patternFill>
      </fill>
    </dxf>
    <dxf>
      <font>
        <b/>
        <i val="0"/>
        <condense val="0"/>
        <extend val="0"/>
        <color auto="1"/>
      </font>
      <fill>
        <patternFill>
          <fgColor indexed="29"/>
          <bgColor indexed="13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ont>
        <b/>
        <i val="0"/>
        <condense val="0"/>
        <extend val="0"/>
        <color auto="1"/>
      </font>
      <fill>
        <patternFill>
          <fgColor indexed="29"/>
          <bgColor indexed="13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ont>
        <b/>
        <i val="0"/>
        <condense val="0"/>
        <extend val="0"/>
        <color auto="1"/>
      </font>
      <fill>
        <patternFill>
          <fgColor indexed="29"/>
          <bgColor indexed="13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00"/>
      <color rgb="FFFF00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48"/>
    </mc:Choice>
    <mc:Fallback>
      <c:style val="48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'AUXILIAR SG-SST'!$A$32</c:f>
              <c:strCache>
                <c:ptCount val="1"/>
                <c:pt idx="0">
                  <c:v>RIESGOS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'AUXILIAR SG-SST'!$A$32:$A$46</c:f>
              <c:strCache>
                <c:ptCount val="15"/>
                <c:pt idx="0">
                  <c:v>RIESGOS</c:v>
                </c:pt>
                <c:pt idx="1">
                  <c:v>BIOLÓGICO</c:v>
                </c:pt>
                <c:pt idx="2">
                  <c:v>BIOMECANICO</c:v>
                </c:pt>
                <c:pt idx="3">
                  <c:v>DE SEGURIDAD ACCIDENTE DE TRANSITO</c:v>
                </c:pt>
                <c:pt idx="4">
                  <c:v>DE SEGURIDAD ROBO ASALTO</c:v>
                </c:pt>
                <c:pt idx="5">
                  <c:v>DE SEGURIDAD TRABAJO EN ALTURAS</c:v>
                </c:pt>
                <c:pt idx="6">
                  <c:v>DE SEGURIDAD ELECTRICO</c:v>
                </c:pt>
                <c:pt idx="7">
                  <c:v>DE SEGURIDAD LOCATIVO</c:v>
                </c:pt>
                <c:pt idx="8">
                  <c:v>DE SEGURIDAD MECÁNICO</c:v>
                </c:pt>
                <c:pt idx="9">
                  <c:v>DE SEGURIDAD TECNOLOGICO</c:v>
                </c:pt>
                <c:pt idx="10">
                  <c:v>FISICO</c:v>
                </c:pt>
                <c:pt idx="11">
                  <c:v>FENÓMENO NATURAL</c:v>
                </c:pt>
                <c:pt idx="12">
                  <c:v>PSICOSOCIAL</c:v>
                </c:pt>
                <c:pt idx="13">
                  <c:v>QUÍMICO</c:v>
                </c:pt>
                <c:pt idx="14">
                  <c:v>TOTAL</c:v>
                </c:pt>
              </c:strCache>
            </c:strRef>
          </c:cat>
          <c:val>
            <c:numRef>
              <c:f>'AUXILIAR SG-SST'!$C$32:$C$46</c:f>
              <c:numCache>
                <c:formatCode>General</c:formatCode>
                <c:ptCount val="15"/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5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2E-465D-A3A7-8647EFBF4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636288"/>
        <c:axId val="183108160"/>
      </c:barChart>
      <c:catAx>
        <c:axId val="15463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3108160"/>
        <c:crosses val="autoZero"/>
        <c:auto val="1"/>
        <c:lblAlgn val="ctr"/>
        <c:lblOffset val="100"/>
        <c:noMultiLvlLbl val="0"/>
      </c:catAx>
      <c:valAx>
        <c:axId val="183108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4636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650650523523268"/>
          <c:y val="0.51498225643142925"/>
          <c:w val="9.2742076595264344E-2"/>
          <c:h val="4.49438202247191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NIVEL DE RIESGOS</a:t>
            </a:r>
          </a:p>
        </c:rich>
      </c:tx>
      <c:layout>
        <c:manualLayout>
          <c:xMode val="edge"/>
          <c:yMode val="edge"/>
          <c:x val="0.29495072015674417"/>
          <c:y val="5.97957277812183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7269806169966918E-2"/>
          <c:y val="0.16784402095900808"/>
          <c:w val="0.80395901454823648"/>
          <c:h val="0.730999847365237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'AUXILIAR SG-SST'!$F$33</c:f>
              <c:strCache>
                <c:ptCount val="1"/>
                <c:pt idx="0">
                  <c:v>NO ACEPTABLE
I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/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'AUXILIAR SG-SST'!$F$35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'HOSP. INFAN. CONC. de MED.'!#REF!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ECC-43CC-8673-B476337F3F5B}"/>
            </c:ext>
          </c:extLst>
        </c:ser>
        <c:ser>
          <c:idx val="1"/>
          <c:order val="1"/>
          <c:tx>
            <c:strRef>
              <c:f>'AUXILIAR SG-SST'!$H$33</c:f>
              <c:strCache>
                <c:ptCount val="1"/>
                <c:pt idx="0">
                  <c:v>NO ACEPTABLE O ACEPTABLE CON CONTROL ESPECÍFICO
II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/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'AUXILIAR SG-SST'!$H$35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'HOSP. INFAN. CONC. de MED.'!#REF!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ECC-43CC-8673-B476337F3F5B}"/>
            </c:ext>
          </c:extLst>
        </c:ser>
        <c:ser>
          <c:idx val="2"/>
          <c:order val="2"/>
          <c:tx>
            <c:strRef>
              <c:f>'AUXILIAR SG-SST'!$J$33</c:f>
              <c:strCache>
                <c:ptCount val="1"/>
                <c:pt idx="0">
                  <c:v>MEJORABLE
III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3-EECC-43CC-8673-B476337F3F5B}"/>
              </c:ext>
            </c:extLst>
          </c:dPt>
          <c:dLbls>
            <c:dLbl>
              <c:idx val="0"/>
              <c:layout>
                <c:manualLayout>
                  <c:x val="1.573918070748237E-3"/>
                  <c:y val="1.1012786104812241E-2"/>
                </c:manualLayout>
              </c:layout>
              <c:spPr/>
              <c:txPr>
                <a:bodyPr/>
                <a:lstStyle/>
                <a:p>
                  <a:pPr>
                    <a:defRPr sz="1200" b="1">
                      <a:latin typeface="Arial Black" pitchFamily="34" charset="0"/>
                    </a:defRPr>
                  </a:pPr>
                  <a:endParaRPr lang="es-CO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CC-43CC-8673-B476337F3F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'AUXILIAR SG-SST'!$J$35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'HOSP. INFAN. CONC. de MED.'!#REF!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ECC-43CC-8673-B476337F3F5B}"/>
            </c:ext>
          </c:extLst>
        </c:ser>
        <c:ser>
          <c:idx val="3"/>
          <c:order val="3"/>
          <c:tx>
            <c:strRef>
              <c:f>'AUXILIAR SG-SST'!$K$33</c:f>
              <c:strCache>
                <c:ptCount val="1"/>
                <c:pt idx="0">
                  <c:v>ACEPTABLE
IV</c:v>
                </c:pt>
              </c:strCache>
            </c:strRef>
          </c:tx>
          <c:spPr>
            <a:solidFill>
              <a:schemeClr val="bg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/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'AUXILIAR SG-SST'!$K$35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'HOSP. INFAN. CONC. de MED.'!#REF!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EECC-43CC-8673-B476337F3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637312"/>
        <c:axId val="183109312"/>
      </c:barChart>
      <c:catAx>
        <c:axId val="15463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600"/>
            </a:pPr>
            <a:endParaRPr lang="es-CO"/>
          </a:p>
        </c:txPr>
        <c:crossAx val="183109312"/>
        <c:crosses val="autoZero"/>
        <c:auto val="1"/>
        <c:lblAlgn val="ctr"/>
        <c:lblOffset val="100"/>
        <c:noMultiLvlLbl val="0"/>
      </c:catAx>
      <c:valAx>
        <c:axId val="18310931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5463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73984886193432"/>
          <c:y val="0.38764123585675381"/>
          <c:w val="0.14563118121561669"/>
          <c:h val="0.31086201303488747"/>
        </c:manualLayout>
      </c:layout>
      <c:overlay val="0"/>
      <c:txPr>
        <a:bodyPr/>
        <a:lstStyle/>
        <a:p>
          <a:pPr>
            <a:defRPr sz="1100"/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48"/>
    </mc:Choice>
    <mc:Fallback>
      <c:style val="48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'PERSONAL OPERATIVO'!$A$161</c:f>
              <c:strCache>
                <c:ptCount val="1"/>
                <c:pt idx="0">
                  <c:v>RIESGOS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'PERSONAL OPERATIVO'!$A$161:$A$175</c:f>
              <c:strCache>
                <c:ptCount val="15"/>
                <c:pt idx="0">
                  <c:v>RIESGOS</c:v>
                </c:pt>
                <c:pt idx="1">
                  <c:v>BIOLÓGICO</c:v>
                </c:pt>
                <c:pt idx="2">
                  <c:v>BIOMECANICO</c:v>
                </c:pt>
                <c:pt idx="3">
                  <c:v>DE SEGURIDAD ACCIDENTE DE TRANSITO</c:v>
                </c:pt>
                <c:pt idx="4">
                  <c:v>DE SEGURIDAD ROBO ASALTO</c:v>
                </c:pt>
                <c:pt idx="5">
                  <c:v>DE SEGURIDAD TRABAJO EN ALTURAS</c:v>
                </c:pt>
                <c:pt idx="6">
                  <c:v>DE SEGURIDAD ELECTRICO</c:v>
                </c:pt>
                <c:pt idx="7">
                  <c:v>DE SEGURIDAD LOCATIVO</c:v>
                </c:pt>
                <c:pt idx="8">
                  <c:v>DE SEGURIDAD MECÁNICO</c:v>
                </c:pt>
                <c:pt idx="9">
                  <c:v>DE SEGURIDAD TECNOLOGICO</c:v>
                </c:pt>
                <c:pt idx="10">
                  <c:v>FISICO</c:v>
                </c:pt>
                <c:pt idx="11">
                  <c:v>FENÓMENO NATURAL</c:v>
                </c:pt>
                <c:pt idx="12">
                  <c:v>PSICOSOCIAL</c:v>
                </c:pt>
                <c:pt idx="13">
                  <c:v>QUÍMICO</c:v>
                </c:pt>
                <c:pt idx="14">
                  <c:v>TOTAL</c:v>
                </c:pt>
              </c:strCache>
            </c:strRef>
          </c:cat>
          <c:val>
            <c:numRef>
              <c:f>'PERSONAL OPERATIVO'!$C$161:$C$175</c:f>
              <c:numCache>
                <c:formatCode>General</c:formatCode>
                <c:ptCount val="15"/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6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A-4826-816C-4DA6F25DE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141888"/>
        <c:axId val="183113344"/>
      </c:barChart>
      <c:catAx>
        <c:axId val="8714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3113344"/>
        <c:crosses val="autoZero"/>
        <c:auto val="1"/>
        <c:lblAlgn val="ctr"/>
        <c:lblOffset val="100"/>
        <c:noMultiLvlLbl val="0"/>
      </c:catAx>
      <c:valAx>
        <c:axId val="183113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7141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650650523523268"/>
          <c:y val="0.51498225643142925"/>
          <c:w val="9.2742076595264344E-2"/>
          <c:h val="4.49438202247191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NIVEL DE RIESGOS</a:t>
            </a:r>
          </a:p>
        </c:rich>
      </c:tx>
      <c:layout>
        <c:manualLayout>
          <c:xMode val="edge"/>
          <c:yMode val="edge"/>
          <c:x val="0.29495072015674417"/>
          <c:y val="5.97957277812183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7269806169966918E-2"/>
          <c:y val="0.16784402095900808"/>
          <c:w val="0.80395901454823648"/>
          <c:h val="0.730999847365237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'PERSONAL OPERATIVO'!$E$162</c:f>
              <c:strCache>
                <c:ptCount val="1"/>
                <c:pt idx="0">
                  <c:v>NO ACEPTABLE
I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/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'PERSONAL OPERATIVO'!$E$164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'HOSP. INFAN. CONC. de MED.'!#REF!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3F7-4B4E-9EFF-43F7AE442D1C}"/>
            </c:ext>
          </c:extLst>
        </c:ser>
        <c:ser>
          <c:idx val="1"/>
          <c:order val="1"/>
          <c:tx>
            <c:strRef>
              <c:f>'PERSONAL OPERATIVO'!$H$162</c:f>
              <c:strCache>
                <c:ptCount val="1"/>
                <c:pt idx="0">
                  <c:v>NO ACEPTABLE O ACEPTABLE CON CONTROL ESPECÍFICO
II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/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'PERSONAL OPERATIVO'!$H$164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'HOSP. INFAN. CONC. de MED.'!#REF!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3F7-4B4E-9EFF-43F7AE442D1C}"/>
            </c:ext>
          </c:extLst>
        </c:ser>
        <c:ser>
          <c:idx val="2"/>
          <c:order val="2"/>
          <c:tx>
            <c:strRef>
              <c:f>'PERSONAL OPERATIVO'!$J$162</c:f>
              <c:strCache>
                <c:ptCount val="1"/>
                <c:pt idx="0">
                  <c:v>MEJORABLE
III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3-03F7-4B4E-9EFF-43F7AE442D1C}"/>
              </c:ext>
            </c:extLst>
          </c:dPt>
          <c:dLbls>
            <c:dLbl>
              <c:idx val="0"/>
              <c:layout>
                <c:manualLayout>
                  <c:x val="1.573918070748237E-3"/>
                  <c:y val="1.1012786104812241E-2"/>
                </c:manualLayout>
              </c:layout>
              <c:spPr/>
              <c:txPr>
                <a:bodyPr/>
                <a:lstStyle/>
                <a:p>
                  <a:pPr>
                    <a:defRPr sz="1200" b="1">
                      <a:latin typeface="Arial Black" pitchFamily="34" charset="0"/>
                    </a:defRPr>
                  </a:pPr>
                  <a:endParaRPr lang="es-CO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F7-4B4E-9EFF-43F7AE442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'PERSONAL OPERATIVO'!$J$164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'HOSP. INFAN. CONC. de MED.'!#REF!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03F7-4B4E-9EFF-43F7AE442D1C}"/>
            </c:ext>
          </c:extLst>
        </c:ser>
        <c:ser>
          <c:idx val="3"/>
          <c:order val="3"/>
          <c:tx>
            <c:strRef>
              <c:f>'PERSONAL OPERATIVO'!$K$162</c:f>
              <c:strCache>
                <c:ptCount val="1"/>
                <c:pt idx="0">
                  <c:v>ACEPTABLE
IV</c:v>
                </c:pt>
              </c:strCache>
            </c:strRef>
          </c:tx>
          <c:spPr>
            <a:solidFill>
              <a:schemeClr val="bg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/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'PERSONAL OPERATIVO'!$K$164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'HOSP. INFAN. CONC. de MED.'!#REF!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03F7-4B4E-9EFF-43F7AE442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926272"/>
        <c:axId val="183115072"/>
      </c:barChart>
      <c:catAx>
        <c:axId val="879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600"/>
            </a:pPr>
            <a:endParaRPr lang="es-CO"/>
          </a:p>
        </c:txPr>
        <c:crossAx val="183115072"/>
        <c:crosses val="autoZero"/>
        <c:auto val="1"/>
        <c:lblAlgn val="ctr"/>
        <c:lblOffset val="100"/>
        <c:noMultiLvlLbl val="0"/>
      </c:catAx>
      <c:valAx>
        <c:axId val="18311507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87926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73984886193432"/>
          <c:y val="0.38764123585675381"/>
          <c:w val="0.14563118121561669"/>
          <c:h val="0.31086201303488747"/>
        </c:manualLayout>
      </c:layout>
      <c:overlay val="0"/>
      <c:txPr>
        <a:bodyPr/>
        <a:lstStyle/>
        <a:p>
          <a:pPr>
            <a:defRPr sz="1100"/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297996</xdr:colOff>
      <xdr:row>47</xdr:row>
      <xdr:rowOff>42182</xdr:rowOff>
    </xdr:from>
    <xdr:to>
      <xdr:col>9</xdr:col>
      <xdr:colOff>136071</xdr:colOff>
      <xdr:row>78</xdr:row>
      <xdr:rowOff>110218</xdr:rowOff>
    </xdr:to>
    <xdr:graphicFrame macro="">
      <xdr:nvGraphicFramePr>
        <xdr:cNvPr id="2" name="6 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66675</xdr:colOff>
      <xdr:row>31</xdr:row>
      <xdr:rowOff>66675</xdr:rowOff>
    </xdr:from>
    <xdr:to>
      <xdr:col>27</xdr:col>
      <xdr:colOff>876300</xdr:colOff>
      <xdr:row>45</xdr:row>
      <xdr:rowOff>163285</xdr:rowOff>
    </xdr:to>
    <xdr:graphicFrame macro="">
      <xdr:nvGraphicFramePr>
        <xdr:cNvPr id="3" name="1 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400050</xdr:colOff>
      <xdr:row>0</xdr:row>
      <xdr:rowOff>170473</xdr:rowOff>
    </xdr:from>
    <xdr:to>
      <xdr:col>4</xdr:col>
      <xdr:colOff>298294</xdr:colOff>
      <xdr:row>0</xdr:row>
      <xdr:rowOff>1234098</xdr:rowOff>
    </xdr:to>
    <xdr:sp macro="" textlink="">
      <xdr:nvSpPr>
        <xdr:cNvPr id="37" name="Google Shape;107;p13">
          <a:extLst>
            <a:ext uri="{FF2B5EF4-FFF2-40B4-BE49-F238E27FC236}">
              <a16:creationId xmlns:a16="http://schemas.microsoft.com/office/drawing/2014/main" id="{5179108B-811C-4E93-819D-B6DD400D63CC}"/>
            </a:ext>
          </a:extLst>
        </xdr:cNvPr>
        <xdr:cNvSpPr/>
      </xdr:nvSpPr>
      <xdr:spPr>
        <a:xfrm>
          <a:off x="400050" y="170473"/>
          <a:ext cx="4908394" cy="1063625"/>
        </a:xfrm>
        <a:prstGeom prst="round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spcBef>
              <a:spcPts val="0"/>
            </a:spcBef>
            <a:spcAft>
              <a:spcPts val="0"/>
            </a:spcAft>
            <a:buNone/>
          </a:pPr>
          <a:endParaRPr sz="1800" b="0" i="0" u="none" strike="noStrike" cap="none">
            <a:solidFill>
              <a:schemeClr val="lt1"/>
            </a:solidFill>
            <a:latin typeface="Book Antiqua" panose="02040602050305030304" pitchFamily="18" charset="0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8</xdr:col>
      <xdr:colOff>691269</xdr:colOff>
      <xdr:row>0</xdr:row>
      <xdr:rowOff>100885</xdr:rowOff>
    </xdr:from>
    <xdr:to>
      <xdr:col>17</xdr:col>
      <xdr:colOff>298699</xdr:colOff>
      <xdr:row>0</xdr:row>
      <xdr:rowOff>1212135</xdr:rowOff>
    </xdr:to>
    <xdr:grpSp>
      <xdr:nvGrpSpPr>
        <xdr:cNvPr id="38" name="Grupo 37">
          <a:extLst>
            <a:ext uri="{FF2B5EF4-FFF2-40B4-BE49-F238E27FC236}">
              <a16:creationId xmlns:a16="http://schemas.microsoft.com/office/drawing/2014/main" id="{689A11F4-A37D-4D23-B475-7FB5C7A4F295}"/>
            </a:ext>
          </a:extLst>
        </xdr:cNvPr>
        <xdr:cNvGrpSpPr/>
      </xdr:nvGrpSpPr>
      <xdr:grpSpPr>
        <a:xfrm>
          <a:off x="9742255" y="100885"/>
          <a:ext cx="7173768" cy="1111250"/>
          <a:chOff x="10874" y="8322229"/>
          <a:chExt cx="6859913" cy="872359"/>
        </a:xfrm>
      </xdr:grpSpPr>
      <xdr:sp macro="" textlink="">
        <xdr:nvSpPr>
          <xdr:cNvPr id="39" name="Rectángulo: esquinas diagonales cortadas 8">
            <a:extLst>
              <a:ext uri="{FF2B5EF4-FFF2-40B4-BE49-F238E27FC236}">
                <a16:creationId xmlns:a16="http://schemas.microsoft.com/office/drawing/2014/main" id="{08BD596B-FE16-4ED3-81E6-8940ED951104}"/>
              </a:ext>
            </a:extLst>
          </xdr:cNvPr>
          <xdr:cNvSpPr/>
        </xdr:nvSpPr>
        <xdr:spPr>
          <a:xfrm>
            <a:off x="10874" y="8322229"/>
            <a:ext cx="6859913" cy="872359"/>
          </a:xfrm>
          <a:prstGeom prst="roundRect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CO" sz="900">
              <a:latin typeface="Arial Narrow" panose="020B0606020202030204" pitchFamily="34" charset="0"/>
            </a:endParaRPr>
          </a:p>
        </xdr:txBody>
      </xdr:sp>
      <xdr:sp macro="" textlink="">
        <xdr:nvSpPr>
          <xdr:cNvPr id="40" name="15 Rectángulo redondeado">
            <a:extLst>
              <a:ext uri="{FF2B5EF4-FFF2-40B4-BE49-F238E27FC236}">
                <a16:creationId xmlns:a16="http://schemas.microsoft.com/office/drawing/2014/main" id="{023CDFC7-DA37-42F9-8A42-6F03A8A3E7D3}"/>
              </a:ext>
            </a:extLst>
          </xdr:cNvPr>
          <xdr:cNvSpPr>
            <a:spLocks noChangeArrowheads="1"/>
          </xdr:cNvSpPr>
        </xdr:nvSpPr>
        <xdr:spPr bwMode="auto">
          <a:xfrm>
            <a:off x="3552317" y="8415386"/>
            <a:ext cx="1191699" cy="270283"/>
          </a:xfrm>
          <a:prstGeom prst="roundRect">
            <a:avLst/>
          </a:prstGeom>
          <a:ln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20160" tIns="20160" rIns="20160" bIns="20160" anchor="ctr" upright="1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s-CO" sz="900" b="1" i="0" u="none" strike="noStrike" baseline="0">
                <a:solidFill>
                  <a:srgbClr val="002B45"/>
                </a:solidFill>
                <a:latin typeface="Arial Narrow" panose="020B0606020202030204" pitchFamily="34" charset="0"/>
              </a:rPr>
              <a:t>Fecha de</a:t>
            </a:r>
            <a:r>
              <a:rPr lang="es-CO" sz="900" b="1" i="0" u="none" strike="noStrike">
                <a:solidFill>
                  <a:srgbClr val="002B45"/>
                </a:solidFill>
                <a:latin typeface="Arial Narrow" panose="020B0606020202030204" pitchFamily="34" charset="0"/>
              </a:rPr>
              <a:t> </a:t>
            </a:r>
            <a:r>
              <a:rPr lang="es-CO" sz="900" b="1">
                <a:solidFill>
                  <a:srgbClr val="002B45"/>
                </a:solidFill>
                <a:latin typeface="Arial Narrow" panose="020B0606020202030204" pitchFamily="34" charset="0"/>
              </a:rPr>
              <a:t>C</a:t>
            </a:r>
            <a:r>
              <a:rPr lang="es-CO" sz="900" b="1" i="0" u="none" strike="noStrike">
                <a:solidFill>
                  <a:srgbClr val="002B45"/>
                </a:solidFill>
                <a:latin typeface="Arial Narrow" panose="020B0606020202030204" pitchFamily="34" charset="0"/>
              </a:rPr>
              <a:t>reación</a:t>
            </a:r>
            <a:endParaRPr lang="es-CO" sz="900" b="1" i="0" u="none" strike="noStrike" baseline="0">
              <a:solidFill>
                <a:srgbClr val="002B45"/>
              </a:solidFill>
              <a:latin typeface="Arial Narrow" panose="020B0606020202030204" pitchFamily="34" charset="0"/>
            </a:endParaRPr>
          </a:p>
        </xdr:txBody>
      </xdr:sp>
      <xdr:sp macro="" textlink="">
        <xdr:nvSpPr>
          <xdr:cNvPr id="41" name="15 Rectángulo redondeado">
            <a:extLst>
              <a:ext uri="{FF2B5EF4-FFF2-40B4-BE49-F238E27FC236}">
                <a16:creationId xmlns:a16="http://schemas.microsoft.com/office/drawing/2014/main" id="{53374B5C-F7EF-4563-A85E-E9201BF136C8}"/>
              </a:ext>
            </a:extLst>
          </xdr:cNvPr>
          <xdr:cNvSpPr>
            <a:spLocks noChangeArrowheads="1"/>
          </xdr:cNvSpPr>
        </xdr:nvSpPr>
        <xdr:spPr bwMode="auto">
          <a:xfrm>
            <a:off x="262992" y="8415386"/>
            <a:ext cx="1191699" cy="270283"/>
          </a:xfrm>
          <a:prstGeom prst="roundRect">
            <a:avLst/>
          </a:prstGeom>
          <a:ln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20160" tIns="20160" rIns="20160" bIns="20160" anchor="ctr" upright="1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s-CO" sz="900" b="1">
                <a:solidFill>
                  <a:srgbClr val="002B45"/>
                </a:solidFill>
                <a:latin typeface="Arial Narrow" panose="020B0606020202030204" pitchFamily="34" charset="0"/>
              </a:rPr>
              <a:t>Código</a:t>
            </a:r>
            <a:endParaRPr lang="es-CO" sz="900" b="1" i="0" u="none" strike="noStrike" baseline="0">
              <a:solidFill>
                <a:srgbClr val="002B45"/>
              </a:solidFill>
              <a:latin typeface="Arial Narrow" panose="020B0606020202030204" pitchFamily="34" charset="0"/>
            </a:endParaRPr>
          </a:p>
        </xdr:txBody>
      </xdr:sp>
      <xdr:sp macro="" textlink="">
        <xdr:nvSpPr>
          <xdr:cNvPr id="42" name="15 Rectángulo redondeado">
            <a:extLst>
              <a:ext uri="{FF2B5EF4-FFF2-40B4-BE49-F238E27FC236}">
                <a16:creationId xmlns:a16="http://schemas.microsoft.com/office/drawing/2014/main" id="{EA3FDFBD-B488-4A87-BA92-C3E74CA40DA4}"/>
              </a:ext>
            </a:extLst>
          </xdr:cNvPr>
          <xdr:cNvSpPr>
            <a:spLocks noChangeArrowheads="1"/>
          </xdr:cNvSpPr>
        </xdr:nvSpPr>
        <xdr:spPr bwMode="auto">
          <a:xfrm>
            <a:off x="257672" y="8758409"/>
            <a:ext cx="1191699" cy="270283"/>
          </a:xfrm>
          <a:prstGeom prst="roundRect">
            <a:avLst/>
          </a:prstGeom>
          <a:ln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20160" tIns="20160" rIns="20160" bIns="20160" anchor="ctr" upright="1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s-CO" sz="900" b="1" i="0" u="none" strike="noStrike" baseline="0">
                <a:solidFill>
                  <a:srgbClr val="002B45"/>
                </a:solidFill>
                <a:latin typeface="Arial Narrow" panose="020B0606020202030204" pitchFamily="34" charset="0"/>
              </a:rPr>
              <a:t>Versi</a:t>
            </a:r>
            <a:r>
              <a:rPr lang="es-CO" sz="900" b="1">
                <a:solidFill>
                  <a:srgbClr val="002B45"/>
                </a:solidFill>
                <a:latin typeface="Arial Narrow" panose="020B0606020202030204" pitchFamily="34" charset="0"/>
              </a:rPr>
              <a:t>ón</a:t>
            </a:r>
            <a:endParaRPr lang="es-CO" sz="900" b="1" i="0" u="none" strike="noStrike" baseline="0">
              <a:solidFill>
                <a:srgbClr val="002B45"/>
              </a:solidFill>
              <a:latin typeface="Arial Narrow" panose="020B0606020202030204" pitchFamily="34" charset="0"/>
            </a:endParaRPr>
          </a:p>
        </xdr:txBody>
      </xdr:sp>
      <xdr:sp macro="" textlink="">
        <xdr:nvSpPr>
          <xdr:cNvPr id="43" name="15 Rectángulo redondeado">
            <a:extLst>
              <a:ext uri="{FF2B5EF4-FFF2-40B4-BE49-F238E27FC236}">
                <a16:creationId xmlns:a16="http://schemas.microsoft.com/office/drawing/2014/main" id="{9516E2DE-A718-4064-8F54-26023F7C190D}"/>
              </a:ext>
            </a:extLst>
          </xdr:cNvPr>
          <xdr:cNvSpPr>
            <a:spLocks noChangeArrowheads="1"/>
          </xdr:cNvSpPr>
        </xdr:nvSpPr>
        <xdr:spPr bwMode="auto">
          <a:xfrm>
            <a:off x="1546407" y="8751143"/>
            <a:ext cx="1821600" cy="270000"/>
          </a:xfrm>
          <a:prstGeom prst="roundRect">
            <a:avLst/>
          </a:prstGeom>
          <a:ln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20160" tIns="20160" rIns="20160" bIns="20160" anchor="ctr" upright="1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s-CO" sz="900" b="1">
                <a:solidFill>
                  <a:srgbClr val="002B45"/>
                </a:solidFill>
                <a:latin typeface="Arial Narrow" panose="020B0606020202030204" pitchFamily="34" charset="0"/>
              </a:rPr>
              <a:t>1</a:t>
            </a:r>
            <a:endParaRPr lang="es-CO" sz="900" b="1" i="0" u="none" strike="noStrike" baseline="0">
              <a:solidFill>
                <a:srgbClr val="002B45"/>
              </a:solidFill>
              <a:latin typeface="Arial Narrow" panose="020B0606020202030204" pitchFamily="34" charset="0"/>
            </a:endParaRPr>
          </a:p>
        </xdr:txBody>
      </xdr:sp>
      <xdr:sp macro="" textlink="">
        <xdr:nvSpPr>
          <xdr:cNvPr id="44" name="15 Rectángulo redondeado">
            <a:extLst>
              <a:ext uri="{FF2B5EF4-FFF2-40B4-BE49-F238E27FC236}">
                <a16:creationId xmlns:a16="http://schemas.microsoft.com/office/drawing/2014/main" id="{F8D90C09-38D2-461E-B569-2FE2DED2B2B0}"/>
              </a:ext>
            </a:extLst>
          </xdr:cNvPr>
          <xdr:cNvSpPr>
            <a:spLocks noChangeArrowheads="1"/>
          </xdr:cNvSpPr>
        </xdr:nvSpPr>
        <xdr:spPr bwMode="auto">
          <a:xfrm>
            <a:off x="4808191" y="8415900"/>
            <a:ext cx="1821308" cy="269769"/>
          </a:xfrm>
          <a:prstGeom prst="roundRect">
            <a:avLst/>
          </a:prstGeom>
          <a:ln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20160" tIns="20160" rIns="20160" bIns="20160" anchor="ctr" upright="1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s-CO" sz="900" b="1" i="0" u="none" strike="noStrike" baseline="0">
                <a:solidFill>
                  <a:srgbClr val="002B45"/>
                </a:solidFill>
                <a:latin typeface="Arial Narrow" panose="020B0606020202030204" pitchFamily="34" charset="0"/>
              </a:rPr>
              <a:t>02/03/2023</a:t>
            </a:r>
          </a:p>
        </xdr:txBody>
      </xdr:sp>
      <xdr:sp macro="" textlink="">
        <xdr:nvSpPr>
          <xdr:cNvPr id="45" name="15 Rectángulo redondeado">
            <a:extLst>
              <a:ext uri="{FF2B5EF4-FFF2-40B4-BE49-F238E27FC236}">
                <a16:creationId xmlns:a16="http://schemas.microsoft.com/office/drawing/2014/main" id="{025A6520-AC93-45E7-993E-8C5756F5FDE7}"/>
              </a:ext>
            </a:extLst>
          </xdr:cNvPr>
          <xdr:cNvSpPr>
            <a:spLocks noChangeArrowheads="1"/>
          </xdr:cNvSpPr>
        </xdr:nvSpPr>
        <xdr:spPr bwMode="auto">
          <a:xfrm>
            <a:off x="1546408" y="8415900"/>
            <a:ext cx="1821600" cy="269769"/>
          </a:xfrm>
          <a:prstGeom prst="roundRect">
            <a:avLst/>
          </a:prstGeom>
          <a:ln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20160" tIns="20160" rIns="20160" bIns="20160" anchor="ctr" upright="1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s-CO" sz="900" b="1">
                <a:solidFill>
                  <a:srgbClr val="002B45"/>
                </a:solidFill>
                <a:latin typeface="Arial Narrow" panose="020B0606020202030204" pitchFamily="34" charset="0"/>
              </a:rPr>
              <a:t>F-SST-046</a:t>
            </a:r>
            <a:endParaRPr lang="es-CO" sz="900" b="1" i="0" u="none" strike="noStrike" baseline="0">
              <a:solidFill>
                <a:srgbClr val="002B45"/>
              </a:solidFill>
              <a:latin typeface="Arial Narrow" panose="020B0606020202030204" pitchFamily="34" charset="0"/>
            </a:endParaRPr>
          </a:p>
        </xdr:txBody>
      </xdr:sp>
      <xdr:sp macro="" textlink="">
        <xdr:nvSpPr>
          <xdr:cNvPr id="46" name="15 Rectángulo redondeado">
            <a:extLst>
              <a:ext uri="{FF2B5EF4-FFF2-40B4-BE49-F238E27FC236}">
                <a16:creationId xmlns:a16="http://schemas.microsoft.com/office/drawing/2014/main" id="{1D5AC311-4A45-42B2-8D8E-010E132FCF2B}"/>
              </a:ext>
            </a:extLst>
          </xdr:cNvPr>
          <xdr:cNvSpPr>
            <a:spLocks noChangeArrowheads="1"/>
          </xdr:cNvSpPr>
        </xdr:nvSpPr>
        <xdr:spPr bwMode="auto">
          <a:xfrm>
            <a:off x="3552317" y="8751143"/>
            <a:ext cx="1191699" cy="270283"/>
          </a:xfrm>
          <a:prstGeom prst="roundRect">
            <a:avLst/>
          </a:prstGeom>
          <a:ln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20160" tIns="20160" rIns="20160" bIns="20160" anchor="ctr" upright="1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s-CO" sz="900" b="1" i="0" u="none" strike="noStrike" baseline="0">
                <a:solidFill>
                  <a:srgbClr val="002B45"/>
                </a:solidFill>
                <a:latin typeface="Arial Narrow" panose="020B0606020202030204" pitchFamily="34" charset="0"/>
              </a:rPr>
              <a:t>Elaborado </a:t>
            </a:r>
            <a:r>
              <a:rPr lang="es-CO" sz="900" b="1">
                <a:solidFill>
                  <a:srgbClr val="002B45"/>
                </a:solidFill>
                <a:latin typeface="Arial Narrow" panose="020B0606020202030204" pitchFamily="34" charset="0"/>
              </a:rPr>
              <a:t>P</a:t>
            </a:r>
            <a:r>
              <a:rPr lang="es-CO" sz="900" b="1" i="0" u="none" strike="noStrike" baseline="0">
                <a:solidFill>
                  <a:srgbClr val="002B45"/>
                </a:solidFill>
                <a:latin typeface="Arial Narrow" panose="020B0606020202030204" pitchFamily="34" charset="0"/>
              </a:rPr>
              <a:t>or:</a:t>
            </a:r>
          </a:p>
        </xdr:txBody>
      </xdr:sp>
      <xdr:sp macro="" textlink="">
        <xdr:nvSpPr>
          <xdr:cNvPr id="47" name="15 Rectángulo redondeado">
            <a:extLst>
              <a:ext uri="{FF2B5EF4-FFF2-40B4-BE49-F238E27FC236}">
                <a16:creationId xmlns:a16="http://schemas.microsoft.com/office/drawing/2014/main" id="{427B2589-3259-40CF-8324-1ADB8C4C9C34}"/>
              </a:ext>
            </a:extLst>
          </xdr:cNvPr>
          <xdr:cNvSpPr>
            <a:spLocks noChangeArrowheads="1"/>
          </xdr:cNvSpPr>
        </xdr:nvSpPr>
        <xdr:spPr bwMode="auto">
          <a:xfrm>
            <a:off x="4808191" y="8751143"/>
            <a:ext cx="1821308" cy="269769"/>
          </a:xfrm>
          <a:prstGeom prst="roundRect">
            <a:avLst/>
          </a:prstGeom>
          <a:ln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20160" tIns="20160" rIns="20160" bIns="20160" anchor="ctr" upright="1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s-CO" sz="900" b="1" i="0" u="none" strike="noStrike" baseline="0">
                <a:solidFill>
                  <a:srgbClr val="002B45"/>
                </a:solidFill>
                <a:latin typeface="Arial Narrow" panose="020B0606020202030204" pitchFamily="34" charset="0"/>
              </a:rPr>
              <a:t>Xiomara Moscote </a:t>
            </a:r>
          </a:p>
        </xdr:txBody>
      </xdr:sp>
    </xdr:grpSp>
    <xdr:clientData/>
  </xdr:twoCellAnchor>
  <xdr:twoCellAnchor>
    <xdr:from>
      <xdr:col>1</xdr:col>
      <xdr:colOff>228600</xdr:colOff>
      <xdr:row>0</xdr:row>
      <xdr:rowOff>247650</xdr:rowOff>
    </xdr:from>
    <xdr:to>
      <xdr:col>3</xdr:col>
      <xdr:colOff>1464845</xdr:colOff>
      <xdr:row>0</xdr:row>
      <xdr:rowOff>561975</xdr:rowOff>
    </xdr:to>
    <xdr:sp macro="" textlink="">
      <xdr:nvSpPr>
        <xdr:cNvPr id="48" name="Shape 22">
          <a:extLst>
            <a:ext uri="{FF2B5EF4-FFF2-40B4-BE49-F238E27FC236}">
              <a16:creationId xmlns:a16="http://schemas.microsoft.com/office/drawing/2014/main" id="{172E6F58-39E0-460B-9438-345A2B9CB02F}"/>
            </a:ext>
          </a:extLst>
        </xdr:cNvPr>
        <xdr:cNvSpPr/>
      </xdr:nvSpPr>
      <xdr:spPr>
        <a:xfrm>
          <a:off x="971550" y="247650"/>
          <a:ext cx="376989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ysClr val="windowText" lastClr="000000"/>
              </a:solidFill>
              <a:latin typeface="Arial Narrow" panose="020B0606020202030204" pitchFamily="34" charset="0"/>
              <a:ea typeface="Tahoma"/>
              <a:cs typeface="Tahoma"/>
              <a:sym typeface="Tahoma"/>
            </a:rPr>
            <a:t>MATRIZ DE IDENTIFICACION DE RIESGOS Y PELIGROS</a:t>
          </a:r>
          <a:endParaRPr sz="2400" b="1">
            <a:solidFill>
              <a:sysClr val="windowText" lastClr="000000"/>
            </a:solidFill>
            <a:latin typeface="Arial Narrow" panose="020B0606020202030204" pitchFamily="34" charset="0"/>
            <a:ea typeface="Tahoma"/>
            <a:cs typeface="Tahoma"/>
            <a:sym typeface="Tahoma"/>
          </a:endParaRPr>
        </a:p>
      </xdr:txBody>
    </xdr:sp>
    <xdr:clientData/>
  </xdr:twoCellAnchor>
  <xdr:twoCellAnchor editAs="oneCell">
    <xdr:from>
      <xdr:col>4</xdr:col>
      <xdr:colOff>764683</xdr:colOff>
      <xdr:row>0</xdr:row>
      <xdr:rowOff>160985</xdr:rowOff>
    </xdr:from>
    <xdr:to>
      <xdr:col>8</xdr:col>
      <xdr:colOff>268310</xdr:colOff>
      <xdr:row>0</xdr:row>
      <xdr:rowOff>1124144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25CFFA2-9574-428D-B7EC-F79B39BD4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55246" y="160985"/>
          <a:ext cx="2401374" cy="9631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241300</xdr:colOff>
      <xdr:row>175</xdr:row>
      <xdr:rowOff>139700</xdr:rowOff>
    </xdr:from>
    <xdr:to>
      <xdr:col>9</xdr:col>
      <xdr:colOff>79375</xdr:colOff>
      <xdr:row>207</xdr:row>
      <xdr:rowOff>44450</xdr:rowOff>
    </xdr:to>
    <xdr:graphicFrame macro="">
      <xdr:nvGraphicFramePr>
        <xdr:cNvPr id="2" name="6 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66675</xdr:colOff>
      <xdr:row>160</xdr:row>
      <xdr:rowOff>66675</xdr:rowOff>
    </xdr:from>
    <xdr:to>
      <xdr:col>27</xdr:col>
      <xdr:colOff>876300</xdr:colOff>
      <xdr:row>174</xdr:row>
      <xdr:rowOff>111125</xdr:rowOff>
    </xdr:to>
    <xdr:graphicFrame macro="">
      <xdr:nvGraphicFramePr>
        <xdr:cNvPr id="3" name="1 Gráfic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641549</xdr:colOff>
      <xdr:row>0</xdr:row>
      <xdr:rowOff>724728</xdr:rowOff>
    </xdr:from>
    <xdr:to>
      <xdr:col>3</xdr:col>
      <xdr:colOff>1363630</xdr:colOff>
      <xdr:row>0</xdr:row>
      <xdr:rowOff>1095727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2076823" y="724728"/>
          <a:ext cx="2535745" cy="370999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b="1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</a:t>
          </a:r>
          <a:r>
            <a:rPr lang="es-CO" b="1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PEVAR </a:t>
          </a:r>
          <a:endParaRPr lang="es-CO" b="1">
            <a:solidFill>
              <a:schemeClr val="bg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0</xdr:col>
      <xdr:colOff>0</xdr:colOff>
      <xdr:row>0</xdr:row>
      <xdr:rowOff>69588</xdr:rowOff>
    </xdr:from>
    <xdr:to>
      <xdr:col>3</xdr:col>
      <xdr:colOff>1624907</xdr:colOff>
      <xdr:row>0</xdr:row>
      <xdr:rowOff>1133213</xdr:rowOff>
    </xdr:to>
    <xdr:sp macro="" textlink="">
      <xdr:nvSpPr>
        <xdr:cNvPr id="4" name="Google Shape;107;p13">
          <a:extLst>
            <a:ext uri="{FF2B5EF4-FFF2-40B4-BE49-F238E27FC236}">
              <a16:creationId xmlns:a16="http://schemas.microsoft.com/office/drawing/2014/main" id="{651EAB18-2B10-410F-87EF-427BE3842078}"/>
            </a:ext>
          </a:extLst>
        </xdr:cNvPr>
        <xdr:cNvSpPr/>
      </xdr:nvSpPr>
      <xdr:spPr>
        <a:xfrm>
          <a:off x="0" y="69588"/>
          <a:ext cx="4888807" cy="1063625"/>
        </a:xfrm>
        <a:prstGeom prst="round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spcBef>
              <a:spcPts val="0"/>
            </a:spcBef>
            <a:spcAft>
              <a:spcPts val="0"/>
            </a:spcAft>
            <a:buNone/>
          </a:pPr>
          <a:endParaRPr sz="1800" b="0" i="0" u="none" strike="noStrike" cap="none">
            <a:solidFill>
              <a:schemeClr val="lt1"/>
            </a:solidFill>
            <a:latin typeface="Book Antiqua" panose="02040602050305030304" pitchFamily="18" charset="0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8</xdr:col>
      <xdr:colOff>13429</xdr:colOff>
      <xdr:row>0</xdr:row>
      <xdr:rowOff>0</xdr:rowOff>
    </xdr:from>
    <xdr:to>
      <xdr:col>11</xdr:col>
      <xdr:colOff>2335797</xdr:colOff>
      <xdr:row>0</xdr:row>
      <xdr:rowOff>1111250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F9D56C2D-D6BF-4F8A-94F3-7D50B59CA890}"/>
            </a:ext>
          </a:extLst>
        </xdr:cNvPr>
        <xdr:cNvGrpSpPr/>
      </xdr:nvGrpSpPr>
      <xdr:grpSpPr>
        <a:xfrm>
          <a:off x="9343696" y="0"/>
          <a:ext cx="6775834" cy="1111250"/>
          <a:chOff x="10874" y="8322229"/>
          <a:chExt cx="6859913" cy="872359"/>
        </a:xfrm>
      </xdr:grpSpPr>
      <xdr:sp macro="" textlink="">
        <xdr:nvSpPr>
          <xdr:cNvPr id="6" name="Rectángulo: esquinas diagonales cortadas 8">
            <a:extLst>
              <a:ext uri="{FF2B5EF4-FFF2-40B4-BE49-F238E27FC236}">
                <a16:creationId xmlns:a16="http://schemas.microsoft.com/office/drawing/2014/main" id="{39E2010A-D75D-D355-1638-95A802EEB9EB}"/>
              </a:ext>
            </a:extLst>
          </xdr:cNvPr>
          <xdr:cNvSpPr/>
        </xdr:nvSpPr>
        <xdr:spPr>
          <a:xfrm>
            <a:off x="10874" y="8322229"/>
            <a:ext cx="6859913" cy="872359"/>
          </a:xfrm>
          <a:prstGeom prst="roundRect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CO" sz="900">
              <a:latin typeface="Arial Narrow" panose="020B0606020202030204" pitchFamily="34" charset="0"/>
            </a:endParaRPr>
          </a:p>
        </xdr:txBody>
      </xdr:sp>
      <xdr:sp macro="" textlink="">
        <xdr:nvSpPr>
          <xdr:cNvPr id="7" name="15 Rectángulo redondeado">
            <a:extLst>
              <a:ext uri="{FF2B5EF4-FFF2-40B4-BE49-F238E27FC236}">
                <a16:creationId xmlns:a16="http://schemas.microsoft.com/office/drawing/2014/main" id="{9CA1B54C-7F56-0B22-9E6B-8EF9357532F3}"/>
              </a:ext>
            </a:extLst>
          </xdr:cNvPr>
          <xdr:cNvSpPr>
            <a:spLocks noChangeArrowheads="1"/>
          </xdr:cNvSpPr>
        </xdr:nvSpPr>
        <xdr:spPr bwMode="auto">
          <a:xfrm>
            <a:off x="3552317" y="8415386"/>
            <a:ext cx="1191699" cy="270283"/>
          </a:xfrm>
          <a:prstGeom prst="roundRect">
            <a:avLst/>
          </a:prstGeom>
          <a:ln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20160" tIns="20160" rIns="20160" bIns="20160" anchor="ctr" upright="1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s-CO" sz="900" b="1" i="0" u="none" strike="noStrike" baseline="0">
                <a:solidFill>
                  <a:srgbClr val="002B45"/>
                </a:solidFill>
                <a:latin typeface="Arial Narrow" panose="020B0606020202030204" pitchFamily="34" charset="0"/>
              </a:rPr>
              <a:t>Fecha de</a:t>
            </a:r>
            <a:r>
              <a:rPr lang="es-CO" sz="900" b="1" i="0" u="none" strike="noStrike">
                <a:solidFill>
                  <a:srgbClr val="002B45"/>
                </a:solidFill>
                <a:latin typeface="Arial Narrow" panose="020B0606020202030204" pitchFamily="34" charset="0"/>
              </a:rPr>
              <a:t> </a:t>
            </a:r>
            <a:r>
              <a:rPr lang="es-CO" sz="900" b="1">
                <a:solidFill>
                  <a:srgbClr val="002B45"/>
                </a:solidFill>
                <a:latin typeface="Arial Narrow" panose="020B0606020202030204" pitchFamily="34" charset="0"/>
              </a:rPr>
              <a:t>C</a:t>
            </a:r>
            <a:r>
              <a:rPr lang="es-CO" sz="900" b="1" i="0" u="none" strike="noStrike">
                <a:solidFill>
                  <a:srgbClr val="002B45"/>
                </a:solidFill>
                <a:latin typeface="Arial Narrow" panose="020B0606020202030204" pitchFamily="34" charset="0"/>
              </a:rPr>
              <a:t>reación</a:t>
            </a:r>
            <a:endParaRPr lang="es-CO" sz="900" b="1" i="0" u="none" strike="noStrike" baseline="0">
              <a:solidFill>
                <a:srgbClr val="002B45"/>
              </a:solidFill>
              <a:latin typeface="Arial Narrow" panose="020B0606020202030204" pitchFamily="34" charset="0"/>
            </a:endParaRPr>
          </a:p>
        </xdr:txBody>
      </xdr:sp>
      <xdr:sp macro="" textlink="">
        <xdr:nvSpPr>
          <xdr:cNvPr id="8" name="15 Rectángulo redondeado">
            <a:extLst>
              <a:ext uri="{FF2B5EF4-FFF2-40B4-BE49-F238E27FC236}">
                <a16:creationId xmlns:a16="http://schemas.microsoft.com/office/drawing/2014/main" id="{ADCE1FF0-8B0A-C672-6C1C-3928EF8C6099}"/>
              </a:ext>
            </a:extLst>
          </xdr:cNvPr>
          <xdr:cNvSpPr>
            <a:spLocks noChangeArrowheads="1"/>
          </xdr:cNvSpPr>
        </xdr:nvSpPr>
        <xdr:spPr bwMode="auto">
          <a:xfrm>
            <a:off x="262992" y="8415386"/>
            <a:ext cx="1191699" cy="270283"/>
          </a:xfrm>
          <a:prstGeom prst="roundRect">
            <a:avLst/>
          </a:prstGeom>
          <a:ln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20160" tIns="20160" rIns="20160" bIns="20160" anchor="ctr" upright="1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s-CO" sz="900" b="1">
                <a:solidFill>
                  <a:srgbClr val="002B45"/>
                </a:solidFill>
                <a:latin typeface="Arial Narrow" panose="020B0606020202030204" pitchFamily="34" charset="0"/>
              </a:rPr>
              <a:t>Código</a:t>
            </a:r>
            <a:endParaRPr lang="es-CO" sz="900" b="1" i="0" u="none" strike="noStrike" baseline="0">
              <a:solidFill>
                <a:srgbClr val="002B45"/>
              </a:solidFill>
              <a:latin typeface="Arial Narrow" panose="020B0606020202030204" pitchFamily="34" charset="0"/>
            </a:endParaRPr>
          </a:p>
        </xdr:txBody>
      </xdr:sp>
      <xdr:sp macro="" textlink="">
        <xdr:nvSpPr>
          <xdr:cNvPr id="9" name="15 Rectángulo redondeado">
            <a:extLst>
              <a:ext uri="{FF2B5EF4-FFF2-40B4-BE49-F238E27FC236}">
                <a16:creationId xmlns:a16="http://schemas.microsoft.com/office/drawing/2014/main" id="{C1755072-92A0-EB98-D110-43EDB300909A}"/>
              </a:ext>
            </a:extLst>
          </xdr:cNvPr>
          <xdr:cNvSpPr>
            <a:spLocks noChangeArrowheads="1"/>
          </xdr:cNvSpPr>
        </xdr:nvSpPr>
        <xdr:spPr bwMode="auto">
          <a:xfrm>
            <a:off x="257672" y="8758409"/>
            <a:ext cx="1191699" cy="270283"/>
          </a:xfrm>
          <a:prstGeom prst="roundRect">
            <a:avLst/>
          </a:prstGeom>
          <a:ln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20160" tIns="20160" rIns="20160" bIns="20160" anchor="ctr" upright="1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s-CO" sz="900" b="1" i="0" u="none" strike="noStrike" baseline="0">
                <a:solidFill>
                  <a:srgbClr val="002B45"/>
                </a:solidFill>
                <a:latin typeface="Arial Narrow" panose="020B0606020202030204" pitchFamily="34" charset="0"/>
              </a:rPr>
              <a:t>Versi</a:t>
            </a:r>
            <a:r>
              <a:rPr lang="es-CO" sz="900" b="1">
                <a:solidFill>
                  <a:srgbClr val="002B45"/>
                </a:solidFill>
                <a:latin typeface="Arial Narrow" panose="020B0606020202030204" pitchFamily="34" charset="0"/>
              </a:rPr>
              <a:t>ón</a:t>
            </a:r>
            <a:endParaRPr lang="es-CO" sz="900" b="1" i="0" u="none" strike="noStrike" baseline="0">
              <a:solidFill>
                <a:srgbClr val="002B45"/>
              </a:solidFill>
              <a:latin typeface="Arial Narrow" panose="020B0606020202030204" pitchFamily="34" charset="0"/>
            </a:endParaRPr>
          </a:p>
        </xdr:txBody>
      </xdr:sp>
      <xdr:sp macro="" textlink="">
        <xdr:nvSpPr>
          <xdr:cNvPr id="10" name="15 Rectángulo redondeado">
            <a:extLst>
              <a:ext uri="{FF2B5EF4-FFF2-40B4-BE49-F238E27FC236}">
                <a16:creationId xmlns:a16="http://schemas.microsoft.com/office/drawing/2014/main" id="{8CD771DE-0416-F3F7-45E9-613FF6C9BF8E}"/>
              </a:ext>
            </a:extLst>
          </xdr:cNvPr>
          <xdr:cNvSpPr>
            <a:spLocks noChangeArrowheads="1"/>
          </xdr:cNvSpPr>
        </xdr:nvSpPr>
        <xdr:spPr bwMode="auto">
          <a:xfrm>
            <a:off x="1546407" y="8751143"/>
            <a:ext cx="1821600" cy="270000"/>
          </a:xfrm>
          <a:prstGeom prst="roundRect">
            <a:avLst/>
          </a:prstGeom>
          <a:ln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20160" tIns="20160" rIns="20160" bIns="20160" anchor="ctr" upright="1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s-CO" sz="900" b="1">
                <a:solidFill>
                  <a:srgbClr val="002B45"/>
                </a:solidFill>
                <a:latin typeface="Arial Narrow" panose="020B0606020202030204" pitchFamily="34" charset="0"/>
              </a:rPr>
              <a:t>1</a:t>
            </a:r>
            <a:endParaRPr lang="es-CO" sz="900" b="1" i="0" u="none" strike="noStrike" baseline="0">
              <a:solidFill>
                <a:srgbClr val="002B45"/>
              </a:solidFill>
              <a:latin typeface="Arial Narrow" panose="020B0606020202030204" pitchFamily="34" charset="0"/>
            </a:endParaRPr>
          </a:p>
        </xdr:txBody>
      </xdr:sp>
      <xdr:sp macro="" textlink="">
        <xdr:nvSpPr>
          <xdr:cNvPr id="11" name="15 Rectángulo redondeado">
            <a:extLst>
              <a:ext uri="{FF2B5EF4-FFF2-40B4-BE49-F238E27FC236}">
                <a16:creationId xmlns:a16="http://schemas.microsoft.com/office/drawing/2014/main" id="{E22F1296-C700-28C6-965D-058DCC39F7FC}"/>
              </a:ext>
            </a:extLst>
          </xdr:cNvPr>
          <xdr:cNvSpPr>
            <a:spLocks noChangeArrowheads="1"/>
          </xdr:cNvSpPr>
        </xdr:nvSpPr>
        <xdr:spPr bwMode="auto">
          <a:xfrm>
            <a:off x="4808191" y="8415900"/>
            <a:ext cx="1821308" cy="269769"/>
          </a:xfrm>
          <a:prstGeom prst="roundRect">
            <a:avLst/>
          </a:prstGeom>
          <a:ln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20160" tIns="20160" rIns="20160" bIns="20160" anchor="ctr" upright="1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s-CO" sz="900" b="1" i="0" u="none" strike="noStrike" baseline="0">
                <a:solidFill>
                  <a:srgbClr val="002B45"/>
                </a:solidFill>
                <a:latin typeface="Arial Narrow" panose="020B0606020202030204" pitchFamily="34" charset="0"/>
              </a:rPr>
              <a:t>02/03/2023</a:t>
            </a:r>
          </a:p>
        </xdr:txBody>
      </xdr:sp>
      <xdr:sp macro="" textlink="">
        <xdr:nvSpPr>
          <xdr:cNvPr id="12" name="15 Rectángulo redondeado">
            <a:extLst>
              <a:ext uri="{FF2B5EF4-FFF2-40B4-BE49-F238E27FC236}">
                <a16:creationId xmlns:a16="http://schemas.microsoft.com/office/drawing/2014/main" id="{A9FBA77D-1306-20A5-DC11-5425253FD647}"/>
              </a:ext>
            </a:extLst>
          </xdr:cNvPr>
          <xdr:cNvSpPr>
            <a:spLocks noChangeArrowheads="1"/>
          </xdr:cNvSpPr>
        </xdr:nvSpPr>
        <xdr:spPr bwMode="auto">
          <a:xfrm>
            <a:off x="1546408" y="8415900"/>
            <a:ext cx="1821600" cy="269769"/>
          </a:xfrm>
          <a:prstGeom prst="roundRect">
            <a:avLst/>
          </a:prstGeom>
          <a:ln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20160" tIns="20160" rIns="20160" bIns="20160" anchor="ctr" upright="1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s-CO" sz="900" b="1">
                <a:solidFill>
                  <a:srgbClr val="002B45"/>
                </a:solidFill>
                <a:latin typeface="Arial Narrow" panose="020B0606020202030204" pitchFamily="34" charset="0"/>
              </a:rPr>
              <a:t>F-SST-046</a:t>
            </a:r>
            <a:endParaRPr lang="es-CO" sz="900" b="1" i="0" u="none" strike="noStrike" baseline="0">
              <a:solidFill>
                <a:srgbClr val="002B45"/>
              </a:solidFill>
              <a:latin typeface="Arial Narrow" panose="020B0606020202030204" pitchFamily="34" charset="0"/>
            </a:endParaRPr>
          </a:p>
        </xdr:txBody>
      </xdr:sp>
      <xdr:sp macro="" textlink="">
        <xdr:nvSpPr>
          <xdr:cNvPr id="13" name="15 Rectángulo redondeado">
            <a:extLst>
              <a:ext uri="{FF2B5EF4-FFF2-40B4-BE49-F238E27FC236}">
                <a16:creationId xmlns:a16="http://schemas.microsoft.com/office/drawing/2014/main" id="{F3BF9C27-DF09-EA41-73AF-43B0E20D0F66}"/>
              </a:ext>
            </a:extLst>
          </xdr:cNvPr>
          <xdr:cNvSpPr>
            <a:spLocks noChangeArrowheads="1"/>
          </xdr:cNvSpPr>
        </xdr:nvSpPr>
        <xdr:spPr bwMode="auto">
          <a:xfrm>
            <a:off x="3552317" y="8751143"/>
            <a:ext cx="1191699" cy="270283"/>
          </a:xfrm>
          <a:prstGeom prst="roundRect">
            <a:avLst/>
          </a:prstGeom>
          <a:ln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20160" tIns="20160" rIns="20160" bIns="20160" anchor="ctr" upright="1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s-CO" sz="900" b="1" i="0" u="none" strike="noStrike" baseline="0">
                <a:solidFill>
                  <a:srgbClr val="002B45"/>
                </a:solidFill>
                <a:latin typeface="Arial Narrow" panose="020B0606020202030204" pitchFamily="34" charset="0"/>
              </a:rPr>
              <a:t>Elaborado </a:t>
            </a:r>
            <a:r>
              <a:rPr lang="es-CO" sz="900" b="1">
                <a:solidFill>
                  <a:srgbClr val="002B45"/>
                </a:solidFill>
                <a:latin typeface="Arial Narrow" panose="020B0606020202030204" pitchFamily="34" charset="0"/>
              </a:rPr>
              <a:t>P</a:t>
            </a:r>
            <a:r>
              <a:rPr lang="es-CO" sz="900" b="1" i="0" u="none" strike="noStrike" baseline="0">
                <a:solidFill>
                  <a:srgbClr val="002B45"/>
                </a:solidFill>
                <a:latin typeface="Arial Narrow" panose="020B0606020202030204" pitchFamily="34" charset="0"/>
              </a:rPr>
              <a:t>or:</a:t>
            </a:r>
          </a:p>
        </xdr:txBody>
      </xdr:sp>
      <xdr:sp macro="" textlink="">
        <xdr:nvSpPr>
          <xdr:cNvPr id="14" name="15 Rectángulo redondeado">
            <a:extLst>
              <a:ext uri="{FF2B5EF4-FFF2-40B4-BE49-F238E27FC236}">
                <a16:creationId xmlns:a16="http://schemas.microsoft.com/office/drawing/2014/main" id="{1B8E81F6-AA9A-3090-E2CD-60B28BF12CD5}"/>
              </a:ext>
            </a:extLst>
          </xdr:cNvPr>
          <xdr:cNvSpPr>
            <a:spLocks noChangeArrowheads="1"/>
          </xdr:cNvSpPr>
        </xdr:nvSpPr>
        <xdr:spPr bwMode="auto">
          <a:xfrm>
            <a:off x="4808191" y="8751143"/>
            <a:ext cx="1821308" cy="269769"/>
          </a:xfrm>
          <a:prstGeom prst="roundRect">
            <a:avLst/>
          </a:prstGeom>
          <a:ln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lIns="20160" tIns="20160" rIns="20160" bIns="20160" anchor="ctr" upright="1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s-CO" sz="900" b="1" i="0" u="none" strike="noStrike" baseline="0">
                <a:solidFill>
                  <a:srgbClr val="002B45"/>
                </a:solidFill>
                <a:latin typeface="Arial Narrow" panose="020B0606020202030204" pitchFamily="34" charset="0"/>
              </a:rPr>
              <a:t>Xiomara Moscote </a:t>
            </a:r>
          </a:p>
        </xdr:txBody>
      </xdr:sp>
    </xdr:grpSp>
    <xdr:clientData/>
  </xdr:twoCellAnchor>
  <xdr:twoCellAnchor>
    <xdr:from>
      <xdr:col>0</xdr:col>
      <xdr:colOff>566402</xdr:colOff>
      <xdr:row>0</xdr:row>
      <xdr:rowOff>146765</xdr:rowOff>
    </xdr:from>
    <xdr:to>
      <xdr:col>3</xdr:col>
      <xdr:colOff>1060860</xdr:colOff>
      <xdr:row>0</xdr:row>
      <xdr:rowOff>461090</xdr:rowOff>
    </xdr:to>
    <xdr:sp macro="" textlink="">
      <xdr:nvSpPr>
        <xdr:cNvPr id="15" name="Shape 22">
          <a:extLst>
            <a:ext uri="{FF2B5EF4-FFF2-40B4-BE49-F238E27FC236}">
              <a16:creationId xmlns:a16="http://schemas.microsoft.com/office/drawing/2014/main" id="{F5C72614-A1AB-4E6F-9A6B-6FA77FDC1A98}"/>
            </a:ext>
          </a:extLst>
        </xdr:cNvPr>
        <xdr:cNvSpPr/>
      </xdr:nvSpPr>
      <xdr:spPr>
        <a:xfrm>
          <a:off x="566402" y="146765"/>
          <a:ext cx="3758358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ysClr val="windowText" lastClr="000000"/>
              </a:solidFill>
              <a:latin typeface="Arial Narrow" panose="020B0606020202030204" pitchFamily="34" charset="0"/>
              <a:ea typeface="Tahoma"/>
              <a:cs typeface="Tahoma"/>
              <a:sym typeface="Tahoma"/>
            </a:rPr>
            <a:t>MATRIZ DE IDENTIFICACION DE RIESGOS Y PELIGROS</a:t>
          </a:r>
          <a:endParaRPr sz="2400" b="1">
            <a:solidFill>
              <a:sysClr val="windowText" lastClr="000000"/>
            </a:solidFill>
            <a:latin typeface="Arial Narrow" panose="020B0606020202030204" pitchFamily="34" charset="0"/>
            <a:ea typeface="Tahoma"/>
            <a:cs typeface="Tahoma"/>
            <a:sym typeface="Tahoma"/>
          </a:endParaRPr>
        </a:p>
      </xdr:txBody>
    </xdr:sp>
    <xdr:clientData/>
  </xdr:twoCellAnchor>
  <xdr:twoCellAnchor editAs="oneCell">
    <xdr:from>
      <xdr:col>5</xdr:col>
      <xdr:colOff>59296</xdr:colOff>
      <xdr:row>0</xdr:row>
      <xdr:rowOff>60100</xdr:rowOff>
    </xdr:from>
    <xdr:to>
      <xdr:col>7</xdr:col>
      <xdr:colOff>530270</xdr:colOff>
      <xdr:row>0</xdr:row>
      <xdr:rowOff>1023259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4E34363C-248E-4309-8292-DC99570A3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55196" y="60100"/>
          <a:ext cx="2401374" cy="9631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AB46"/>
  <sheetViews>
    <sheetView zoomScale="71" zoomScaleNormal="71" zoomScaleSheetLayoutView="40" zoomScalePageLayoutView="41" workbookViewId="0">
      <selection activeCell="A3" sqref="A3:AB4"/>
    </sheetView>
  </sheetViews>
  <sheetFormatPr baseColWidth="10" defaultColWidth="11.5" defaultRowHeight="13"/>
  <cols>
    <col min="1" max="1" width="11.1640625" style="1" customWidth="1"/>
    <col min="2" max="2" width="10.5" style="2" customWidth="1"/>
    <col min="3" max="3" width="27.33203125" style="3" customWidth="1"/>
    <col min="4" max="4" width="26" style="4" customWidth="1"/>
    <col min="5" max="5" width="11.6640625" style="4" customWidth="1"/>
    <col min="6" max="6" width="4.33203125" style="1" customWidth="1"/>
    <col min="7" max="7" width="13.5" style="1" customWidth="1"/>
    <col min="8" max="8" width="14.1640625" style="1" bestFit="1" customWidth="1"/>
    <col min="9" max="9" width="17.1640625" style="1" customWidth="1"/>
    <col min="10" max="10" width="14.33203125" style="1" customWidth="1"/>
    <col min="11" max="11" width="18.5" style="1" customWidth="1"/>
    <col min="12" max="12" width="13.83203125" style="1" customWidth="1"/>
    <col min="13" max="15" width="4" style="1" customWidth="1"/>
    <col min="16" max="16" width="14.5" style="1" customWidth="1"/>
    <col min="17" max="17" width="8.83203125" style="1" customWidth="1"/>
    <col min="18" max="18" width="5.5" style="1" customWidth="1"/>
    <col min="19" max="19" width="3.33203125" style="1" customWidth="1"/>
    <col min="20" max="20" width="28.6640625" style="1" customWidth="1"/>
    <col min="21" max="21" width="5" style="1" customWidth="1"/>
    <col min="22" max="22" width="9.1640625" style="1" customWidth="1"/>
    <col min="23" max="23" width="21" style="1" customWidth="1"/>
    <col min="24" max="25" width="4.83203125" style="1" customWidth="1"/>
    <col min="26" max="26" width="22.5" style="1" customWidth="1"/>
    <col min="27" max="27" width="24" style="1" customWidth="1"/>
    <col min="28" max="28" width="18.5" style="1" customWidth="1"/>
    <col min="29" max="16384" width="11.5" style="1"/>
  </cols>
  <sheetData>
    <row r="1" spans="1:28" ht="108.75" customHeight="1" thickBot="1">
      <c r="A1" s="251"/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</row>
    <row r="2" spans="1:28" ht="15" customHeight="1" thickBot="1">
      <c r="A2" s="278"/>
      <c r="B2" s="279"/>
      <c r="C2" s="280"/>
      <c r="D2" s="252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4"/>
    </row>
    <row r="3" spans="1:28" ht="28.5" customHeight="1">
      <c r="A3" s="231" t="s">
        <v>0</v>
      </c>
      <c r="B3" s="213" t="s">
        <v>1</v>
      </c>
      <c r="C3" s="281" t="s">
        <v>2</v>
      </c>
      <c r="D3" s="235" t="s">
        <v>3</v>
      </c>
      <c r="E3" s="237" t="s">
        <v>625</v>
      </c>
      <c r="F3" s="213" t="s">
        <v>4</v>
      </c>
      <c r="G3" s="193" t="s">
        <v>5</v>
      </c>
      <c r="H3" s="193"/>
      <c r="I3" s="213" t="s">
        <v>6</v>
      </c>
      <c r="J3" s="193" t="s">
        <v>7</v>
      </c>
      <c r="K3" s="193"/>
      <c r="L3" s="193"/>
      <c r="M3" s="194" t="s">
        <v>49</v>
      </c>
      <c r="N3" s="194"/>
      <c r="O3" s="194"/>
      <c r="P3" s="194"/>
      <c r="Q3" s="194"/>
      <c r="R3" s="194"/>
      <c r="S3" s="194"/>
      <c r="T3" s="163" t="s">
        <v>50</v>
      </c>
      <c r="U3" s="195" t="s">
        <v>8</v>
      </c>
      <c r="V3" s="195"/>
      <c r="W3" s="195"/>
      <c r="X3" s="194" t="s">
        <v>9</v>
      </c>
      <c r="Y3" s="194"/>
      <c r="Z3" s="194"/>
      <c r="AA3" s="194"/>
      <c r="AB3" s="230"/>
    </row>
    <row r="4" spans="1:28" ht="156" customHeight="1" thickBot="1">
      <c r="A4" s="232"/>
      <c r="B4" s="214"/>
      <c r="C4" s="282"/>
      <c r="D4" s="283"/>
      <c r="E4" s="238"/>
      <c r="F4" s="214"/>
      <c r="G4" s="164" t="s">
        <v>10</v>
      </c>
      <c r="H4" s="164" t="s">
        <v>11</v>
      </c>
      <c r="I4" s="214"/>
      <c r="J4" s="164" t="s">
        <v>12</v>
      </c>
      <c r="K4" s="164" t="s">
        <v>13</v>
      </c>
      <c r="L4" s="164" t="s">
        <v>94</v>
      </c>
      <c r="M4" s="165" t="s">
        <v>14</v>
      </c>
      <c r="N4" s="165" t="s">
        <v>15</v>
      </c>
      <c r="O4" s="166" t="s">
        <v>16</v>
      </c>
      <c r="P4" s="166" t="s">
        <v>17</v>
      </c>
      <c r="Q4" s="165" t="s">
        <v>18</v>
      </c>
      <c r="R4" s="166" t="s">
        <v>64</v>
      </c>
      <c r="S4" s="165" t="s">
        <v>19</v>
      </c>
      <c r="T4" s="165" t="s">
        <v>20</v>
      </c>
      <c r="U4" s="165" t="s">
        <v>65</v>
      </c>
      <c r="V4" s="165" t="s">
        <v>92</v>
      </c>
      <c r="W4" s="165" t="s">
        <v>21</v>
      </c>
      <c r="X4" s="165" t="s">
        <v>113</v>
      </c>
      <c r="Y4" s="165" t="s">
        <v>93</v>
      </c>
      <c r="Z4" s="165" t="s">
        <v>66</v>
      </c>
      <c r="AA4" s="166" t="s">
        <v>22</v>
      </c>
      <c r="AB4" s="167" t="s">
        <v>23</v>
      </c>
    </row>
    <row r="5" spans="1:28" ht="123" customHeight="1" thickBot="1">
      <c r="A5" s="249" t="s">
        <v>286</v>
      </c>
      <c r="B5" s="248" t="s">
        <v>508</v>
      </c>
      <c r="C5" s="245" t="s">
        <v>288</v>
      </c>
      <c r="D5" s="245" t="s">
        <v>289</v>
      </c>
      <c r="E5" s="153" t="s">
        <v>626</v>
      </c>
      <c r="F5" s="91" t="s">
        <v>109</v>
      </c>
      <c r="G5" s="91" t="s">
        <v>290</v>
      </c>
      <c r="H5" s="18" t="s">
        <v>57</v>
      </c>
      <c r="I5" s="91" t="s">
        <v>110</v>
      </c>
      <c r="J5" s="85" t="s">
        <v>25</v>
      </c>
      <c r="K5" s="85" t="s">
        <v>25</v>
      </c>
      <c r="L5" s="91" t="s">
        <v>321</v>
      </c>
      <c r="M5" s="91">
        <v>2</v>
      </c>
      <c r="N5" s="91">
        <v>3</v>
      </c>
      <c r="O5" s="91">
        <f t="shared" ref="O5:O17" si="0">M5*N5</f>
        <v>6</v>
      </c>
      <c r="P5" s="86" t="str">
        <f t="shared" ref="P5:P18" si="1">IF(O5&lt;=4,"BAJO",IF(O5&lt;=8,"MEDIO",IF(O5&lt;=20,"ALTO","MUY ALTO")))</f>
        <v>MEDIO</v>
      </c>
      <c r="Q5" s="91">
        <v>10</v>
      </c>
      <c r="R5" s="91">
        <f>O5*Q5</f>
        <v>60</v>
      </c>
      <c r="S5" s="86" t="str">
        <f>IF(R5&lt;=20,"4",IF(R5&lt;=120,"3",IF(R5&lt;=500,"2","1")))</f>
        <v>3</v>
      </c>
      <c r="T5" s="87" t="str">
        <f>IF(S5="4","ACEPTABLE",IF(S5="3","MEJORABLE",IF(S5="2","NO ACEPTABLE O ACEPTABLE CON CONTROL ESPECÍFICO","NO ACEPTABLE")))</f>
        <v>MEJORABLE</v>
      </c>
      <c r="U5" s="91">
        <v>3</v>
      </c>
      <c r="V5" s="88">
        <v>6</v>
      </c>
      <c r="W5" s="13" t="s">
        <v>293</v>
      </c>
      <c r="X5" s="91" t="s">
        <v>114</v>
      </c>
      <c r="Y5" s="91" t="s">
        <v>26</v>
      </c>
      <c r="Z5" s="91" t="s">
        <v>324</v>
      </c>
      <c r="AA5" s="13" t="s">
        <v>323</v>
      </c>
      <c r="AB5" s="25" t="s">
        <v>322</v>
      </c>
    </row>
    <row r="6" spans="1:28" ht="131.25" customHeight="1" thickBot="1">
      <c r="A6" s="243"/>
      <c r="B6" s="240"/>
      <c r="C6" s="246"/>
      <c r="D6" s="246"/>
      <c r="E6" s="153" t="s">
        <v>626</v>
      </c>
      <c r="F6" s="89" t="s">
        <v>24</v>
      </c>
      <c r="G6" s="89" t="s">
        <v>68</v>
      </c>
      <c r="H6" s="7" t="s">
        <v>57</v>
      </c>
      <c r="I6" s="89" t="s">
        <v>27</v>
      </c>
      <c r="J6" s="89" t="s">
        <v>69</v>
      </c>
      <c r="K6" s="89" t="s">
        <v>70</v>
      </c>
      <c r="L6" s="17" t="s">
        <v>25</v>
      </c>
      <c r="M6" s="89">
        <v>2</v>
      </c>
      <c r="N6" s="89">
        <v>1</v>
      </c>
      <c r="O6" s="89">
        <f t="shared" si="0"/>
        <v>2</v>
      </c>
      <c r="P6" s="83" t="str">
        <f t="shared" si="1"/>
        <v>BAJO</v>
      </c>
      <c r="Q6" s="89">
        <v>10</v>
      </c>
      <c r="R6" s="89">
        <f t="shared" ref="R6:R30" si="2">O6*Q6</f>
        <v>20</v>
      </c>
      <c r="S6" s="83" t="str">
        <f t="shared" ref="S6:S30" si="3">IF(R6&lt;=20,"4",IF(R6&lt;=120,"3",IF(R6&lt;=500,"2","1")))</f>
        <v>4</v>
      </c>
      <c r="T6" s="84" t="str">
        <f t="shared" ref="T6:T30" si="4">IF(S6="4","ACEPTABLE",IF(S6="3","MEJORABLE",IF(S6="2","NO ACEPTABLE O ACEPTABLE CON CONTROL ESPECÍFICO","NO ACEPTABLE")))</f>
        <v>ACEPTABLE</v>
      </c>
      <c r="U6" s="89">
        <v>3</v>
      </c>
      <c r="V6" s="9">
        <v>2</v>
      </c>
      <c r="W6" s="12" t="s">
        <v>292</v>
      </c>
      <c r="X6" s="89" t="s">
        <v>24</v>
      </c>
      <c r="Y6" s="89" t="s">
        <v>26</v>
      </c>
      <c r="Z6" s="89" t="s">
        <v>98</v>
      </c>
      <c r="AA6" s="12" t="s">
        <v>294</v>
      </c>
      <c r="AB6" s="24" t="s">
        <v>26</v>
      </c>
    </row>
    <row r="7" spans="1:28" ht="131.25" customHeight="1" thickBot="1">
      <c r="A7" s="243"/>
      <c r="B7" s="240"/>
      <c r="C7" s="246"/>
      <c r="D7" s="246"/>
      <c r="E7" s="153" t="s">
        <v>626</v>
      </c>
      <c r="F7" s="89" t="s">
        <v>24</v>
      </c>
      <c r="G7" s="89" t="s">
        <v>116</v>
      </c>
      <c r="H7" s="7" t="s">
        <v>57</v>
      </c>
      <c r="I7" s="89" t="s">
        <v>117</v>
      </c>
      <c r="J7" s="89" t="s">
        <v>295</v>
      </c>
      <c r="K7" s="89" t="s">
        <v>25</v>
      </c>
      <c r="L7" s="89" t="s">
        <v>33</v>
      </c>
      <c r="M7" s="89">
        <v>2</v>
      </c>
      <c r="N7" s="89">
        <v>2</v>
      </c>
      <c r="O7" s="89">
        <f t="shared" si="0"/>
        <v>4</v>
      </c>
      <c r="P7" s="83" t="str">
        <f t="shared" si="1"/>
        <v>BAJO</v>
      </c>
      <c r="Q7" s="89">
        <v>10</v>
      </c>
      <c r="R7" s="89">
        <f t="shared" si="2"/>
        <v>40</v>
      </c>
      <c r="S7" s="83" t="str">
        <f t="shared" si="3"/>
        <v>3</v>
      </c>
      <c r="T7" s="84" t="str">
        <f t="shared" si="4"/>
        <v>MEJORABLE</v>
      </c>
      <c r="U7" s="89">
        <v>3</v>
      </c>
      <c r="V7" s="9">
        <v>2</v>
      </c>
      <c r="W7" s="12" t="s">
        <v>118</v>
      </c>
      <c r="X7" s="89" t="s">
        <v>24</v>
      </c>
      <c r="Y7" s="89" t="s">
        <v>26</v>
      </c>
      <c r="Z7" s="89" t="s">
        <v>26</v>
      </c>
      <c r="AA7" s="12" t="s">
        <v>119</v>
      </c>
      <c r="AB7" s="24" t="s">
        <v>26</v>
      </c>
    </row>
    <row r="8" spans="1:28" ht="131.25" customHeight="1" thickBot="1">
      <c r="A8" s="243"/>
      <c r="B8" s="240"/>
      <c r="C8" s="246"/>
      <c r="D8" s="246"/>
      <c r="E8" s="153" t="s">
        <v>626</v>
      </c>
      <c r="F8" s="89" t="s">
        <v>24</v>
      </c>
      <c r="G8" s="89" t="s">
        <v>318</v>
      </c>
      <c r="H8" s="7" t="s">
        <v>57</v>
      </c>
      <c r="I8" s="89" t="s">
        <v>327</v>
      </c>
      <c r="J8" s="89" t="s">
        <v>25</v>
      </c>
      <c r="K8" s="89" t="s">
        <v>25</v>
      </c>
      <c r="L8" s="89" t="s">
        <v>325</v>
      </c>
      <c r="M8" s="89">
        <v>2</v>
      </c>
      <c r="N8" s="89">
        <v>3</v>
      </c>
      <c r="O8" s="89">
        <f t="shared" si="0"/>
        <v>6</v>
      </c>
      <c r="P8" s="83" t="str">
        <f t="shared" si="1"/>
        <v>MEDIO</v>
      </c>
      <c r="Q8" s="89">
        <v>10</v>
      </c>
      <c r="R8" s="89">
        <f t="shared" si="2"/>
        <v>60</v>
      </c>
      <c r="S8" s="83" t="str">
        <f t="shared" si="3"/>
        <v>3</v>
      </c>
      <c r="T8" s="84" t="str">
        <f t="shared" si="4"/>
        <v>MEJORABLE</v>
      </c>
      <c r="U8" s="89">
        <v>3</v>
      </c>
      <c r="V8" s="9">
        <v>3</v>
      </c>
      <c r="W8" s="12" t="s">
        <v>326</v>
      </c>
      <c r="X8" s="89" t="s">
        <v>24</v>
      </c>
      <c r="Y8" s="89" t="s">
        <v>26</v>
      </c>
      <c r="Z8" s="89" t="s">
        <v>26</v>
      </c>
      <c r="AA8" s="12" t="s">
        <v>344</v>
      </c>
      <c r="AB8" s="24" t="s">
        <v>26</v>
      </c>
    </row>
    <row r="9" spans="1:28" ht="131.25" customHeight="1" thickBot="1">
      <c r="A9" s="243"/>
      <c r="B9" s="240"/>
      <c r="C9" s="246"/>
      <c r="D9" s="246"/>
      <c r="E9" s="153" t="s">
        <v>626</v>
      </c>
      <c r="F9" s="89" t="s">
        <v>24</v>
      </c>
      <c r="G9" s="89" t="s">
        <v>319</v>
      </c>
      <c r="H9" s="7" t="s">
        <v>57</v>
      </c>
      <c r="I9" s="89" t="s">
        <v>328</v>
      </c>
      <c r="J9" s="89" t="s">
        <v>25</v>
      </c>
      <c r="K9" s="89" t="s">
        <v>25</v>
      </c>
      <c r="L9" s="89" t="s">
        <v>329</v>
      </c>
      <c r="M9" s="89">
        <v>2</v>
      </c>
      <c r="N9" s="89">
        <v>3</v>
      </c>
      <c r="O9" s="89">
        <f t="shared" si="0"/>
        <v>6</v>
      </c>
      <c r="P9" s="83" t="str">
        <f t="shared" si="1"/>
        <v>MEDIO</v>
      </c>
      <c r="Q9" s="89">
        <v>10</v>
      </c>
      <c r="R9" s="89">
        <f t="shared" si="2"/>
        <v>60</v>
      </c>
      <c r="S9" s="83" t="str">
        <f t="shared" si="3"/>
        <v>3</v>
      </c>
      <c r="T9" s="84" t="str">
        <f t="shared" si="4"/>
        <v>MEJORABLE</v>
      </c>
      <c r="U9" s="89">
        <v>3</v>
      </c>
      <c r="V9" s="9">
        <v>3</v>
      </c>
      <c r="W9" s="12" t="s">
        <v>118</v>
      </c>
      <c r="X9" s="89" t="s">
        <v>24</v>
      </c>
      <c r="Y9" s="89" t="s">
        <v>26</v>
      </c>
      <c r="Z9" s="89" t="s">
        <v>26</v>
      </c>
      <c r="AA9" s="12" t="s">
        <v>330</v>
      </c>
      <c r="AB9" s="24" t="s">
        <v>26</v>
      </c>
    </row>
    <row r="10" spans="1:28" ht="131.25" customHeight="1" thickBot="1">
      <c r="A10" s="243"/>
      <c r="B10" s="240"/>
      <c r="C10" s="246"/>
      <c r="D10" s="246"/>
      <c r="E10" s="153" t="s">
        <v>626</v>
      </c>
      <c r="F10" s="89" t="s">
        <v>24</v>
      </c>
      <c r="G10" s="89" t="s">
        <v>320</v>
      </c>
      <c r="H10" s="7" t="s">
        <v>237</v>
      </c>
      <c r="I10" s="89" t="s">
        <v>331</v>
      </c>
      <c r="J10" s="89" t="s">
        <v>25</v>
      </c>
      <c r="K10" s="89" t="s">
        <v>25</v>
      </c>
      <c r="L10" s="89" t="s">
        <v>332</v>
      </c>
      <c r="M10" s="89">
        <v>2</v>
      </c>
      <c r="N10" s="89">
        <v>3</v>
      </c>
      <c r="O10" s="89">
        <f t="shared" si="0"/>
        <v>6</v>
      </c>
      <c r="P10" s="83" t="str">
        <f t="shared" si="1"/>
        <v>MEDIO</v>
      </c>
      <c r="Q10" s="89">
        <v>10</v>
      </c>
      <c r="R10" s="89">
        <f t="shared" si="2"/>
        <v>60</v>
      </c>
      <c r="S10" s="83" t="str">
        <f t="shared" si="3"/>
        <v>3</v>
      </c>
      <c r="T10" s="84" t="str">
        <f t="shared" si="4"/>
        <v>MEJORABLE</v>
      </c>
      <c r="U10" s="89">
        <v>3</v>
      </c>
      <c r="V10" s="9">
        <v>4</v>
      </c>
      <c r="W10" s="12" t="s">
        <v>333</v>
      </c>
      <c r="X10" s="89" t="s">
        <v>24</v>
      </c>
      <c r="Y10" s="89" t="s">
        <v>26</v>
      </c>
      <c r="Z10" s="89" t="s">
        <v>26</v>
      </c>
      <c r="AA10" s="12" t="s">
        <v>334</v>
      </c>
      <c r="AB10" s="24" t="s">
        <v>346</v>
      </c>
    </row>
    <row r="11" spans="1:28" ht="111" customHeight="1" thickBot="1">
      <c r="A11" s="243"/>
      <c r="B11" s="240"/>
      <c r="C11" s="246"/>
      <c r="D11" s="246"/>
      <c r="E11" s="153" t="s">
        <v>626</v>
      </c>
      <c r="F11" s="89" t="s">
        <v>24</v>
      </c>
      <c r="G11" s="89" t="s">
        <v>96</v>
      </c>
      <c r="H11" s="7" t="s">
        <v>80</v>
      </c>
      <c r="I11" s="89" t="s">
        <v>115</v>
      </c>
      <c r="J11" s="89" t="s">
        <v>25</v>
      </c>
      <c r="K11" s="89" t="s">
        <v>25</v>
      </c>
      <c r="L11" s="89" t="s">
        <v>102</v>
      </c>
      <c r="M11" s="89">
        <v>2</v>
      </c>
      <c r="N11" s="89">
        <v>1</v>
      </c>
      <c r="O11" s="89">
        <f t="shared" si="0"/>
        <v>2</v>
      </c>
      <c r="P11" s="83" t="str">
        <f t="shared" si="1"/>
        <v>BAJO</v>
      </c>
      <c r="Q11" s="89">
        <v>10</v>
      </c>
      <c r="R11" s="89">
        <f t="shared" si="2"/>
        <v>20</v>
      </c>
      <c r="S11" s="83" t="str">
        <f t="shared" si="3"/>
        <v>4</v>
      </c>
      <c r="T11" s="84" t="str">
        <f t="shared" si="4"/>
        <v>ACEPTABLE</v>
      </c>
      <c r="U11" s="89">
        <v>3</v>
      </c>
      <c r="V11" s="9">
        <v>2</v>
      </c>
      <c r="W11" s="89" t="s">
        <v>103</v>
      </c>
      <c r="X11" s="89" t="s">
        <v>24</v>
      </c>
      <c r="Y11" s="89" t="s">
        <v>26</v>
      </c>
      <c r="Z11" s="89" t="s">
        <v>26</v>
      </c>
      <c r="AA11" s="89" t="s">
        <v>97</v>
      </c>
      <c r="AB11" s="23" t="s">
        <v>26</v>
      </c>
    </row>
    <row r="12" spans="1:28" ht="120.75" customHeight="1" thickBot="1">
      <c r="A12" s="243"/>
      <c r="B12" s="240"/>
      <c r="C12" s="246"/>
      <c r="D12" s="246"/>
      <c r="E12" s="153" t="s">
        <v>626</v>
      </c>
      <c r="F12" s="89" t="s">
        <v>24</v>
      </c>
      <c r="G12" s="12" t="s">
        <v>79</v>
      </c>
      <c r="H12" s="7" t="s">
        <v>80</v>
      </c>
      <c r="I12" s="17" t="s">
        <v>81</v>
      </c>
      <c r="J12" s="89" t="s">
        <v>25</v>
      </c>
      <c r="K12" s="89" t="s">
        <v>25</v>
      </c>
      <c r="L12" s="89" t="s">
        <v>83</v>
      </c>
      <c r="M12" s="89">
        <v>2</v>
      </c>
      <c r="N12" s="89">
        <v>2</v>
      </c>
      <c r="O12" s="89">
        <f t="shared" si="0"/>
        <v>4</v>
      </c>
      <c r="P12" s="83" t="str">
        <f t="shared" si="1"/>
        <v>BAJO</v>
      </c>
      <c r="Q12" s="89">
        <v>10</v>
      </c>
      <c r="R12" s="89">
        <f t="shared" si="2"/>
        <v>40</v>
      </c>
      <c r="S12" s="83" t="str">
        <f t="shared" si="3"/>
        <v>3</v>
      </c>
      <c r="T12" s="84" t="str">
        <f t="shared" si="4"/>
        <v>MEJORABLE</v>
      </c>
      <c r="U12" s="89">
        <v>3</v>
      </c>
      <c r="V12" s="89">
        <v>2</v>
      </c>
      <c r="W12" s="89" t="s">
        <v>103</v>
      </c>
      <c r="X12" s="89" t="s">
        <v>114</v>
      </c>
      <c r="Y12" s="89" t="s">
        <v>26</v>
      </c>
      <c r="Z12" s="89" t="s">
        <v>26</v>
      </c>
      <c r="AA12" s="12" t="s">
        <v>82</v>
      </c>
      <c r="AB12" s="23" t="s">
        <v>26</v>
      </c>
    </row>
    <row r="13" spans="1:28" ht="120.75" customHeight="1" thickBot="1">
      <c r="A13" s="243"/>
      <c r="B13" s="240"/>
      <c r="C13" s="246"/>
      <c r="D13" s="246"/>
      <c r="E13" s="153" t="s">
        <v>626</v>
      </c>
      <c r="F13" s="89" t="s">
        <v>24</v>
      </c>
      <c r="G13" s="89" t="s">
        <v>32</v>
      </c>
      <c r="H13" s="7" t="s">
        <v>67</v>
      </c>
      <c r="I13" s="89" t="s">
        <v>35</v>
      </c>
      <c r="J13" s="89" t="s">
        <v>56</v>
      </c>
      <c r="K13" s="89" t="s">
        <v>296</v>
      </c>
      <c r="L13" s="89" t="s">
        <v>101</v>
      </c>
      <c r="M13" s="89">
        <v>2</v>
      </c>
      <c r="N13" s="89">
        <v>2</v>
      </c>
      <c r="O13" s="89">
        <f t="shared" si="0"/>
        <v>4</v>
      </c>
      <c r="P13" s="83" t="str">
        <f t="shared" si="1"/>
        <v>BAJO</v>
      </c>
      <c r="Q13" s="89">
        <v>10</v>
      </c>
      <c r="R13" s="89">
        <f t="shared" si="2"/>
        <v>40</v>
      </c>
      <c r="S13" s="83" t="str">
        <f t="shared" si="3"/>
        <v>3</v>
      </c>
      <c r="T13" s="84" t="str">
        <f t="shared" si="4"/>
        <v>MEJORABLE</v>
      </c>
      <c r="U13" s="89">
        <v>3</v>
      </c>
      <c r="V13" s="9">
        <v>2</v>
      </c>
      <c r="W13" s="12" t="s">
        <v>73</v>
      </c>
      <c r="X13" s="12" t="s">
        <v>24</v>
      </c>
      <c r="Y13" s="12" t="s">
        <v>26</v>
      </c>
      <c r="Z13" s="89" t="s">
        <v>74</v>
      </c>
      <c r="AA13" s="12" t="s">
        <v>95</v>
      </c>
      <c r="AB13" s="24" t="s">
        <v>26</v>
      </c>
    </row>
    <row r="14" spans="1:28" ht="120.75" customHeight="1" thickBot="1">
      <c r="A14" s="244"/>
      <c r="B14" s="241"/>
      <c r="C14" s="247"/>
      <c r="D14" s="247"/>
      <c r="E14" s="153" t="s">
        <v>626</v>
      </c>
      <c r="F14" s="129" t="s">
        <v>24</v>
      </c>
      <c r="G14" s="89" t="s">
        <v>501</v>
      </c>
      <c r="H14" s="82" t="s">
        <v>502</v>
      </c>
      <c r="I14" s="89" t="s">
        <v>503</v>
      </c>
      <c r="J14" s="89" t="s">
        <v>504</v>
      </c>
      <c r="K14" s="89" t="s">
        <v>505</v>
      </c>
      <c r="L14" s="89" t="s">
        <v>506</v>
      </c>
      <c r="M14" s="89">
        <v>2</v>
      </c>
      <c r="N14" s="89">
        <v>4</v>
      </c>
      <c r="O14" s="89">
        <f t="shared" si="0"/>
        <v>8</v>
      </c>
      <c r="P14" s="83" t="str">
        <f t="shared" si="1"/>
        <v>MEDIO</v>
      </c>
      <c r="Q14" s="89">
        <v>100</v>
      </c>
      <c r="R14" s="89">
        <f t="shared" ref="R14" si="5">O14*Q14</f>
        <v>800</v>
      </c>
      <c r="S14" s="83" t="str">
        <f t="shared" ref="S14" si="6">IF(R14&lt;=20,"4",IF(R14&lt;=120,"3",IF(R14&lt;=500,"2","1")))</f>
        <v>1</v>
      </c>
      <c r="T14" s="84" t="str">
        <f t="shared" ref="T14" si="7">IF(S14="4","ACEPTABLE",IF(S14="3","MEJORABLE",IF(S14="2","NO ACEPTABLE O ACEPTABLE CON CONTROL ESPECÍFICO","NO ACEPTABLE")))</f>
        <v>NO ACEPTABLE</v>
      </c>
      <c r="U14" s="89">
        <v>1</v>
      </c>
      <c r="V14" s="89">
        <v>10</v>
      </c>
      <c r="W14" s="12" t="s">
        <v>413</v>
      </c>
      <c r="X14" s="10" t="s">
        <v>26</v>
      </c>
      <c r="Y14" s="10" t="s">
        <v>26</v>
      </c>
      <c r="Z14" s="10" t="s">
        <v>26</v>
      </c>
      <c r="AA14" s="102" t="s">
        <v>507</v>
      </c>
      <c r="AB14" s="24" t="s">
        <v>26</v>
      </c>
    </row>
    <row r="15" spans="1:28" ht="120.75" customHeight="1" thickBot="1">
      <c r="A15" s="242" t="s">
        <v>286</v>
      </c>
      <c r="B15" s="239" t="s">
        <v>508</v>
      </c>
      <c r="C15" s="250" t="s">
        <v>288</v>
      </c>
      <c r="D15" s="250" t="s">
        <v>289</v>
      </c>
      <c r="E15" s="153" t="s">
        <v>626</v>
      </c>
      <c r="F15" s="89" t="s">
        <v>24</v>
      </c>
      <c r="G15" s="89" t="s">
        <v>297</v>
      </c>
      <c r="H15" s="7" t="s">
        <v>67</v>
      </c>
      <c r="I15" s="89" t="s">
        <v>298</v>
      </c>
      <c r="J15" s="89" t="s">
        <v>25</v>
      </c>
      <c r="K15" s="89" t="s">
        <v>299</v>
      </c>
      <c r="L15" s="89" t="s">
        <v>101</v>
      </c>
      <c r="M15" s="89">
        <v>2</v>
      </c>
      <c r="N15" s="89">
        <v>1</v>
      </c>
      <c r="O15" s="89">
        <f t="shared" si="0"/>
        <v>2</v>
      </c>
      <c r="P15" s="83" t="str">
        <f t="shared" si="1"/>
        <v>BAJO</v>
      </c>
      <c r="Q15" s="89">
        <v>10</v>
      </c>
      <c r="R15" s="89">
        <f t="shared" si="2"/>
        <v>20</v>
      </c>
      <c r="S15" s="83" t="str">
        <f t="shared" si="3"/>
        <v>4</v>
      </c>
      <c r="T15" s="84" t="str">
        <f t="shared" si="4"/>
        <v>ACEPTABLE</v>
      </c>
      <c r="U15" s="89">
        <v>3</v>
      </c>
      <c r="V15" s="9">
        <v>1</v>
      </c>
      <c r="W15" s="12" t="s">
        <v>73</v>
      </c>
      <c r="X15" s="12" t="s">
        <v>24</v>
      </c>
      <c r="Y15" s="12" t="s">
        <v>26</v>
      </c>
      <c r="Z15" s="89" t="s">
        <v>26</v>
      </c>
      <c r="AA15" s="12" t="s">
        <v>291</v>
      </c>
      <c r="AB15" s="24" t="s">
        <v>26</v>
      </c>
    </row>
    <row r="16" spans="1:28" ht="120.75" customHeight="1" thickBot="1">
      <c r="A16" s="243"/>
      <c r="B16" s="240"/>
      <c r="C16" s="246"/>
      <c r="D16" s="246"/>
      <c r="E16" s="153" t="s">
        <v>626</v>
      </c>
      <c r="F16" s="89" t="s">
        <v>24</v>
      </c>
      <c r="G16" s="89" t="s">
        <v>265</v>
      </c>
      <c r="H16" s="7" t="s">
        <v>67</v>
      </c>
      <c r="I16" s="89" t="s">
        <v>348</v>
      </c>
      <c r="J16" s="89" t="s">
        <v>25</v>
      </c>
      <c r="K16" s="89" t="s">
        <v>349</v>
      </c>
      <c r="L16" s="89" t="s">
        <v>350</v>
      </c>
      <c r="M16" s="89">
        <v>2</v>
      </c>
      <c r="N16" s="89">
        <v>1</v>
      </c>
      <c r="O16" s="89">
        <f t="shared" ref="O16" si="8">M16*N16</f>
        <v>2</v>
      </c>
      <c r="P16" s="83" t="str">
        <f t="shared" si="1"/>
        <v>BAJO</v>
      </c>
      <c r="Q16" s="89">
        <v>10</v>
      </c>
      <c r="R16" s="89">
        <f t="shared" ref="R16" si="9">O16*Q16</f>
        <v>20</v>
      </c>
      <c r="S16" s="83" t="str">
        <f t="shared" ref="S16" si="10">IF(R16&lt;=20,"4",IF(R16&lt;=120,"3",IF(R16&lt;=500,"2","1")))</f>
        <v>4</v>
      </c>
      <c r="T16" s="84" t="str">
        <f t="shared" ref="T16" si="11">IF(S16="4","ACEPTABLE",IF(S16="3","MEJORABLE",IF(S16="2","NO ACEPTABLE O ACEPTABLE CON CONTROL ESPECÍFICO","NO ACEPTABLE")))</f>
        <v>ACEPTABLE</v>
      </c>
      <c r="U16" s="89">
        <v>3</v>
      </c>
      <c r="V16" s="9">
        <v>1</v>
      </c>
      <c r="W16" s="12" t="s">
        <v>351</v>
      </c>
      <c r="X16" s="12" t="s">
        <v>24</v>
      </c>
      <c r="Y16" s="12" t="s">
        <v>26</v>
      </c>
      <c r="Z16" s="89" t="s">
        <v>26</v>
      </c>
      <c r="AA16" s="12" t="s">
        <v>352</v>
      </c>
      <c r="AB16" s="24" t="s">
        <v>26</v>
      </c>
    </row>
    <row r="17" spans="1:28" ht="120.75" customHeight="1" thickBot="1">
      <c r="A17" s="243"/>
      <c r="B17" s="240"/>
      <c r="C17" s="246"/>
      <c r="D17" s="246"/>
      <c r="E17" s="153" t="s">
        <v>626</v>
      </c>
      <c r="F17" s="89" t="s">
        <v>24</v>
      </c>
      <c r="G17" s="89" t="s">
        <v>353</v>
      </c>
      <c r="H17" s="7" t="s">
        <v>37</v>
      </c>
      <c r="I17" s="89" t="s">
        <v>354</v>
      </c>
      <c r="J17" s="89" t="s">
        <v>25</v>
      </c>
      <c r="K17" s="89" t="s">
        <v>25</v>
      </c>
      <c r="L17" s="89" t="s">
        <v>355</v>
      </c>
      <c r="M17" s="89">
        <v>2</v>
      </c>
      <c r="N17" s="89">
        <v>3</v>
      </c>
      <c r="O17" s="89">
        <f t="shared" si="0"/>
        <v>6</v>
      </c>
      <c r="P17" s="83" t="str">
        <f t="shared" si="1"/>
        <v>MEDIO</v>
      </c>
      <c r="Q17" s="89">
        <v>10</v>
      </c>
      <c r="R17" s="89">
        <f t="shared" si="2"/>
        <v>60</v>
      </c>
      <c r="S17" s="83" t="str">
        <f t="shared" si="3"/>
        <v>3</v>
      </c>
      <c r="T17" s="84" t="str">
        <f t="shared" si="4"/>
        <v>MEJORABLE</v>
      </c>
      <c r="U17" s="89">
        <v>3</v>
      </c>
      <c r="V17" s="9">
        <v>6</v>
      </c>
      <c r="W17" s="89" t="s">
        <v>356</v>
      </c>
      <c r="X17" s="89" t="s">
        <v>24</v>
      </c>
      <c r="Y17" s="89" t="s">
        <v>26</v>
      </c>
      <c r="Z17" s="89" t="s">
        <v>26</v>
      </c>
      <c r="AA17" s="89" t="s">
        <v>357</v>
      </c>
      <c r="AB17" s="23" t="s">
        <v>358</v>
      </c>
    </row>
    <row r="18" spans="1:28" ht="120.75" customHeight="1" thickBot="1">
      <c r="A18" s="243"/>
      <c r="B18" s="240"/>
      <c r="C18" s="246"/>
      <c r="D18" s="246"/>
      <c r="E18" s="153" t="s">
        <v>626</v>
      </c>
      <c r="F18" s="89" t="s">
        <v>24</v>
      </c>
      <c r="G18" s="89" t="s">
        <v>99</v>
      </c>
      <c r="H18" s="7" t="s">
        <v>37</v>
      </c>
      <c r="I18" s="89" t="s">
        <v>38</v>
      </c>
      <c r="J18" s="89" t="s">
        <v>25</v>
      </c>
      <c r="K18" s="89" t="s">
        <v>100</v>
      </c>
      <c r="L18" s="89" t="s">
        <v>25</v>
      </c>
      <c r="M18" s="89">
        <v>2</v>
      </c>
      <c r="N18" s="89">
        <v>1</v>
      </c>
      <c r="O18" s="89">
        <f t="shared" ref="O18" si="12">M18*N18</f>
        <v>2</v>
      </c>
      <c r="P18" s="83" t="str">
        <f t="shared" si="1"/>
        <v>BAJO</v>
      </c>
      <c r="Q18" s="89">
        <v>10</v>
      </c>
      <c r="R18" s="89">
        <f t="shared" ref="R18" si="13">O18*Q18</f>
        <v>20</v>
      </c>
      <c r="S18" s="83" t="str">
        <f t="shared" ref="S18" si="14">IF(R18&lt;=20,"4",IF(R18&lt;=120,"3",IF(R18&lt;=500,"2","1")))</f>
        <v>4</v>
      </c>
      <c r="T18" s="84" t="str">
        <f t="shared" ref="T18" si="15">IF(S18="4","ACEPTABLE",IF(S18="3","MEJORABLE",IF(S18="2","NO ACEPTABLE O ACEPTABLE CON CONTROL ESPECÍFICO","NO ACEPTABLE")))</f>
        <v>ACEPTABLE</v>
      </c>
      <c r="U18" s="89">
        <v>3</v>
      </c>
      <c r="V18" s="9">
        <v>1</v>
      </c>
      <c r="W18" s="89" t="s">
        <v>86</v>
      </c>
      <c r="X18" s="89" t="s">
        <v>24</v>
      </c>
      <c r="Y18" s="89" t="s">
        <v>26</v>
      </c>
      <c r="Z18" s="89" t="s">
        <v>26</v>
      </c>
      <c r="AA18" s="89" t="s">
        <v>85</v>
      </c>
      <c r="AB18" s="23" t="s">
        <v>26</v>
      </c>
    </row>
    <row r="19" spans="1:28" ht="120.75" customHeight="1" thickBot="1">
      <c r="A19" s="243"/>
      <c r="B19" s="240"/>
      <c r="C19" s="246"/>
      <c r="D19" s="246"/>
      <c r="E19" s="153" t="s">
        <v>626</v>
      </c>
      <c r="F19" s="89" t="s">
        <v>24</v>
      </c>
      <c r="G19" s="89" t="s">
        <v>29</v>
      </c>
      <c r="H19" s="7" t="s">
        <v>30</v>
      </c>
      <c r="I19" s="89" t="s">
        <v>51</v>
      </c>
      <c r="J19" s="27" t="s">
        <v>72</v>
      </c>
      <c r="K19" s="27" t="s">
        <v>52</v>
      </c>
      <c r="L19" s="89" t="s">
        <v>25</v>
      </c>
      <c r="M19" s="89">
        <v>2</v>
      </c>
      <c r="N19" s="89">
        <v>2</v>
      </c>
      <c r="O19" s="89">
        <f t="shared" ref="O19:O25" si="16">M19*N19</f>
        <v>4</v>
      </c>
      <c r="P19" s="83" t="str">
        <f t="shared" ref="P19:P25" si="17">IF(O19&lt;=4,"BAJO",IF(O19&lt;=8,"MEDIO",IF(O19&lt;=20,"ALTO","MUY ALTO")))</f>
        <v>BAJO</v>
      </c>
      <c r="Q19" s="89">
        <v>10</v>
      </c>
      <c r="R19" s="89">
        <f t="shared" si="2"/>
        <v>40</v>
      </c>
      <c r="S19" s="83" t="str">
        <f t="shared" si="3"/>
        <v>3</v>
      </c>
      <c r="T19" s="84" t="str">
        <f t="shared" si="4"/>
        <v>MEJORABLE</v>
      </c>
      <c r="U19" s="89">
        <v>3</v>
      </c>
      <c r="V19" s="9">
        <v>2</v>
      </c>
      <c r="W19" s="89" t="s">
        <v>53</v>
      </c>
      <c r="X19" s="9" t="s">
        <v>24</v>
      </c>
      <c r="Y19" s="9" t="s">
        <v>26</v>
      </c>
      <c r="Z19" s="9" t="s">
        <v>26</v>
      </c>
      <c r="AA19" s="12" t="s">
        <v>31</v>
      </c>
      <c r="AB19" s="24" t="s">
        <v>26</v>
      </c>
    </row>
    <row r="20" spans="1:28" ht="120.75" customHeight="1" thickBot="1">
      <c r="A20" s="243"/>
      <c r="B20" s="240"/>
      <c r="C20" s="246"/>
      <c r="D20" s="246"/>
      <c r="E20" s="153" t="s">
        <v>626</v>
      </c>
      <c r="F20" s="89" t="s">
        <v>24</v>
      </c>
      <c r="G20" s="89" t="s">
        <v>36</v>
      </c>
      <c r="H20" s="7" t="s">
        <v>39</v>
      </c>
      <c r="I20" s="89" t="s">
        <v>104</v>
      </c>
      <c r="J20" s="89" t="s">
        <v>335</v>
      </c>
      <c r="K20" s="89" t="s">
        <v>336</v>
      </c>
      <c r="L20" s="89" t="s">
        <v>25</v>
      </c>
      <c r="M20" s="89">
        <v>2</v>
      </c>
      <c r="N20" s="89">
        <v>3</v>
      </c>
      <c r="O20" s="89">
        <f t="shared" si="16"/>
        <v>6</v>
      </c>
      <c r="P20" s="83" t="str">
        <f t="shared" si="17"/>
        <v>MEDIO</v>
      </c>
      <c r="Q20" s="89">
        <v>10</v>
      </c>
      <c r="R20" s="89">
        <f t="shared" si="2"/>
        <v>60</v>
      </c>
      <c r="S20" s="83" t="str">
        <f t="shared" si="3"/>
        <v>3</v>
      </c>
      <c r="T20" s="84" t="str">
        <f t="shared" si="4"/>
        <v>MEJORABLE</v>
      </c>
      <c r="U20" s="89">
        <v>3</v>
      </c>
      <c r="V20" s="9">
        <v>6</v>
      </c>
      <c r="W20" s="89" t="s">
        <v>34</v>
      </c>
      <c r="X20" s="89" t="s">
        <v>24</v>
      </c>
      <c r="Y20" s="89" t="s">
        <v>26</v>
      </c>
      <c r="Z20" s="89" t="s">
        <v>26</v>
      </c>
      <c r="AA20" s="89" t="s">
        <v>105</v>
      </c>
      <c r="AB20" s="23" t="s">
        <v>26</v>
      </c>
    </row>
    <row r="21" spans="1:28" ht="120.75" customHeight="1" thickBot="1">
      <c r="A21" s="243"/>
      <c r="B21" s="240"/>
      <c r="C21" s="246"/>
      <c r="D21" s="246"/>
      <c r="E21" s="153" t="s">
        <v>626</v>
      </c>
      <c r="F21" s="89" t="s">
        <v>24</v>
      </c>
      <c r="G21" s="89" t="s">
        <v>75</v>
      </c>
      <c r="H21" s="7" t="s">
        <v>28</v>
      </c>
      <c r="I21" s="89" t="s">
        <v>71</v>
      </c>
      <c r="J21" s="89" t="s">
        <v>76</v>
      </c>
      <c r="K21" s="89" t="s">
        <v>106</v>
      </c>
      <c r="L21" s="89" t="s">
        <v>25</v>
      </c>
      <c r="M21" s="89">
        <v>2</v>
      </c>
      <c r="N21" s="89">
        <v>1</v>
      </c>
      <c r="O21" s="89">
        <f t="shared" si="16"/>
        <v>2</v>
      </c>
      <c r="P21" s="83" t="str">
        <f t="shared" si="17"/>
        <v>BAJO</v>
      </c>
      <c r="Q21" s="89">
        <v>10</v>
      </c>
      <c r="R21" s="89">
        <f t="shared" si="2"/>
        <v>20</v>
      </c>
      <c r="S21" s="83" t="str">
        <f t="shared" si="3"/>
        <v>4</v>
      </c>
      <c r="T21" s="84" t="str">
        <f t="shared" si="4"/>
        <v>ACEPTABLE</v>
      </c>
      <c r="U21" s="89">
        <v>3</v>
      </c>
      <c r="V21" s="9">
        <v>8</v>
      </c>
      <c r="W21" s="89" t="s">
        <v>77</v>
      </c>
      <c r="X21" s="9" t="s">
        <v>24</v>
      </c>
      <c r="Y21" s="9" t="s">
        <v>26</v>
      </c>
      <c r="Z21" s="9" t="s">
        <v>26</v>
      </c>
      <c r="AA21" s="12" t="s">
        <v>300</v>
      </c>
      <c r="AB21" s="24" t="s">
        <v>26</v>
      </c>
    </row>
    <row r="22" spans="1:28" ht="141" customHeight="1" thickBot="1">
      <c r="A22" s="243"/>
      <c r="B22" s="240"/>
      <c r="C22" s="246"/>
      <c r="D22" s="246"/>
      <c r="E22" s="153" t="s">
        <v>626</v>
      </c>
      <c r="F22" s="12" t="s">
        <v>24</v>
      </c>
      <c r="G22" s="89" t="s">
        <v>87</v>
      </c>
      <c r="H22" s="7" t="s">
        <v>88</v>
      </c>
      <c r="I22" s="89" t="s">
        <v>89</v>
      </c>
      <c r="J22" s="89" t="s">
        <v>25</v>
      </c>
      <c r="K22" s="12" t="s">
        <v>107</v>
      </c>
      <c r="L22" s="89" t="s">
        <v>25</v>
      </c>
      <c r="M22" s="89">
        <v>2</v>
      </c>
      <c r="N22" s="89">
        <v>2</v>
      </c>
      <c r="O22" s="89">
        <f t="shared" si="16"/>
        <v>4</v>
      </c>
      <c r="P22" s="83" t="str">
        <f t="shared" si="17"/>
        <v>BAJO</v>
      </c>
      <c r="Q22" s="89">
        <v>25</v>
      </c>
      <c r="R22" s="89">
        <f t="shared" si="2"/>
        <v>100</v>
      </c>
      <c r="S22" s="83" t="str">
        <f t="shared" si="3"/>
        <v>3</v>
      </c>
      <c r="T22" s="84" t="str">
        <f t="shared" si="4"/>
        <v>MEJORABLE</v>
      </c>
      <c r="U22" s="89">
        <v>3</v>
      </c>
      <c r="V22" s="89">
        <v>1</v>
      </c>
      <c r="W22" s="89" t="s">
        <v>90</v>
      </c>
      <c r="X22" s="89" t="s">
        <v>114</v>
      </c>
      <c r="Y22" s="89" t="s">
        <v>26</v>
      </c>
      <c r="Z22" s="89" t="s">
        <v>26</v>
      </c>
      <c r="AA22" s="89" t="s">
        <v>91</v>
      </c>
      <c r="AB22" s="23" t="s">
        <v>26</v>
      </c>
    </row>
    <row r="23" spans="1:28" ht="141" customHeight="1" thickBot="1">
      <c r="A23" s="243"/>
      <c r="B23" s="240"/>
      <c r="C23" s="246"/>
      <c r="D23" s="246"/>
      <c r="E23" s="153" t="s">
        <v>626</v>
      </c>
      <c r="F23" s="12" t="s">
        <v>24</v>
      </c>
      <c r="G23" s="89" t="s">
        <v>301</v>
      </c>
      <c r="H23" s="7" t="s">
        <v>339</v>
      </c>
      <c r="I23" s="89" t="s">
        <v>303</v>
      </c>
      <c r="J23" s="89" t="s">
        <v>25</v>
      </c>
      <c r="K23" s="12" t="s">
        <v>304</v>
      </c>
      <c r="L23" s="89" t="s">
        <v>25</v>
      </c>
      <c r="M23" s="89">
        <v>2</v>
      </c>
      <c r="N23" s="89">
        <v>1</v>
      </c>
      <c r="O23" s="89">
        <f t="shared" si="16"/>
        <v>2</v>
      </c>
      <c r="P23" s="83" t="str">
        <f t="shared" si="17"/>
        <v>BAJO</v>
      </c>
      <c r="Q23" s="89">
        <v>25</v>
      </c>
      <c r="R23" s="89">
        <f t="shared" si="2"/>
        <v>50</v>
      </c>
      <c r="S23" s="83" t="str">
        <f t="shared" si="3"/>
        <v>3</v>
      </c>
      <c r="T23" s="84" t="str">
        <f t="shared" si="4"/>
        <v>MEJORABLE</v>
      </c>
      <c r="U23" s="89">
        <v>3</v>
      </c>
      <c r="V23" s="89">
        <v>8</v>
      </c>
      <c r="W23" s="89" t="s">
        <v>90</v>
      </c>
      <c r="X23" s="89" t="s">
        <v>114</v>
      </c>
      <c r="Y23" s="89" t="s">
        <v>26</v>
      </c>
      <c r="Z23" s="89" t="s">
        <v>26</v>
      </c>
      <c r="AA23" s="89" t="s">
        <v>305</v>
      </c>
      <c r="AB23" s="23" t="s">
        <v>345</v>
      </c>
    </row>
    <row r="24" spans="1:28" ht="141" customHeight="1" thickBot="1">
      <c r="A24" s="243"/>
      <c r="B24" s="240"/>
      <c r="C24" s="246"/>
      <c r="D24" s="246"/>
      <c r="E24" s="153" t="s">
        <v>626</v>
      </c>
      <c r="F24" s="12" t="s">
        <v>24</v>
      </c>
      <c r="G24" s="89" t="s">
        <v>338</v>
      </c>
      <c r="H24" s="7" t="s">
        <v>302</v>
      </c>
      <c r="I24" s="89" t="s">
        <v>340</v>
      </c>
      <c r="J24" s="89" t="s">
        <v>25</v>
      </c>
      <c r="K24" s="12" t="s">
        <v>341</v>
      </c>
      <c r="L24" s="89" t="s">
        <v>342</v>
      </c>
      <c r="M24" s="89">
        <v>2</v>
      </c>
      <c r="N24" s="89">
        <v>3</v>
      </c>
      <c r="O24" s="89">
        <f t="shared" si="16"/>
        <v>6</v>
      </c>
      <c r="P24" s="83" t="str">
        <f t="shared" si="17"/>
        <v>MEDIO</v>
      </c>
      <c r="Q24" s="89">
        <v>25</v>
      </c>
      <c r="R24" s="89">
        <f t="shared" si="2"/>
        <v>150</v>
      </c>
      <c r="S24" s="83" t="str">
        <f t="shared" si="3"/>
        <v>2</v>
      </c>
      <c r="T24" s="84" t="str">
        <f t="shared" si="4"/>
        <v>NO ACEPTABLE O ACEPTABLE CON CONTROL ESPECÍFICO</v>
      </c>
      <c r="U24" s="89">
        <v>3</v>
      </c>
      <c r="V24" s="89">
        <v>3</v>
      </c>
      <c r="W24" s="89" t="s">
        <v>90</v>
      </c>
      <c r="X24" s="89" t="s">
        <v>114</v>
      </c>
      <c r="Y24" s="89" t="s">
        <v>26</v>
      </c>
      <c r="Z24" s="89" t="s">
        <v>26</v>
      </c>
      <c r="AA24" s="89" t="s">
        <v>343</v>
      </c>
      <c r="AB24" s="23" t="s">
        <v>26</v>
      </c>
    </row>
    <row r="25" spans="1:28" ht="141" customHeight="1" thickBot="1">
      <c r="A25" s="244"/>
      <c r="B25" s="241"/>
      <c r="C25" s="247"/>
      <c r="D25" s="247"/>
      <c r="E25" s="153" t="s">
        <v>626</v>
      </c>
      <c r="F25" s="129" t="s">
        <v>24</v>
      </c>
      <c r="G25" s="89" t="s">
        <v>501</v>
      </c>
      <c r="H25" s="82" t="s">
        <v>502</v>
      </c>
      <c r="I25" s="89" t="s">
        <v>503</v>
      </c>
      <c r="J25" s="89" t="s">
        <v>504</v>
      </c>
      <c r="K25" s="89" t="s">
        <v>505</v>
      </c>
      <c r="L25" s="89" t="s">
        <v>506</v>
      </c>
      <c r="M25" s="89">
        <v>2</v>
      </c>
      <c r="N25" s="89">
        <v>4</v>
      </c>
      <c r="O25" s="89">
        <f t="shared" si="16"/>
        <v>8</v>
      </c>
      <c r="P25" s="83" t="str">
        <f t="shared" si="17"/>
        <v>MEDIO</v>
      </c>
      <c r="Q25" s="89">
        <v>100</v>
      </c>
      <c r="R25" s="89">
        <f t="shared" ref="R25" si="18">O25*Q25</f>
        <v>800</v>
      </c>
      <c r="S25" s="83" t="str">
        <f t="shared" ref="S25" si="19">IF(R25&lt;=20,"4",IF(R25&lt;=120,"3",IF(R25&lt;=500,"2","1")))</f>
        <v>1</v>
      </c>
      <c r="T25" s="84" t="str">
        <f t="shared" ref="T25" si="20">IF(S25="4","ACEPTABLE",IF(S25="3","MEJORABLE",IF(S25="2","NO ACEPTABLE O ACEPTABLE CON CONTROL ESPECÍFICO","NO ACEPTABLE")))</f>
        <v>NO ACEPTABLE</v>
      </c>
      <c r="U25" s="89">
        <v>1</v>
      </c>
      <c r="V25" s="89">
        <v>10</v>
      </c>
      <c r="W25" s="12" t="s">
        <v>413</v>
      </c>
      <c r="X25" s="10" t="s">
        <v>26</v>
      </c>
      <c r="Y25" s="10" t="s">
        <v>26</v>
      </c>
      <c r="Z25" s="10" t="s">
        <v>26</v>
      </c>
      <c r="AA25" s="102" t="s">
        <v>507</v>
      </c>
      <c r="AB25" s="24" t="s">
        <v>26</v>
      </c>
    </row>
    <row r="26" spans="1:28" ht="141" customHeight="1" thickBot="1">
      <c r="A26" s="239" t="s">
        <v>286</v>
      </c>
      <c r="B26" s="239" t="s">
        <v>508</v>
      </c>
      <c r="C26" s="268" t="s">
        <v>288</v>
      </c>
      <c r="D26" s="268" t="s">
        <v>289</v>
      </c>
      <c r="E26" s="153" t="s">
        <v>626</v>
      </c>
      <c r="F26" s="128" t="s">
        <v>24</v>
      </c>
      <c r="G26" s="12" t="s">
        <v>54</v>
      </c>
      <c r="H26" s="82" t="s">
        <v>58</v>
      </c>
      <c r="I26" s="17" t="s">
        <v>78</v>
      </c>
      <c r="J26" s="89" t="s">
        <v>25</v>
      </c>
      <c r="K26" s="89" t="s">
        <v>25</v>
      </c>
      <c r="L26" s="89" t="s">
        <v>108</v>
      </c>
      <c r="M26" s="89">
        <v>2</v>
      </c>
      <c r="N26" s="89">
        <v>1</v>
      </c>
      <c r="O26" s="89">
        <f t="shared" ref="O26:O30" si="21">M26*N26</f>
        <v>2</v>
      </c>
      <c r="P26" s="83" t="str">
        <f t="shared" ref="P26:P30" si="22">IF(O26&lt;=4,"BAJO",IF(O26&lt;=8,"MEDIO",IF(O26&lt;=20,"ALTO","MUY ALTO")))</f>
        <v>BAJO</v>
      </c>
      <c r="Q26" s="89">
        <v>25</v>
      </c>
      <c r="R26" s="89">
        <f t="shared" si="2"/>
        <v>50</v>
      </c>
      <c r="S26" s="83" t="str">
        <f t="shared" si="3"/>
        <v>3</v>
      </c>
      <c r="T26" s="84" t="str">
        <f t="shared" si="4"/>
        <v>MEJORABLE</v>
      </c>
      <c r="U26" s="89">
        <v>3</v>
      </c>
      <c r="V26" s="89">
        <v>8</v>
      </c>
      <c r="W26" s="12" t="s">
        <v>55</v>
      </c>
      <c r="X26" s="10" t="s">
        <v>26</v>
      </c>
      <c r="Y26" s="10" t="s">
        <v>26</v>
      </c>
      <c r="Z26" s="10" t="s">
        <v>26</v>
      </c>
      <c r="AA26" s="12" t="s">
        <v>310</v>
      </c>
      <c r="AB26" s="24" t="s">
        <v>26</v>
      </c>
    </row>
    <row r="27" spans="1:28" ht="141" customHeight="1" thickBot="1">
      <c r="A27" s="240"/>
      <c r="B27" s="240"/>
      <c r="C27" s="268"/>
      <c r="D27" s="268"/>
      <c r="E27" s="153" t="s">
        <v>626</v>
      </c>
      <c r="F27" s="128" t="s">
        <v>24</v>
      </c>
      <c r="G27" s="92" t="s">
        <v>111</v>
      </c>
      <c r="H27" s="82" t="s">
        <v>58</v>
      </c>
      <c r="I27" s="89" t="s">
        <v>312</v>
      </c>
      <c r="J27" s="89" t="s">
        <v>112</v>
      </c>
      <c r="K27" s="89" t="s">
        <v>25</v>
      </c>
      <c r="L27" s="89" t="s">
        <v>25</v>
      </c>
      <c r="M27" s="89">
        <v>2</v>
      </c>
      <c r="N27" s="89">
        <v>1</v>
      </c>
      <c r="O27" s="89">
        <f t="shared" si="21"/>
        <v>2</v>
      </c>
      <c r="P27" s="8" t="str">
        <f t="shared" si="22"/>
        <v>BAJO</v>
      </c>
      <c r="Q27" s="89">
        <v>10</v>
      </c>
      <c r="R27" s="6">
        <f t="shared" si="2"/>
        <v>20</v>
      </c>
      <c r="S27" s="8" t="str">
        <f t="shared" si="3"/>
        <v>4</v>
      </c>
      <c r="T27" s="11" t="str">
        <f t="shared" si="4"/>
        <v>ACEPTABLE</v>
      </c>
      <c r="U27" s="89">
        <v>3</v>
      </c>
      <c r="V27" s="89">
        <v>2</v>
      </c>
      <c r="W27" s="12" t="s">
        <v>313</v>
      </c>
      <c r="X27" s="10" t="s">
        <v>114</v>
      </c>
      <c r="Y27" s="10" t="s">
        <v>26</v>
      </c>
      <c r="Z27" s="10" t="s">
        <v>26</v>
      </c>
      <c r="AA27" s="12" t="s">
        <v>310</v>
      </c>
      <c r="AB27" s="24" t="s">
        <v>26</v>
      </c>
    </row>
    <row r="28" spans="1:28" ht="141" customHeight="1" thickBot="1">
      <c r="A28" s="240"/>
      <c r="B28" s="240"/>
      <c r="C28" s="268"/>
      <c r="D28" s="268"/>
      <c r="E28" s="153" t="s">
        <v>626</v>
      </c>
      <c r="F28" s="128" t="s">
        <v>24</v>
      </c>
      <c r="G28" s="89" t="s">
        <v>306</v>
      </c>
      <c r="H28" s="82" t="s">
        <v>58</v>
      </c>
      <c r="I28" s="89" t="s">
        <v>307</v>
      </c>
      <c r="J28" s="89" t="s">
        <v>25</v>
      </c>
      <c r="K28" s="89" t="s">
        <v>308</v>
      </c>
      <c r="L28" s="89" t="s">
        <v>25</v>
      </c>
      <c r="M28" s="89">
        <v>2</v>
      </c>
      <c r="N28" s="89">
        <v>1</v>
      </c>
      <c r="O28" s="89">
        <f t="shared" si="21"/>
        <v>2</v>
      </c>
      <c r="P28" s="8" t="str">
        <f t="shared" si="22"/>
        <v>BAJO</v>
      </c>
      <c r="Q28" s="89">
        <v>10</v>
      </c>
      <c r="R28" s="6">
        <f t="shared" si="2"/>
        <v>20</v>
      </c>
      <c r="S28" s="8" t="str">
        <f t="shared" si="3"/>
        <v>4</v>
      </c>
      <c r="T28" s="11" t="str">
        <f t="shared" si="4"/>
        <v>ACEPTABLE</v>
      </c>
      <c r="U28" s="89">
        <v>3</v>
      </c>
      <c r="V28" s="89">
        <v>2</v>
      </c>
      <c r="W28" s="12" t="s">
        <v>309</v>
      </c>
      <c r="X28" s="10" t="s">
        <v>26</v>
      </c>
      <c r="Y28" s="10" t="s">
        <v>26</v>
      </c>
      <c r="Z28" s="10" t="s">
        <v>26</v>
      </c>
      <c r="AA28" s="12" t="s">
        <v>310</v>
      </c>
      <c r="AB28" s="24" t="s">
        <v>26</v>
      </c>
    </row>
    <row r="29" spans="1:28" ht="141" customHeight="1" thickBot="1">
      <c r="A29" s="240"/>
      <c r="B29" s="240"/>
      <c r="C29" s="268"/>
      <c r="D29" s="268"/>
      <c r="E29" s="153" t="s">
        <v>626</v>
      </c>
      <c r="F29" s="129" t="s">
        <v>24</v>
      </c>
      <c r="G29" s="90" t="s">
        <v>280</v>
      </c>
      <c r="H29" s="20" t="s">
        <v>235</v>
      </c>
      <c r="I29" s="90" t="s">
        <v>314</v>
      </c>
      <c r="J29" s="90" t="s">
        <v>25</v>
      </c>
      <c r="K29" s="90" t="s">
        <v>25</v>
      </c>
      <c r="L29" s="90" t="s">
        <v>25</v>
      </c>
      <c r="M29" s="90">
        <v>2</v>
      </c>
      <c r="N29" s="90">
        <v>1</v>
      </c>
      <c r="O29" s="90">
        <f t="shared" si="21"/>
        <v>2</v>
      </c>
      <c r="P29" s="14" t="str">
        <f t="shared" si="22"/>
        <v>BAJO</v>
      </c>
      <c r="Q29" s="90">
        <v>10</v>
      </c>
      <c r="R29" s="15">
        <f t="shared" si="2"/>
        <v>20</v>
      </c>
      <c r="S29" s="14" t="str">
        <f t="shared" si="3"/>
        <v>4</v>
      </c>
      <c r="T29" s="16" t="str">
        <f t="shared" si="4"/>
        <v>ACEPTABLE</v>
      </c>
      <c r="U29" s="90">
        <v>3</v>
      </c>
      <c r="V29" s="90">
        <v>1</v>
      </c>
      <c r="W29" s="22" t="s">
        <v>315</v>
      </c>
      <c r="X29" s="21" t="s">
        <v>26</v>
      </c>
      <c r="Y29" s="21" t="s">
        <v>26</v>
      </c>
      <c r="Z29" s="21" t="s">
        <v>26</v>
      </c>
      <c r="AA29" s="22" t="s">
        <v>316</v>
      </c>
      <c r="AB29" s="26" t="s">
        <v>26</v>
      </c>
    </row>
    <row r="30" spans="1:28" ht="133.5" customHeight="1" thickBot="1">
      <c r="A30" s="241"/>
      <c r="B30" s="241"/>
      <c r="C30" s="268"/>
      <c r="D30" s="268"/>
      <c r="E30" s="161" t="s">
        <v>626</v>
      </c>
      <c r="F30" s="129" t="s">
        <v>24</v>
      </c>
      <c r="G30" s="89" t="s">
        <v>501</v>
      </c>
      <c r="H30" s="82" t="s">
        <v>502</v>
      </c>
      <c r="I30" s="89" t="s">
        <v>503</v>
      </c>
      <c r="J30" s="89" t="s">
        <v>504</v>
      </c>
      <c r="K30" s="89" t="s">
        <v>505</v>
      </c>
      <c r="L30" s="89" t="s">
        <v>506</v>
      </c>
      <c r="M30" s="89">
        <v>2</v>
      </c>
      <c r="N30" s="89">
        <v>4</v>
      </c>
      <c r="O30" s="89">
        <f t="shared" si="21"/>
        <v>8</v>
      </c>
      <c r="P30" s="83" t="str">
        <f t="shared" si="22"/>
        <v>MEDIO</v>
      </c>
      <c r="Q30" s="89">
        <v>100</v>
      </c>
      <c r="R30" s="89">
        <f t="shared" si="2"/>
        <v>800</v>
      </c>
      <c r="S30" s="83" t="str">
        <f t="shared" si="3"/>
        <v>1</v>
      </c>
      <c r="T30" s="84" t="str">
        <f t="shared" si="4"/>
        <v>NO ACEPTABLE</v>
      </c>
      <c r="U30" s="89">
        <v>1</v>
      </c>
      <c r="V30" s="89">
        <v>10</v>
      </c>
      <c r="W30" s="12" t="s">
        <v>413</v>
      </c>
      <c r="X30" s="10" t="s">
        <v>26</v>
      </c>
      <c r="Y30" s="10" t="s">
        <v>26</v>
      </c>
      <c r="Z30" s="10" t="s">
        <v>26</v>
      </c>
      <c r="AA30" s="102" t="s">
        <v>507</v>
      </c>
      <c r="AB30" s="24" t="s">
        <v>26</v>
      </c>
    </row>
    <row r="31" spans="1:28" ht="62.25" customHeight="1" thickBot="1">
      <c r="A31" s="130"/>
      <c r="B31" s="130"/>
      <c r="C31" s="131"/>
      <c r="G31" s="127"/>
      <c r="H31" s="132"/>
      <c r="I31" s="127"/>
      <c r="J31" s="127"/>
      <c r="K31" s="127"/>
      <c r="L31" s="133"/>
      <c r="M31" s="118"/>
      <c r="N31" s="118"/>
      <c r="O31" s="118"/>
      <c r="P31" s="134"/>
      <c r="Q31" s="118"/>
      <c r="R31" s="118"/>
      <c r="S31" s="134"/>
      <c r="T31" s="135"/>
      <c r="U31" s="118"/>
      <c r="V31" s="118"/>
      <c r="W31" s="136"/>
      <c r="X31" s="137"/>
      <c r="Y31" s="137"/>
      <c r="Z31" s="137"/>
      <c r="AA31" s="138"/>
      <c r="AB31" s="136"/>
    </row>
    <row r="32" spans="1:28" ht="19.5" customHeight="1">
      <c r="A32" s="265" t="s">
        <v>40</v>
      </c>
      <c r="B32" s="266"/>
      <c r="C32" s="267"/>
      <c r="F32" s="269" t="s">
        <v>41</v>
      </c>
      <c r="G32" s="270"/>
      <c r="H32" s="270"/>
      <c r="I32" s="270"/>
      <c r="J32" s="270"/>
      <c r="K32" s="270"/>
      <c r="L32" s="271"/>
      <c r="AB32" s="5"/>
    </row>
    <row r="33" spans="1:28" ht="24" customHeight="1">
      <c r="A33" s="259" t="s">
        <v>317</v>
      </c>
      <c r="B33" s="260"/>
      <c r="C33" s="97">
        <v>1</v>
      </c>
      <c r="F33" s="272" t="s">
        <v>60</v>
      </c>
      <c r="G33" s="273"/>
      <c r="H33" s="274" t="s">
        <v>61</v>
      </c>
      <c r="I33" s="274"/>
      <c r="J33" s="275" t="s">
        <v>62</v>
      </c>
      <c r="K33" s="276" t="s">
        <v>63</v>
      </c>
      <c r="L33" s="277" t="s">
        <v>43</v>
      </c>
      <c r="AB33" s="5"/>
    </row>
    <row r="34" spans="1:28" ht="24" customHeight="1">
      <c r="A34" s="259" t="s">
        <v>42</v>
      </c>
      <c r="B34" s="260"/>
      <c r="C34" s="97">
        <v>3</v>
      </c>
      <c r="F34" s="272"/>
      <c r="G34" s="273"/>
      <c r="H34" s="274"/>
      <c r="I34" s="274"/>
      <c r="J34" s="275"/>
      <c r="K34" s="276"/>
      <c r="L34" s="277"/>
      <c r="AB34" s="5"/>
    </row>
    <row r="35" spans="1:28" ht="45.75" customHeight="1" thickBot="1">
      <c r="A35" s="257" t="s">
        <v>120</v>
      </c>
      <c r="B35" s="258"/>
      <c r="C35" s="97">
        <v>1</v>
      </c>
      <c r="F35" s="263">
        <v>0</v>
      </c>
      <c r="G35" s="264"/>
      <c r="H35" s="264">
        <v>1</v>
      </c>
      <c r="I35" s="264"/>
      <c r="J35" s="94">
        <v>13</v>
      </c>
      <c r="K35" s="94">
        <v>9</v>
      </c>
      <c r="L35" s="95">
        <f>SUM(F35:K35)</f>
        <v>23</v>
      </c>
    </row>
    <row r="36" spans="1:28" ht="31.5" customHeight="1">
      <c r="A36" s="257" t="s">
        <v>311</v>
      </c>
      <c r="B36" s="258"/>
      <c r="C36" s="97">
        <v>1</v>
      </c>
    </row>
    <row r="37" spans="1:28" ht="45" customHeight="1">
      <c r="A37" s="257" t="s">
        <v>347</v>
      </c>
      <c r="B37" s="258"/>
      <c r="C37" s="97">
        <v>1</v>
      </c>
    </row>
    <row r="38" spans="1:28" ht="30.75" customHeight="1">
      <c r="A38" s="257" t="s">
        <v>44</v>
      </c>
      <c r="B38" s="258"/>
      <c r="C38" s="97">
        <v>1</v>
      </c>
      <c r="M38" s="19"/>
      <c r="N38" s="19"/>
    </row>
    <row r="39" spans="1:28" ht="33.75" customHeight="1">
      <c r="A39" s="257" t="s">
        <v>45</v>
      </c>
      <c r="B39" s="258"/>
      <c r="C39" s="97">
        <v>1</v>
      </c>
      <c r="M39" s="19"/>
      <c r="N39" s="19"/>
    </row>
    <row r="40" spans="1:28" ht="28.5" customHeight="1">
      <c r="A40" s="257" t="s">
        <v>46</v>
      </c>
      <c r="B40" s="258"/>
      <c r="C40" s="98">
        <v>2</v>
      </c>
      <c r="N40" s="19"/>
    </row>
    <row r="41" spans="1:28" ht="27" customHeight="1">
      <c r="A41" s="257" t="s">
        <v>47</v>
      </c>
      <c r="B41" s="258"/>
      <c r="C41" s="98">
        <v>1</v>
      </c>
    </row>
    <row r="42" spans="1:28">
      <c r="A42" s="259" t="s">
        <v>48</v>
      </c>
      <c r="B42" s="260"/>
      <c r="C42" s="97">
        <v>5</v>
      </c>
    </row>
    <row r="43" spans="1:28" ht="29.25" customHeight="1">
      <c r="A43" s="261" t="s">
        <v>59</v>
      </c>
      <c r="B43" s="262"/>
      <c r="C43" s="97">
        <v>3</v>
      </c>
    </row>
    <row r="44" spans="1:28" ht="20.25" customHeight="1">
      <c r="A44" s="261" t="s">
        <v>84</v>
      </c>
      <c r="B44" s="262"/>
      <c r="C44" s="97">
        <v>2</v>
      </c>
    </row>
    <row r="45" spans="1:28" ht="20.25" customHeight="1">
      <c r="A45" s="261" t="s">
        <v>337</v>
      </c>
      <c r="B45" s="262"/>
      <c r="C45" s="97">
        <v>1</v>
      </c>
    </row>
    <row r="46" spans="1:28" ht="14" thickBot="1">
      <c r="A46" s="255" t="s">
        <v>43</v>
      </c>
      <c r="B46" s="256"/>
      <c r="C46" s="99">
        <f>SUBTOTAL(9,C33:C45)</f>
        <v>23</v>
      </c>
    </row>
  </sheetData>
  <autoFilter ref="A4:AB29" xr:uid="{00000000-0009-0000-0000-000000000000}"/>
  <mergeCells count="50">
    <mergeCell ref="A2:C2"/>
    <mergeCell ref="A3:A4"/>
    <mergeCell ref="B3:B4"/>
    <mergeCell ref="C3:C4"/>
    <mergeCell ref="D3:D4"/>
    <mergeCell ref="M3:S3"/>
    <mergeCell ref="U3:W3"/>
    <mergeCell ref="X3:AB3"/>
    <mergeCell ref="F32:L32"/>
    <mergeCell ref="F33:G34"/>
    <mergeCell ref="H33:I34"/>
    <mergeCell ref="J33:J34"/>
    <mergeCell ref="K33:K34"/>
    <mergeCell ref="L33:L34"/>
    <mergeCell ref="F3:F4"/>
    <mergeCell ref="G3:H3"/>
    <mergeCell ref="I3:I4"/>
    <mergeCell ref="A39:B39"/>
    <mergeCell ref="A32:C32"/>
    <mergeCell ref="A33:B33"/>
    <mergeCell ref="A34:B34"/>
    <mergeCell ref="D26:D30"/>
    <mergeCell ref="C26:C30"/>
    <mergeCell ref="B26:B30"/>
    <mergeCell ref="A26:A30"/>
    <mergeCell ref="A1:AB1"/>
    <mergeCell ref="D2:AB2"/>
    <mergeCell ref="A46:B46"/>
    <mergeCell ref="A40:B40"/>
    <mergeCell ref="A41:B41"/>
    <mergeCell ref="A42:B42"/>
    <mergeCell ref="A44:B44"/>
    <mergeCell ref="A45:B45"/>
    <mergeCell ref="A37:B37"/>
    <mergeCell ref="A35:B35"/>
    <mergeCell ref="F35:G35"/>
    <mergeCell ref="H35:I35"/>
    <mergeCell ref="A36:B36"/>
    <mergeCell ref="A43:B43"/>
    <mergeCell ref="J3:L3"/>
    <mergeCell ref="A38:B38"/>
    <mergeCell ref="E3:E4"/>
    <mergeCell ref="B15:B25"/>
    <mergeCell ref="A15:A25"/>
    <mergeCell ref="D5:D14"/>
    <mergeCell ref="C5:C14"/>
    <mergeCell ref="B5:B14"/>
    <mergeCell ref="A5:A14"/>
    <mergeCell ref="D15:D25"/>
    <mergeCell ref="C15:C25"/>
  </mergeCells>
  <conditionalFormatting sqref="P5:P31">
    <cfRule type="cellIs" dxfId="74" priority="9" stopIfTrue="1" operator="equal">
      <formula>"MUY ALTO"</formula>
    </cfRule>
    <cfRule type="cellIs" dxfId="73" priority="10" stopIfTrue="1" operator="equal">
      <formula>"ALTO"</formula>
    </cfRule>
    <cfRule type="cellIs" dxfId="72" priority="11" stopIfTrue="1" operator="equal">
      <formula>"MEDIO"</formula>
    </cfRule>
    <cfRule type="cellIs" dxfId="71" priority="12" stopIfTrue="1" operator="equal">
      <formula>"BAJO"</formula>
    </cfRule>
  </conditionalFormatting>
  <conditionalFormatting sqref="R5:R31">
    <cfRule type="cellIs" dxfId="70" priority="5" stopIfTrue="1" operator="between">
      <formula>600</formula>
      <formula>4000</formula>
    </cfRule>
    <cfRule type="cellIs" dxfId="69" priority="6" stopIfTrue="1" operator="between">
      <formula>150</formula>
      <formula>500</formula>
    </cfRule>
    <cfRule type="cellIs" dxfId="68" priority="7" stopIfTrue="1" operator="between">
      <formula>40</formula>
      <formula>120</formula>
    </cfRule>
    <cfRule type="cellIs" dxfId="67" priority="8" stopIfTrue="1" operator="between">
      <formula>0</formula>
      <formula>20</formula>
    </cfRule>
  </conditionalFormatting>
  <conditionalFormatting sqref="T5:T31">
    <cfRule type="cellIs" dxfId="66" priority="1" stopIfTrue="1" operator="equal">
      <formula>"NO ACEPTABLE"</formula>
    </cfRule>
    <cfRule type="cellIs" dxfId="65" priority="2" stopIfTrue="1" operator="equal">
      <formula>"NO ACEPTABLE O ACEPTABLE CON CONTROL ESPECÍFICO"</formula>
    </cfRule>
    <cfRule type="cellIs" dxfId="64" priority="3" stopIfTrue="1" operator="equal">
      <formula>"MEJORABLE"</formula>
    </cfRule>
    <cfRule type="cellIs" dxfId="63" priority="4" stopIfTrue="1" operator="equal">
      <formula>"ACEPTABLE"</formula>
    </cfRule>
  </conditionalFormatting>
  <pageMargins left="0.74803149606299213" right="0.74803149606299213" top="0.98425196850393704" bottom="0.98425196850393704" header="0" footer="0"/>
  <pageSetup paperSize="9" scale="11" orientation="landscape" r:id="rId1"/>
  <headerFooter alignWithMargins="0"/>
  <rowBreaks count="3" manualBreakCount="3">
    <brk id="14" max="26" man="1"/>
    <brk id="25" max="26" man="1"/>
    <brk id="29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AB175"/>
  <sheetViews>
    <sheetView tabSelected="1" zoomScale="75" zoomScaleNormal="75" zoomScaleSheetLayoutView="40" zoomScalePageLayoutView="41" workbookViewId="0">
      <selection activeCell="A3" sqref="A3:AB4"/>
    </sheetView>
  </sheetViews>
  <sheetFormatPr baseColWidth="10" defaultColWidth="11.5" defaultRowHeight="13"/>
  <cols>
    <col min="1" max="1" width="11.1640625" style="93" customWidth="1"/>
    <col min="2" max="2" width="10.5" style="116" customWidth="1"/>
    <col min="3" max="3" width="27.33203125" style="117" customWidth="1"/>
    <col min="4" max="4" width="26" style="118" customWidth="1"/>
    <col min="5" max="5" width="4.33203125" style="93" customWidth="1"/>
    <col min="6" max="6" width="11.83203125" style="93" customWidth="1"/>
    <col min="7" max="7" width="17.1640625" style="93" customWidth="1"/>
    <col min="8" max="8" width="14.1640625" style="93" bestFit="1" customWidth="1"/>
    <col min="9" max="9" width="25.5" style="93" customWidth="1"/>
    <col min="10" max="10" width="14.33203125" style="93" customWidth="1"/>
    <col min="11" max="11" width="18.5" style="93" customWidth="1"/>
    <col min="12" max="12" width="37.1640625" style="93" customWidth="1"/>
    <col min="13" max="15" width="4" style="93" customWidth="1"/>
    <col min="16" max="16" width="14.5" style="93" customWidth="1"/>
    <col min="17" max="17" width="10.33203125" style="93" customWidth="1"/>
    <col min="18" max="18" width="11.6640625" style="93" customWidth="1"/>
    <col min="19" max="19" width="3.33203125" style="93" customWidth="1"/>
    <col min="20" max="20" width="30" style="93" customWidth="1"/>
    <col min="21" max="21" width="5" style="93" customWidth="1"/>
    <col min="22" max="22" width="9.1640625" style="93" customWidth="1"/>
    <col min="23" max="23" width="21" style="93" customWidth="1"/>
    <col min="24" max="24" width="15" style="93" customWidth="1"/>
    <col min="25" max="25" width="14.5" style="93" customWidth="1"/>
    <col min="26" max="26" width="22.5" style="93" customWidth="1"/>
    <col min="27" max="27" width="37.6640625" style="93" customWidth="1"/>
    <col min="28" max="28" width="18.5" style="93" customWidth="1"/>
    <col min="29" max="16384" width="11.5" style="93"/>
  </cols>
  <sheetData>
    <row r="1" spans="1:28" ht="108.75" customHeight="1" thickBot="1">
      <c r="A1" s="224"/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</row>
    <row r="2" spans="1:28" ht="15" customHeight="1" thickBot="1">
      <c r="A2" s="225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7"/>
    </row>
    <row r="3" spans="1:28" ht="28.5" customHeight="1">
      <c r="A3" s="231" t="s">
        <v>0</v>
      </c>
      <c r="B3" s="213" t="s">
        <v>1</v>
      </c>
      <c r="C3" s="233" t="s">
        <v>2</v>
      </c>
      <c r="D3" s="235" t="s">
        <v>3</v>
      </c>
      <c r="E3" s="213" t="s">
        <v>4</v>
      </c>
      <c r="F3" s="215" t="s">
        <v>623</v>
      </c>
      <c r="G3" s="193" t="s">
        <v>5</v>
      </c>
      <c r="H3" s="193"/>
      <c r="I3" s="213" t="s">
        <v>6</v>
      </c>
      <c r="J3" s="193" t="s">
        <v>7</v>
      </c>
      <c r="K3" s="193"/>
      <c r="L3" s="193"/>
      <c r="M3" s="194" t="s">
        <v>49</v>
      </c>
      <c r="N3" s="194"/>
      <c r="O3" s="194"/>
      <c r="P3" s="194"/>
      <c r="Q3" s="194"/>
      <c r="R3" s="194"/>
      <c r="S3" s="194"/>
      <c r="T3" s="163" t="s">
        <v>50</v>
      </c>
      <c r="U3" s="195" t="s">
        <v>8</v>
      </c>
      <c r="V3" s="195"/>
      <c r="W3" s="195"/>
      <c r="X3" s="194" t="s">
        <v>9</v>
      </c>
      <c r="Y3" s="194"/>
      <c r="Z3" s="194"/>
      <c r="AA3" s="194"/>
      <c r="AB3" s="230"/>
    </row>
    <row r="4" spans="1:28" ht="156" customHeight="1" thickBot="1">
      <c r="A4" s="232"/>
      <c r="B4" s="214"/>
      <c r="C4" s="234"/>
      <c r="D4" s="236"/>
      <c r="E4" s="214"/>
      <c r="F4" s="216"/>
      <c r="G4" s="164" t="s">
        <v>10</v>
      </c>
      <c r="H4" s="164" t="s">
        <v>11</v>
      </c>
      <c r="I4" s="214"/>
      <c r="J4" s="164" t="s">
        <v>12</v>
      </c>
      <c r="K4" s="164" t="s">
        <v>13</v>
      </c>
      <c r="L4" s="164" t="s">
        <v>94</v>
      </c>
      <c r="M4" s="165" t="s">
        <v>14</v>
      </c>
      <c r="N4" s="165" t="s">
        <v>15</v>
      </c>
      <c r="O4" s="166" t="s">
        <v>16</v>
      </c>
      <c r="P4" s="166" t="s">
        <v>17</v>
      </c>
      <c r="Q4" s="165" t="s">
        <v>18</v>
      </c>
      <c r="R4" s="166" t="s">
        <v>64</v>
      </c>
      <c r="S4" s="165" t="s">
        <v>19</v>
      </c>
      <c r="T4" s="165" t="s">
        <v>20</v>
      </c>
      <c r="U4" s="165" t="s">
        <v>65</v>
      </c>
      <c r="V4" s="165" t="s">
        <v>92</v>
      </c>
      <c r="W4" s="165" t="s">
        <v>21</v>
      </c>
      <c r="X4" s="165" t="s">
        <v>113</v>
      </c>
      <c r="Y4" s="165" t="s">
        <v>93</v>
      </c>
      <c r="Z4" s="165" t="s">
        <v>66</v>
      </c>
      <c r="AA4" s="166" t="s">
        <v>22</v>
      </c>
      <c r="AB4" s="167" t="s">
        <v>23</v>
      </c>
    </row>
    <row r="5" spans="1:28" ht="156" customHeight="1" thickBot="1">
      <c r="A5" s="169" t="s">
        <v>287</v>
      </c>
      <c r="B5" s="172" t="s">
        <v>361</v>
      </c>
      <c r="C5" s="168" t="s">
        <v>619</v>
      </c>
      <c r="D5" s="168" t="s">
        <v>681</v>
      </c>
      <c r="E5" s="91" t="s">
        <v>109</v>
      </c>
      <c r="F5" s="91" t="s">
        <v>624</v>
      </c>
      <c r="G5" s="91" t="s">
        <v>526</v>
      </c>
      <c r="H5" s="18" t="s">
        <v>525</v>
      </c>
      <c r="I5" s="139" t="s">
        <v>527</v>
      </c>
      <c r="J5" s="85" t="s">
        <v>25</v>
      </c>
      <c r="K5" s="89" t="s">
        <v>528</v>
      </c>
      <c r="L5" s="144" t="s">
        <v>529</v>
      </c>
      <c r="M5" s="91">
        <v>2</v>
      </c>
      <c r="N5" s="91">
        <v>3</v>
      </c>
      <c r="O5" s="91">
        <f t="shared" ref="O5:O27" si="0">M5*N5</f>
        <v>6</v>
      </c>
      <c r="P5" s="86" t="str">
        <f t="shared" ref="P5:P27" si="1">IF(O5&lt;=4,"BAJO",IF(O5&lt;=8,"MEDIO",IF(O5&lt;=20,"ALTO","MUY ALTO")))</f>
        <v>MEDIO</v>
      </c>
      <c r="Q5" s="91">
        <v>10</v>
      </c>
      <c r="R5" s="91">
        <f t="shared" ref="R5:R27" si="2">O5*Q5</f>
        <v>60</v>
      </c>
      <c r="S5" s="86" t="str">
        <f t="shared" ref="S5:S27" si="3">IF(R5&lt;=20,"4",IF(R5&lt;=120,"3",IF(R5&lt;=500,"2","1")))</f>
        <v>3</v>
      </c>
      <c r="T5" s="87" t="str">
        <f t="shared" ref="T5:T27" si="4">IF(S5="4","ACEPTABLE",IF(S5="3","MEJORABLE",IF(S5="2","NO ACEPTABLE O ACEPTABLE CON CONTROL ESPECÍFICO","NO ACEPTABLE")))</f>
        <v>MEJORABLE</v>
      </c>
      <c r="U5" s="91">
        <v>1</v>
      </c>
      <c r="V5" s="88">
        <v>10</v>
      </c>
      <c r="W5" s="141" t="s">
        <v>473</v>
      </c>
      <c r="X5" s="91" t="s">
        <v>26</v>
      </c>
      <c r="Y5" s="91" t="s">
        <v>26</v>
      </c>
      <c r="Z5" s="91" t="s">
        <v>324</v>
      </c>
      <c r="AA5" s="142" t="s">
        <v>628</v>
      </c>
      <c r="AB5" s="25" t="s">
        <v>26</v>
      </c>
    </row>
    <row r="6" spans="1:28" ht="156" customHeight="1" thickBot="1">
      <c r="A6" s="170"/>
      <c r="B6" s="173"/>
      <c r="C6" s="168"/>
      <c r="D6" s="168"/>
      <c r="E6" s="91" t="s">
        <v>109</v>
      </c>
      <c r="F6" s="91" t="s">
        <v>624</v>
      </c>
      <c r="G6" s="91" t="s">
        <v>545</v>
      </c>
      <c r="H6" s="18" t="s">
        <v>514</v>
      </c>
      <c r="I6" s="139" t="s">
        <v>546</v>
      </c>
      <c r="J6" s="85" t="s">
        <v>25</v>
      </c>
      <c r="K6" s="85" t="s">
        <v>25</v>
      </c>
      <c r="L6" s="144" t="s">
        <v>547</v>
      </c>
      <c r="M6" s="91">
        <v>2</v>
      </c>
      <c r="N6" s="91">
        <v>3</v>
      </c>
      <c r="O6" s="91">
        <f t="shared" si="0"/>
        <v>6</v>
      </c>
      <c r="P6" s="86" t="str">
        <f t="shared" si="1"/>
        <v>MEDIO</v>
      </c>
      <c r="Q6" s="91">
        <v>25</v>
      </c>
      <c r="R6" s="91">
        <f t="shared" si="2"/>
        <v>150</v>
      </c>
      <c r="S6" s="86" t="str">
        <f t="shared" si="3"/>
        <v>2</v>
      </c>
      <c r="T6" s="87" t="str">
        <f t="shared" si="4"/>
        <v>NO ACEPTABLE O ACEPTABLE CON CONTROL ESPECÍFICO</v>
      </c>
      <c r="U6" s="91">
        <v>1</v>
      </c>
      <c r="V6" s="88">
        <v>10</v>
      </c>
      <c r="W6" s="141" t="s">
        <v>548</v>
      </c>
      <c r="X6" s="91" t="s">
        <v>26</v>
      </c>
      <c r="Y6" s="91" t="s">
        <v>26</v>
      </c>
      <c r="Z6" s="91" t="s">
        <v>324</v>
      </c>
      <c r="AA6" s="142" t="s">
        <v>629</v>
      </c>
      <c r="AB6" s="25" t="s">
        <v>26</v>
      </c>
    </row>
    <row r="7" spans="1:28" ht="156" customHeight="1" thickBot="1">
      <c r="A7" s="170"/>
      <c r="B7" s="173"/>
      <c r="C7" s="168"/>
      <c r="D7" s="168"/>
      <c r="E7" s="91" t="s">
        <v>109</v>
      </c>
      <c r="F7" s="91" t="s">
        <v>624</v>
      </c>
      <c r="G7" s="91" t="s">
        <v>576</v>
      </c>
      <c r="H7" s="18" t="s">
        <v>514</v>
      </c>
      <c r="I7" s="145" t="s">
        <v>577</v>
      </c>
      <c r="J7" s="85" t="s">
        <v>25</v>
      </c>
      <c r="K7" s="85" t="s">
        <v>25</v>
      </c>
      <c r="L7" s="17" t="s">
        <v>578</v>
      </c>
      <c r="M7" s="91">
        <v>2</v>
      </c>
      <c r="N7" s="91">
        <v>3</v>
      </c>
      <c r="O7" s="91">
        <f t="shared" si="0"/>
        <v>6</v>
      </c>
      <c r="P7" s="86" t="str">
        <f t="shared" si="1"/>
        <v>MEDIO</v>
      </c>
      <c r="Q7" s="91">
        <v>25</v>
      </c>
      <c r="R7" s="91">
        <f t="shared" si="2"/>
        <v>150</v>
      </c>
      <c r="S7" s="86" t="str">
        <f t="shared" si="3"/>
        <v>2</v>
      </c>
      <c r="T7" s="87" t="str">
        <f t="shared" si="4"/>
        <v>NO ACEPTABLE O ACEPTABLE CON CONTROL ESPECÍFICO</v>
      </c>
      <c r="U7" s="91">
        <v>1</v>
      </c>
      <c r="V7" s="88">
        <v>10</v>
      </c>
      <c r="W7" s="146" t="s">
        <v>579</v>
      </c>
      <c r="X7" s="91" t="s">
        <v>26</v>
      </c>
      <c r="Y7" s="91" t="s">
        <v>26</v>
      </c>
      <c r="Z7" s="91" t="s">
        <v>324</v>
      </c>
      <c r="AA7" s="150" t="s">
        <v>630</v>
      </c>
      <c r="AB7" s="25" t="s">
        <v>26</v>
      </c>
    </row>
    <row r="8" spans="1:28" ht="156" customHeight="1" thickBot="1">
      <c r="A8" s="170"/>
      <c r="B8" s="173"/>
      <c r="C8" s="168"/>
      <c r="D8" s="168"/>
      <c r="E8" s="91" t="s">
        <v>109</v>
      </c>
      <c r="F8" s="91" t="s">
        <v>624</v>
      </c>
      <c r="G8" s="91" t="s">
        <v>521</v>
      </c>
      <c r="H8" s="18" t="s">
        <v>239</v>
      </c>
      <c r="I8" s="143" t="s">
        <v>522</v>
      </c>
      <c r="J8" s="85" t="s">
        <v>25</v>
      </c>
      <c r="K8" s="89" t="s">
        <v>523</v>
      </c>
      <c r="L8" s="144" t="s">
        <v>556</v>
      </c>
      <c r="M8" s="91">
        <v>2</v>
      </c>
      <c r="N8" s="91">
        <v>3</v>
      </c>
      <c r="O8" s="91">
        <f t="shared" si="0"/>
        <v>6</v>
      </c>
      <c r="P8" s="86" t="str">
        <f t="shared" si="1"/>
        <v>MEDIO</v>
      </c>
      <c r="Q8" s="91">
        <v>25</v>
      </c>
      <c r="R8" s="91">
        <f t="shared" si="2"/>
        <v>150</v>
      </c>
      <c r="S8" s="86" t="str">
        <f t="shared" si="3"/>
        <v>2</v>
      </c>
      <c r="T8" s="87" t="str">
        <f t="shared" si="4"/>
        <v>NO ACEPTABLE O ACEPTABLE CON CONTROL ESPECÍFICO</v>
      </c>
      <c r="U8" s="91">
        <v>1</v>
      </c>
      <c r="V8" s="88">
        <v>10</v>
      </c>
      <c r="W8" s="106" t="s">
        <v>518</v>
      </c>
      <c r="X8" s="91" t="s">
        <v>26</v>
      </c>
      <c r="Y8" s="91" t="s">
        <v>26</v>
      </c>
      <c r="Z8" s="91" t="s">
        <v>324</v>
      </c>
      <c r="AA8" s="142" t="s">
        <v>631</v>
      </c>
      <c r="AB8" s="25" t="s">
        <v>26</v>
      </c>
    </row>
    <row r="9" spans="1:28" ht="156" customHeight="1" thickBot="1">
      <c r="A9" s="170"/>
      <c r="B9" s="173"/>
      <c r="C9" s="168"/>
      <c r="D9" s="168"/>
      <c r="E9" s="91" t="s">
        <v>109</v>
      </c>
      <c r="F9" s="91" t="s">
        <v>624</v>
      </c>
      <c r="G9" s="91" t="s">
        <v>597</v>
      </c>
      <c r="H9" s="18" t="s">
        <v>239</v>
      </c>
      <c r="I9" s="145" t="s">
        <v>598</v>
      </c>
      <c r="J9" s="139" t="s">
        <v>599</v>
      </c>
      <c r="K9" s="139" t="s">
        <v>25</v>
      </c>
      <c r="L9" s="151" t="s">
        <v>600</v>
      </c>
      <c r="M9" s="91">
        <v>2</v>
      </c>
      <c r="N9" s="91">
        <v>3</v>
      </c>
      <c r="O9" s="91">
        <f t="shared" si="0"/>
        <v>6</v>
      </c>
      <c r="P9" s="86" t="str">
        <f t="shared" si="1"/>
        <v>MEDIO</v>
      </c>
      <c r="Q9" s="91">
        <v>25</v>
      </c>
      <c r="R9" s="91">
        <f t="shared" si="2"/>
        <v>150</v>
      </c>
      <c r="S9" s="86" t="str">
        <f t="shared" si="3"/>
        <v>2</v>
      </c>
      <c r="T9" s="87" t="str">
        <f t="shared" si="4"/>
        <v>NO ACEPTABLE O ACEPTABLE CON CONTROL ESPECÍFICO</v>
      </c>
      <c r="U9" s="91">
        <v>1</v>
      </c>
      <c r="V9" s="88">
        <v>10</v>
      </c>
      <c r="W9" s="146" t="s">
        <v>601</v>
      </c>
      <c r="X9" s="91" t="s">
        <v>26</v>
      </c>
      <c r="Y9" s="91" t="s">
        <v>26</v>
      </c>
      <c r="Z9" s="91" t="s">
        <v>324</v>
      </c>
      <c r="AA9" s="152" t="s">
        <v>632</v>
      </c>
      <c r="AB9" s="25" t="s">
        <v>26</v>
      </c>
    </row>
    <row r="10" spans="1:28" ht="156" customHeight="1" thickBot="1">
      <c r="A10" s="170"/>
      <c r="B10" s="173"/>
      <c r="C10" s="168"/>
      <c r="D10" s="168"/>
      <c r="E10" s="91" t="s">
        <v>109</v>
      </c>
      <c r="F10" s="91" t="s">
        <v>624</v>
      </c>
      <c r="G10" s="91" t="s">
        <v>606</v>
      </c>
      <c r="H10" s="18" t="s">
        <v>239</v>
      </c>
      <c r="I10" s="89" t="s">
        <v>492</v>
      </c>
      <c r="J10" s="89" t="s">
        <v>497</v>
      </c>
      <c r="K10" s="89" t="s">
        <v>25</v>
      </c>
      <c r="L10" s="89" t="s">
        <v>396</v>
      </c>
      <c r="M10" s="91">
        <v>2</v>
      </c>
      <c r="N10" s="91">
        <v>3</v>
      </c>
      <c r="O10" s="91">
        <f t="shared" si="0"/>
        <v>6</v>
      </c>
      <c r="P10" s="86" t="str">
        <f t="shared" si="1"/>
        <v>MEDIO</v>
      </c>
      <c r="Q10" s="91">
        <v>25</v>
      </c>
      <c r="R10" s="91">
        <f t="shared" si="2"/>
        <v>150</v>
      </c>
      <c r="S10" s="86" t="str">
        <f t="shared" si="3"/>
        <v>2</v>
      </c>
      <c r="T10" s="87" t="str">
        <f t="shared" si="4"/>
        <v>NO ACEPTABLE O ACEPTABLE CON CONTROL ESPECÍFICO</v>
      </c>
      <c r="U10" s="91">
        <v>1</v>
      </c>
      <c r="V10" s="88">
        <v>10</v>
      </c>
      <c r="W10" s="101" t="s">
        <v>473</v>
      </c>
      <c r="X10" s="91" t="s">
        <v>26</v>
      </c>
      <c r="Y10" s="91" t="s">
        <v>26</v>
      </c>
      <c r="Z10" s="91" t="s">
        <v>324</v>
      </c>
      <c r="AA10" s="102" t="s">
        <v>633</v>
      </c>
      <c r="AB10" s="25" t="s">
        <v>26</v>
      </c>
    </row>
    <row r="11" spans="1:28" ht="156" customHeight="1" thickBot="1">
      <c r="A11" s="170"/>
      <c r="B11" s="173"/>
      <c r="C11" s="168"/>
      <c r="D11" s="168"/>
      <c r="E11" s="91" t="s">
        <v>109</v>
      </c>
      <c r="F11" s="91" t="s">
        <v>624</v>
      </c>
      <c r="G11" s="91" t="s">
        <v>614</v>
      </c>
      <c r="H11" s="18" t="s">
        <v>239</v>
      </c>
      <c r="I11" s="101" t="s">
        <v>477</v>
      </c>
      <c r="J11" s="101" t="s">
        <v>25</v>
      </c>
      <c r="K11" s="101" t="s">
        <v>420</v>
      </c>
      <c r="L11" s="101" t="s">
        <v>25</v>
      </c>
      <c r="M11" s="91">
        <v>2</v>
      </c>
      <c r="N11" s="91">
        <v>3</v>
      </c>
      <c r="O11" s="91">
        <f t="shared" si="0"/>
        <v>6</v>
      </c>
      <c r="P11" s="86" t="str">
        <f t="shared" si="1"/>
        <v>MEDIO</v>
      </c>
      <c r="Q11" s="91">
        <v>25</v>
      </c>
      <c r="R11" s="91">
        <f t="shared" si="2"/>
        <v>150</v>
      </c>
      <c r="S11" s="86" t="str">
        <f t="shared" si="3"/>
        <v>2</v>
      </c>
      <c r="T11" s="87" t="str">
        <f t="shared" si="4"/>
        <v>NO ACEPTABLE O ACEPTABLE CON CONTROL ESPECÍFICO</v>
      </c>
      <c r="U11" s="91">
        <v>1</v>
      </c>
      <c r="V11" s="88">
        <v>10</v>
      </c>
      <c r="W11" s="112" t="s">
        <v>473</v>
      </c>
      <c r="X11" s="91" t="s">
        <v>26</v>
      </c>
      <c r="Y11" s="91" t="s">
        <v>26</v>
      </c>
      <c r="Z11" s="91" t="s">
        <v>324</v>
      </c>
      <c r="AA11" s="159" t="s">
        <v>634</v>
      </c>
      <c r="AB11" s="25" t="s">
        <v>26</v>
      </c>
    </row>
    <row r="12" spans="1:28" ht="156" customHeight="1" thickBot="1">
      <c r="A12" s="170"/>
      <c r="B12" s="173"/>
      <c r="C12" s="168"/>
      <c r="D12" s="168"/>
      <c r="E12" s="91" t="s">
        <v>109</v>
      </c>
      <c r="F12" s="91" t="s">
        <v>624</v>
      </c>
      <c r="G12" s="91" t="s">
        <v>499</v>
      </c>
      <c r="H12" s="18" t="s">
        <v>239</v>
      </c>
      <c r="I12" s="89" t="s">
        <v>455</v>
      </c>
      <c r="J12" s="101" t="s">
        <v>25</v>
      </c>
      <c r="K12" s="101" t="s">
        <v>459</v>
      </c>
      <c r="L12" s="101" t="s">
        <v>460</v>
      </c>
      <c r="M12" s="91">
        <v>2</v>
      </c>
      <c r="N12" s="91">
        <v>3</v>
      </c>
      <c r="O12" s="91">
        <f t="shared" si="0"/>
        <v>6</v>
      </c>
      <c r="P12" s="86" t="str">
        <f t="shared" si="1"/>
        <v>MEDIO</v>
      </c>
      <c r="Q12" s="91">
        <v>25</v>
      </c>
      <c r="R12" s="91">
        <f t="shared" si="2"/>
        <v>150</v>
      </c>
      <c r="S12" s="86" t="str">
        <f t="shared" si="3"/>
        <v>2</v>
      </c>
      <c r="T12" s="87" t="str">
        <f t="shared" si="4"/>
        <v>NO ACEPTABLE O ACEPTABLE CON CONTROL ESPECÍFICO</v>
      </c>
      <c r="U12" s="91">
        <v>1</v>
      </c>
      <c r="V12" s="88">
        <v>10</v>
      </c>
      <c r="W12" s="112" t="s">
        <v>422</v>
      </c>
      <c r="X12" s="91" t="s">
        <v>26</v>
      </c>
      <c r="Y12" s="91" t="s">
        <v>26</v>
      </c>
      <c r="Z12" s="91" t="s">
        <v>324</v>
      </c>
      <c r="AA12" s="114" t="s">
        <v>635</v>
      </c>
      <c r="AB12" s="25" t="s">
        <v>26</v>
      </c>
    </row>
    <row r="13" spans="1:28" ht="156" customHeight="1" thickBot="1">
      <c r="A13" s="170"/>
      <c r="B13" s="173"/>
      <c r="C13" s="168"/>
      <c r="D13" s="168"/>
      <c r="E13" s="91" t="s">
        <v>109</v>
      </c>
      <c r="F13" s="91" t="s">
        <v>624</v>
      </c>
      <c r="G13" s="91" t="s">
        <v>613</v>
      </c>
      <c r="H13" s="18" t="s">
        <v>239</v>
      </c>
      <c r="I13" s="89" t="s">
        <v>451</v>
      </c>
      <c r="J13" s="89" t="s">
        <v>497</v>
      </c>
      <c r="K13" s="89" t="s">
        <v>25</v>
      </c>
      <c r="L13" s="101" t="s">
        <v>456</v>
      </c>
      <c r="M13" s="91">
        <v>2</v>
      </c>
      <c r="N13" s="91">
        <v>3</v>
      </c>
      <c r="O13" s="91">
        <f t="shared" si="0"/>
        <v>6</v>
      </c>
      <c r="P13" s="86" t="str">
        <f t="shared" si="1"/>
        <v>MEDIO</v>
      </c>
      <c r="Q13" s="91">
        <v>25</v>
      </c>
      <c r="R13" s="91">
        <f t="shared" si="2"/>
        <v>150</v>
      </c>
      <c r="S13" s="86" t="str">
        <f t="shared" si="3"/>
        <v>2</v>
      </c>
      <c r="T13" s="87" t="str">
        <f t="shared" si="4"/>
        <v>NO ACEPTABLE O ACEPTABLE CON CONTROL ESPECÍFICO</v>
      </c>
      <c r="U13" s="91">
        <v>1</v>
      </c>
      <c r="V13" s="88">
        <v>10</v>
      </c>
      <c r="W13" s="12" t="s">
        <v>457</v>
      </c>
      <c r="X13" s="91" t="s">
        <v>26</v>
      </c>
      <c r="Y13" s="91" t="s">
        <v>26</v>
      </c>
      <c r="Z13" s="91" t="s">
        <v>324</v>
      </c>
      <c r="AA13" s="102" t="s">
        <v>636</v>
      </c>
      <c r="AB13" s="25" t="s">
        <v>26</v>
      </c>
    </row>
    <row r="14" spans="1:28" ht="156" customHeight="1" thickBot="1">
      <c r="A14" s="170"/>
      <c r="B14" s="173"/>
      <c r="C14" s="168"/>
      <c r="D14" s="168"/>
      <c r="E14" s="101" t="s">
        <v>24</v>
      </c>
      <c r="F14" s="91" t="s">
        <v>624</v>
      </c>
      <c r="G14" s="101" t="s">
        <v>442</v>
      </c>
      <c r="H14" s="109" t="s">
        <v>376</v>
      </c>
      <c r="I14" s="101" t="s">
        <v>451</v>
      </c>
      <c r="J14" s="101" t="s">
        <v>25</v>
      </c>
      <c r="K14" s="101" t="s">
        <v>25</v>
      </c>
      <c r="L14" s="101" t="s">
        <v>452</v>
      </c>
      <c r="M14" s="89">
        <v>2</v>
      </c>
      <c r="N14" s="89">
        <v>3</v>
      </c>
      <c r="O14" s="89">
        <f t="shared" si="0"/>
        <v>6</v>
      </c>
      <c r="P14" s="83" t="str">
        <f t="shared" si="1"/>
        <v>MEDIO</v>
      </c>
      <c r="Q14" s="89">
        <v>10</v>
      </c>
      <c r="R14" s="89">
        <f t="shared" si="2"/>
        <v>60</v>
      </c>
      <c r="S14" s="83" t="str">
        <f t="shared" si="3"/>
        <v>3</v>
      </c>
      <c r="T14" s="84" t="str">
        <f t="shared" si="4"/>
        <v>MEJORABLE</v>
      </c>
      <c r="U14" s="89">
        <v>1</v>
      </c>
      <c r="V14" s="89">
        <v>10</v>
      </c>
      <c r="W14" s="112" t="s">
        <v>422</v>
      </c>
      <c r="X14" s="113" t="s">
        <v>26</v>
      </c>
      <c r="Y14" s="113" t="s">
        <v>26</v>
      </c>
      <c r="Z14" s="113" t="s">
        <v>26</v>
      </c>
      <c r="AA14" s="114" t="s">
        <v>637</v>
      </c>
      <c r="AB14" s="115" t="s">
        <v>26</v>
      </c>
    </row>
    <row r="15" spans="1:28" ht="156" customHeight="1" thickBot="1">
      <c r="A15" s="170"/>
      <c r="B15" s="173"/>
      <c r="C15" s="168"/>
      <c r="D15" s="168"/>
      <c r="E15" s="101" t="s">
        <v>24</v>
      </c>
      <c r="F15" s="91" t="s">
        <v>624</v>
      </c>
      <c r="G15" s="101" t="s">
        <v>443</v>
      </c>
      <c r="H15" s="109" t="s">
        <v>444</v>
      </c>
      <c r="I15" s="101" t="s">
        <v>451</v>
      </c>
      <c r="J15" s="101" t="s">
        <v>25</v>
      </c>
      <c r="K15" s="101" t="s">
        <v>25</v>
      </c>
      <c r="L15" s="101" t="s">
        <v>456</v>
      </c>
      <c r="M15" s="89">
        <v>2</v>
      </c>
      <c r="N15" s="89">
        <v>3</v>
      </c>
      <c r="O15" s="89">
        <f t="shared" si="0"/>
        <v>6</v>
      </c>
      <c r="P15" s="83" t="str">
        <f t="shared" si="1"/>
        <v>MEDIO</v>
      </c>
      <c r="Q15" s="89">
        <v>10</v>
      </c>
      <c r="R15" s="89">
        <f t="shared" si="2"/>
        <v>60</v>
      </c>
      <c r="S15" s="83" t="str">
        <f t="shared" si="3"/>
        <v>3</v>
      </c>
      <c r="T15" s="84" t="str">
        <f t="shared" si="4"/>
        <v>MEJORABLE</v>
      </c>
      <c r="U15" s="89">
        <v>1</v>
      </c>
      <c r="V15" s="89">
        <v>10</v>
      </c>
      <c r="W15" s="112" t="s">
        <v>457</v>
      </c>
      <c r="X15" s="113" t="s">
        <v>26</v>
      </c>
      <c r="Y15" s="113" t="s">
        <v>26</v>
      </c>
      <c r="Z15" s="113" t="s">
        <v>26</v>
      </c>
      <c r="AA15" s="114" t="s">
        <v>636</v>
      </c>
      <c r="AB15" s="115" t="s">
        <v>360</v>
      </c>
    </row>
    <row r="16" spans="1:28" ht="156" customHeight="1" thickBot="1">
      <c r="A16" s="170"/>
      <c r="B16" s="173"/>
      <c r="C16" s="168"/>
      <c r="D16" s="168"/>
      <c r="E16" s="89" t="s">
        <v>24</v>
      </c>
      <c r="F16" s="91" t="s">
        <v>624</v>
      </c>
      <c r="G16" s="12" t="s">
        <v>395</v>
      </c>
      <c r="H16" s="7" t="s">
        <v>394</v>
      </c>
      <c r="I16" s="17" t="s">
        <v>399</v>
      </c>
      <c r="J16" s="89" t="s">
        <v>25</v>
      </c>
      <c r="K16" s="89" t="s">
        <v>25</v>
      </c>
      <c r="L16" s="89" t="s">
        <v>396</v>
      </c>
      <c r="M16" s="89">
        <v>2</v>
      </c>
      <c r="N16" s="89">
        <v>3</v>
      </c>
      <c r="O16" s="89">
        <f t="shared" si="0"/>
        <v>6</v>
      </c>
      <c r="P16" s="83" t="str">
        <f t="shared" si="1"/>
        <v>MEDIO</v>
      </c>
      <c r="Q16" s="89">
        <v>25</v>
      </c>
      <c r="R16" s="89">
        <f t="shared" si="2"/>
        <v>150</v>
      </c>
      <c r="S16" s="83" t="str">
        <f t="shared" si="3"/>
        <v>2</v>
      </c>
      <c r="T16" s="84" t="str">
        <f t="shared" si="4"/>
        <v>NO ACEPTABLE O ACEPTABLE CON CONTROL ESPECÍFICO</v>
      </c>
      <c r="U16" s="89">
        <v>1</v>
      </c>
      <c r="V16" s="89">
        <v>10</v>
      </c>
      <c r="W16" s="89" t="s">
        <v>398</v>
      </c>
      <c r="X16" s="89" t="s">
        <v>26</v>
      </c>
      <c r="Y16" s="89" t="s">
        <v>26</v>
      </c>
      <c r="Z16" s="89" t="s">
        <v>26</v>
      </c>
      <c r="AA16" s="102" t="s">
        <v>638</v>
      </c>
      <c r="AB16" s="23" t="s">
        <v>402</v>
      </c>
    </row>
    <row r="17" spans="1:28" ht="156" customHeight="1" thickBot="1">
      <c r="A17" s="170"/>
      <c r="B17" s="173"/>
      <c r="C17" s="168"/>
      <c r="D17" s="168"/>
      <c r="E17" s="91" t="s">
        <v>109</v>
      </c>
      <c r="F17" s="91" t="s">
        <v>624</v>
      </c>
      <c r="G17" s="91" t="s">
        <v>620</v>
      </c>
      <c r="H17" s="18" t="s">
        <v>479</v>
      </c>
      <c r="I17" s="17" t="s">
        <v>551</v>
      </c>
      <c r="J17" s="85" t="s">
        <v>25</v>
      </c>
      <c r="K17" s="85" t="s">
        <v>25</v>
      </c>
      <c r="L17" s="144" t="s">
        <v>552</v>
      </c>
      <c r="M17" s="91">
        <v>2</v>
      </c>
      <c r="N17" s="91">
        <v>4</v>
      </c>
      <c r="O17" s="91">
        <f t="shared" si="0"/>
        <v>8</v>
      </c>
      <c r="P17" s="86" t="str">
        <f t="shared" si="1"/>
        <v>MEDIO</v>
      </c>
      <c r="Q17" s="91">
        <v>10</v>
      </c>
      <c r="R17" s="91">
        <f t="shared" si="2"/>
        <v>80</v>
      </c>
      <c r="S17" s="86" t="str">
        <f t="shared" si="3"/>
        <v>3</v>
      </c>
      <c r="T17" s="87" t="str">
        <f t="shared" si="4"/>
        <v>MEJORABLE</v>
      </c>
      <c r="U17" s="91">
        <v>1</v>
      </c>
      <c r="V17" s="88">
        <v>10</v>
      </c>
      <c r="W17" s="146" t="s">
        <v>553</v>
      </c>
      <c r="X17" s="91" t="s">
        <v>26</v>
      </c>
      <c r="Y17" s="91" t="s">
        <v>26</v>
      </c>
      <c r="Z17" s="91" t="s">
        <v>324</v>
      </c>
      <c r="AA17" s="147" t="s">
        <v>639</v>
      </c>
      <c r="AB17" s="25" t="s">
        <v>26</v>
      </c>
    </row>
    <row r="18" spans="1:28" ht="156" customHeight="1" thickBot="1">
      <c r="A18" s="170"/>
      <c r="B18" s="173"/>
      <c r="C18" s="168"/>
      <c r="D18" s="168"/>
      <c r="E18" s="91" t="s">
        <v>109</v>
      </c>
      <c r="F18" s="91" t="s">
        <v>624</v>
      </c>
      <c r="G18" s="91" t="s">
        <v>567</v>
      </c>
      <c r="H18" s="18" t="s">
        <v>479</v>
      </c>
      <c r="I18" s="148" t="s">
        <v>568</v>
      </c>
      <c r="J18" s="85" t="s">
        <v>25</v>
      </c>
      <c r="K18" s="85" t="s">
        <v>25</v>
      </c>
      <c r="L18" s="89" t="s">
        <v>569</v>
      </c>
      <c r="M18" s="91">
        <v>2</v>
      </c>
      <c r="N18" s="91">
        <v>3</v>
      </c>
      <c r="O18" s="91">
        <f t="shared" si="0"/>
        <v>6</v>
      </c>
      <c r="P18" s="86" t="str">
        <f t="shared" si="1"/>
        <v>MEDIO</v>
      </c>
      <c r="Q18" s="91">
        <v>25</v>
      </c>
      <c r="R18" s="91">
        <f t="shared" si="2"/>
        <v>150</v>
      </c>
      <c r="S18" s="86" t="str">
        <f t="shared" si="3"/>
        <v>2</v>
      </c>
      <c r="T18" s="87" t="str">
        <f t="shared" si="4"/>
        <v>NO ACEPTABLE O ACEPTABLE CON CONTROL ESPECÍFICO</v>
      </c>
      <c r="U18" s="91">
        <v>1</v>
      </c>
      <c r="V18" s="88">
        <v>10</v>
      </c>
      <c r="W18" s="146" t="s">
        <v>570</v>
      </c>
      <c r="X18" s="91" t="s">
        <v>26</v>
      </c>
      <c r="Y18" s="91" t="s">
        <v>26</v>
      </c>
      <c r="Z18" s="91" t="s">
        <v>324</v>
      </c>
      <c r="AA18" s="142" t="s">
        <v>640</v>
      </c>
      <c r="AB18" s="25" t="s">
        <v>26</v>
      </c>
    </row>
    <row r="19" spans="1:28" ht="156" customHeight="1" thickBot="1">
      <c r="A19" s="170"/>
      <c r="B19" s="173"/>
      <c r="C19" s="168"/>
      <c r="D19" s="168"/>
      <c r="E19" s="91" t="s">
        <v>109</v>
      </c>
      <c r="F19" s="91" t="s">
        <v>624</v>
      </c>
      <c r="G19" s="91" t="s">
        <v>572</v>
      </c>
      <c r="H19" s="18" t="s">
        <v>479</v>
      </c>
      <c r="I19" s="148" t="s">
        <v>573</v>
      </c>
      <c r="J19" s="85" t="s">
        <v>25</v>
      </c>
      <c r="K19" s="85" t="s">
        <v>25</v>
      </c>
      <c r="L19" s="144" t="s">
        <v>25</v>
      </c>
      <c r="M19" s="91">
        <v>2</v>
      </c>
      <c r="N19" s="91">
        <v>3</v>
      </c>
      <c r="O19" s="91">
        <f t="shared" si="0"/>
        <v>6</v>
      </c>
      <c r="P19" s="86" t="str">
        <f t="shared" si="1"/>
        <v>MEDIO</v>
      </c>
      <c r="Q19" s="91">
        <v>25</v>
      </c>
      <c r="R19" s="91">
        <f t="shared" si="2"/>
        <v>150</v>
      </c>
      <c r="S19" s="86" t="str">
        <f t="shared" si="3"/>
        <v>2</v>
      </c>
      <c r="T19" s="87" t="str">
        <f t="shared" si="4"/>
        <v>NO ACEPTABLE O ACEPTABLE CON CONTROL ESPECÍFICO</v>
      </c>
      <c r="U19" s="91">
        <v>1</v>
      </c>
      <c r="V19" s="88">
        <v>10</v>
      </c>
      <c r="W19" s="146" t="s">
        <v>574</v>
      </c>
      <c r="X19" s="91" t="s">
        <v>26</v>
      </c>
      <c r="Y19" s="91" t="s">
        <v>26</v>
      </c>
      <c r="Z19" s="91" t="s">
        <v>324</v>
      </c>
      <c r="AA19" s="142" t="s">
        <v>641</v>
      </c>
      <c r="AB19" s="25" t="s">
        <v>26</v>
      </c>
    </row>
    <row r="20" spans="1:28" ht="156" customHeight="1" thickBot="1">
      <c r="A20" s="170"/>
      <c r="B20" s="173"/>
      <c r="C20" s="168"/>
      <c r="D20" s="168"/>
      <c r="E20" s="91" t="s">
        <v>109</v>
      </c>
      <c r="F20" s="91" t="s">
        <v>624</v>
      </c>
      <c r="G20" s="91" t="s">
        <v>258</v>
      </c>
      <c r="H20" s="18" t="s">
        <v>531</v>
      </c>
      <c r="I20" s="148" t="s">
        <v>532</v>
      </c>
      <c r="J20" s="85" t="s">
        <v>25</v>
      </c>
      <c r="K20" s="85" t="s">
        <v>25</v>
      </c>
      <c r="L20" s="144" t="s">
        <v>25</v>
      </c>
      <c r="M20" s="91">
        <v>2</v>
      </c>
      <c r="N20" s="91">
        <v>3</v>
      </c>
      <c r="O20" s="91">
        <f t="shared" si="0"/>
        <v>6</v>
      </c>
      <c r="P20" s="86" t="str">
        <f t="shared" si="1"/>
        <v>MEDIO</v>
      </c>
      <c r="Q20" s="91">
        <v>25</v>
      </c>
      <c r="R20" s="91">
        <f t="shared" si="2"/>
        <v>150</v>
      </c>
      <c r="S20" s="86" t="str">
        <f t="shared" si="3"/>
        <v>2</v>
      </c>
      <c r="T20" s="87" t="str">
        <f t="shared" si="4"/>
        <v>NO ACEPTABLE O ACEPTABLE CON CONTROL ESPECÍFICO</v>
      </c>
      <c r="U20" s="91">
        <v>1</v>
      </c>
      <c r="V20" s="88">
        <v>10</v>
      </c>
      <c r="W20" s="145" t="s">
        <v>534</v>
      </c>
      <c r="X20" s="91" t="s">
        <v>26</v>
      </c>
      <c r="Y20" s="91" t="s">
        <v>26</v>
      </c>
      <c r="Z20" s="91" t="s">
        <v>324</v>
      </c>
      <c r="AA20" s="148" t="s">
        <v>642</v>
      </c>
      <c r="AB20" s="25" t="s">
        <v>26</v>
      </c>
    </row>
    <row r="21" spans="1:28" ht="156" customHeight="1" thickBot="1">
      <c r="A21" s="170"/>
      <c r="B21" s="173"/>
      <c r="C21" s="168"/>
      <c r="D21" s="168"/>
      <c r="E21" s="91" t="s">
        <v>109</v>
      </c>
      <c r="F21" s="91" t="s">
        <v>624</v>
      </c>
      <c r="G21" s="91" t="s">
        <v>498</v>
      </c>
      <c r="H21" s="18" t="s">
        <v>531</v>
      </c>
      <c r="I21" s="148" t="s">
        <v>540</v>
      </c>
      <c r="J21" s="85" t="s">
        <v>25</v>
      </c>
      <c r="K21" s="85" t="s">
        <v>25</v>
      </c>
      <c r="L21" s="144" t="s">
        <v>25</v>
      </c>
      <c r="M21" s="91">
        <v>2</v>
      </c>
      <c r="N21" s="91">
        <v>3</v>
      </c>
      <c r="O21" s="91">
        <f t="shared" si="0"/>
        <v>6</v>
      </c>
      <c r="P21" s="86" t="str">
        <f t="shared" si="1"/>
        <v>MEDIO</v>
      </c>
      <c r="Q21" s="91">
        <v>25</v>
      </c>
      <c r="R21" s="91">
        <f t="shared" si="2"/>
        <v>150</v>
      </c>
      <c r="S21" s="86" t="str">
        <f t="shared" si="3"/>
        <v>2</v>
      </c>
      <c r="T21" s="87" t="str">
        <f t="shared" si="4"/>
        <v>NO ACEPTABLE O ACEPTABLE CON CONTROL ESPECÍFICO</v>
      </c>
      <c r="U21" s="91">
        <v>1</v>
      </c>
      <c r="V21" s="88">
        <v>10</v>
      </c>
      <c r="W21" s="17" t="s">
        <v>538</v>
      </c>
      <c r="X21" s="91" t="s">
        <v>26</v>
      </c>
      <c r="Y21" s="91" t="s">
        <v>26</v>
      </c>
      <c r="Z21" s="91" t="s">
        <v>324</v>
      </c>
      <c r="AA21" s="147" t="s">
        <v>643</v>
      </c>
      <c r="AB21" s="25" t="s">
        <v>26</v>
      </c>
    </row>
    <row r="22" spans="1:28" ht="156" customHeight="1" thickBot="1">
      <c r="A22" s="170"/>
      <c r="B22" s="173"/>
      <c r="C22" s="168"/>
      <c r="D22" s="168"/>
      <c r="E22" s="91" t="s">
        <v>109</v>
      </c>
      <c r="F22" s="91" t="s">
        <v>624</v>
      </c>
      <c r="G22" s="91" t="s">
        <v>542</v>
      </c>
      <c r="H22" s="18" t="s">
        <v>531</v>
      </c>
      <c r="I22" s="149" t="s">
        <v>559</v>
      </c>
      <c r="J22" s="85" t="s">
        <v>25</v>
      </c>
      <c r="K22" s="85" t="s">
        <v>25</v>
      </c>
      <c r="L22" s="144" t="s">
        <v>560</v>
      </c>
      <c r="M22" s="91">
        <v>2</v>
      </c>
      <c r="N22" s="91">
        <v>3</v>
      </c>
      <c r="O22" s="91">
        <f t="shared" si="0"/>
        <v>6</v>
      </c>
      <c r="P22" s="86" t="str">
        <f t="shared" si="1"/>
        <v>MEDIO</v>
      </c>
      <c r="Q22" s="91">
        <v>25</v>
      </c>
      <c r="R22" s="91">
        <f t="shared" si="2"/>
        <v>150</v>
      </c>
      <c r="S22" s="86" t="str">
        <f t="shared" si="3"/>
        <v>2</v>
      </c>
      <c r="T22" s="87" t="str">
        <f t="shared" si="4"/>
        <v>NO ACEPTABLE O ACEPTABLE CON CONTROL ESPECÍFICO</v>
      </c>
      <c r="U22" s="91">
        <v>1</v>
      </c>
      <c r="V22" s="88">
        <v>10</v>
      </c>
      <c r="W22" s="17" t="s">
        <v>561</v>
      </c>
      <c r="X22" s="91" t="s">
        <v>26</v>
      </c>
      <c r="Y22" s="91" t="s">
        <v>26</v>
      </c>
      <c r="Z22" s="91" t="s">
        <v>324</v>
      </c>
      <c r="AA22" s="142" t="s">
        <v>644</v>
      </c>
      <c r="AB22" s="25" t="s">
        <v>26</v>
      </c>
    </row>
    <row r="23" spans="1:28" ht="156" customHeight="1" thickBot="1">
      <c r="A23" s="170"/>
      <c r="B23" s="173"/>
      <c r="C23" s="168"/>
      <c r="D23" s="168"/>
      <c r="E23" s="91" t="s">
        <v>109</v>
      </c>
      <c r="F23" s="91" t="s">
        <v>624</v>
      </c>
      <c r="G23" s="91" t="s">
        <v>536</v>
      </c>
      <c r="H23" s="18" t="s">
        <v>531</v>
      </c>
      <c r="I23" s="148" t="s">
        <v>537</v>
      </c>
      <c r="J23" s="85" t="s">
        <v>25</v>
      </c>
      <c r="K23" s="85" t="s">
        <v>25</v>
      </c>
      <c r="L23" s="144" t="s">
        <v>533</v>
      </c>
      <c r="M23" s="91">
        <v>2</v>
      </c>
      <c r="N23" s="91">
        <v>3</v>
      </c>
      <c r="O23" s="91">
        <f t="shared" si="0"/>
        <v>6</v>
      </c>
      <c r="P23" s="86" t="str">
        <f t="shared" si="1"/>
        <v>MEDIO</v>
      </c>
      <c r="Q23" s="91">
        <v>10</v>
      </c>
      <c r="R23" s="91">
        <f t="shared" si="2"/>
        <v>60</v>
      </c>
      <c r="S23" s="86" t="str">
        <f t="shared" si="3"/>
        <v>3</v>
      </c>
      <c r="T23" s="87" t="str">
        <f t="shared" si="4"/>
        <v>MEJORABLE</v>
      </c>
      <c r="U23" s="91">
        <v>1</v>
      </c>
      <c r="V23" s="88">
        <v>10</v>
      </c>
      <c r="W23" s="17" t="s">
        <v>538</v>
      </c>
      <c r="X23" s="91" t="s">
        <v>26</v>
      </c>
      <c r="Y23" s="91" t="s">
        <v>26</v>
      </c>
      <c r="Z23" s="91" t="s">
        <v>324</v>
      </c>
      <c r="AA23" s="147" t="s">
        <v>645</v>
      </c>
      <c r="AB23" s="25" t="s">
        <v>539</v>
      </c>
    </row>
    <row r="24" spans="1:28" ht="156" customHeight="1" thickBot="1">
      <c r="A24" s="170"/>
      <c r="B24" s="173"/>
      <c r="C24" s="168"/>
      <c r="D24" s="168"/>
      <c r="E24" s="91" t="s">
        <v>109</v>
      </c>
      <c r="F24" s="91" t="s">
        <v>624</v>
      </c>
      <c r="G24" s="91" t="s">
        <v>498</v>
      </c>
      <c r="H24" s="18" t="s">
        <v>531</v>
      </c>
      <c r="I24" s="148" t="s">
        <v>540</v>
      </c>
      <c r="J24" s="85" t="s">
        <v>25</v>
      </c>
      <c r="K24" s="85" t="s">
        <v>25</v>
      </c>
      <c r="L24" s="144" t="s">
        <v>533</v>
      </c>
      <c r="M24" s="91">
        <v>2</v>
      </c>
      <c r="N24" s="91">
        <v>3</v>
      </c>
      <c r="O24" s="91">
        <f t="shared" si="0"/>
        <v>6</v>
      </c>
      <c r="P24" s="86" t="str">
        <f t="shared" si="1"/>
        <v>MEDIO</v>
      </c>
      <c r="Q24" s="91">
        <v>10</v>
      </c>
      <c r="R24" s="91">
        <f t="shared" si="2"/>
        <v>60</v>
      </c>
      <c r="S24" s="86" t="str">
        <f t="shared" si="3"/>
        <v>3</v>
      </c>
      <c r="T24" s="87" t="str">
        <f t="shared" si="4"/>
        <v>MEJORABLE</v>
      </c>
      <c r="U24" s="91">
        <v>1</v>
      </c>
      <c r="V24" s="88">
        <v>10</v>
      </c>
      <c r="W24" s="17" t="s">
        <v>538</v>
      </c>
      <c r="X24" s="91" t="s">
        <v>26</v>
      </c>
      <c r="Y24" s="91" t="s">
        <v>26</v>
      </c>
      <c r="Z24" s="91" t="s">
        <v>324</v>
      </c>
      <c r="AA24" s="147" t="s">
        <v>646</v>
      </c>
      <c r="AB24" s="25" t="s">
        <v>26</v>
      </c>
    </row>
    <row r="25" spans="1:28" ht="156" customHeight="1" thickBot="1">
      <c r="A25" s="170"/>
      <c r="B25" s="173"/>
      <c r="C25" s="168"/>
      <c r="D25" s="168"/>
      <c r="E25" s="91" t="s">
        <v>109</v>
      </c>
      <c r="F25" s="91" t="s">
        <v>624</v>
      </c>
      <c r="G25" s="91" t="s">
        <v>563</v>
      </c>
      <c r="H25" s="18" t="s">
        <v>531</v>
      </c>
      <c r="I25" s="17" t="s">
        <v>551</v>
      </c>
      <c r="J25" s="85" t="s">
        <v>25</v>
      </c>
      <c r="K25" s="85" t="s">
        <v>25</v>
      </c>
      <c r="L25" s="144" t="s">
        <v>552</v>
      </c>
      <c r="M25" s="91">
        <v>2</v>
      </c>
      <c r="N25" s="91">
        <v>4</v>
      </c>
      <c r="O25" s="91">
        <f t="shared" si="0"/>
        <v>8</v>
      </c>
      <c r="P25" s="86" t="str">
        <f t="shared" si="1"/>
        <v>MEDIO</v>
      </c>
      <c r="Q25" s="91">
        <v>10</v>
      </c>
      <c r="R25" s="91">
        <f t="shared" si="2"/>
        <v>80</v>
      </c>
      <c r="S25" s="86" t="str">
        <f t="shared" si="3"/>
        <v>3</v>
      </c>
      <c r="T25" s="87" t="str">
        <f t="shared" si="4"/>
        <v>MEJORABLE</v>
      </c>
      <c r="U25" s="91">
        <v>1</v>
      </c>
      <c r="V25" s="88">
        <v>10</v>
      </c>
      <c r="W25" s="146" t="s">
        <v>553</v>
      </c>
      <c r="X25" s="91" t="s">
        <v>26</v>
      </c>
      <c r="Y25" s="91" t="s">
        <v>26</v>
      </c>
      <c r="Z25" s="91" t="s">
        <v>324</v>
      </c>
      <c r="AA25" s="147" t="s">
        <v>648</v>
      </c>
      <c r="AB25" s="25" t="s">
        <v>26</v>
      </c>
    </row>
    <row r="26" spans="1:28" ht="186.75" customHeight="1" thickBot="1">
      <c r="A26" s="170"/>
      <c r="B26" s="173"/>
      <c r="C26" s="168"/>
      <c r="D26" s="168"/>
      <c r="E26" s="129" t="s">
        <v>24</v>
      </c>
      <c r="F26" s="91" t="s">
        <v>624</v>
      </c>
      <c r="G26" s="89" t="s">
        <v>501</v>
      </c>
      <c r="H26" s="82" t="s">
        <v>502</v>
      </c>
      <c r="I26" s="89" t="s">
        <v>503</v>
      </c>
      <c r="J26" s="89" t="s">
        <v>504</v>
      </c>
      <c r="K26" s="89" t="s">
        <v>505</v>
      </c>
      <c r="L26" s="89" t="s">
        <v>506</v>
      </c>
      <c r="M26" s="89">
        <v>2</v>
      </c>
      <c r="N26" s="89">
        <v>4</v>
      </c>
      <c r="O26" s="89">
        <f t="shared" si="0"/>
        <v>8</v>
      </c>
      <c r="P26" s="83" t="str">
        <f t="shared" si="1"/>
        <v>MEDIO</v>
      </c>
      <c r="Q26" s="89">
        <v>100</v>
      </c>
      <c r="R26" s="89">
        <f t="shared" si="2"/>
        <v>800</v>
      </c>
      <c r="S26" s="83" t="str">
        <f t="shared" si="3"/>
        <v>1</v>
      </c>
      <c r="T26" s="84" t="str">
        <f t="shared" si="4"/>
        <v>NO ACEPTABLE</v>
      </c>
      <c r="U26" s="89">
        <v>1</v>
      </c>
      <c r="V26" s="89">
        <v>10</v>
      </c>
      <c r="W26" s="12" t="s">
        <v>413</v>
      </c>
      <c r="X26" s="10" t="s">
        <v>26</v>
      </c>
      <c r="Y26" s="10" t="s">
        <v>26</v>
      </c>
      <c r="Z26" s="10" t="s">
        <v>26</v>
      </c>
      <c r="AA26" s="102" t="s">
        <v>647</v>
      </c>
      <c r="AB26" s="24" t="s">
        <v>26</v>
      </c>
    </row>
    <row r="27" spans="1:28" ht="180" customHeight="1" thickBot="1">
      <c r="A27" s="170"/>
      <c r="B27" s="173"/>
      <c r="C27" s="175" t="s">
        <v>512</v>
      </c>
      <c r="D27" s="180" t="s">
        <v>513</v>
      </c>
      <c r="E27" s="129" t="s">
        <v>24</v>
      </c>
      <c r="F27" s="91" t="s">
        <v>627</v>
      </c>
      <c r="G27" s="89" t="s">
        <v>501</v>
      </c>
      <c r="H27" s="82" t="s">
        <v>502</v>
      </c>
      <c r="I27" s="89" t="s">
        <v>503</v>
      </c>
      <c r="J27" s="89" t="s">
        <v>504</v>
      </c>
      <c r="K27" s="89" t="s">
        <v>505</v>
      </c>
      <c r="L27" s="89" t="s">
        <v>506</v>
      </c>
      <c r="M27" s="89">
        <v>2</v>
      </c>
      <c r="N27" s="89">
        <v>4</v>
      </c>
      <c r="O27" s="89">
        <f t="shared" si="0"/>
        <v>8</v>
      </c>
      <c r="P27" s="83" t="str">
        <f t="shared" si="1"/>
        <v>MEDIO</v>
      </c>
      <c r="Q27" s="89">
        <v>25</v>
      </c>
      <c r="R27" s="89">
        <f t="shared" si="2"/>
        <v>200</v>
      </c>
      <c r="S27" s="83" t="str">
        <f t="shared" si="3"/>
        <v>2</v>
      </c>
      <c r="T27" s="84" t="str">
        <f t="shared" si="4"/>
        <v>NO ACEPTABLE O ACEPTABLE CON CONTROL ESPECÍFICO</v>
      </c>
      <c r="U27" s="89">
        <v>1</v>
      </c>
      <c r="V27" s="89">
        <v>10</v>
      </c>
      <c r="W27" s="12" t="s">
        <v>413</v>
      </c>
      <c r="X27" s="10" t="s">
        <v>26</v>
      </c>
      <c r="Y27" s="10" t="s">
        <v>26</v>
      </c>
      <c r="Z27" s="10" t="s">
        <v>26</v>
      </c>
      <c r="AA27" s="102" t="s">
        <v>649</v>
      </c>
      <c r="AB27" s="24" t="s">
        <v>26</v>
      </c>
    </row>
    <row r="28" spans="1:28" ht="156" customHeight="1" thickBot="1">
      <c r="A28" s="170"/>
      <c r="B28" s="173"/>
      <c r="C28" s="176"/>
      <c r="D28" s="181"/>
      <c r="E28" s="91" t="s">
        <v>109</v>
      </c>
      <c r="F28" s="91" t="s">
        <v>624</v>
      </c>
      <c r="G28" s="91" t="s">
        <v>521</v>
      </c>
      <c r="H28" s="18" t="s">
        <v>520</v>
      </c>
      <c r="I28" s="143" t="s">
        <v>522</v>
      </c>
      <c r="J28" s="85" t="s">
        <v>25</v>
      </c>
      <c r="K28" s="89" t="s">
        <v>523</v>
      </c>
      <c r="L28" s="91" t="s">
        <v>25</v>
      </c>
      <c r="M28" s="91">
        <v>2</v>
      </c>
      <c r="N28" s="91">
        <v>2</v>
      </c>
      <c r="O28" s="91">
        <f t="shared" ref="O28" si="5">M28*N28</f>
        <v>4</v>
      </c>
      <c r="P28" s="86" t="str">
        <f t="shared" ref="P28" si="6">IF(O28&lt;=4,"BAJO",IF(O28&lt;=8,"MEDIO",IF(O28&lt;=20,"ALTO","MUY ALTO")))</f>
        <v>BAJO</v>
      </c>
      <c r="Q28" s="91">
        <v>25</v>
      </c>
      <c r="R28" s="91">
        <f t="shared" ref="R28:R113" si="7">O28*Q28</f>
        <v>100</v>
      </c>
      <c r="S28" s="86" t="str">
        <f t="shared" ref="S28:S113" si="8">IF(R28&lt;=20,"4",IF(R28&lt;=120,"3",IF(R28&lt;=500,"2","1")))</f>
        <v>3</v>
      </c>
      <c r="T28" s="87" t="str">
        <f t="shared" ref="T28:T113" si="9">IF(S28="4","ACEPTABLE",IF(S28="3","MEJORABLE",IF(S28="2","NO ACEPTABLE O ACEPTABLE CON CONTROL ESPECÍFICO","NO ACEPTABLE")))</f>
        <v>MEJORABLE</v>
      </c>
      <c r="U28" s="91">
        <v>1</v>
      </c>
      <c r="V28" s="88">
        <v>10</v>
      </c>
      <c r="W28" s="106" t="s">
        <v>518</v>
      </c>
      <c r="X28" s="91" t="s">
        <v>26</v>
      </c>
      <c r="Y28" s="91" t="s">
        <v>26</v>
      </c>
      <c r="Z28" s="91" t="s">
        <v>324</v>
      </c>
      <c r="AA28" s="142" t="s">
        <v>650</v>
      </c>
      <c r="AB28" s="25" t="s">
        <v>26</v>
      </c>
    </row>
    <row r="29" spans="1:28" ht="156" customHeight="1" thickBot="1">
      <c r="A29" s="170"/>
      <c r="B29" s="173"/>
      <c r="C29" s="176"/>
      <c r="D29" s="181"/>
      <c r="E29" s="91" t="s">
        <v>109</v>
      </c>
      <c r="F29" s="91" t="s">
        <v>624</v>
      </c>
      <c r="G29" s="91" t="s">
        <v>526</v>
      </c>
      <c r="H29" s="18" t="s">
        <v>525</v>
      </c>
      <c r="I29" s="139" t="s">
        <v>527</v>
      </c>
      <c r="J29" s="85" t="s">
        <v>25</v>
      </c>
      <c r="K29" s="89" t="s">
        <v>528</v>
      </c>
      <c r="L29" s="144" t="s">
        <v>529</v>
      </c>
      <c r="M29" s="91">
        <v>2</v>
      </c>
      <c r="N29" s="91">
        <v>3</v>
      </c>
      <c r="O29" s="91">
        <f t="shared" ref="O29:O35" si="10">M29*N29</f>
        <v>6</v>
      </c>
      <c r="P29" s="86" t="str">
        <f t="shared" ref="P29:P35" si="11">IF(O29&lt;=4,"BAJO",IF(O29&lt;=8,"MEDIO",IF(O29&lt;=20,"ALTO","MUY ALTO")))</f>
        <v>MEDIO</v>
      </c>
      <c r="Q29" s="91">
        <v>10</v>
      </c>
      <c r="R29" s="91">
        <f t="shared" si="7"/>
        <v>60</v>
      </c>
      <c r="S29" s="86" t="str">
        <f t="shared" si="8"/>
        <v>3</v>
      </c>
      <c r="T29" s="87" t="str">
        <f t="shared" si="9"/>
        <v>MEJORABLE</v>
      </c>
      <c r="U29" s="91">
        <v>1</v>
      </c>
      <c r="V29" s="88">
        <v>10</v>
      </c>
      <c r="W29" s="141" t="s">
        <v>473</v>
      </c>
      <c r="X29" s="91" t="s">
        <v>26</v>
      </c>
      <c r="Y29" s="91" t="s">
        <v>26</v>
      </c>
      <c r="Z29" s="91" t="s">
        <v>324</v>
      </c>
      <c r="AA29" s="142" t="s">
        <v>651</v>
      </c>
      <c r="AB29" s="25" t="s">
        <v>26</v>
      </c>
    </row>
    <row r="30" spans="1:28" ht="156" customHeight="1" thickBot="1">
      <c r="A30" s="170"/>
      <c r="B30" s="173"/>
      <c r="C30" s="176"/>
      <c r="D30" s="181"/>
      <c r="E30" s="91" t="s">
        <v>109</v>
      </c>
      <c r="F30" s="91" t="s">
        <v>624</v>
      </c>
      <c r="G30" s="91" t="s">
        <v>258</v>
      </c>
      <c r="H30" s="18" t="s">
        <v>531</v>
      </c>
      <c r="I30" s="145" t="s">
        <v>532</v>
      </c>
      <c r="J30" s="85" t="s">
        <v>25</v>
      </c>
      <c r="K30" s="85" t="s">
        <v>25</v>
      </c>
      <c r="L30" s="144" t="s">
        <v>533</v>
      </c>
      <c r="M30" s="91">
        <v>2</v>
      </c>
      <c r="N30" s="91">
        <v>3</v>
      </c>
      <c r="O30" s="91">
        <f t="shared" si="10"/>
        <v>6</v>
      </c>
      <c r="P30" s="86" t="str">
        <f t="shared" si="11"/>
        <v>MEDIO</v>
      </c>
      <c r="Q30" s="91">
        <v>10</v>
      </c>
      <c r="R30" s="91">
        <f t="shared" si="7"/>
        <v>60</v>
      </c>
      <c r="S30" s="86" t="str">
        <f t="shared" si="8"/>
        <v>3</v>
      </c>
      <c r="T30" s="87" t="str">
        <f t="shared" si="9"/>
        <v>MEJORABLE</v>
      </c>
      <c r="U30" s="91">
        <v>1</v>
      </c>
      <c r="V30" s="88">
        <v>10</v>
      </c>
      <c r="W30" s="146" t="s">
        <v>534</v>
      </c>
      <c r="X30" s="91" t="s">
        <v>26</v>
      </c>
      <c r="Y30" s="91" t="s">
        <v>26</v>
      </c>
      <c r="Z30" s="91" t="s">
        <v>324</v>
      </c>
      <c r="AA30" s="147" t="s">
        <v>652</v>
      </c>
      <c r="AB30" s="25" t="s">
        <v>26</v>
      </c>
    </row>
    <row r="31" spans="1:28" ht="156" customHeight="1" thickBot="1">
      <c r="A31" s="170"/>
      <c r="B31" s="173"/>
      <c r="C31" s="176"/>
      <c r="D31" s="181"/>
      <c r="E31" s="91" t="s">
        <v>109</v>
      </c>
      <c r="F31" s="91" t="s">
        <v>624</v>
      </c>
      <c r="G31" s="91" t="s">
        <v>536</v>
      </c>
      <c r="H31" s="18" t="s">
        <v>531</v>
      </c>
      <c r="I31" s="148" t="s">
        <v>537</v>
      </c>
      <c r="J31" s="85" t="s">
        <v>25</v>
      </c>
      <c r="K31" s="85" t="s">
        <v>25</v>
      </c>
      <c r="L31" s="144" t="s">
        <v>533</v>
      </c>
      <c r="M31" s="91">
        <v>2</v>
      </c>
      <c r="N31" s="91">
        <v>3</v>
      </c>
      <c r="O31" s="91">
        <f t="shared" si="10"/>
        <v>6</v>
      </c>
      <c r="P31" s="86" t="str">
        <f t="shared" si="11"/>
        <v>MEDIO</v>
      </c>
      <c r="Q31" s="91">
        <v>10</v>
      </c>
      <c r="R31" s="91">
        <f t="shared" si="7"/>
        <v>60</v>
      </c>
      <c r="S31" s="86" t="str">
        <f t="shared" si="8"/>
        <v>3</v>
      </c>
      <c r="T31" s="87" t="str">
        <f t="shared" si="9"/>
        <v>MEJORABLE</v>
      </c>
      <c r="U31" s="91">
        <v>1</v>
      </c>
      <c r="V31" s="88">
        <v>10</v>
      </c>
      <c r="W31" s="17" t="s">
        <v>538</v>
      </c>
      <c r="X31" s="91" t="s">
        <v>26</v>
      </c>
      <c r="Y31" s="91" t="s">
        <v>26</v>
      </c>
      <c r="Z31" s="91" t="s">
        <v>324</v>
      </c>
      <c r="AA31" s="147" t="s">
        <v>653</v>
      </c>
      <c r="AB31" s="25" t="s">
        <v>539</v>
      </c>
    </row>
    <row r="32" spans="1:28" ht="156" customHeight="1" thickBot="1">
      <c r="A32" s="170"/>
      <c r="B32" s="173"/>
      <c r="C32" s="176"/>
      <c r="D32" s="181"/>
      <c r="E32" s="91" t="s">
        <v>109</v>
      </c>
      <c r="F32" s="91" t="s">
        <v>624</v>
      </c>
      <c r="G32" s="91" t="s">
        <v>498</v>
      </c>
      <c r="H32" s="18" t="s">
        <v>531</v>
      </c>
      <c r="I32" s="148" t="s">
        <v>540</v>
      </c>
      <c r="J32" s="85" t="s">
        <v>25</v>
      </c>
      <c r="K32" s="85" t="s">
        <v>25</v>
      </c>
      <c r="L32" s="144" t="s">
        <v>533</v>
      </c>
      <c r="M32" s="91">
        <v>2</v>
      </c>
      <c r="N32" s="91">
        <v>3</v>
      </c>
      <c r="O32" s="91">
        <f t="shared" si="10"/>
        <v>6</v>
      </c>
      <c r="P32" s="86" t="str">
        <f t="shared" si="11"/>
        <v>MEDIO</v>
      </c>
      <c r="Q32" s="91">
        <v>10</v>
      </c>
      <c r="R32" s="91">
        <f t="shared" si="7"/>
        <v>60</v>
      </c>
      <c r="S32" s="86" t="str">
        <f t="shared" si="8"/>
        <v>3</v>
      </c>
      <c r="T32" s="87" t="str">
        <f t="shared" si="9"/>
        <v>MEJORABLE</v>
      </c>
      <c r="U32" s="91">
        <v>1</v>
      </c>
      <c r="V32" s="88">
        <v>10</v>
      </c>
      <c r="W32" s="17" t="s">
        <v>538</v>
      </c>
      <c r="X32" s="91" t="s">
        <v>26</v>
      </c>
      <c r="Y32" s="91" t="s">
        <v>26</v>
      </c>
      <c r="Z32" s="91" t="s">
        <v>324</v>
      </c>
      <c r="AA32" s="147" t="s">
        <v>654</v>
      </c>
      <c r="AB32" s="25" t="s">
        <v>26</v>
      </c>
    </row>
    <row r="33" spans="1:28" ht="156" customHeight="1" thickBot="1">
      <c r="A33" s="170"/>
      <c r="B33" s="173"/>
      <c r="C33" s="176"/>
      <c r="D33" s="181"/>
      <c r="E33" s="91" t="s">
        <v>109</v>
      </c>
      <c r="F33" s="91" t="s">
        <v>624</v>
      </c>
      <c r="G33" s="91" t="s">
        <v>542</v>
      </c>
      <c r="H33" s="18" t="s">
        <v>531</v>
      </c>
      <c r="I33" s="139" t="s">
        <v>543</v>
      </c>
      <c r="J33" s="85" t="s">
        <v>25</v>
      </c>
      <c r="K33" s="85" t="s">
        <v>25</v>
      </c>
      <c r="L33" s="91" t="s">
        <v>25</v>
      </c>
      <c r="M33" s="91">
        <v>2</v>
      </c>
      <c r="N33" s="91">
        <v>4</v>
      </c>
      <c r="O33" s="91">
        <f t="shared" si="10"/>
        <v>8</v>
      </c>
      <c r="P33" s="86" t="str">
        <f t="shared" si="11"/>
        <v>MEDIO</v>
      </c>
      <c r="Q33" s="91">
        <v>25</v>
      </c>
      <c r="R33" s="91">
        <f t="shared" si="7"/>
        <v>200</v>
      </c>
      <c r="S33" s="86" t="str">
        <f t="shared" si="8"/>
        <v>2</v>
      </c>
      <c r="T33" s="87" t="str">
        <f t="shared" si="9"/>
        <v>NO ACEPTABLE O ACEPTABLE CON CONTROL ESPECÍFICO</v>
      </c>
      <c r="U33" s="91">
        <v>1</v>
      </c>
      <c r="V33" s="88">
        <v>10</v>
      </c>
      <c r="W33" s="139" t="s">
        <v>544</v>
      </c>
      <c r="X33" s="91" t="s">
        <v>26</v>
      </c>
      <c r="Y33" s="91" t="s">
        <v>26</v>
      </c>
      <c r="Z33" s="91" t="s">
        <v>324</v>
      </c>
      <c r="AA33" s="142" t="s">
        <v>655</v>
      </c>
      <c r="AB33" s="25" t="s">
        <v>26</v>
      </c>
    </row>
    <row r="34" spans="1:28" ht="156" customHeight="1" thickBot="1">
      <c r="A34" s="170"/>
      <c r="B34" s="173"/>
      <c r="C34" s="176"/>
      <c r="D34" s="181"/>
      <c r="E34" s="91" t="s">
        <v>109</v>
      </c>
      <c r="F34" s="91" t="s">
        <v>624</v>
      </c>
      <c r="G34" s="91" t="s">
        <v>545</v>
      </c>
      <c r="H34" s="18" t="s">
        <v>514</v>
      </c>
      <c r="I34" s="139" t="s">
        <v>546</v>
      </c>
      <c r="J34" s="85" t="s">
        <v>25</v>
      </c>
      <c r="K34" s="85" t="s">
        <v>25</v>
      </c>
      <c r="L34" s="144" t="s">
        <v>547</v>
      </c>
      <c r="M34" s="91">
        <v>2</v>
      </c>
      <c r="N34" s="91">
        <v>3</v>
      </c>
      <c r="O34" s="91">
        <f t="shared" si="10"/>
        <v>6</v>
      </c>
      <c r="P34" s="86" t="str">
        <f t="shared" si="11"/>
        <v>MEDIO</v>
      </c>
      <c r="Q34" s="91">
        <v>25</v>
      </c>
      <c r="R34" s="91">
        <f t="shared" si="7"/>
        <v>150</v>
      </c>
      <c r="S34" s="86" t="str">
        <f t="shared" si="8"/>
        <v>2</v>
      </c>
      <c r="T34" s="87" t="str">
        <f t="shared" si="9"/>
        <v>NO ACEPTABLE O ACEPTABLE CON CONTROL ESPECÍFICO</v>
      </c>
      <c r="U34" s="91">
        <v>1</v>
      </c>
      <c r="V34" s="88">
        <v>10</v>
      </c>
      <c r="W34" s="141" t="s">
        <v>548</v>
      </c>
      <c r="X34" s="91" t="s">
        <v>26</v>
      </c>
      <c r="Y34" s="91" t="s">
        <v>26</v>
      </c>
      <c r="Z34" s="91" t="s">
        <v>324</v>
      </c>
      <c r="AA34" s="142" t="s">
        <v>656</v>
      </c>
      <c r="AB34" s="25" t="s">
        <v>26</v>
      </c>
    </row>
    <row r="35" spans="1:28" ht="156" customHeight="1" thickBot="1">
      <c r="A35" s="170"/>
      <c r="B35" s="173"/>
      <c r="C35" s="176"/>
      <c r="D35" s="182"/>
      <c r="E35" s="91" t="s">
        <v>109</v>
      </c>
      <c r="F35" s="91" t="s">
        <v>624</v>
      </c>
      <c r="G35" s="91" t="s">
        <v>550</v>
      </c>
      <c r="H35" s="18" t="s">
        <v>479</v>
      </c>
      <c r="I35" s="17" t="s">
        <v>551</v>
      </c>
      <c r="J35" s="85" t="s">
        <v>25</v>
      </c>
      <c r="K35" s="85" t="s">
        <v>25</v>
      </c>
      <c r="L35" s="144" t="s">
        <v>552</v>
      </c>
      <c r="M35" s="91">
        <v>2</v>
      </c>
      <c r="N35" s="91">
        <v>4</v>
      </c>
      <c r="O35" s="91">
        <f t="shared" si="10"/>
        <v>8</v>
      </c>
      <c r="P35" s="86" t="str">
        <f t="shared" si="11"/>
        <v>MEDIO</v>
      </c>
      <c r="Q35" s="91">
        <v>10</v>
      </c>
      <c r="R35" s="91">
        <f t="shared" si="7"/>
        <v>80</v>
      </c>
      <c r="S35" s="86" t="str">
        <f t="shared" si="8"/>
        <v>3</v>
      </c>
      <c r="T35" s="87" t="str">
        <f t="shared" si="9"/>
        <v>MEJORABLE</v>
      </c>
      <c r="U35" s="91">
        <v>1</v>
      </c>
      <c r="V35" s="88">
        <v>10</v>
      </c>
      <c r="W35" s="146" t="s">
        <v>553</v>
      </c>
      <c r="X35" s="91" t="s">
        <v>26</v>
      </c>
      <c r="Y35" s="91" t="s">
        <v>26</v>
      </c>
      <c r="Z35" s="91" t="s">
        <v>324</v>
      </c>
      <c r="AA35" s="147" t="s">
        <v>657</v>
      </c>
      <c r="AB35" s="25" t="s">
        <v>26</v>
      </c>
    </row>
    <row r="36" spans="1:28" ht="177" customHeight="1" thickBot="1">
      <c r="A36" s="170"/>
      <c r="B36" s="173"/>
      <c r="C36" s="176"/>
      <c r="D36" s="178" t="s">
        <v>555</v>
      </c>
      <c r="E36" s="91" t="s">
        <v>109</v>
      </c>
      <c r="F36" s="91" t="s">
        <v>624</v>
      </c>
      <c r="G36" s="91" t="s">
        <v>515</v>
      </c>
      <c r="H36" s="18" t="s">
        <v>514</v>
      </c>
      <c r="I36" s="139" t="s">
        <v>516</v>
      </c>
      <c r="J36" s="85" t="s">
        <v>25</v>
      </c>
      <c r="K36" s="85" t="s">
        <v>25</v>
      </c>
      <c r="L36" s="140" t="s">
        <v>517</v>
      </c>
      <c r="M36" s="91">
        <v>2</v>
      </c>
      <c r="N36" s="91">
        <v>4</v>
      </c>
      <c r="O36" s="91">
        <f t="shared" ref="O36:O41" si="12">M36*N36</f>
        <v>8</v>
      </c>
      <c r="P36" s="86" t="str">
        <f t="shared" ref="P36:P41" si="13">IF(O36&lt;=4,"BAJO",IF(O36&lt;=8,"MEDIO",IF(O36&lt;=20,"ALTO","MUY ALTO")))</f>
        <v>MEDIO</v>
      </c>
      <c r="Q36" s="91">
        <v>25</v>
      </c>
      <c r="R36" s="91">
        <f t="shared" si="7"/>
        <v>200</v>
      </c>
      <c r="S36" s="86" t="str">
        <f t="shared" si="8"/>
        <v>2</v>
      </c>
      <c r="T36" s="87" t="str">
        <f t="shared" si="9"/>
        <v>NO ACEPTABLE O ACEPTABLE CON CONTROL ESPECÍFICO</v>
      </c>
      <c r="U36" s="91">
        <v>1</v>
      </c>
      <c r="V36" s="88">
        <v>10</v>
      </c>
      <c r="W36" s="141" t="s">
        <v>518</v>
      </c>
      <c r="X36" s="91" t="s">
        <v>26</v>
      </c>
      <c r="Y36" s="91" t="s">
        <v>26</v>
      </c>
      <c r="Z36" s="91" t="s">
        <v>324</v>
      </c>
      <c r="AA36" s="142" t="s">
        <v>658</v>
      </c>
      <c r="AB36" s="25" t="s">
        <v>26</v>
      </c>
    </row>
    <row r="37" spans="1:28" ht="156" customHeight="1" thickBot="1">
      <c r="A37" s="170"/>
      <c r="B37" s="173"/>
      <c r="C37" s="176"/>
      <c r="D37" s="176"/>
      <c r="E37" s="91" t="s">
        <v>109</v>
      </c>
      <c r="F37" s="91" t="s">
        <v>624</v>
      </c>
      <c r="G37" s="91" t="s">
        <v>526</v>
      </c>
      <c r="H37" s="18" t="s">
        <v>239</v>
      </c>
      <c r="I37" s="139" t="s">
        <v>527</v>
      </c>
      <c r="J37" s="85" t="s">
        <v>25</v>
      </c>
      <c r="K37" s="85" t="s">
        <v>25</v>
      </c>
      <c r="L37" s="144" t="s">
        <v>556</v>
      </c>
      <c r="M37" s="91">
        <v>2</v>
      </c>
      <c r="N37" s="91">
        <v>4</v>
      </c>
      <c r="O37" s="91">
        <f t="shared" si="12"/>
        <v>8</v>
      </c>
      <c r="P37" s="86" t="str">
        <f t="shared" si="13"/>
        <v>MEDIO</v>
      </c>
      <c r="Q37" s="91">
        <v>10</v>
      </c>
      <c r="R37" s="91">
        <f t="shared" si="7"/>
        <v>80</v>
      </c>
      <c r="S37" s="86" t="str">
        <f t="shared" si="8"/>
        <v>3</v>
      </c>
      <c r="T37" s="87" t="str">
        <f t="shared" si="9"/>
        <v>MEJORABLE</v>
      </c>
      <c r="U37" s="91">
        <v>1</v>
      </c>
      <c r="V37" s="88">
        <v>10</v>
      </c>
      <c r="W37" s="141" t="s">
        <v>473</v>
      </c>
      <c r="X37" s="91" t="s">
        <v>26</v>
      </c>
      <c r="Y37" s="91" t="s">
        <v>26</v>
      </c>
      <c r="Z37" s="91" t="s">
        <v>324</v>
      </c>
      <c r="AA37" s="142" t="s">
        <v>659</v>
      </c>
      <c r="AB37" s="25" t="s">
        <v>26</v>
      </c>
    </row>
    <row r="38" spans="1:28" ht="156" customHeight="1" thickBot="1">
      <c r="A38" s="170"/>
      <c r="B38" s="173"/>
      <c r="C38" s="176"/>
      <c r="D38" s="176"/>
      <c r="E38" s="91" t="s">
        <v>109</v>
      </c>
      <c r="F38" s="91" t="s">
        <v>624</v>
      </c>
      <c r="G38" s="91" t="s">
        <v>557</v>
      </c>
      <c r="H38" s="18" t="s">
        <v>531</v>
      </c>
      <c r="I38" s="148" t="s">
        <v>537</v>
      </c>
      <c r="J38" s="85" t="s">
        <v>25</v>
      </c>
      <c r="K38" s="85" t="s">
        <v>25</v>
      </c>
      <c r="L38" s="144" t="s">
        <v>533</v>
      </c>
      <c r="M38" s="91">
        <v>2</v>
      </c>
      <c r="N38" s="91">
        <v>3</v>
      </c>
      <c r="O38" s="91">
        <f t="shared" si="12"/>
        <v>6</v>
      </c>
      <c r="P38" s="86" t="str">
        <f t="shared" si="13"/>
        <v>MEDIO</v>
      </c>
      <c r="Q38" s="91">
        <v>25</v>
      </c>
      <c r="R38" s="91">
        <f t="shared" si="7"/>
        <v>150</v>
      </c>
      <c r="S38" s="86" t="str">
        <f t="shared" si="8"/>
        <v>2</v>
      </c>
      <c r="T38" s="87" t="str">
        <f t="shared" si="9"/>
        <v>NO ACEPTABLE O ACEPTABLE CON CONTROL ESPECÍFICO</v>
      </c>
      <c r="U38" s="91">
        <v>1</v>
      </c>
      <c r="V38" s="88">
        <v>10</v>
      </c>
      <c r="W38" s="17" t="s">
        <v>538</v>
      </c>
      <c r="X38" s="91" t="s">
        <v>26</v>
      </c>
      <c r="Y38" s="91" t="s">
        <v>26</v>
      </c>
      <c r="Z38" s="91" t="s">
        <v>324</v>
      </c>
      <c r="AA38" s="147" t="s">
        <v>660</v>
      </c>
      <c r="AB38" s="25" t="s">
        <v>26</v>
      </c>
    </row>
    <row r="39" spans="1:28" ht="156" customHeight="1" thickBot="1">
      <c r="A39" s="170"/>
      <c r="B39" s="173"/>
      <c r="C39" s="176"/>
      <c r="D39" s="176"/>
      <c r="E39" s="91" t="s">
        <v>109</v>
      </c>
      <c r="F39" s="91" t="s">
        <v>624</v>
      </c>
      <c r="G39" s="91" t="s">
        <v>258</v>
      </c>
      <c r="H39" s="18" t="s">
        <v>531</v>
      </c>
      <c r="I39" s="148" t="s">
        <v>532</v>
      </c>
      <c r="J39" s="85" t="s">
        <v>25</v>
      </c>
      <c r="K39" s="85" t="s">
        <v>25</v>
      </c>
      <c r="L39" s="144" t="s">
        <v>533</v>
      </c>
      <c r="M39" s="91">
        <v>2</v>
      </c>
      <c r="N39" s="91">
        <v>3</v>
      </c>
      <c r="O39" s="91">
        <f t="shared" si="12"/>
        <v>6</v>
      </c>
      <c r="P39" s="86" t="str">
        <f t="shared" si="13"/>
        <v>MEDIO</v>
      </c>
      <c r="Q39" s="91">
        <v>25</v>
      </c>
      <c r="R39" s="91">
        <f t="shared" si="7"/>
        <v>150</v>
      </c>
      <c r="S39" s="86" t="str">
        <f t="shared" si="8"/>
        <v>2</v>
      </c>
      <c r="T39" s="87" t="str">
        <f t="shared" si="9"/>
        <v>NO ACEPTABLE O ACEPTABLE CON CONTROL ESPECÍFICO</v>
      </c>
      <c r="U39" s="91">
        <v>1</v>
      </c>
      <c r="V39" s="88">
        <v>10</v>
      </c>
      <c r="W39" s="145" t="s">
        <v>534</v>
      </c>
      <c r="X39" s="91" t="s">
        <v>26</v>
      </c>
      <c r="Y39" s="91" t="s">
        <v>26</v>
      </c>
      <c r="Z39" s="91" t="s">
        <v>324</v>
      </c>
      <c r="AA39" s="148" t="s">
        <v>558</v>
      </c>
      <c r="AB39" s="25" t="s">
        <v>26</v>
      </c>
    </row>
    <row r="40" spans="1:28" ht="156" customHeight="1" thickBot="1">
      <c r="A40" s="170"/>
      <c r="B40" s="173"/>
      <c r="C40" s="176"/>
      <c r="D40" s="176"/>
      <c r="E40" s="91" t="s">
        <v>109</v>
      </c>
      <c r="F40" s="91" t="s">
        <v>624</v>
      </c>
      <c r="G40" s="91" t="s">
        <v>542</v>
      </c>
      <c r="H40" s="18" t="s">
        <v>531</v>
      </c>
      <c r="I40" s="149" t="s">
        <v>559</v>
      </c>
      <c r="J40" s="85" t="s">
        <v>25</v>
      </c>
      <c r="K40" s="85" t="s">
        <v>25</v>
      </c>
      <c r="L40" s="144" t="s">
        <v>25</v>
      </c>
      <c r="M40" s="91">
        <v>2</v>
      </c>
      <c r="N40" s="91">
        <v>3</v>
      </c>
      <c r="O40" s="91">
        <f t="shared" si="12"/>
        <v>6</v>
      </c>
      <c r="P40" s="86" t="str">
        <f t="shared" si="13"/>
        <v>MEDIO</v>
      </c>
      <c r="Q40" s="91">
        <v>25</v>
      </c>
      <c r="R40" s="91">
        <f t="shared" si="7"/>
        <v>150</v>
      </c>
      <c r="S40" s="86" t="str">
        <f t="shared" si="8"/>
        <v>2</v>
      </c>
      <c r="T40" s="87" t="str">
        <f t="shared" si="9"/>
        <v>NO ACEPTABLE O ACEPTABLE CON CONTROL ESPECÍFICO</v>
      </c>
      <c r="U40" s="91">
        <v>1</v>
      </c>
      <c r="V40" s="88">
        <v>10</v>
      </c>
      <c r="W40" s="17" t="s">
        <v>564</v>
      </c>
      <c r="X40" s="91" t="s">
        <v>26</v>
      </c>
      <c r="Y40" s="91" t="s">
        <v>26</v>
      </c>
      <c r="Z40" s="91" t="s">
        <v>324</v>
      </c>
      <c r="AA40" s="142" t="s">
        <v>661</v>
      </c>
      <c r="AB40" s="25" t="s">
        <v>26</v>
      </c>
    </row>
    <row r="41" spans="1:28" ht="156" customHeight="1" thickBot="1">
      <c r="A41" s="170"/>
      <c r="B41" s="173"/>
      <c r="C41" s="176"/>
      <c r="D41" s="179"/>
      <c r="E41" s="91" t="s">
        <v>109</v>
      </c>
      <c r="F41" s="91" t="s">
        <v>624</v>
      </c>
      <c r="G41" s="91" t="s">
        <v>563</v>
      </c>
      <c r="H41" s="18" t="s">
        <v>531</v>
      </c>
      <c r="I41" s="17" t="s">
        <v>551</v>
      </c>
      <c r="J41" s="85" t="s">
        <v>25</v>
      </c>
      <c r="K41" s="85" t="s">
        <v>25</v>
      </c>
      <c r="L41" s="144" t="s">
        <v>552</v>
      </c>
      <c r="M41" s="91">
        <v>2</v>
      </c>
      <c r="N41" s="91">
        <v>4</v>
      </c>
      <c r="O41" s="91">
        <f t="shared" si="12"/>
        <v>8</v>
      </c>
      <c r="P41" s="86" t="str">
        <f t="shared" si="13"/>
        <v>MEDIO</v>
      </c>
      <c r="Q41" s="91">
        <v>10</v>
      </c>
      <c r="R41" s="91">
        <f t="shared" si="7"/>
        <v>80</v>
      </c>
      <c r="S41" s="86" t="str">
        <f t="shared" si="8"/>
        <v>3</v>
      </c>
      <c r="T41" s="87" t="str">
        <f t="shared" si="9"/>
        <v>MEJORABLE</v>
      </c>
      <c r="U41" s="91">
        <v>1</v>
      </c>
      <c r="V41" s="88">
        <v>10</v>
      </c>
      <c r="W41" s="146" t="s">
        <v>553</v>
      </c>
      <c r="X41" s="91" t="s">
        <v>26</v>
      </c>
      <c r="Y41" s="91" t="s">
        <v>26</v>
      </c>
      <c r="Z41" s="91" t="s">
        <v>324</v>
      </c>
      <c r="AA41" s="147" t="s">
        <v>662</v>
      </c>
      <c r="AB41" s="25" t="s">
        <v>26</v>
      </c>
    </row>
    <row r="42" spans="1:28" ht="156" customHeight="1" thickBot="1">
      <c r="A42" s="170"/>
      <c r="B42" s="173"/>
      <c r="C42" s="176"/>
      <c r="D42" s="178" t="s">
        <v>566</v>
      </c>
      <c r="E42" s="91" t="s">
        <v>109</v>
      </c>
      <c r="F42" s="91" t="s">
        <v>624</v>
      </c>
      <c r="G42" s="91" t="s">
        <v>515</v>
      </c>
      <c r="H42" s="18" t="s">
        <v>239</v>
      </c>
      <c r="I42" s="139" t="s">
        <v>516</v>
      </c>
      <c r="J42" s="85" t="s">
        <v>25</v>
      </c>
      <c r="K42" s="85" t="s">
        <v>25</v>
      </c>
      <c r="L42" s="140" t="s">
        <v>517</v>
      </c>
      <c r="M42" s="91">
        <v>6</v>
      </c>
      <c r="N42" s="91">
        <v>3</v>
      </c>
      <c r="O42" s="91">
        <f t="shared" ref="O42:O48" si="14">M42*N42</f>
        <v>18</v>
      </c>
      <c r="P42" s="86" t="str">
        <f t="shared" ref="P42:P48" si="15">IF(O42&lt;=4,"BAJO",IF(O42&lt;=8,"MEDIO",IF(O42&lt;=20,"ALTO","MUY ALTO")))</f>
        <v>ALTO</v>
      </c>
      <c r="Q42" s="91">
        <v>25</v>
      </c>
      <c r="R42" s="91">
        <f t="shared" si="7"/>
        <v>450</v>
      </c>
      <c r="S42" s="86" t="str">
        <f t="shared" si="8"/>
        <v>2</v>
      </c>
      <c r="T42" s="87" t="str">
        <f t="shared" si="9"/>
        <v>NO ACEPTABLE O ACEPTABLE CON CONTROL ESPECÍFICO</v>
      </c>
      <c r="U42" s="91">
        <v>1</v>
      </c>
      <c r="V42" s="88">
        <v>10</v>
      </c>
      <c r="W42" s="141" t="s">
        <v>518</v>
      </c>
      <c r="X42" s="91" t="s">
        <v>26</v>
      </c>
      <c r="Y42" s="91" t="s">
        <v>26</v>
      </c>
      <c r="Z42" s="91" t="s">
        <v>324</v>
      </c>
      <c r="AA42" s="142" t="s">
        <v>663</v>
      </c>
      <c r="AB42" s="25" t="s">
        <v>26</v>
      </c>
    </row>
    <row r="43" spans="1:28" ht="156" customHeight="1" thickBot="1">
      <c r="A43" s="170"/>
      <c r="B43" s="173"/>
      <c r="C43" s="176"/>
      <c r="D43" s="176"/>
      <c r="E43" s="91" t="s">
        <v>109</v>
      </c>
      <c r="F43" s="91" t="s">
        <v>624</v>
      </c>
      <c r="G43" s="91" t="s">
        <v>567</v>
      </c>
      <c r="H43" s="18" t="s">
        <v>479</v>
      </c>
      <c r="I43" s="148" t="s">
        <v>568</v>
      </c>
      <c r="J43" s="85" t="s">
        <v>25</v>
      </c>
      <c r="K43" s="85" t="s">
        <v>25</v>
      </c>
      <c r="L43" s="89" t="s">
        <v>569</v>
      </c>
      <c r="M43" s="91">
        <v>2</v>
      </c>
      <c r="N43" s="91">
        <v>3</v>
      </c>
      <c r="O43" s="91">
        <f t="shared" si="14"/>
        <v>6</v>
      </c>
      <c r="P43" s="86" t="str">
        <f t="shared" si="15"/>
        <v>MEDIO</v>
      </c>
      <c r="Q43" s="91">
        <v>25</v>
      </c>
      <c r="R43" s="91">
        <f t="shared" si="7"/>
        <v>150</v>
      </c>
      <c r="S43" s="86" t="str">
        <f t="shared" si="8"/>
        <v>2</v>
      </c>
      <c r="T43" s="87" t="str">
        <f t="shared" si="9"/>
        <v>NO ACEPTABLE O ACEPTABLE CON CONTROL ESPECÍFICO</v>
      </c>
      <c r="U43" s="91">
        <v>1</v>
      </c>
      <c r="V43" s="88">
        <v>10</v>
      </c>
      <c r="W43" s="146" t="s">
        <v>570</v>
      </c>
      <c r="X43" s="91" t="s">
        <v>26</v>
      </c>
      <c r="Y43" s="91" t="s">
        <v>26</v>
      </c>
      <c r="Z43" s="91" t="s">
        <v>324</v>
      </c>
      <c r="AA43" s="142" t="s">
        <v>664</v>
      </c>
      <c r="AB43" s="25" t="s">
        <v>26</v>
      </c>
    </row>
    <row r="44" spans="1:28" ht="156" customHeight="1" thickBot="1">
      <c r="A44" s="170"/>
      <c r="B44" s="173"/>
      <c r="C44" s="176"/>
      <c r="D44" s="176"/>
      <c r="E44" s="91" t="s">
        <v>109</v>
      </c>
      <c r="F44" s="91" t="s">
        <v>624</v>
      </c>
      <c r="G44" s="91" t="s">
        <v>572</v>
      </c>
      <c r="H44" s="18" t="s">
        <v>479</v>
      </c>
      <c r="I44" s="148" t="s">
        <v>573</v>
      </c>
      <c r="J44" s="85" t="s">
        <v>25</v>
      </c>
      <c r="K44" s="85" t="s">
        <v>25</v>
      </c>
      <c r="L44" s="144" t="s">
        <v>25</v>
      </c>
      <c r="M44" s="91">
        <v>2</v>
      </c>
      <c r="N44" s="91">
        <v>3</v>
      </c>
      <c r="O44" s="91">
        <f t="shared" si="14"/>
        <v>6</v>
      </c>
      <c r="P44" s="86" t="str">
        <f t="shared" si="15"/>
        <v>MEDIO</v>
      </c>
      <c r="Q44" s="91">
        <v>25</v>
      </c>
      <c r="R44" s="91">
        <f t="shared" si="7"/>
        <v>150</v>
      </c>
      <c r="S44" s="86" t="str">
        <f t="shared" si="8"/>
        <v>2</v>
      </c>
      <c r="T44" s="87" t="str">
        <f t="shared" si="9"/>
        <v>NO ACEPTABLE O ACEPTABLE CON CONTROL ESPECÍFICO</v>
      </c>
      <c r="U44" s="91">
        <v>1</v>
      </c>
      <c r="V44" s="88">
        <v>10</v>
      </c>
      <c r="W44" s="146" t="s">
        <v>574</v>
      </c>
      <c r="X44" s="91" t="s">
        <v>26</v>
      </c>
      <c r="Y44" s="91" t="s">
        <v>26</v>
      </c>
      <c r="Z44" s="91" t="s">
        <v>324</v>
      </c>
      <c r="AA44" s="142" t="s">
        <v>665</v>
      </c>
      <c r="AB44" s="25" t="s">
        <v>26</v>
      </c>
    </row>
    <row r="45" spans="1:28" ht="152.25" customHeight="1" thickBot="1">
      <c r="A45" s="170"/>
      <c r="B45" s="173"/>
      <c r="C45" s="176"/>
      <c r="D45" s="176"/>
      <c r="E45" s="129" t="s">
        <v>24</v>
      </c>
      <c r="F45" s="91" t="s">
        <v>627</v>
      </c>
      <c r="G45" s="89" t="s">
        <v>501</v>
      </c>
      <c r="H45" s="82" t="s">
        <v>502</v>
      </c>
      <c r="I45" s="89" t="s">
        <v>503</v>
      </c>
      <c r="J45" s="89" t="s">
        <v>504</v>
      </c>
      <c r="K45" s="89" t="s">
        <v>505</v>
      </c>
      <c r="L45" s="89" t="s">
        <v>506</v>
      </c>
      <c r="M45" s="89">
        <v>2</v>
      </c>
      <c r="N45" s="89">
        <v>4</v>
      </c>
      <c r="O45" s="89">
        <f t="shared" si="14"/>
        <v>8</v>
      </c>
      <c r="P45" s="83" t="str">
        <f t="shared" si="15"/>
        <v>MEDIO</v>
      </c>
      <c r="Q45" s="89">
        <v>25</v>
      </c>
      <c r="R45" s="89">
        <f t="shared" si="7"/>
        <v>200</v>
      </c>
      <c r="S45" s="83" t="str">
        <f t="shared" si="8"/>
        <v>2</v>
      </c>
      <c r="T45" s="84" t="str">
        <f t="shared" si="9"/>
        <v>NO ACEPTABLE O ACEPTABLE CON CONTROL ESPECÍFICO</v>
      </c>
      <c r="U45" s="89">
        <v>1</v>
      </c>
      <c r="V45" s="89">
        <v>10</v>
      </c>
      <c r="W45" s="12" t="s">
        <v>413</v>
      </c>
      <c r="X45" s="10" t="s">
        <v>26</v>
      </c>
      <c r="Y45" s="10" t="s">
        <v>26</v>
      </c>
      <c r="Z45" s="10" t="s">
        <v>26</v>
      </c>
      <c r="AA45" s="102" t="s">
        <v>666</v>
      </c>
      <c r="AB45" s="24" t="s">
        <v>26</v>
      </c>
    </row>
    <row r="46" spans="1:28" ht="156" customHeight="1" thickBot="1">
      <c r="A46" s="170"/>
      <c r="B46" s="173"/>
      <c r="C46" s="176"/>
      <c r="D46" s="176"/>
      <c r="E46" s="91" t="s">
        <v>109</v>
      </c>
      <c r="F46" s="91" t="s">
        <v>624</v>
      </c>
      <c r="G46" s="91" t="s">
        <v>526</v>
      </c>
      <c r="H46" s="18" t="s">
        <v>239</v>
      </c>
      <c r="I46" s="139" t="s">
        <v>527</v>
      </c>
      <c r="J46" s="85" t="s">
        <v>25</v>
      </c>
      <c r="K46" s="85" t="s">
        <v>25</v>
      </c>
      <c r="L46" s="144" t="s">
        <v>25</v>
      </c>
      <c r="M46" s="91">
        <v>2</v>
      </c>
      <c r="N46" s="91">
        <v>3</v>
      </c>
      <c r="O46" s="91">
        <f t="shared" si="14"/>
        <v>6</v>
      </c>
      <c r="P46" s="86" t="str">
        <f t="shared" si="15"/>
        <v>MEDIO</v>
      </c>
      <c r="Q46" s="91">
        <v>25</v>
      </c>
      <c r="R46" s="91">
        <f t="shared" si="7"/>
        <v>150</v>
      </c>
      <c r="S46" s="86" t="str">
        <f t="shared" si="8"/>
        <v>2</v>
      </c>
      <c r="T46" s="87" t="str">
        <f t="shared" si="9"/>
        <v>NO ACEPTABLE O ACEPTABLE CON CONTROL ESPECÍFICO</v>
      </c>
      <c r="U46" s="91">
        <v>1</v>
      </c>
      <c r="V46" s="88">
        <v>10</v>
      </c>
      <c r="W46" s="141" t="s">
        <v>473</v>
      </c>
      <c r="X46" s="91" t="s">
        <v>26</v>
      </c>
      <c r="Y46" s="91" t="s">
        <v>26</v>
      </c>
      <c r="Z46" s="91" t="s">
        <v>324</v>
      </c>
      <c r="AA46" s="142" t="s">
        <v>667</v>
      </c>
      <c r="AB46" s="25" t="s">
        <v>26</v>
      </c>
    </row>
    <row r="47" spans="1:28" ht="156" customHeight="1" thickBot="1">
      <c r="A47" s="170"/>
      <c r="B47" s="173"/>
      <c r="C47" s="176"/>
      <c r="D47" s="176"/>
      <c r="E47" s="91" t="s">
        <v>109</v>
      </c>
      <c r="F47" s="91" t="s">
        <v>624</v>
      </c>
      <c r="G47" s="91" t="s">
        <v>536</v>
      </c>
      <c r="H47" s="18" t="s">
        <v>531</v>
      </c>
      <c r="I47" s="148" t="s">
        <v>537</v>
      </c>
      <c r="J47" s="85" t="s">
        <v>25</v>
      </c>
      <c r="K47" s="85" t="s">
        <v>25</v>
      </c>
      <c r="L47" s="144" t="s">
        <v>25</v>
      </c>
      <c r="M47" s="91">
        <v>2</v>
      </c>
      <c r="N47" s="91">
        <v>3</v>
      </c>
      <c r="O47" s="91">
        <f t="shared" si="14"/>
        <v>6</v>
      </c>
      <c r="P47" s="86" t="str">
        <f t="shared" si="15"/>
        <v>MEDIO</v>
      </c>
      <c r="Q47" s="91">
        <v>25</v>
      </c>
      <c r="R47" s="91">
        <f t="shared" si="7"/>
        <v>150</v>
      </c>
      <c r="S47" s="86" t="str">
        <f t="shared" si="8"/>
        <v>2</v>
      </c>
      <c r="T47" s="87" t="str">
        <f t="shared" si="9"/>
        <v>NO ACEPTABLE O ACEPTABLE CON CONTROL ESPECÍFICO</v>
      </c>
      <c r="U47" s="91">
        <v>1</v>
      </c>
      <c r="V47" s="88">
        <v>10</v>
      </c>
      <c r="W47" s="17" t="s">
        <v>538</v>
      </c>
      <c r="X47" s="91" t="s">
        <v>26</v>
      </c>
      <c r="Y47" s="91" t="s">
        <v>26</v>
      </c>
      <c r="Z47" s="91" t="s">
        <v>324</v>
      </c>
      <c r="AA47" s="147" t="s">
        <v>668</v>
      </c>
      <c r="AB47" s="25" t="s">
        <v>26</v>
      </c>
    </row>
    <row r="48" spans="1:28" ht="156" customHeight="1" thickBot="1">
      <c r="A48" s="170"/>
      <c r="B48" s="173"/>
      <c r="C48" s="176"/>
      <c r="D48" s="179"/>
      <c r="E48" s="91" t="s">
        <v>109</v>
      </c>
      <c r="F48" s="91" t="s">
        <v>624</v>
      </c>
      <c r="G48" s="91" t="s">
        <v>258</v>
      </c>
      <c r="H48" s="18" t="s">
        <v>531</v>
      </c>
      <c r="I48" s="148" t="s">
        <v>532</v>
      </c>
      <c r="J48" s="85" t="s">
        <v>25</v>
      </c>
      <c r="K48" s="85" t="s">
        <v>25</v>
      </c>
      <c r="L48" s="144" t="s">
        <v>25</v>
      </c>
      <c r="M48" s="91">
        <v>2</v>
      </c>
      <c r="N48" s="91">
        <v>3</v>
      </c>
      <c r="O48" s="91">
        <f t="shared" si="14"/>
        <v>6</v>
      </c>
      <c r="P48" s="86" t="str">
        <f t="shared" si="15"/>
        <v>MEDIO</v>
      </c>
      <c r="Q48" s="91">
        <v>25</v>
      </c>
      <c r="R48" s="91">
        <f t="shared" si="7"/>
        <v>150</v>
      </c>
      <c r="S48" s="86" t="str">
        <f t="shared" si="8"/>
        <v>2</v>
      </c>
      <c r="T48" s="87" t="str">
        <f t="shared" si="9"/>
        <v>NO ACEPTABLE O ACEPTABLE CON CONTROL ESPECÍFICO</v>
      </c>
      <c r="U48" s="91">
        <v>1</v>
      </c>
      <c r="V48" s="88">
        <v>10</v>
      </c>
      <c r="W48" s="145" t="s">
        <v>534</v>
      </c>
      <c r="X48" s="91" t="s">
        <v>26</v>
      </c>
      <c r="Y48" s="91" t="s">
        <v>26</v>
      </c>
      <c r="Z48" s="91" t="s">
        <v>324</v>
      </c>
      <c r="AA48" s="148" t="s">
        <v>669</v>
      </c>
      <c r="AB48" s="25" t="s">
        <v>26</v>
      </c>
    </row>
    <row r="49" spans="1:28" ht="156" customHeight="1" thickBot="1">
      <c r="A49" s="170"/>
      <c r="B49" s="173"/>
      <c r="C49" s="176"/>
      <c r="D49" s="178" t="s">
        <v>575</v>
      </c>
      <c r="E49" s="91" t="s">
        <v>109</v>
      </c>
      <c r="F49" s="91" t="s">
        <v>624</v>
      </c>
      <c r="G49" s="91" t="s">
        <v>536</v>
      </c>
      <c r="H49" s="18" t="s">
        <v>531</v>
      </c>
      <c r="I49" s="148" t="s">
        <v>537</v>
      </c>
      <c r="J49" s="85" t="s">
        <v>25</v>
      </c>
      <c r="K49" s="85" t="s">
        <v>25</v>
      </c>
      <c r="L49" s="144" t="s">
        <v>25</v>
      </c>
      <c r="M49" s="91">
        <v>2</v>
      </c>
      <c r="N49" s="91">
        <v>3</v>
      </c>
      <c r="O49" s="91">
        <f t="shared" ref="O49:O56" si="16">M49*N49</f>
        <v>6</v>
      </c>
      <c r="P49" s="86" t="str">
        <f t="shared" ref="P49:P56" si="17">IF(O49&lt;=4,"BAJO",IF(O49&lt;=8,"MEDIO",IF(O49&lt;=20,"ALTO","MUY ALTO")))</f>
        <v>MEDIO</v>
      </c>
      <c r="Q49" s="91">
        <v>25</v>
      </c>
      <c r="R49" s="91">
        <f t="shared" si="7"/>
        <v>150</v>
      </c>
      <c r="S49" s="86" t="str">
        <f t="shared" si="8"/>
        <v>2</v>
      </c>
      <c r="T49" s="87" t="str">
        <f t="shared" si="9"/>
        <v>NO ACEPTABLE O ACEPTABLE CON CONTROL ESPECÍFICO</v>
      </c>
      <c r="U49" s="91">
        <v>1</v>
      </c>
      <c r="V49" s="88">
        <v>10</v>
      </c>
      <c r="W49" s="17" t="s">
        <v>538</v>
      </c>
      <c r="X49" s="91" t="s">
        <v>26</v>
      </c>
      <c r="Y49" s="91" t="s">
        <v>26</v>
      </c>
      <c r="Z49" s="91" t="s">
        <v>324</v>
      </c>
      <c r="AA49" s="147" t="s">
        <v>670</v>
      </c>
      <c r="AB49" s="25" t="s">
        <v>26</v>
      </c>
    </row>
    <row r="50" spans="1:28" ht="156" customHeight="1" thickBot="1">
      <c r="A50" s="170"/>
      <c r="B50" s="173"/>
      <c r="C50" s="176"/>
      <c r="D50" s="176"/>
      <c r="E50" s="91" t="s">
        <v>109</v>
      </c>
      <c r="F50" s="91" t="s">
        <v>624</v>
      </c>
      <c r="G50" s="91" t="s">
        <v>258</v>
      </c>
      <c r="H50" s="18" t="s">
        <v>531</v>
      </c>
      <c r="I50" s="148" t="s">
        <v>532</v>
      </c>
      <c r="J50" s="85" t="s">
        <v>25</v>
      </c>
      <c r="K50" s="85" t="s">
        <v>25</v>
      </c>
      <c r="L50" s="144" t="s">
        <v>25</v>
      </c>
      <c r="M50" s="91">
        <v>2</v>
      </c>
      <c r="N50" s="91">
        <v>3</v>
      </c>
      <c r="O50" s="91">
        <f t="shared" si="16"/>
        <v>6</v>
      </c>
      <c r="P50" s="86" t="str">
        <f t="shared" si="17"/>
        <v>MEDIO</v>
      </c>
      <c r="Q50" s="91">
        <v>25</v>
      </c>
      <c r="R50" s="91">
        <f t="shared" si="7"/>
        <v>150</v>
      </c>
      <c r="S50" s="86" t="str">
        <f t="shared" si="8"/>
        <v>2</v>
      </c>
      <c r="T50" s="87" t="str">
        <f t="shared" si="9"/>
        <v>NO ACEPTABLE O ACEPTABLE CON CONTROL ESPECÍFICO</v>
      </c>
      <c r="U50" s="91">
        <v>1</v>
      </c>
      <c r="V50" s="88">
        <v>10</v>
      </c>
      <c r="W50" s="145" t="s">
        <v>534</v>
      </c>
      <c r="X50" s="91" t="s">
        <v>26</v>
      </c>
      <c r="Y50" s="91" t="s">
        <v>26</v>
      </c>
      <c r="Z50" s="91" t="s">
        <v>324</v>
      </c>
      <c r="AA50" s="148" t="s">
        <v>671</v>
      </c>
      <c r="AB50" s="25" t="s">
        <v>26</v>
      </c>
    </row>
    <row r="51" spans="1:28" ht="156" customHeight="1" thickBot="1">
      <c r="A51" s="170"/>
      <c r="B51" s="173"/>
      <c r="C51" s="176"/>
      <c r="D51" s="176"/>
      <c r="E51" s="91" t="s">
        <v>109</v>
      </c>
      <c r="F51" s="91" t="s">
        <v>624</v>
      </c>
      <c r="G51" s="91" t="s">
        <v>498</v>
      </c>
      <c r="H51" s="18" t="s">
        <v>531</v>
      </c>
      <c r="I51" s="148" t="s">
        <v>540</v>
      </c>
      <c r="J51" s="85" t="s">
        <v>25</v>
      </c>
      <c r="K51" s="85" t="s">
        <v>25</v>
      </c>
      <c r="L51" s="144" t="s">
        <v>25</v>
      </c>
      <c r="M51" s="91">
        <v>2</v>
      </c>
      <c r="N51" s="91">
        <v>3</v>
      </c>
      <c r="O51" s="91">
        <f t="shared" si="16"/>
        <v>6</v>
      </c>
      <c r="P51" s="86" t="str">
        <f t="shared" si="17"/>
        <v>MEDIO</v>
      </c>
      <c r="Q51" s="91">
        <v>25</v>
      </c>
      <c r="R51" s="91">
        <f t="shared" si="7"/>
        <v>150</v>
      </c>
      <c r="S51" s="86" t="str">
        <f t="shared" si="8"/>
        <v>2</v>
      </c>
      <c r="T51" s="87" t="str">
        <f t="shared" si="9"/>
        <v>NO ACEPTABLE O ACEPTABLE CON CONTROL ESPECÍFICO</v>
      </c>
      <c r="U51" s="91">
        <v>1</v>
      </c>
      <c r="V51" s="88">
        <v>10</v>
      </c>
      <c r="W51" s="17" t="s">
        <v>538</v>
      </c>
      <c r="X51" s="91" t="s">
        <v>26</v>
      </c>
      <c r="Y51" s="91" t="s">
        <v>26</v>
      </c>
      <c r="Z51" s="91" t="s">
        <v>324</v>
      </c>
      <c r="AA51" s="147" t="s">
        <v>541</v>
      </c>
      <c r="AB51" s="25" t="s">
        <v>26</v>
      </c>
    </row>
    <row r="52" spans="1:28" ht="156" customHeight="1" thickBot="1">
      <c r="A52" s="170"/>
      <c r="B52" s="173"/>
      <c r="C52" s="176"/>
      <c r="D52" s="176"/>
      <c r="E52" s="91" t="s">
        <v>109</v>
      </c>
      <c r="F52" s="91" t="s">
        <v>624</v>
      </c>
      <c r="G52" s="91" t="s">
        <v>542</v>
      </c>
      <c r="H52" s="18" t="s">
        <v>531</v>
      </c>
      <c r="I52" s="149" t="s">
        <v>559</v>
      </c>
      <c r="J52" s="85" t="s">
        <v>25</v>
      </c>
      <c r="K52" s="85" t="s">
        <v>25</v>
      </c>
      <c r="L52" s="144" t="s">
        <v>560</v>
      </c>
      <c r="M52" s="91">
        <v>2</v>
      </c>
      <c r="N52" s="91">
        <v>3</v>
      </c>
      <c r="O52" s="91">
        <f t="shared" si="16"/>
        <v>6</v>
      </c>
      <c r="P52" s="86" t="str">
        <f t="shared" si="17"/>
        <v>MEDIO</v>
      </c>
      <c r="Q52" s="91">
        <v>25</v>
      </c>
      <c r="R52" s="91">
        <f t="shared" si="7"/>
        <v>150</v>
      </c>
      <c r="S52" s="86" t="str">
        <f t="shared" si="8"/>
        <v>2</v>
      </c>
      <c r="T52" s="87" t="str">
        <f t="shared" si="9"/>
        <v>NO ACEPTABLE O ACEPTABLE CON CONTROL ESPECÍFICO</v>
      </c>
      <c r="U52" s="91">
        <v>1</v>
      </c>
      <c r="V52" s="88">
        <v>10</v>
      </c>
      <c r="W52" s="17" t="s">
        <v>561</v>
      </c>
      <c r="X52" s="91" t="s">
        <v>26</v>
      </c>
      <c r="Y52" s="91" t="s">
        <v>26</v>
      </c>
      <c r="Z52" s="91" t="s">
        <v>324</v>
      </c>
      <c r="AA52" s="142" t="s">
        <v>672</v>
      </c>
      <c r="AB52" s="25" t="s">
        <v>26</v>
      </c>
    </row>
    <row r="53" spans="1:28" ht="156" customHeight="1" thickBot="1">
      <c r="A53" s="170"/>
      <c r="B53" s="173"/>
      <c r="C53" s="176"/>
      <c r="D53" s="176"/>
      <c r="E53" s="91" t="s">
        <v>109</v>
      </c>
      <c r="F53" s="91" t="s">
        <v>624</v>
      </c>
      <c r="G53" s="91" t="s">
        <v>576</v>
      </c>
      <c r="H53" s="18" t="s">
        <v>514</v>
      </c>
      <c r="I53" s="145" t="s">
        <v>577</v>
      </c>
      <c r="J53" s="85" t="s">
        <v>25</v>
      </c>
      <c r="K53" s="85" t="s">
        <v>25</v>
      </c>
      <c r="L53" s="17" t="s">
        <v>578</v>
      </c>
      <c r="M53" s="91">
        <v>2</v>
      </c>
      <c r="N53" s="91">
        <v>3</v>
      </c>
      <c r="O53" s="91">
        <f t="shared" si="16"/>
        <v>6</v>
      </c>
      <c r="P53" s="86" t="str">
        <f t="shared" si="17"/>
        <v>MEDIO</v>
      </c>
      <c r="Q53" s="91">
        <v>25</v>
      </c>
      <c r="R53" s="91">
        <f t="shared" si="7"/>
        <v>150</v>
      </c>
      <c r="S53" s="86" t="str">
        <f t="shared" si="8"/>
        <v>2</v>
      </c>
      <c r="T53" s="87" t="str">
        <f t="shared" si="9"/>
        <v>NO ACEPTABLE O ACEPTABLE CON CONTROL ESPECÍFICO</v>
      </c>
      <c r="U53" s="91">
        <v>1</v>
      </c>
      <c r="V53" s="88">
        <v>10</v>
      </c>
      <c r="W53" s="146" t="s">
        <v>579</v>
      </c>
      <c r="X53" s="91" t="s">
        <v>26</v>
      </c>
      <c r="Y53" s="91" t="s">
        <v>26</v>
      </c>
      <c r="Z53" s="91" t="s">
        <v>324</v>
      </c>
      <c r="AA53" s="150" t="s">
        <v>673</v>
      </c>
      <c r="AB53" s="25" t="s">
        <v>26</v>
      </c>
    </row>
    <row r="54" spans="1:28" ht="156" customHeight="1" thickBot="1">
      <c r="A54" s="170"/>
      <c r="B54" s="173"/>
      <c r="C54" s="176"/>
      <c r="D54" s="176"/>
      <c r="E54" s="91" t="s">
        <v>109</v>
      </c>
      <c r="F54" s="91" t="s">
        <v>624</v>
      </c>
      <c r="G54" s="91" t="s">
        <v>545</v>
      </c>
      <c r="H54" s="18" t="s">
        <v>239</v>
      </c>
      <c r="I54" s="148" t="s">
        <v>580</v>
      </c>
      <c r="J54" s="85" t="s">
        <v>25</v>
      </c>
      <c r="K54" s="85" t="s">
        <v>25</v>
      </c>
      <c r="L54" s="17" t="s">
        <v>578</v>
      </c>
      <c r="M54" s="91">
        <v>2</v>
      </c>
      <c r="N54" s="91">
        <v>3</v>
      </c>
      <c r="O54" s="91">
        <f t="shared" si="16"/>
        <v>6</v>
      </c>
      <c r="P54" s="86" t="str">
        <f t="shared" si="17"/>
        <v>MEDIO</v>
      </c>
      <c r="Q54" s="91">
        <v>25</v>
      </c>
      <c r="R54" s="91">
        <f t="shared" si="7"/>
        <v>150</v>
      </c>
      <c r="S54" s="86" t="str">
        <f t="shared" si="8"/>
        <v>2</v>
      </c>
      <c r="T54" s="87" t="str">
        <f t="shared" si="9"/>
        <v>NO ACEPTABLE O ACEPTABLE CON CONTROL ESPECÍFICO</v>
      </c>
      <c r="U54" s="91">
        <v>1</v>
      </c>
      <c r="V54" s="88">
        <v>10</v>
      </c>
      <c r="W54" s="146" t="s">
        <v>581</v>
      </c>
      <c r="X54" s="91" t="s">
        <v>26</v>
      </c>
      <c r="Y54" s="91" t="s">
        <v>26</v>
      </c>
      <c r="Z54" s="91" t="s">
        <v>324</v>
      </c>
      <c r="AA54" s="147" t="s">
        <v>674</v>
      </c>
      <c r="AB54" s="25" t="s">
        <v>26</v>
      </c>
    </row>
    <row r="55" spans="1:28" ht="156" customHeight="1" thickBot="1">
      <c r="A55" s="170"/>
      <c r="B55" s="173"/>
      <c r="C55" s="176"/>
      <c r="D55" s="176"/>
      <c r="E55" s="91" t="s">
        <v>109</v>
      </c>
      <c r="F55" s="91" t="s">
        <v>624</v>
      </c>
      <c r="G55" s="91" t="s">
        <v>567</v>
      </c>
      <c r="H55" s="18" t="s">
        <v>479</v>
      </c>
      <c r="I55" s="148" t="s">
        <v>568</v>
      </c>
      <c r="J55" s="85" t="s">
        <v>25</v>
      </c>
      <c r="K55" s="85" t="s">
        <v>25</v>
      </c>
      <c r="L55" s="89" t="s">
        <v>569</v>
      </c>
      <c r="M55" s="91">
        <v>2</v>
      </c>
      <c r="N55" s="91">
        <v>3</v>
      </c>
      <c r="O55" s="91">
        <f t="shared" si="16"/>
        <v>6</v>
      </c>
      <c r="P55" s="86" t="str">
        <f t="shared" si="17"/>
        <v>MEDIO</v>
      </c>
      <c r="Q55" s="91">
        <v>25</v>
      </c>
      <c r="R55" s="91">
        <f t="shared" si="7"/>
        <v>150</v>
      </c>
      <c r="S55" s="86" t="str">
        <f t="shared" si="8"/>
        <v>2</v>
      </c>
      <c r="T55" s="87" t="str">
        <f t="shared" si="9"/>
        <v>NO ACEPTABLE O ACEPTABLE CON CONTROL ESPECÍFICO</v>
      </c>
      <c r="U55" s="91">
        <v>1</v>
      </c>
      <c r="V55" s="88">
        <v>10</v>
      </c>
      <c r="W55" s="146" t="s">
        <v>570</v>
      </c>
      <c r="X55" s="91" t="s">
        <v>26</v>
      </c>
      <c r="Y55" s="91" t="s">
        <v>26</v>
      </c>
      <c r="Z55" s="91" t="s">
        <v>324</v>
      </c>
      <c r="AA55" s="142" t="s">
        <v>675</v>
      </c>
      <c r="AB55" s="25" t="s">
        <v>26</v>
      </c>
    </row>
    <row r="56" spans="1:28" ht="156" customHeight="1" thickBot="1">
      <c r="A56" s="170"/>
      <c r="B56" s="173"/>
      <c r="C56" s="176"/>
      <c r="D56" s="179"/>
      <c r="E56" s="91" t="s">
        <v>109</v>
      </c>
      <c r="F56" s="91" t="s">
        <v>624</v>
      </c>
      <c r="G56" s="91" t="s">
        <v>621</v>
      </c>
      <c r="H56" s="18" t="s">
        <v>479</v>
      </c>
      <c r="I56" s="17" t="s">
        <v>551</v>
      </c>
      <c r="J56" s="85" t="s">
        <v>25</v>
      </c>
      <c r="K56" s="85" t="s">
        <v>25</v>
      </c>
      <c r="L56" s="144" t="s">
        <v>552</v>
      </c>
      <c r="M56" s="91">
        <v>2</v>
      </c>
      <c r="N56" s="91">
        <v>3</v>
      </c>
      <c r="O56" s="91">
        <f t="shared" si="16"/>
        <v>6</v>
      </c>
      <c r="P56" s="86" t="str">
        <f t="shared" si="17"/>
        <v>MEDIO</v>
      </c>
      <c r="Q56" s="91">
        <v>25</v>
      </c>
      <c r="R56" s="91">
        <f t="shared" si="7"/>
        <v>150</v>
      </c>
      <c r="S56" s="86" t="str">
        <f t="shared" si="8"/>
        <v>2</v>
      </c>
      <c r="T56" s="87" t="str">
        <f t="shared" si="9"/>
        <v>NO ACEPTABLE O ACEPTABLE CON CONTROL ESPECÍFICO</v>
      </c>
      <c r="U56" s="91">
        <v>1</v>
      </c>
      <c r="V56" s="88">
        <v>10</v>
      </c>
      <c r="W56" s="146" t="s">
        <v>553</v>
      </c>
      <c r="X56" s="91" t="s">
        <v>26</v>
      </c>
      <c r="Y56" s="91" t="s">
        <v>26</v>
      </c>
      <c r="Z56" s="91" t="s">
        <v>324</v>
      </c>
      <c r="AA56" s="147" t="s">
        <v>676</v>
      </c>
      <c r="AB56" s="25" t="s">
        <v>26</v>
      </c>
    </row>
    <row r="57" spans="1:28" ht="156" customHeight="1" thickBot="1">
      <c r="A57" s="170"/>
      <c r="B57" s="173"/>
      <c r="C57" s="176"/>
      <c r="D57" s="178" t="s">
        <v>582</v>
      </c>
      <c r="E57" s="91" t="s">
        <v>109</v>
      </c>
      <c r="F57" s="91" t="s">
        <v>624</v>
      </c>
      <c r="G57" s="91" t="s">
        <v>542</v>
      </c>
      <c r="H57" s="18" t="s">
        <v>531</v>
      </c>
      <c r="I57" s="149" t="s">
        <v>559</v>
      </c>
      <c r="J57" s="85" t="s">
        <v>25</v>
      </c>
      <c r="K57" s="85" t="s">
        <v>25</v>
      </c>
      <c r="L57" s="144" t="s">
        <v>560</v>
      </c>
      <c r="M57" s="91">
        <v>2</v>
      </c>
      <c r="N57" s="91">
        <v>3</v>
      </c>
      <c r="O57" s="91">
        <f t="shared" ref="O57" si="18">M57*N57</f>
        <v>6</v>
      </c>
      <c r="P57" s="86" t="str">
        <f t="shared" ref="P57" si="19">IF(O57&lt;=4,"BAJO",IF(O57&lt;=8,"MEDIO",IF(O57&lt;=20,"ALTO","MUY ALTO")))</f>
        <v>MEDIO</v>
      </c>
      <c r="Q57" s="91">
        <v>25</v>
      </c>
      <c r="R57" s="91">
        <f t="shared" si="7"/>
        <v>150</v>
      </c>
      <c r="S57" s="86" t="str">
        <f t="shared" si="8"/>
        <v>2</v>
      </c>
      <c r="T57" s="87" t="str">
        <f t="shared" si="9"/>
        <v>NO ACEPTABLE O ACEPTABLE CON CONTROL ESPECÍFICO</v>
      </c>
      <c r="U57" s="91">
        <v>1</v>
      </c>
      <c r="V57" s="88">
        <v>10</v>
      </c>
      <c r="W57" s="17" t="s">
        <v>561</v>
      </c>
      <c r="X57" s="91" t="s">
        <v>26</v>
      </c>
      <c r="Y57" s="91" t="s">
        <v>26</v>
      </c>
      <c r="Z57" s="91" t="s">
        <v>324</v>
      </c>
      <c r="AA57" s="142" t="s">
        <v>677</v>
      </c>
      <c r="AB57" s="25" t="s">
        <v>26</v>
      </c>
    </row>
    <row r="58" spans="1:28" ht="156" customHeight="1" thickBot="1">
      <c r="A58" s="170"/>
      <c r="B58" s="173"/>
      <c r="C58" s="176"/>
      <c r="D58" s="176"/>
      <c r="E58" s="91" t="s">
        <v>109</v>
      </c>
      <c r="F58" s="91" t="s">
        <v>624</v>
      </c>
      <c r="G58" s="91" t="s">
        <v>583</v>
      </c>
      <c r="H58" s="18" t="s">
        <v>531</v>
      </c>
      <c r="I58" s="148" t="s">
        <v>532</v>
      </c>
      <c r="J58" s="85" t="s">
        <v>25</v>
      </c>
      <c r="K58" s="85" t="s">
        <v>25</v>
      </c>
      <c r="L58" s="144" t="s">
        <v>552</v>
      </c>
      <c r="M58" s="91">
        <v>2</v>
      </c>
      <c r="N58" s="91">
        <v>3</v>
      </c>
      <c r="O58" s="91">
        <f t="shared" ref="O58:O62" si="20">M58*N58</f>
        <v>6</v>
      </c>
      <c r="P58" s="86" t="str">
        <f t="shared" ref="P58:P62" si="21">IF(O58&lt;=4,"BAJO",IF(O58&lt;=8,"MEDIO",IF(O58&lt;=20,"ALTO","MUY ALTO")))</f>
        <v>MEDIO</v>
      </c>
      <c r="Q58" s="91">
        <v>25</v>
      </c>
      <c r="R58" s="91">
        <f t="shared" si="7"/>
        <v>150</v>
      </c>
      <c r="S58" s="86" t="str">
        <f t="shared" si="8"/>
        <v>2</v>
      </c>
      <c r="T58" s="87" t="str">
        <f t="shared" si="9"/>
        <v>NO ACEPTABLE O ACEPTABLE CON CONTROL ESPECÍFICO</v>
      </c>
      <c r="U58" s="91">
        <v>1</v>
      </c>
      <c r="V58" s="88">
        <v>10</v>
      </c>
      <c r="W58" s="145" t="s">
        <v>534</v>
      </c>
      <c r="X58" s="91" t="s">
        <v>26</v>
      </c>
      <c r="Y58" s="91" t="s">
        <v>26</v>
      </c>
      <c r="Z58" s="91" t="s">
        <v>324</v>
      </c>
      <c r="AA58" s="148" t="s">
        <v>678</v>
      </c>
      <c r="AB58" s="25" t="s">
        <v>26</v>
      </c>
    </row>
    <row r="59" spans="1:28" ht="156" customHeight="1" thickBot="1">
      <c r="A59" s="170"/>
      <c r="B59" s="173"/>
      <c r="C59" s="176"/>
      <c r="D59" s="176"/>
      <c r="E59" s="91" t="s">
        <v>109</v>
      </c>
      <c r="F59" s="91" t="s">
        <v>624</v>
      </c>
      <c r="G59" s="91" t="s">
        <v>498</v>
      </c>
      <c r="H59" s="18" t="s">
        <v>531</v>
      </c>
      <c r="I59" s="139" t="s">
        <v>584</v>
      </c>
      <c r="J59" s="85" t="s">
        <v>25</v>
      </c>
      <c r="K59" s="85" t="s">
        <v>25</v>
      </c>
      <c r="L59" s="144" t="s">
        <v>25</v>
      </c>
      <c r="M59" s="91">
        <v>2</v>
      </c>
      <c r="N59" s="91">
        <v>3</v>
      </c>
      <c r="O59" s="91">
        <f t="shared" si="20"/>
        <v>6</v>
      </c>
      <c r="P59" s="86" t="str">
        <f t="shared" si="21"/>
        <v>MEDIO</v>
      </c>
      <c r="Q59" s="91">
        <v>25</v>
      </c>
      <c r="R59" s="91">
        <f t="shared" si="7"/>
        <v>150</v>
      </c>
      <c r="S59" s="86" t="str">
        <f t="shared" si="8"/>
        <v>2</v>
      </c>
      <c r="T59" s="87" t="str">
        <f t="shared" si="9"/>
        <v>NO ACEPTABLE O ACEPTABLE CON CONTROL ESPECÍFICO</v>
      </c>
      <c r="U59" s="91">
        <v>1</v>
      </c>
      <c r="V59" s="88">
        <v>10</v>
      </c>
      <c r="W59" s="17" t="s">
        <v>585</v>
      </c>
      <c r="X59" s="91" t="s">
        <v>26</v>
      </c>
      <c r="Y59" s="91" t="s">
        <v>26</v>
      </c>
      <c r="Z59" s="91" t="s">
        <v>324</v>
      </c>
      <c r="AA59" s="162" t="s">
        <v>679</v>
      </c>
      <c r="AB59" s="25" t="s">
        <v>26</v>
      </c>
    </row>
    <row r="60" spans="1:28" ht="156" customHeight="1" thickBot="1">
      <c r="A60" s="170"/>
      <c r="B60" s="173"/>
      <c r="C60" s="176"/>
      <c r="D60" s="176"/>
      <c r="E60" s="91" t="s">
        <v>109</v>
      </c>
      <c r="F60" s="91" t="s">
        <v>624</v>
      </c>
      <c r="G60" s="91" t="s">
        <v>251</v>
      </c>
      <c r="H60" s="18" t="s">
        <v>531</v>
      </c>
      <c r="I60" s="139" t="s">
        <v>586</v>
      </c>
      <c r="J60" s="85" t="s">
        <v>25</v>
      </c>
      <c r="K60" s="85" t="s">
        <v>25</v>
      </c>
      <c r="L60" s="144" t="s">
        <v>25</v>
      </c>
      <c r="M60" s="91">
        <v>2</v>
      </c>
      <c r="N60" s="91">
        <v>3</v>
      </c>
      <c r="O60" s="91">
        <f t="shared" si="20"/>
        <v>6</v>
      </c>
      <c r="P60" s="86" t="str">
        <f t="shared" si="21"/>
        <v>MEDIO</v>
      </c>
      <c r="Q60" s="91">
        <v>25</v>
      </c>
      <c r="R60" s="91">
        <f t="shared" si="7"/>
        <v>150</v>
      </c>
      <c r="S60" s="86" t="str">
        <f t="shared" si="8"/>
        <v>2</v>
      </c>
      <c r="T60" s="87" t="str">
        <f t="shared" si="9"/>
        <v>NO ACEPTABLE O ACEPTABLE CON CONTROL ESPECÍFICO</v>
      </c>
      <c r="U60" s="91">
        <v>1</v>
      </c>
      <c r="V60" s="88">
        <v>10</v>
      </c>
      <c r="W60" s="17" t="s">
        <v>564</v>
      </c>
      <c r="X60" s="91" t="s">
        <v>26</v>
      </c>
      <c r="Y60" s="91" t="s">
        <v>26</v>
      </c>
      <c r="Z60" s="91" t="s">
        <v>324</v>
      </c>
      <c r="AA60" s="142" t="s">
        <v>680</v>
      </c>
      <c r="AB60" s="25" t="s">
        <v>26</v>
      </c>
    </row>
    <row r="61" spans="1:28" ht="156" customHeight="1" thickBot="1">
      <c r="A61" s="170"/>
      <c r="B61" s="173"/>
      <c r="C61" s="176"/>
      <c r="D61" s="176"/>
      <c r="E61" s="91" t="s">
        <v>109</v>
      </c>
      <c r="F61" s="91" t="s">
        <v>624</v>
      </c>
      <c r="G61" s="91" t="s">
        <v>587</v>
      </c>
      <c r="H61" s="18" t="s">
        <v>514</v>
      </c>
      <c r="I61" s="142" t="s">
        <v>532</v>
      </c>
      <c r="J61" s="85" t="s">
        <v>25</v>
      </c>
      <c r="K61" s="85" t="s">
        <v>25</v>
      </c>
      <c r="L61" s="144" t="s">
        <v>25</v>
      </c>
      <c r="M61" s="91">
        <v>2</v>
      </c>
      <c r="N61" s="91">
        <v>3</v>
      </c>
      <c r="O61" s="91">
        <f t="shared" si="20"/>
        <v>6</v>
      </c>
      <c r="P61" s="86" t="str">
        <f t="shared" si="21"/>
        <v>MEDIO</v>
      </c>
      <c r="Q61" s="91">
        <v>25</v>
      </c>
      <c r="R61" s="91">
        <f t="shared" si="7"/>
        <v>150</v>
      </c>
      <c r="S61" s="86" t="str">
        <f t="shared" si="8"/>
        <v>2</v>
      </c>
      <c r="T61" s="87" t="str">
        <f t="shared" si="9"/>
        <v>NO ACEPTABLE O ACEPTABLE CON CONTROL ESPECÍFICO</v>
      </c>
      <c r="U61" s="91">
        <v>1</v>
      </c>
      <c r="V61" s="88">
        <v>10</v>
      </c>
      <c r="W61" s="139" t="s">
        <v>534</v>
      </c>
      <c r="X61" s="91" t="s">
        <v>26</v>
      </c>
      <c r="Y61" s="91" t="s">
        <v>26</v>
      </c>
      <c r="Z61" s="91" t="s">
        <v>324</v>
      </c>
      <c r="AA61" s="142" t="s">
        <v>558</v>
      </c>
      <c r="AB61" s="25" t="s">
        <v>26</v>
      </c>
    </row>
    <row r="62" spans="1:28" ht="152.25" customHeight="1" thickBot="1">
      <c r="A62" s="170"/>
      <c r="B62" s="173"/>
      <c r="C62" s="176"/>
      <c r="D62" s="179"/>
      <c r="E62" s="129" t="s">
        <v>24</v>
      </c>
      <c r="F62" s="91" t="s">
        <v>627</v>
      </c>
      <c r="G62" s="89" t="s">
        <v>501</v>
      </c>
      <c r="H62" s="82" t="s">
        <v>502</v>
      </c>
      <c r="I62" s="89" t="s">
        <v>503</v>
      </c>
      <c r="J62" s="89" t="s">
        <v>504</v>
      </c>
      <c r="K62" s="89" t="s">
        <v>505</v>
      </c>
      <c r="L62" s="89" t="s">
        <v>506</v>
      </c>
      <c r="M62" s="89">
        <v>6</v>
      </c>
      <c r="N62" s="89">
        <v>4</v>
      </c>
      <c r="O62" s="89">
        <f t="shared" si="20"/>
        <v>24</v>
      </c>
      <c r="P62" s="83" t="str">
        <f t="shared" si="21"/>
        <v>MUY ALTO</v>
      </c>
      <c r="Q62" s="89">
        <v>25</v>
      </c>
      <c r="R62" s="89">
        <f t="shared" si="7"/>
        <v>600</v>
      </c>
      <c r="S62" s="83" t="str">
        <f t="shared" si="8"/>
        <v>1</v>
      </c>
      <c r="T62" s="84" t="str">
        <f t="shared" si="9"/>
        <v>NO ACEPTABLE</v>
      </c>
      <c r="U62" s="89">
        <v>1</v>
      </c>
      <c r="V62" s="89">
        <v>10</v>
      </c>
      <c r="W62" s="12" t="s">
        <v>413</v>
      </c>
      <c r="X62" s="10" t="s">
        <v>26</v>
      </c>
      <c r="Y62" s="10" t="s">
        <v>26</v>
      </c>
      <c r="Z62" s="10" t="s">
        <v>26</v>
      </c>
      <c r="AA62" s="102" t="s">
        <v>507</v>
      </c>
      <c r="AB62" s="24" t="s">
        <v>26</v>
      </c>
    </row>
    <row r="63" spans="1:28" ht="156" customHeight="1" thickBot="1">
      <c r="A63" s="170"/>
      <c r="B63" s="173"/>
      <c r="C63" s="176"/>
      <c r="D63" s="178" t="s">
        <v>588</v>
      </c>
      <c r="E63" s="91" t="s">
        <v>109</v>
      </c>
      <c r="F63" s="91" t="s">
        <v>624</v>
      </c>
      <c r="G63" s="91" t="s">
        <v>589</v>
      </c>
      <c r="H63" s="18" t="s">
        <v>479</v>
      </c>
      <c r="I63" s="148" t="s">
        <v>568</v>
      </c>
      <c r="J63" s="85" t="s">
        <v>25</v>
      </c>
      <c r="K63" s="89" t="s">
        <v>25</v>
      </c>
      <c r="L63" s="89" t="s">
        <v>569</v>
      </c>
      <c r="M63" s="91">
        <v>2</v>
      </c>
      <c r="N63" s="91">
        <v>3</v>
      </c>
      <c r="O63" s="91">
        <f t="shared" ref="O63" si="22">M63*N63</f>
        <v>6</v>
      </c>
      <c r="P63" s="86" t="str">
        <f t="shared" ref="P63" si="23">IF(O63&lt;=4,"BAJO",IF(O63&lt;=8,"MEDIO",IF(O63&lt;=20,"ALTO","MUY ALTO")))</f>
        <v>MEDIO</v>
      </c>
      <c r="Q63" s="91">
        <v>25</v>
      </c>
      <c r="R63" s="91">
        <f t="shared" si="7"/>
        <v>150</v>
      </c>
      <c r="S63" s="86" t="str">
        <f t="shared" si="8"/>
        <v>2</v>
      </c>
      <c r="T63" s="87" t="str">
        <f t="shared" si="9"/>
        <v>NO ACEPTABLE O ACEPTABLE CON CONTROL ESPECÍFICO</v>
      </c>
      <c r="U63" s="91">
        <v>1</v>
      </c>
      <c r="V63" s="88">
        <v>10</v>
      </c>
      <c r="W63" s="146" t="s">
        <v>570</v>
      </c>
      <c r="X63" s="91" t="s">
        <v>26</v>
      </c>
      <c r="Y63" s="91" t="s">
        <v>26</v>
      </c>
      <c r="Z63" s="91" t="s">
        <v>324</v>
      </c>
      <c r="AA63" s="142" t="s">
        <v>571</v>
      </c>
      <c r="AB63" s="25" t="s">
        <v>26</v>
      </c>
    </row>
    <row r="64" spans="1:28" ht="156" customHeight="1" thickBot="1">
      <c r="A64" s="170"/>
      <c r="B64" s="173"/>
      <c r="C64" s="176"/>
      <c r="D64" s="176"/>
      <c r="E64" s="91" t="s">
        <v>109</v>
      </c>
      <c r="F64" s="91" t="s">
        <v>624</v>
      </c>
      <c r="G64" s="91" t="s">
        <v>622</v>
      </c>
      <c r="H64" s="18" t="s">
        <v>479</v>
      </c>
      <c r="I64" s="17" t="s">
        <v>551</v>
      </c>
      <c r="J64" s="85" t="s">
        <v>25</v>
      </c>
      <c r="K64" s="89" t="s">
        <v>25</v>
      </c>
      <c r="L64" s="144" t="s">
        <v>552</v>
      </c>
      <c r="M64" s="91">
        <v>2</v>
      </c>
      <c r="N64" s="91">
        <v>3</v>
      </c>
      <c r="O64" s="91">
        <f t="shared" ref="O64:O70" si="24">M64*N64</f>
        <v>6</v>
      </c>
      <c r="P64" s="86" t="str">
        <f t="shared" ref="P64:P70" si="25">IF(O64&lt;=4,"BAJO",IF(O64&lt;=8,"MEDIO",IF(O64&lt;=20,"ALTO","MUY ALTO")))</f>
        <v>MEDIO</v>
      </c>
      <c r="Q64" s="91">
        <v>25</v>
      </c>
      <c r="R64" s="91">
        <f t="shared" si="7"/>
        <v>150</v>
      </c>
      <c r="S64" s="86" t="str">
        <f t="shared" si="8"/>
        <v>2</v>
      </c>
      <c r="T64" s="87" t="str">
        <f t="shared" si="9"/>
        <v>NO ACEPTABLE O ACEPTABLE CON CONTROL ESPECÍFICO</v>
      </c>
      <c r="U64" s="91">
        <v>1</v>
      </c>
      <c r="V64" s="88">
        <v>10</v>
      </c>
      <c r="W64" s="146" t="s">
        <v>553</v>
      </c>
      <c r="X64" s="91" t="s">
        <v>26</v>
      </c>
      <c r="Y64" s="91" t="s">
        <v>26</v>
      </c>
      <c r="Z64" s="91" t="s">
        <v>324</v>
      </c>
      <c r="AA64" s="147" t="s">
        <v>554</v>
      </c>
      <c r="AB64" s="25" t="s">
        <v>26</v>
      </c>
    </row>
    <row r="65" spans="1:28" ht="156" customHeight="1" thickBot="1">
      <c r="A65" s="170"/>
      <c r="B65" s="173"/>
      <c r="C65" s="176"/>
      <c r="D65" s="176"/>
      <c r="E65" s="91" t="s">
        <v>109</v>
      </c>
      <c r="F65" s="91" t="s">
        <v>624</v>
      </c>
      <c r="G65" s="91" t="s">
        <v>583</v>
      </c>
      <c r="H65" s="18" t="s">
        <v>531</v>
      </c>
      <c r="I65" s="148" t="s">
        <v>532</v>
      </c>
      <c r="J65" s="85" t="s">
        <v>25</v>
      </c>
      <c r="K65" s="89" t="s">
        <v>25</v>
      </c>
      <c r="L65" s="144" t="s">
        <v>556</v>
      </c>
      <c r="M65" s="91">
        <v>2</v>
      </c>
      <c r="N65" s="91">
        <v>3</v>
      </c>
      <c r="O65" s="91">
        <f t="shared" si="24"/>
        <v>6</v>
      </c>
      <c r="P65" s="86" t="str">
        <f t="shared" si="25"/>
        <v>MEDIO</v>
      </c>
      <c r="Q65" s="91">
        <v>25</v>
      </c>
      <c r="R65" s="91">
        <f t="shared" si="7"/>
        <v>150</v>
      </c>
      <c r="S65" s="86" t="str">
        <f t="shared" si="8"/>
        <v>2</v>
      </c>
      <c r="T65" s="87" t="str">
        <f t="shared" si="9"/>
        <v>NO ACEPTABLE O ACEPTABLE CON CONTROL ESPECÍFICO</v>
      </c>
      <c r="U65" s="91">
        <v>1</v>
      </c>
      <c r="V65" s="88">
        <v>10</v>
      </c>
      <c r="W65" s="145" t="s">
        <v>534</v>
      </c>
      <c r="X65" s="91" t="s">
        <v>26</v>
      </c>
      <c r="Y65" s="91" t="s">
        <v>26</v>
      </c>
      <c r="Z65" s="91" t="s">
        <v>324</v>
      </c>
      <c r="AA65" s="148" t="s">
        <v>558</v>
      </c>
      <c r="AB65" s="25" t="s">
        <v>26</v>
      </c>
    </row>
    <row r="66" spans="1:28" ht="156" customHeight="1" thickBot="1">
      <c r="A66" s="170"/>
      <c r="B66" s="173"/>
      <c r="C66" s="176"/>
      <c r="D66" s="176"/>
      <c r="E66" s="91" t="s">
        <v>109</v>
      </c>
      <c r="F66" s="91" t="s">
        <v>624</v>
      </c>
      <c r="G66" s="91" t="s">
        <v>536</v>
      </c>
      <c r="H66" s="18" t="s">
        <v>531</v>
      </c>
      <c r="I66" s="139" t="s">
        <v>590</v>
      </c>
      <c r="J66" s="85" t="s">
        <v>25</v>
      </c>
      <c r="K66" s="89" t="s">
        <v>25</v>
      </c>
      <c r="L66" s="144" t="s">
        <v>556</v>
      </c>
      <c r="M66" s="91">
        <v>2</v>
      </c>
      <c r="N66" s="91">
        <v>3</v>
      </c>
      <c r="O66" s="91">
        <f t="shared" si="24"/>
        <v>6</v>
      </c>
      <c r="P66" s="86" t="str">
        <f t="shared" si="25"/>
        <v>MEDIO</v>
      </c>
      <c r="Q66" s="91">
        <v>25</v>
      </c>
      <c r="R66" s="91">
        <f t="shared" si="7"/>
        <v>150</v>
      </c>
      <c r="S66" s="86" t="str">
        <f t="shared" si="8"/>
        <v>2</v>
      </c>
      <c r="T66" s="87" t="str">
        <f t="shared" si="9"/>
        <v>NO ACEPTABLE O ACEPTABLE CON CONTROL ESPECÍFICO</v>
      </c>
      <c r="U66" s="91">
        <v>1</v>
      </c>
      <c r="V66" s="88">
        <v>10</v>
      </c>
      <c r="W66" s="17" t="s">
        <v>544</v>
      </c>
      <c r="X66" s="91" t="s">
        <v>26</v>
      </c>
      <c r="Y66" s="91" t="s">
        <v>26</v>
      </c>
      <c r="Z66" s="91" t="s">
        <v>324</v>
      </c>
      <c r="AA66" s="142" t="s">
        <v>591</v>
      </c>
      <c r="AB66" s="25" t="s">
        <v>26</v>
      </c>
    </row>
    <row r="67" spans="1:28" ht="156" customHeight="1" thickBot="1">
      <c r="A67" s="170"/>
      <c r="B67" s="173"/>
      <c r="C67" s="176"/>
      <c r="D67" s="176"/>
      <c r="E67" s="91" t="s">
        <v>109</v>
      </c>
      <c r="F67" s="91" t="s">
        <v>624</v>
      </c>
      <c r="G67" s="91" t="s">
        <v>251</v>
      </c>
      <c r="H67" s="18" t="s">
        <v>531</v>
      </c>
      <c r="I67" s="139" t="s">
        <v>586</v>
      </c>
      <c r="J67" s="85" t="s">
        <v>25</v>
      </c>
      <c r="K67" s="89" t="s">
        <v>25</v>
      </c>
      <c r="L67" s="144" t="s">
        <v>556</v>
      </c>
      <c r="M67" s="91">
        <v>2</v>
      </c>
      <c r="N67" s="91">
        <v>3</v>
      </c>
      <c r="O67" s="91">
        <f t="shared" si="24"/>
        <v>6</v>
      </c>
      <c r="P67" s="86" t="str">
        <f t="shared" si="25"/>
        <v>MEDIO</v>
      </c>
      <c r="Q67" s="91">
        <v>25</v>
      </c>
      <c r="R67" s="91">
        <f t="shared" si="7"/>
        <v>150</v>
      </c>
      <c r="S67" s="86" t="str">
        <f t="shared" si="8"/>
        <v>2</v>
      </c>
      <c r="T67" s="87" t="str">
        <f t="shared" si="9"/>
        <v>NO ACEPTABLE O ACEPTABLE CON CONTROL ESPECÍFICO</v>
      </c>
      <c r="U67" s="91">
        <v>1</v>
      </c>
      <c r="V67" s="88">
        <v>10</v>
      </c>
      <c r="W67" s="17" t="s">
        <v>564</v>
      </c>
      <c r="X67" s="91" t="s">
        <v>26</v>
      </c>
      <c r="Y67" s="91" t="s">
        <v>26</v>
      </c>
      <c r="Z67" s="91" t="s">
        <v>324</v>
      </c>
      <c r="AA67" s="142" t="s">
        <v>565</v>
      </c>
      <c r="AB67" s="25" t="s">
        <v>26</v>
      </c>
    </row>
    <row r="68" spans="1:28" ht="172.5" customHeight="1" thickBot="1">
      <c r="A68" s="170"/>
      <c r="B68" s="173"/>
      <c r="C68" s="176"/>
      <c r="D68" s="176"/>
      <c r="E68" s="91" t="s">
        <v>109</v>
      </c>
      <c r="F68" s="91" t="s">
        <v>624</v>
      </c>
      <c r="G68" s="91" t="s">
        <v>592</v>
      </c>
      <c r="H68" s="18" t="s">
        <v>237</v>
      </c>
      <c r="I68" s="17" t="s">
        <v>593</v>
      </c>
      <c r="J68" s="85" t="s">
        <v>25</v>
      </c>
      <c r="K68" s="89" t="s">
        <v>25</v>
      </c>
      <c r="L68" s="144" t="s">
        <v>594</v>
      </c>
      <c r="M68" s="91">
        <v>2</v>
      </c>
      <c r="N68" s="91">
        <v>3</v>
      </c>
      <c r="O68" s="91">
        <f t="shared" si="24"/>
        <v>6</v>
      </c>
      <c r="P68" s="86" t="str">
        <f t="shared" si="25"/>
        <v>MEDIO</v>
      </c>
      <c r="Q68" s="91">
        <v>25</v>
      </c>
      <c r="R68" s="91">
        <f t="shared" si="7"/>
        <v>150</v>
      </c>
      <c r="S68" s="86" t="str">
        <f t="shared" si="8"/>
        <v>2</v>
      </c>
      <c r="T68" s="87" t="str">
        <f t="shared" si="9"/>
        <v>NO ACEPTABLE O ACEPTABLE CON CONTROL ESPECÍFICO</v>
      </c>
      <c r="U68" s="91">
        <v>1</v>
      </c>
      <c r="V68" s="88">
        <v>10</v>
      </c>
      <c r="W68" s="146" t="s">
        <v>595</v>
      </c>
      <c r="X68" s="91" t="s">
        <v>26</v>
      </c>
      <c r="Y68" s="91" t="s">
        <v>26</v>
      </c>
      <c r="Z68" s="91" t="s">
        <v>324</v>
      </c>
      <c r="AA68" s="147" t="s">
        <v>596</v>
      </c>
      <c r="AB68" s="25" t="s">
        <v>26</v>
      </c>
    </row>
    <row r="69" spans="1:28" ht="152.25" customHeight="1" thickBot="1">
      <c r="A69" s="170"/>
      <c r="B69" s="173"/>
      <c r="C69" s="176"/>
      <c r="D69" s="176"/>
      <c r="E69" s="129" t="s">
        <v>24</v>
      </c>
      <c r="F69" s="91" t="s">
        <v>627</v>
      </c>
      <c r="G69" s="89" t="s">
        <v>501</v>
      </c>
      <c r="H69" s="82" t="s">
        <v>502</v>
      </c>
      <c r="I69" s="89" t="s">
        <v>503</v>
      </c>
      <c r="J69" s="89" t="s">
        <v>504</v>
      </c>
      <c r="K69" s="89" t="s">
        <v>505</v>
      </c>
      <c r="L69" s="89" t="s">
        <v>506</v>
      </c>
      <c r="M69" s="89">
        <v>2</v>
      </c>
      <c r="N69" s="89">
        <v>4</v>
      </c>
      <c r="O69" s="89">
        <f t="shared" si="24"/>
        <v>8</v>
      </c>
      <c r="P69" s="83" t="str">
        <f t="shared" si="25"/>
        <v>MEDIO</v>
      </c>
      <c r="Q69" s="89">
        <v>25</v>
      </c>
      <c r="R69" s="89">
        <f t="shared" si="7"/>
        <v>200</v>
      </c>
      <c r="S69" s="83" t="str">
        <f t="shared" si="8"/>
        <v>2</v>
      </c>
      <c r="T69" s="84" t="str">
        <f t="shared" si="9"/>
        <v>NO ACEPTABLE O ACEPTABLE CON CONTROL ESPECÍFICO</v>
      </c>
      <c r="U69" s="89">
        <v>1</v>
      </c>
      <c r="V69" s="89">
        <v>10</v>
      </c>
      <c r="W69" s="12" t="s">
        <v>413</v>
      </c>
      <c r="X69" s="10" t="s">
        <v>26</v>
      </c>
      <c r="Y69" s="10" t="s">
        <v>26</v>
      </c>
      <c r="Z69" s="10" t="s">
        <v>26</v>
      </c>
      <c r="AA69" s="102" t="s">
        <v>507</v>
      </c>
      <c r="AB69" s="24" t="s">
        <v>26</v>
      </c>
    </row>
    <row r="70" spans="1:28" ht="156" customHeight="1" thickBot="1">
      <c r="A70" s="170"/>
      <c r="B70" s="173"/>
      <c r="C70" s="177"/>
      <c r="D70" s="179"/>
      <c r="E70" s="91" t="s">
        <v>109</v>
      </c>
      <c r="F70" s="91" t="s">
        <v>624</v>
      </c>
      <c r="G70" s="91" t="s">
        <v>597</v>
      </c>
      <c r="H70" s="18" t="s">
        <v>239</v>
      </c>
      <c r="I70" s="145" t="s">
        <v>598</v>
      </c>
      <c r="J70" s="139" t="s">
        <v>599</v>
      </c>
      <c r="K70" s="139" t="s">
        <v>25</v>
      </c>
      <c r="L70" s="151" t="s">
        <v>600</v>
      </c>
      <c r="M70" s="91">
        <v>2</v>
      </c>
      <c r="N70" s="91">
        <v>3</v>
      </c>
      <c r="O70" s="91">
        <f t="shared" si="24"/>
        <v>6</v>
      </c>
      <c r="P70" s="86" t="str">
        <f t="shared" si="25"/>
        <v>MEDIO</v>
      </c>
      <c r="Q70" s="91">
        <v>25</v>
      </c>
      <c r="R70" s="91">
        <f t="shared" si="7"/>
        <v>150</v>
      </c>
      <c r="S70" s="86" t="str">
        <f t="shared" si="8"/>
        <v>2</v>
      </c>
      <c r="T70" s="87" t="str">
        <f t="shared" si="9"/>
        <v>NO ACEPTABLE O ACEPTABLE CON CONTROL ESPECÍFICO</v>
      </c>
      <c r="U70" s="91">
        <v>1</v>
      </c>
      <c r="V70" s="88">
        <v>10</v>
      </c>
      <c r="W70" s="146" t="s">
        <v>601</v>
      </c>
      <c r="X70" s="91" t="s">
        <v>26</v>
      </c>
      <c r="Y70" s="91" t="s">
        <v>26</v>
      </c>
      <c r="Z70" s="91" t="s">
        <v>324</v>
      </c>
      <c r="AA70" s="152" t="s">
        <v>602</v>
      </c>
      <c r="AB70" s="25" t="s">
        <v>26</v>
      </c>
    </row>
    <row r="71" spans="1:28" ht="156" customHeight="1" thickBot="1">
      <c r="A71" s="170"/>
      <c r="B71" s="173"/>
      <c r="C71" s="175" t="s">
        <v>603</v>
      </c>
      <c r="D71" s="178" t="s">
        <v>604</v>
      </c>
      <c r="E71" s="91" t="s">
        <v>109</v>
      </c>
      <c r="F71" s="91" t="s">
        <v>624</v>
      </c>
      <c r="G71" s="91" t="s">
        <v>282</v>
      </c>
      <c r="H71" s="18" t="s">
        <v>239</v>
      </c>
      <c r="I71" s="139" t="s">
        <v>516</v>
      </c>
      <c r="J71" s="89" t="s">
        <v>497</v>
      </c>
      <c r="K71" s="89" t="s">
        <v>25</v>
      </c>
      <c r="L71" s="140" t="s">
        <v>517</v>
      </c>
      <c r="M71" s="17">
        <v>4</v>
      </c>
      <c r="N71" s="17">
        <v>3</v>
      </c>
      <c r="O71" s="91">
        <f t="shared" ref="O71" si="26">M71*N71</f>
        <v>12</v>
      </c>
      <c r="P71" s="86" t="str">
        <f t="shared" ref="P71" si="27">IF(O71&lt;=4,"BAJO",IF(O71&lt;=8,"MEDIO",IF(O71&lt;=20,"ALTO","MUY ALTO")))</f>
        <v>ALTO</v>
      </c>
      <c r="Q71" s="91">
        <v>25</v>
      </c>
      <c r="R71" s="91">
        <f t="shared" ref="R71" si="28">O71*Q71</f>
        <v>300</v>
      </c>
      <c r="S71" s="86" t="str">
        <f t="shared" ref="S71" si="29">IF(R71&lt;=20,"4",IF(R71&lt;=120,"3",IF(R71&lt;=500,"2","1")))</f>
        <v>2</v>
      </c>
      <c r="T71" s="87" t="str">
        <f t="shared" ref="T71" si="30">IF(S71="4","ACEPTABLE",IF(S71="3","MEJORABLE",IF(S71="2","NO ACEPTABLE O ACEPTABLE CON CONTROL ESPECÍFICO","NO ACEPTABLE")))</f>
        <v>NO ACEPTABLE O ACEPTABLE CON CONTROL ESPECÍFICO</v>
      </c>
      <c r="U71" s="91">
        <v>1</v>
      </c>
      <c r="V71" s="88">
        <v>10</v>
      </c>
      <c r="W71" s="141" t="s">
        <v>518</v>
      </c>
      <c r="X71" s="91" t="s">
        <v>26</v>
      </c>
      <c r="Y71" s="91" t="s">
        <v>26</v>
      </c>
      <c r="Z71" s="91" t="s">
        <v>324</v>
      </c>
      <c r="AA71" s="142" t="s">
        <v>519</v>
      </c>
      <c r="AB71" s="25" t="s">
        <v>26</v>
      </c>
    </row>
    <row r="72" spans="1:28" ht="156" customHeight="1" thickBot="1">
      <c r="A72" s="170"/>
      <c r="B72" s="173"/>
      <c r="C72" s="176"/>
      <c r="D72" s="176"/>
      <c r="E72" s="91" t="s">
        <v>109</v>
      </c>
      <c r="F72" s="91" t="s">
        <v>624</v>
      </c>
      <c r="G72" s="91" t="s">
        <v>605</v>
      </c>
      <c r="H72" s="18" t="s">
        <v>239</v>
      </c>
      <c r="I72" s="143" t="s">
        <v>522</v>
      </c>
      <c r="J72" s="89" t="s">
        <v>497</v>
      </c>
      <c r="K72" s="89" t="s">
        <v>523</v>
      </c>
      <c r="L72" s="89" t="s">
        <v>497</v>
      </c>
      <c r="M72" s="17">
        <v>2</v>
      </c>
      <c r="N72" s="17">
        <v>3</v>
      </c>
      <c r="O72" s="91">
        <f t="shared" ref="O72:O81" si="31">M72*N72</f>
        <v>6</v>
      </c>
      <c r="P72" s="86" t="str">
        <f t="shared" ref="P72:P81" si="32">IF(O72&lt;=4,"BAJO",IF(O72&lt;=8,"MEDIO",IF(O72&lt;=20,"ALTO","MUY ALTO")))</f>
        <v>MEDIO</v>
      </c>
      <c r="Q72" s="91">
        <v>25</v>
      </c>
      <c r="R72" s="91">
        <f t="shared" ref="R72:R81" si="33">O72*Q72</f>
        <v>150</v>
      </c>
      <c r="S72" s="86" t="str">
        <f t="shared" ref="S72:S81" si="34">IF(R72&lt;=20,"4",IF(R72&lt;=120,"3",IF(R72&lt;=500,"2","1")))</f>
        <v>2</v>
      </c>
      <c r="T72" s="87" t="str">
        <f t="shared" ref="T72:T81" si="35">IF(S72="4","ACEPTABLE",IF(S72="3","MEJORABLE",IF(S72="2","NO ACEPTABLE O ACEPTABLE CON CONTROL ESPECÍFICO","NO ACEPTABLE")))</f>
        <v>NO ACEPTABLE O ACEPTABLE CON CONTROL ESPECÍFICO</v>
      </c>
      <c r="U72" s="91">
        <v>1</v>
      </c>
      <c r="V72" s="88">
        <v>10</v>
      </c>
      <c r="W72" s="17" t="s">
        <v>518</v>
      </c>
      <c r="X72" s="91" t="s">
        <v>26</v>
      </c>
      <c r="Y72" s="91" t="s">
        <v>26</v>
      </c>
      <c r="Z72" s="91" t="s">
        <v>324</v>
      </c>
      <c r="AA72" s="142" t="s">
        <v>524</v>
      </c>
      <c r="AB72" s="25" t="s">
        <v>26</v>
      </c>
    </row>
    <row r="73" spans="1:28" ht="156" customHeight="1" thickBot="1">
      <c r="A73" s="170"/>
      <c r="B73" s="173"/>
      <c r="C73" s="176"/>
      <c r="D73" s="176"/>
      <c r="E73" s="91" t="s">
        <v>109</v>
      </c>
      <c r="F73" s="91" t="s">
        <v>624</v>
      </c>
      <c r="G73" s="91" t="s">
        <v>606</v>
      </c>
      <c r="H73" s="18" t="s">
        <v>239</v>
      </c>
      <c r="I73" s="89" t="s">
        <v>492</v>
      </c>
      <c r="J73" s="89" t="s">
        <v>497</v>
      </c>
      <c r="K73" s="89" t="s">
        <v>25</v>
      </c>
      <c r="L73" s="89" t="s">
        <v>396</v>
      </c>
      <c r="M73" s="17">
        <v>2</v>
      </c>
      <c r="N73" s="17">
        <v>3</v>
      </c>
      <c r="O73" s="91">
        <f t="shared" si="31"/>
        <v>6</v>
      </c>
      <c r="P73" s="86" t="str">
        <f t="shared" si="32"/>
        <v>MEDIO</v>
      </c>
      <c r="Q73" s="91">
        <v>25</v>
      </c>
      <c r="R73" s="91">
        <f t="shared" si="33"/>
        <v>150</v>
      </c>
      <c r="S73" s="86" t="str">
        <f t="shared" si="34"/>
        <v>2</v>
      </c>
      <c r="T73" s="87" t="str">
        <f t="shared" si="35"/>
        <v>NO ACEPTABLE O ACEPTABLE CON CONTROL ESPECÍFICO</v>
      </c>
      <c r="U73" s="91">
        <v>1</v>
      </c>
      <c r="V73" s="88">
        <v>10</v>
      </c>
      <c r="W73" s="101" t="s">
        <v>473</v>
      </c>
      <c r="X73" s="91" t="s">
        <v>26</v>
      </c>
      <c r="Y73" s="91" t="s">
        <v>26</v>
      </c>
      <c r="Z73" s="91" t="s">
        <v>324</v>
      </c>
      <c r="AA73" s="102" t="s">
        <v>608</v>
      </c>
      <c r="AB73" s="25" t="s">
        <v>26</v>
      </c>
    </row>
    <row r="74" spans="1:28" ht="156" customHeight="1" thickBot="1">
      <c r="A74" s="170"/>
      <c r="B74" s="173"/>
      <c r="C74" s="176"/>
      <c r="D74" s="176"/>
      <c r="E74" s="91" t="s">
        <v>109</v>
      </c>
      <c r="F74" s="91" t="s">
        <v>624</v>
      </c>
      <c r="G74" s="91" t="s">
        <v>526</v>
      </c>
      <c r="H74" s="18" t="s">
        <v>239</v>
      </c>
      <c r="I74" s="139" t="s">
        <v>527</v>
      </c>
      <c r="J74" s="89" t="s">
        <v>607</v>
      </c>
      <c r="K74" s="89" t="s">
        <v>528</v>
      </c>
      <c r="L74" s="144" t="s">
        <v>529</v>
      </c>
      <c r="M74" s="17">
        <v>2</v>
      </c>
      <c r="N74" s="17">
        <v>3</v>
      </c>
      <c r="O74" s="91">
        <f t="shared" si="31"/>
        <v>6</v>
      </c>
      <c r="P74" s="86" t="str">
        <f t="shared" si="32"/>
        <v>MEDIO</v>
      </c>
      <c r="Q74" s="91">
        <v>25</v>
      </c>
      <c r="R74" s="91">
        <f t="shared" si="33"/>
        <v>150</v>
      </c>
      <c r="S74" s="86" t="str">
        <f t="shared" si="34"/>
        <v>2</v>
      </c>
      <c r="T74" s="87" t="str">
        <f t="shared" si="35"/>
        <v>NO ACEPTABLE O ACEPTABLE CON CONTROL ESPECÍFICO</v>
      </c>
      <c r="U74" s="91">
        <v>1</v>
      </c>
      <c r="V74" s="88">
        <v>10</v>
      </c>
      <c r="W74" s="141" t="s">
        <v>473</v>
      </c>
      <c r="X74" s="91" t="s">
        <v>26</v>
      </c>
      <c r="Y74" s="91" t="s">
        <v>26</v>
      </c>
      <c r="Z74" s="91" t="s">
        <v>324</v>
      </c>
      <c r="AA74" s="142" t="s">
        <v>530</v>
      </c>
      <c r="AB74" s="25" t="s">
        <v>26</v>
      </c>
    </row>
    <row r="75" spans="1:28" ht="156" customHeight="1" thickBot="1">
      <c r="A75" s="170"/>
      <c r="B75" s="173"/>
      <c r="C75" s="176"/>
      <c r="D75" s="176"/>
      <c r="E75" s="91" t="s">
        <v>109</v>
      </c>
      <c r="F75" s="91" t="s">
        <v>624</v>
      </c>
      <c r="G75" s="91" t="s">
        <v>258</v>
      </c>
      <c r="H75" s="18" t="s">
        <v>531</v>
      </c>
      <c r="I75" s="145" t="s">
        <v>532</v>
      </c>
      <c r="J75" s="139" t="s">
        <v>25</v>
      </c>
      <c r="K75" s="139" t="s">
        <v>25</v>
      </c>
      <c r="L75" s="139" t="s">
        <v>25</v>
      </c>
      <c r="M75" s="91">
        <v>2</v>
      </c>
      <c r="N75" s="91">
        <v>3</v>
      </c>
      <c r="O75" s="91">
        <f t="shared" si="31"/>
        <v>6</v>
      </c>
      <c r="P75" s="86" t="str">
        <f t="shared" si="32"/>
        <v>MEDIO</v>
      </c>
      <c r="Q75" s="91">
        <v>25</v>
      </c>
      <c r="R75" s="91">
        <f t="shared" si="33"/>
        <v>150</v>
      </c>
      <c r="S75" s="86" t="str">
        <f t="shared" si="34"/>
        <v>2</v>
      </c>
      <c r="T75" s="87" t="str">
        <f t="shared" si="35"/>
        <v>NO ACEPTABLE O ACEPTABLE CON CONTROL ESPECÍFICO</v>
      </c>
      <c r="U75" s="91">
        <v>1</v>
      </c>
      <c r="V75" s="88">
        <v>10</v>
      </c>
      <c r="W75" s="146" t="s">
        <v>534</v>
      </c>
      <c r="X75" s="91" t="s">
        <v>26</v>
      </c>
      <c r="Y75" s="91" t="s">
        <v>26</v>
      </c>
      <c r="Z75" s="91" t="s">
        <v>324</v>
      </c>
      <c r="AA75" s="147" t="s">
        <v>535</v>
      </c>
      <c r="AB75" s="25" t="s">
        <v>26</v>
      </c>
    </row>
    <row r="76" spans="1:28" ht="156" customHeight="1" thickBot="1">
      <c r="A76" s="170"/>
      <c r="B76" s="173"/>
      <c r="C76" s="176"/>
      <c r="D76" s="176"/>
      <c r="E76" s="91" t="s">
        <v>109</v>
      </c>
      <c r="F76" s="91" t="s">
        <v>624</v>
      </c>
      <c r="G76" s="91" t="s">
        <v>557</v>
      </c>
      <c r="H76" s="18" t="s">
        <v>531</v>
      </c>
      <c r="I76" s="148" t="s">
        <v>537</v>
      </c>
      <c r="J76" s="139" t="s">
        <v>25</v>
      </c>
      <c r="K76" s="139" t="s">
        <v>25</v>
      </c>
      <c r="L76" s="139" t="s">
        <v>25</v>
      </c>
      <c r="M76" s="91">
        <v>2</v>
      </c>
      <c r="N76" s="91">
        <v>3</v>
      </c>
      <c r="O76" s="91">
        <f t="shared" si="31"/>
        <v>6</v>
      </c>
      <c r="P76" s="86" t="str">
        <f t="shared" si="32"/>
        <v>MEDIO</v>
      </c>
      <c r="Q76" s="91">
        <v>25</v>
      </c>
      <c r="R76" s="91">
        <f t="shared" si="33"/>
        <v>150</v>
      </c>
      <c r="S76" s="86" t="str">
        <f t="shared" si="34"/>
        <v>2</v>
      </c>
      <c r="T76" s="87" t="str">
        <f t="shared" si="35"/>
        <v>NO ACEPTABLE O ACEPTABLE CON CONTROL ESPECÍFICO</v>
      </c>
      <c r="U76" s="91">
        <v>1</v>
      </c>
      <c r="V76" s="88">
        <v>10</v>
      </c>
      <c r="W76" s="17" t="s">
        <v>538</v>
      </c>
      <c r="X76" s="91" t="s">
        <v>26</v>
      </c>
      <c r="Y76" s="91" t="s">
        <v>26</v>
      </c>
      <c r="Z76" s="91" t="s">
        <v>324</v>
      </c>
      <c r="AA76" s="147" t="s">
        <v>609</v>
      </c>
      <c r="AB76" s="25" t="s">
        <v>26</v>
      </c>
    </row>
    <row r="77" spans="1:28" ht="156" customHeight="1" thickBot="1">
      <c r="A77" s="170"/>
      <c r="B77" s="173"/>
      <c r="C77" s="176"/>
      <c r="D77" s="176"/>
      <c r="E77" s="91" t="s">
        <v>109</v>
      </c>
      <c r="F77" s="91" t="s">
        <v>624</v>
      </c>
      <c r="G77" s="91" t="s">
        <v>545</v>
      </c>
      <c r="H77" s="18" t="s">
        <v>239</v>
      </c>
      <c r="I77" s="139" t="s">
        <v>546</v>
      </c>
      <c r="J77" s="89" t="s">
        <v>497</v>
      </c>
      <c r="K77" s="89" t="s">
        <v>25</v>
      </c>
      <c r="L77" s="144" t="s">
        <v>547</v>
      </c>
      <c r="M77" s="91">
        <v>2</v>
      </c>
      <c r="N77" s="91">
        <v>3</v>
      </c>
      <c r="O77" s="91">
        <f t="shared" si="31"/>
        <v>6</v>
      </c>
      <c r="P77" s="86" t="str">
        <f t="shared" si="32"/>
        <v>MEDIO</v>
      </c>
      <c r="Q77" s="91">
        <v>25</v>
      </c>
      <c r="R77" s="91">
        <f t="shared" si="33"/>
        <v>150</v>
      </c>
      <c r="S77" s="86" t="str">
        <f t="shared" si="34"/>
        <v>2</v>
      </c>
      <c r="T77" s="87" t="str">
        <f t="shared" si="35"/>
        <v>NO ACEPTABLE O ACEPTABLE CON CONTROL ESPECÍFICO</v>
      </c>
      <c r="U77" s="91">
        <v>1</v>
      </c>
      <c r="V77" s="88">
        <v>10</v>
      </c>
      <c r="W77" s="141" t="s">
        <v>548</v>
      </c>
      <c r="X77" s="91" t="s">
        <v>26</v>
      </c>
      <c r="Y77" s="91" t="s">
        <v>26</v>
      </c>
      <c r="Z77" s="91" t="s">
        <v>324</v>
      </c>
      <c r="AA77" s="142" t="s">
        <v>549</v>
      </c>
      <c r="AB77" s="25" t="s">
        <v>26</v>
      </c>
    </row>
    <row r="78" spans="1:28" ht="156" customHeight="1" thickBot="1">
      <c r="A78" s="170"/>
      <c r="B78" s="173"/>
      <c r="C78" s="176"/>
      <c r="D78" s="176"/>
      <c r="E78" s="91" t="s">
        <v>109</v>
      </c>
      <c r="F78" s="91" t="s">
        <v>624</v>
      </c>
      <c r="G78" s="91" t="s">
        <v>597</v>
      </c>
      <c r="H78" s="18" t="s">
        <v>239</v>
      </c>
      <c r="I78" s="145" t="s">
        <v>598</v>
      </c>
      <c r="J78" s="139" t="s">
        <v>599</v>
      </c>
      <c r="K78" s="139" t="s">
        <v>25</v>
      </c>
      <c r="L78" s="151" t="s">
        <v>600</v>
      </c>
      <c r="M78" s="91">
        <v>2</v>
      </c>
      <c r="N78" s="91">
        <v>3</v>
      </c>
      <c r="O78" s="91">
        <f t="shared" si="31"/>
        <v>6</v>
      </c>
      <c r="P78" s="86" t="str">
        <f t="shared" si="32"/>
        <v>MEDIO</v>
      </c>
      <c r="Q78" s="91">
        <v>25</v>
      </c>
      <c r="R78" s="91">
        <f t="shared" si="33"/>
        <v>150</v>
      </c>
      <c r="S78" s="86" t="str">
        <f t="shared" si="34"/>
        <v>2</v>
      </c>
      <c r="T78" s="87" t="str">
        <f t="shared" si="35"/>
        <v>NO ACEPTABLE O ACEPTABLE CON CONTROL ESPECÍFICO</v>
      </c>
      <c r="U78" s="91">
        <v>1</v>
      </c>
      <c r="V78" s="88">
        <v>10</v>
      </c>
      <c r="W78" s="146" t="s">
        <v>601</v>
      </c>
      <c r="X78" s="91" t="s">
        <v>26</v>
      </c>
      <c r="Y78" s="91" t="s">
        <v>26</v>
      </c>
      <c r="Z78" s="91" t="s">
        <v>324</v>
      </c>
      <c r="AA78" s="152" t="s">
        <v>610</v>
      </c>
      <c r="AB78" s="25" t="s">
        <v>26</v>
      </c>
    </row>
    <row r="79" spans="1:28" ht="156" customHeight="1" thickBot="1">
      <c r="A79" s="170"/>
      <c r="B79" s="173"/>
      <c r="C79" s="176"/>
      <c r="D79" s="176"/>
      <c r="E79" s="91" t="s">
        <v>109</v>
      </c>
      <c r="F79" s="91" t="s">
        <v>624</v>
      </c>
      <c r="G79" s="91" t="s">
        <v>606</v>
      </c>
      <c r="H79" s="18" t="s">
        <v>239</v>
      </c>
      <c r="I79" s="89" t="s">
        <v>492</v>
      </c>
      <c r="J79" s="89" t="s">
        <v>497</v>
      </c>
      <c r="K79" s="89" t="s">
        <v>25</v>
      </c>
      <c r="L79" s="89" t="s">
        <v>396</v>
      </c>
      <c r="M79" s="91">
        <v>2</v>
      </c>
      <c r="N79" s="91">
        <v>3</v>
      </c>
      <c r="O79" s="91">
        <f t="shared" si="31"/>
        <v>6</v>
      </c>
      <c r="P79" s="86" t="str">
        <f t="shared" si="32"/>
        <v>MEDIO</v>
      </c>
      <c r="Q79" s="91">
        <v>25</v>
      </c>
      <c r="R79" s="91">
        <f t="shared" si="33"/>
        <v>150</v>
      </c>
      <c r="S79" s="86" t="str">
        <f t="shared" si="34"/>
        <v>2</v>
      </c>
      <c r="T79" s="87" t="str">
        <f t="shared" si="35"/>
        <v>NO ACEPTABLE O ACEPTABLE CON CONTROL ESPECÍFICO</v>
      </c>
      <c r="U79" s="91">
        <v>1</v>
      </c>
      <c r="V79" s="88">
        <v>10</v>
      </c>
      <c r="W79" s="101" t="s">
        <v>473</v>
      </c>
      <c r="X79" s="91" t="s">
        <v>26</v>
      </c>
      <c r="Y79" s="91" t="s">
        <v>26</v>
      </c>
      <c r="Z79" s="91" t="s">
        <v>324</v>
      </c>
      <c r="AA79" s="102" t="s">
        <v>608</v>
      </c>
      <c r="AB79" s="25" t="s">
        <v>26</v>
      </c>
    </row>
    <row r="80" spans="1:28" ht="152.25" customHeight="1" thickBot="1">
      <c r="A80" s="170"/>
      <c r="B80" s="173"/>
      <c r="C80" s="176"/>
      <c r="D80" s="176"/>
      <c r="E80" s="129" t="s">
        <v>24</v>
      </c>
      <c r="F80" s="91" t="s">
        <v>624</v>
      </c>
      <c r="G80" s="89" t="s">
        <v>501</v>
      </c>
      <c r="H80" s="82" t="s">
        <v>502</v>
      </c>
      <c r="I80" s="89" t="s">
        <v>503</v>
      </c>
      <c r="J80" s="89" t="s">
        <v>504</v>
      </c>
      <c r="K80" s="89" t="s">
        <v>505</v>
      </c>
      <c r="L80" s="89" t="s">
        <v>506</v>
      </c>
      <c r="M80" s="89">
        <v>2</v>
      </c>
      <c r="N80" s="89">
        <v>4</v>
      </c>
      <c r="O80" s="89">
        <f t="shared" si="31"/>
        <v>8</v>
      </c>
      <c r="P80" s="83" t="str">
        <f t="shared" si="32"/>
        <v>MEDIO</v>
      </c>
      <c r="Q80" s="89">
        <v>25</v>
      </c>
      <c r="R80" s="89">
        <f t="shared" si="33"/>
        <v>200</v>
      </c>
      <c r="S80" s="83" t="str">
        <f t="shared" si="34"/>
        <v>2</v>
      </c>
      <c r="T80" s="84" t="str">
        <f t="shared" si="35"/>
        <v>NO ACEPTABLE O ACEPTABLE CON CONTROL ESPECÍFICO</v>
      </c>
      <c r="U80" s="89">
        <v>1</v>
      </c>
      <c r="V80" s="89">
        <v>10</v>
      </c>
      <c r="W80" s="12" t="s">
        <v>413</v>
      </c>
      <c r="X80" s="10" t="s">
        <v>26</v>
      </c>
      <c r="Y80" s="10" t="s">
        <v>26</v>
      </c>
      <c r="Z80" s="10" t="s">
        <v>26</v>
      </c>
      <c r="AA80" s="102" t="s">
        <v>507</v>
      </c>
      <c r="AB80" s="24" t="s">
        <v>26</v>
      </c>
    </row>
    <row r="81" spans="1:28" ht="156" customHeight="1" thickBot="1">
      <c r="A81" s="170"/>
      <c r="B81" s="173"/>
      <c r="C81" s="176"/>
      <c r="D81" s="179"/>
      <c r="E81" s="91" t="s">
        <v>109</v>
      </c>
      <c r="F81" s="91" t="s">
        <v>624</v>
      </c>
      <c r="G81" s="91" t="s">
        <v>550</v>
      </c>
      <c r="H81" s="18" t="s">
        <v>479</v>
      </c>
      <c r="I81" s="17" t="s">
        <v>551</v>
      </c>
      <c r="J81" s="89" t="s">
        <v>497</v>
      </c>
      <c r="K81" s="89" t="s">
        <v>25</v>
      </c>
      <c r="L81" s="144" t="s">
        <v>552</v>
      </c>
      <c r="M81" s="91">
        <v>2</v>
      </c>
      <c r="N81" s="91">
        <v>3</v>
      </c>
      <c r="O81" s="91">
        <f t="shared" si="31"/>
        <v>6</v>
      </c>
      <c r="P81" s="86" t="str">
        <f t="shared" si="32"/>
        <v>MEDIO</v>
      </c>
      <c r="Q81" s="91">
        <v>25</v>
      </c>
      <c r="R81" s="91">
        <f t="shared" si="33"/>
        <v>150</v>
      </c>
      <c r="S81" s="86" t="str">
        <f t="shared" si="34"/>
        <v>2</v>
      </c>
      <c r="T81" s="87" t="str">
        <f t="shared" si="35"/>
        <v>NO ACEPTABLE O ACEPTABLE CON CONTROL ESPECÍFICO</v>
      </c>
      <c r="U81" s="91">
        <v>1</v>
      </c>
      <c r="V81" s="88">
        <v>10</v>
      </c>
      <c r="W81" s="146" t="s">
        <v>553</v>
      </c>
      <c r="X81" s="91" t="s">
        <v>26</v>
      </c>
      <c r="Y81" s="91" t="s">
        <v>26</v>
      </c>
      <c r="Z81" s="91" t="s">
        <v>324</v>
      </c>
      <c r="AA81" s="147" t="s">
        <v>611</v>
      </c>
      <c r="AB81" s="25" t="s">
        <v>26</v>
      </c>
    </row>
    <row r="82" spans="1:28" ht="156" customHeight="1" thickBot="1">
      <c r="A82" s="170"/>
      <c r="B82" s="173"/>
      <c r="C82" s="176"/>
      <c r="D82" s="178" t="s">
        <v>682</v>
      </c>
      <c r="E82" s="91" t="s">
        <v>109</v>
      </c>
      <c r="F82" s="91" t="s">
        <v>624</v>
      </c>
      <c r="G82" s="91" t="s">
        <v>500</v>
      </c>
      <c r="H82" s="18" t="s">
        <v>479</v>
      </c>
      <c r="I82" s="89" t="s">
        <v>427</v>
      </c>
      <c r="J82" s="89" t="s">
        <v>25</v>
      </c>
      <c r="K82" s="89" t="s">
        <v>25</v>
      </c>
      <c r="L82" s="89" t="s">
        <v>429</v>
      </c>
      <c r="M82" s="91">
        <v>2</v>
      </c>
      <c r="N82" s="91">
        <v>3</v>
      </c>
      <c r="O82" s="91">
        <f t="shared" ref="O82" si="36">M82*N82</f>
        <v>6</v>
      </c>
      <c r="P82" s="86" t="str">
        <f t="shared" ref="P82" si="37">IF(O82&lt;=4,"BAJO",IF(O82&lt;=8,"MEDIO",IF(O82&lt;=20,"ALTO","MUY ALTO")))</f>
        <v>MEDIO</v>
      </c>
      <c r="Q82" s="91">
        <v>25</v>
      </c>
      <c r="R82" s="91">
        <f t="shared" ref="R82" si="38">O82*Q82</f>
        <v>150</v>
      </c>
      <c r="S82" s="86" t="str">
        <f t="shared" ref="S82" si="39">IF(R82&lt;=20,"4",IF(R82&lt;=120,"3",IF(R82&lt;=500,"2","1")))</f>
        <v>2</v>
      </c>
      <c r="T82" s="87" t="str">
        <f t="shared" ref="T82" si="40">IF(S82="4","ACEPTABLE",IF(S82="3","MEJORABLE",IF(S82="2","NO ACEPTABLE O ACEPTABLE CON CONTROL ESPECÍFICO","NO ACEPTABLE")))</f>
        <v>NO ACEPTABLE O ACEPTABLE CON CONTROL ESPECÍFICO</v>
      </c>
      <c r="U82" s="91">
        <v>1</v>
      </c>
      <c r="V82" s="88">
        <v>10</v>
      </c>
      <c r="W82" s="89" t="s">
        <v>428</v>
      </c>
      <c r="X82" s="91" t="s">
        <v>26</v>
      </c>
      <c r="Y82" s="91" t="s">
        <v>26</v>
      </c>
      <c r="Z82" s="91" t="s">
        <v>324</v>
      </c>
      <c r="AA82" s="103" t="s">
        <v>430</v>
      </c>
      <c r="AB82" s="25" t="s">
        <v>26</v>
      </c>
    </row>
    <row r="83" spans="1:28" ht="156" customHeight="1" thickBot="1">
      <c r="A83" s="170"/>
      <c r="B83" s="173"/>
      <c r="C83" s="176"/>
      <c r="D83" s="176"/>
      <c r="E83" s="91" t="s">
        <v>109</v>
      </c>
      <c r="F83" s="91" t="s">
        <v>624</v>
      </c>
      <c r="G83" s="91" t="s">
        <v>496</v>
      </c>
      <c r="H83" s="18" t="s">
        <v>479</v>
      </c>
      <c r="I83" s="89" t="s">
        <v>364</v>
      </c>
      <c r="J83" s="17" t="s">
        <v>25</v>
      </c>
      <c r="K83" s="17" t="s">
        <v>25</v>
      </c>
      <c r="L83" s="89" t="s">
        <v>365</v>
      </c>
      <c r="M83" s="91">
        <v>2</v>
      </c>
      <c r="N83" s="91">
        <v>3</v>
      </c>
      <c r="O83" s="91">
        <f t="shared" ref="O83:O99" si="41">M83*N83</f>
        <v>6</v>
      </c>
      <c r="P83" s="86" t="str">
        <f t="shared" ref="P83:P99" si="42">IF(O83&lt;=4,"BAJO",IF(O83&lt;=8,"MEDIO",IF(O83&lt;=20,"ALTO","MUY ALTO")))</f>
        <v>MEDIO</v>
      </c>
      <c r="Q83" s="91">
        <v>25</v>
      </c>
      <c r="R83" s="91">
        <f t="shared" ref="R83:R99" si="43">O83*Q83</f>
        <v>150</v>
      </c>
      <c r="S83" s="86" t="str">
        <f t="shared" ref="S83:S99" si="44">IF(R83&lt;=20,"4",IF(R83&lt;=120,"3",IF(R83&lt;=500,"2","1")))</f>
        <v>2</v>
      </c>
      <c r="T83" s="87" t="str">
        <f t="shared" ref="T83:T99" si="45">IF(S83="4","ACEPTABLE",IF(S83="3","MEJORABLE",IF(S83="2","NO ACEPTABLE O ACEPTABLE CON CONTROL ESPECÍFICO","NO ACEPTABLE")))</f>
        <v>NO ACEPTABLE O ACEPTABLE CON CONTROL ESPECÍFICO</v>
      </c>
      <c r="U83" s="91">
        <v>1</v>
      </c>
      <c r="V83" s="88">
        <v>10</v>
      </c>
      <c r="W83" s="13" t="s">
        <v>366</v>
      </c>
      <c r="X83" s="91" t="s">
        <v>26</v>
      </c>
      <c r="Y83" s="91" t="s">
        <v>26</v>
      </c>
      <c r="Z83" s="91" t="s">
        <v>324</v>
      </c>
      <c r="AA83" s="154" t="s">
        <v>367</v>
      </c>
      <c r="AB83" s="25" t="s">
        <v>26</v>
      </c>
    </row>
    <row r="84" spans="1:28" ht="156" customHeight="1" thickBot="1">
      <c r="A84" s="170"/>
      <c r="B84" s="173"/>
      <c r="C84" s="176"/>
      <c r="D84" s="176"/>
      <c r="E84" s="91" t="s">
        <v>109</v>
      </c>
      <c r="F84" s="91" t="s">
        <v>624</v>
      </c>
      <c r="G84" s="91" t="s">
        <v>572</v>
      </c>
      <c r="H84" s="18" t="s">
        <v>479</v>
      </c>
      <c r="I84" s="127" t="s">
        <v>433</v>
      </c>
      <c r="J84" s="127" t="s">
        <v>497</v>
      </c>
      <c r="K84" s="127" t="s">
        <v>25</v>
      </c>
      <c r="L84" s="127" t="s">
        <v>25</v>
      </c>
      <c r="M84" s="91">
        <v>2</v>
      </c>
      <c r="N84" s="91">
        <v>3</v>
      </c>
      <c r="O84" s="91">
        <f t="shared" si="41"/>
        <v>6</v>
      </c>
      <c r="P84" s="86" t="str">
        <f t="shared" si="42"/>
        <v>MEDIO</v>
      </c>
      <c r="Q84" s="91">
        <v>25</v>
      </c>
      <c r="R84" s="91">
        <f t="shared" si="43"/>
        <v>150</v>
      </c>
      <c r="S84" s="86" t="str">
        <f t="shared" si="44"/>
        <v>2</v>
      </c>
      <c r="T84" s="87" t="str">
        <f t="shared" si="45"/>
        <v>NO ACEPTABLE O ACEPTABLE CON CONTROL ESPECÍFICO</v>
      </c>
      <c r="U84" s="91">
        <v>1</v>
      </c>
      <c r="V84" s="88">
        <v>10</v>
      </c>
      <c r="W84" s="89" t="s">
        <v>434</v>
      </c>
      <c r="X84" s="91" t="s">
        <v>26</v>
      </c>
      <c r="Y84" s="91" t="s">
        <v>26</v>
      </c>
      <c r="Z84" s="91" t="s">
        <v>324</v>
      </c>
      <c r="AA84" s="103" t="s">
        <v>435</v>
      </c>
      <c r="AB84" s="25" t="s">
        <v>26</v>
      </c>
    </row>
    <row r="85" spans="1:28" ht="156" customHeight="1" thickBot="1">
      <c r="A85" s="170"/>
      <c r="B85" s="173"/>
      <c r="C85" s="176"/>
      <c r="D85" s="176"/>
      <c r="E85" s="91" t="s">
        <v>109</v>
      </c>
      <c r="F85" s="91" t="s">
        <v>624</v>
      </c>
      <c r="G85" s="91" t="s">
        <v>612</v>
      </c>
      <c r="H85" s="18" t="s">
        <v>237</v>
      </c>
      <c r="I85" s="89" t="s">
        <v>331</v>
      </c>
      <c r="J85" s="89" t="s">
        <v>497</v>
      </c>
      <c r="K85" s="89" t="s">
        <v>25</v>
      </c>
      <c r="L85" s="89" t="s">
        <v>374</v>
      </c>
      <c r="M85" s="91">
        <v>2</v>
      </c>
      <c r="N85" s="91">
        <v>3</v>
      </c>
      <c r="O85" s="91">
        <f t="shared" si="41"/>
        <v>6</v>
      </c>
      <c r="P85" s="86" t="str">
        <f t="shared" si="42"/>
        <v>MEDIO</v>
      </c>
      <c r="Q85" s="91">
        <v>25</v>
      </c>
      <c r="R85" s="91">
        <f t="shared" si="43"/>
        <v>150</v>
      </c>
      <c r="S85" s="86" t="str">
        <f t="shared" si="44"/>
        <v>2</v>
      </c>
      <c r="T85" s="87" t="str">
        <f t="shared" si="45"/>
        <v>NO ACEPTABLE O ACEPTABLE CON CONTROL ESPECÍFICO</v>
      </c>
      <c r="U85" s="91">
        <v>1</v>
      </c>
      <c r="V85" s="88">
        <v>10</v>
      </c>
      <c r="W85" s="12" t="s">
        <v>333</v>
      </c>
      <c r="X85" s="91" t="s">
        <v>26</v>
      </c>
      <c r="Y85" s="91" t="s">
        <v>26</v>
      </c>
      <c r="Z85" s="91" t="s">
        <v>324</v>
      </c>
      <c r="AA85" s="102" t="s">
        <v>375</v>
      </c>
      <c r="AB85" s="25" t="s">
        <v>26</v>
      </c>
    </row>
    <row r="86" spans="1:28" ht="156" customHeight="1" thickBot="1">
      <c r="A86" s="170"/>
      <c r="B86" s="173"/>
      <c r="C86" s="176"/>
      <c r="D86" s="176"/>
      <c r="E86" s="91" t="s">
        <v>109</v>
      </c>
      <c r="F86" s="91" t="s">
        <v>624</v>
      </c>
      <c r="G86" s="91" t="s">
        <v>597</v>
      </c>
      <c r="H86" s="18" t="s">
        <v>239</v>
      </c>
      <c r="I86" s="89" t="s">
        <v>380</v>
      </c>
      <c r="J86" s="89" t="s">
        <v>497</v>
      </c>
      <c r="K86" s="89" t="s">
        <v>25</v>
      </c>
      <c r="L86" s="144" t="s">
        <v>497</v>
      </c>
      <c r="M86" s="17">
        <v>2</v>
      </c>
      <c r="N86" s="17">
        <v>3</v>
      </c>
      <c r="O86" s="91">
        <f t="shared" si="41"/>
        <v>6</v>
      </c>
      <c r="P86" s="86" t="str">
        <f t="shared" si="42"/>
        <v>MEDIO</v>
      </c>
      <c r="Q86" s="91">
        <v>25</v>
      </c>
      <c r="R86" s="91">
        <f t="shared" si="43"/>
        <v>150</v>
      </c>
      <c r="S86" s="86" t="str">
        <f t="shared" si="44"/>
        <v>2</v>
      </c>
      <c r="T86" s="87" t="str">
        <f t="shared" si="45"/>
        <v>NO ACEPTABLE O ACEPTABLE CON CONTROL ESPECÍFICO</v>
      </c>
      <c r="U86" s="91">
        <v>1</v>
      </c>
      <c r="V86" s="88">
        <v>10</v>
      </c>
      <c r="W86" s="12" t="s">
        <v>381</v>
      </c>
      <c r="X86" s="91" t="s">
        <v>26</v>
      </c>
      <c r="Y86" s="91" t="s">
        <v>26</v>
      </c>
      <c r="Z86" s="91" t="s">
        <v>324</v>
      </c>
      <c r="AA86" s="157" t="s">
        <v>382</v>
      </c>
      <c r="AB86" s="25" t="s">
        <v>26</v>
      </c>
    </row>
    <row r="87" spans="1:28" ht="156" customHeight="1" thickBot="1">
      <c r="A87" s="170"/>
      <c r="B87" s="173"/>
      <c r="C87" s="176"/>
      <c r="D87" s="176"/>
      <c r="E87" s="91" t="s">
        <v>109</v>
      </c>
      <c r="F87" s="91" t="s">
        <v>624</v>
      </c>
      <c r="G87" s="91" t="s">
        <v>613</v>
      </c>
      <c r="H87" s="18" t="s">
        <v>239</v>
      </c>
      <c r="I87" s="92" t="s">
        <v>397</v>
      </c>
      <c r="J87" s="92" t="s">
        <v>497</v>
      </c>
      <c r="K87" s="92" t="s">
        <v>25</v>
      </c>
      <c r="L87" s="92" t="s">
        <v>404</v>
      </c>
      <c r="M87" s="155">
        <v>2</v>
      </c>
      <c r="N87" s="155">
        <v>3</v>
      </c>
      <c r="O87" s="91">
        <f t="shared" si="41"/>
        <v>6</v>
      </c>
      <c r="P87" s="86" t="str">
        <f t="shared" si="42"/>
        <v>MEDIO</v>
      </c>
      <c r="Q87" s="91">
        <v>25</v>
      </c>
      <c r="R87" s="91">
        <f t="shared" si="43"/>
        <v>150</v>
      </c>
      <c r="S87" s="86" t="str">
        <f t="shared" si="44"/>
        <v>2</v>
      </c>
      <c r="T87" s="87" t="str">
        <f t="shared" si="45"/>
        <v>NO ACEPTABLE O ACEPTABLE CON CONTROL ESPECÍFICO</v>
      </c>
      <c r="U87" s="91">
        <v>1</v>
      </c>
      <c r="V87" s="88">
        <v>10</v>
      </c>
      <c r="W87" s="156" t="s">
        <v>398</v>
      </c>
      <c r="X87" s="91" t="s">
        <v>26</v>
      </c>
      <c r="Y87" s="91" t="s">
        <v>26</v>
      </c>
      <c r="Z87" s="91" t="s">
        <v>324</v>
      </c>
      <c r="AA87" s="158" t="s">
        <v>405</v>
      </c>
      <c r="AB87" s="25" t="s">
        <v>26</v>
      </c>
    </row>
    <row r="88" spans="1:28" ht="156" customHeight="1" thickBot="1">
      <c r="A88" s="170"/>
      <c r="B88" s="173"/>
      <c r="C88" s="176"/>
      <c r="D88" s="176"/>
      <c r="E88" s="91" t="s">
        <v>109</v>
      </c>
      <c r="F88" s="91" t="s">
        <v>624</v>
      </c>
      <c r="G88" s="91" t="s">
        <v>282</v>
      </c>
      <c r="H88" s="18" t="s">
        <v>239</v>
      </c>
      <c r="I88" s="139" t="s">
        <v>516</v>
      </c>
      <c r="J88" s="89" t="s">
        <v>497</v>
      </c>
      <c r="K88" s="89" t="s">
        <v>25</v>
      </c>
      <c r="L88" s="140" t="s">
        <v>517</v>
      </c>
      <c r="M88" s="17">
        <v>6</v>
      </c>
      <c r="N88" s="17">
        <v>3</v>
      </c>
      <c r="O88" s="91">
        <f t="shared" si="41"/>
        <v>18</v>
      </c>
      <c r="P88" s="86" t="str">
        <f t="shared" si="42"/>
        <v>ALTO</v>
      </c>
      <c r="Q88" s="91">
        <v>25</v>
      </c>
      <c r="R88" s="91">
        <f t="shared" si="43"/>
        <v>450</v>
      </c>
      <c r="S88" s="86" t="str">
        <f t="shared" si="44"/>
        <v>2</v>
      </c>
      <c r="T88" s="87" t="str">
        <f t="shared" si="45"/>
        <v>NO ACEPTABLE O ACEPTABLE CON CONTROL ESPECÍFICO</v>
      </c>
      <c r="U88" s="91">
        <v>1</v>
      </c>
      <c r="V88" s="88">
        <v>10</v>
      </c>
      <c r="W88" s="141" t="s">
        <v>518</v>
      </c>
      <c r="X88" s="91" t="s">
        <v>26</v>
      </c>
      <c r="Y88" s="91" t="s">
        <v>26</v>
      </c>
      <c r="Z88" s="91" t="s">
        <v>324</v>
      </c>
      <c r="AA88" s="142" t="s">
        <v>519</v>
      </c>
      <c r="AB88" s="25" t="s">
        <v>26</v>
      </c>
    </row>
    <row r="89" spans="1:28" ht="156" customHeight="1" thickBot="1">
      <c r="A89" s="170"/>
      <c r="B89" s="173"/>
      <c r="C89" s="176"/>
      <c r="D89" s="176"/>
      <c r="E89" s="91" t="s">
        <v>109</v>
      </c>
      <c r="F89" s="91" t="s">
        <v>624</v>
      </c>
      <c r="G89" s="91" t="s">
        <v>526</v>
      </c>
      <c r="H89" s="18" t="s">
        <v>239</v>
      </c>
      <c r="I89" s="89" t="s">
        <v>421</v>
      </c>
      <c r="J89" s="89" t="s">
        <v>497</v>
      </c>
      <c r="K89" s="89" t="s">
        <v>420</v>
      </c>
      <c r="L89" s="89" t="s">
        <v>404</v>
      </c>
      <c r="M89" s="17">
        <v>2</v>
      </c>
      <c r="N89" s="17">
        <v>3</v>
      </c>
      <c r="O89" s="91">
        <f t="shared" si="41"/>
        <v>6</v>
      </c>
      <c r="P89" s="86" t="str">
        <f t="shared" si="42"/>
        <v>MEDIO</v>
      </c>
      <c r="Q89" s="91">
        <v>25</v>
      </c>
      <c r="R89" s="91">
        <f t="shared" si="43"/>
        <v>150</v>
      </c>
      <c r="S89" s="86" t="str">
        <f t="shared" si="44"/>
        <v>2</v>
      </c>
      <c r="T89" s="87" t="str">
        <f t="shared" si="45"/>
        <v>NO ACEPTABLE O ACEPTABLE CON CONTROL ESPECÍFICO</v>
      </c>
      <c r="U89" s="91">
        <v>1</v>
      </c>
      <c r="V89" s="88">
        <v>10</v>
      </c>
      <c r="W89" s="89" t="s">
        <v>422</v>
      </c>
      <c r="X89" s="91" t="s">
        <v>26</v>
      </c>
      <c r="Y89" s="91" t="s">
        <v>26</v>
      </c>
      <c r="Z89" s="91" t="s">
        <v>324</v>
      </c>
      <c r="AA89" s="103" t="s">
        <v>423</v>
      </c>
      <c r="AB89" s="25" t="s">
        <v>26</v>
      </c>
    </row>
    <row r="90" spans="1:28" ht="156" customHeight="1" thickBot="1">
      <c r="A90" s="170"/>
      <c r="B90" s="173"/>
      <c r="C90" s="176"/>
      <c r="D90" s="176"/>
      <c r="E90" s="91" t="s">
        <v>109</v>
      </c>
      <c r="F90" s="91" t="s">
        <v>624</v>
      </c>
      <c r="G90" s="91" t="s">
        <v>605</v>
      </c>
      <c r="H90" s="18" t="s">
        <v>239</v>
      </c>
      <c r="I90" s="101" t="s">
        <v>464</v>
      </c>
      <c r="J90" s="101" t="s">
        <v>465</v>
      </c>
      <c r="K90" s="101" t="s">
        <v>466</v>
      </c>
      <c r="L90" s="101" t="s">
        <v>467</v>
      </c>
      <c r="M90" s="91">
        <v>2</v>
      </c>
      <c r="N90" s="91">
        <v>3</v>
      </c>
      <c r="O90" s="91">
        <f t="shared" si="41"/>
        <v>6</v>
      </c>
      <c r="P90" s="86" t="str">
        <f t="shared" si="42"/>
        <v>MEDIO</v>
      </c>
      <c r="Q90" s="91">
        <v>25</v>
      </c>
      <c r="R90" s="91">
        <f t="shared" si="43"/>
        <v>150</v>
      </c>
      <c r="S90" s="86" t="str">
        <f t="shared" si="44"/>
        <v>2</v>
      </c>
      <c r="T90" s="87" t="str">
        <f t="shared" si="45"/>
        <v>NO ACEPTABLE O ACEPTABLE CON CONTROL ESPECÍFICO</v>
      </c>
      <c r="U90" s="91">
        <v>1</v>
      </c>
      <c r="V90" s="88">
        <v>10</v>
      </c>
      <c r="W90" s="112" t="s">
        <v>463</v>
      </c>
      <c r="X90" s="91" t="s">
        <v>26</v>
      </c>
      <c r="Y90" s="91" t="s">
        <v>26</v>
      </c>
      <c r="Z90" s="91" t="s">
        <v>324</v>
      </c>
      <c r="AA90" s="114" t="s">
        <v>469</v>
      </c>
      <c r="AB90" s="25" t="s">
        <v>26</v>
      </c>
    </row>
    <row r="91" spans="1:28" ht="156" customHeight="1" thickBot="1">
      <c r="A91" s="170"/>
      <c r="B91" s="173"/>
      <c r="C91" s="176"/>
      <c r="D91" s="176"/>
      <c r="E91" s="91" t="s">
        <v>109</v>
      </c>
      <c r="F91" s="91" t="s">
        <v>624</v>
      </c>
      <c r="G91" s="91" t="s">
        <v>614</v>
      </c>
      <c r="H91" s="18" t="s">
        <v>239</v>
      </c>
      <c r="I91" s="101" t="s">
        <v>477</v>
      </c>
      <c r="J91" s="101" t="s">
        <v>25</v>
      </c>
      <c r="K91" s="101" t="s">
        <v>420</v>
      </c>
      <c r="L91" s="101" t="s">
        <v>25</v>
      </c>
      <c r="M91" s="91">
        <v>2</v>
      </c>
      <c r="N91" s="91">
        <v>3</v>
      </c>
      <c r="O91" s="91">
        <f t="shared" si="41"/>
        <v>6</v>
      </c>
      <c r="P91" s="86" t="str">
        <f t="shared" si="42"/>
        <v>MEDIO</v>
      </c>
      <c r="Q91" s="91">
        <v>25</v>
      </c>
      <c r="R91" s="91">
        <f t="shared" si="43"/>
        <v>150</v>
      </c>
      <c r="S91" s="86" t="str">
        <f t="shared" si="44"/>
        <v>2</v>
      </c>
      <c r="T91" s="87" t="str">
        <f t="shared" si="45"/>
        <v>NO ACEPTABLE O ACEPTABLE CON CONTROL ESPECÍFICO</v>
      </c>
      <c r="U91" s="91">
        <v>1</v>
      </c>
      <c r="V91" s="88">
        <v>10</v>
      </c>
      <c r="W91" s="112" t="s">
        <v>473</v>
      </c>
      <c r="X91" s="91" t="s">
        <v>26</v>
      </c>
      <c r="Y91" s="91" t="s">
        <v>26</v>
      </c>
      <c r="Z91" s="91" t="s">
        <v>324</v>
      </c>
      <c r="AA91" s="159" t="s">
        <v>478</v>
      </c>
      <c r="AB91" s="25" t="s">
        <v>26</v>
      </c>
    </row>
    <row r="92" spans="1:28" ht="156" customHeight="1" thickBot="1">
      <c r="A92" s="170"/>
      <c r="B92" s="173"/>
      <c r="C92" s="176"/>
      <c r="D92" s="176"/>
      <c r="E92" s="91" t="s">
        <v>109</v>
      </c>
      <c r="F92" s="91" t="s">
        <v>624</v>
      </c>
      <c r="G92" s="91" t="s">
        <v>499</v>
      </c>
      <c r="H92" s="18" t="s">
        <v>239</v>
      </c>
      <c r="I92" s="89" t="s">
        <v>455</v>
      </c>
      <c r="J92" s="101" t="s">
        <v>25</v>
      </c>
      <c r="K92" s="101" t="s">
        <v>459</v>
      </c>
      <c r="L92" s="101" t="s">
        <v>460</v>
      </c>
      <c r="M92" s="91">
        <v>2</v>
      </c>
      <c r="N92" s="91">
        <v>3</v>
      </c>
      <c r="O92" s="91">
        <f t="shared" si="41"/>
        <v>6</v>
      </c>
      <c r="P92" s="86" t="str">
        <f t="shared" si="42"/>
        <v>MEDIO</v>
      </c>
      <c r="Q92" s="91">
        <v>25</v>
      </c>
      <c r="R92" s="91">
        <f t="shared" si="43"/>
        <v>150</v>
      </c>
      <c r="S92" s="86" t="str">
        <f t="shared" si="44"/>
        <v>2</v>
      </c>
      <c r="T92" s="87" t="str">
        <f t="shared" si="45"/>
        <v>NO ACEPTABLE O ACEPTABLE CON CONTROL ESPECÍFICO</v>
      </c>
      <c r="U92" s="91">
        <v>1</v>
      </c>
      <c r="V92" s="88">
        <v>10</v>
      </c>
      <c r="W92" s="112" t="s">
        <v>422</v>
      </c>
      <c r="X92" s="91" t="s">
        <v>26</v>
      </c>
      <c r="Y92" s="91" t="s">
        <v>26</v>
      </c>
      <c r="Z92" s="91" t="s">
        <v>324</v>
      </c>
      <c r="AA92" s="114" t="s">
        <v>461</v>
      </c>
      <c r="AB92" s="25" t="s">
        <v>26</v>
      </c>
    </row>
    <row r="93" spans="1:28" ht="156" customHeight="1" thickBot="1">
      <c r="A93" s="170"/>
      <c r="B93" s="173"/>
      <c r="C93" s="176"/>
      <c r="D93" s="176"/>
      <c r="E93" s="91" t="s">
        <v>109</v>
      </c>
      <c r="F93" s="91" t="s">
        <v>624</v>
      </c>
      <c r="G93" s="91" t="s">
        <v>613</v>
      </c>
      <c r="H93" s="18" t="s">
        <v>239</v>
      </c>
      <c r="I93" s="89" t="s">
        <v>451</v>
      </c>
      <c r="J93" s="89" t="s">
        <v>497</v>
      </c>
      <c r="K93" s="89" t="s">
        <v>25</v>
      </c>
      <c r="L93" s="101" t="s">
        <v>456</v>
      </c>
      <c r="M93" s="91">
        <v>2</v>
      </c>
      <c r="N93" s="91">
        <v>3</v>
      </c>
      <c r="O93" s="91">
        <f t="shared" si="41"/>
        <v>6</v>
      </c>
      <c r="P93" s="86" t="str">
        <f t="shared" si="42"/>
        <v>MEDIO</v>
      </c>
      <c r="Q93" s="91">
        <v>25</v>
      </c>
      <c r="R93" s="91">
        <f t="shared" si="43"/>
        <v>150</v>
      </c>
      <c r="S93" s="86" t="str">
        <f t="shared" si="44"/>
        <v>2</v>
      </c>
      <c r="T93" s="87" t="str">
        <f t="shared" si="45"/>
        <v>NO ACEPTABLE O ACEPTABLE CON CONTROL ESPECÍFICO</v>
      </c>
      <c r="U93" s="91">
        <v>1</v>
      </c>
      <c r="V93" s="88">
        <v>10</v>
      </c>
      <c r="W93" s="12" t="s">
        <v>457</v>
      </c>
      <c r="X93" s="91" t="s">
        <v>26</v>
      </c>
      <c r="Y93" s="91" t="s">
        <v>26</v>
      </c>
      <c r="Z93" s="91" t="s">
        <v>324</v>
      </c>
      <c r="AA93" s="102" t="s">
        <v>458</v>
      </c>
      <c r="AB93" s="25" t="s">
        <v>26</v>
      </c>
    </row>
    <row r="94" spans="1:28" ht="156" customHeight="1" thickBot="1">
      <c r="A94" s="170"/>
      <c r="B94" s="173"/>
      <c r="C94" s="176"/>
      <c r="D94" s="176"/>
      <c r="E94" s="91" t="s">
        <v>109</v>
      </c>
      <c r="F94" s="91" t="s">
        <v>624</v>
      </c>
      <c r="G94" s="91" t="s">
        <v>545</v>
      </c>
      <c r="H94" s="18" t="s">
        <v>239</v>
      </c>
      <c r="I94" s="89" t="s">
        <v>448</v>
      </c>
      <c r="J94" s="89" t="s">
        <v>497</v>
      </c>
      <c r="K94" s="89" t="s">
        <v>25</v>
      </c>
      <c r="L94" s="160" t="s">
        <v>439</v>
      </c>
      <c r="M94" s="91">
        <v>2</v>
      </c>
      <c r="N94" s="91">
        <v>3</v>
      </c>
      <c r="O94" s="91">
        <f t="shared" si="41"/>
        <v>6</v>
      </c>
      <c r="P94" s="86" t="str">
        <f t="shared" si="42"/>
        <v>MEDIO</v>
      </c>
      <c r="Q94" s="91">
        <v>25</v>
      </c>
      <c r="R94" s="91">
        <f t="shared" si="43"/>
        <v>150</v>
      </c>
      <c r="S94" s="86" t="str">
        <f t="shared" si="44"/>
        <v>2</v>
      </c>
      <c r="T94" s="87" t="str">
        <f t="shared" si="45"/>
        <v>NO ACEPTABLE O ACEPTABLE CON CONTROL ESPECÍFICO</v>
      </c>
      <c r="U94" s="91">
        <v>1</v>
      </c>
      <c r="V94" s="88">
        <v>10</v>
      </c>
      <c r="W94" s="101" t="s">
        <v>438</v>
      </c>
      <c r="X94" s="91" t="s">
        <v>26</v>
      </c>
      <c r="Y94" s="91" t="s">
        <v>26</v>
      </c>
      <c r="Z94" s="91" t="s">
        <v>324</v>
      </c>
      <c r="AA94" s="114" t="s">
        <v>449</v>
      </c>
      <c r="AB94" s="25" t="s">
        <v>26</v>
      </c>
    </row>
    <row r="95" spans="1:28" ht="156" customHeight="1" thickBot="1">
      <c r="A95" s="170"/>
      <c r="B95" s="173"/>
      <c r="C95" s="176"/>
      <c r="D95" s="176"/>
      <c r="E95" s="91" t="s">
        <v>109</v>
      </c>
      <c r="F95" s="91" t="s">
        <v>624</v>
      </c>
      <c r="G95" s="91" t="s">
        <v>606</v>
      </c>
      <c r="H95" s="18" t="s">
        <v>239</v>
      </c>
      <c r="I95" s="89" t="s">
        <v>492</v>
      </c>
      <c r="J95" s="89" t="s">
        <v>497</v>
      </c>
      <c r="K95" s="89" t="s">
        <v>25</v>
      </c>
      <c r="L95" s="89" t="s">
        <v>396</v>
      </c>
      <c r="M95" s="91">
        <v>2</v>
      </c>
      <c r="N95" s="91">
        <v>3</v>
      </c>
      <c r="O95" s="91">
        <f t="shared" si="41"/>
        <v>6</v>
      </c>
      <c r="P95" s="86" t="str">
        <f t="shared" si="42"/>
        <v>MEDIO</v>
      </c>
      <c r="Q95" s="91">
        <v>25</v>
      </c>
      <c r="R95" s="91">
        <f t="shared" si="43"/>
        <v>150</v>
      </c>
      <c r="S95" s="86" t="str">
        <f t="shared" si="44"/>
        <v>2</v>
      </c>
      <c r="T95" s="87" t="str">
        <f t="shared" si="45"/>
        <v>NO ACEPTABLE O ACEPTABLE CON CONTROL ESPECÍFICO</v>
      </c>
      <c r="U95" s="91">
        <v>1</v>
      </c>
      <c r="V95" s="88">
        <v>10</v>
      </c>
      <c r="W95" s="101" t="s">
        <v>473</v>
      </c>
      <c r="X95" s="91" t="s">
        <v>26</v>
      </c>
      <c r="Y95" s="91" t="s">
        <v>26</v>
      </c>
      <c r="Z95" s="91" t="s">
        <v>324</v>
      </c>
      <c r="AA95" s="102" t="s">
        <v>608</v>
      </c>
      <c r="AB95" s="25" t="s">
        <v>26</v>
      </c>
    </row>
    <row r="96" spans="1:28" ht="152.25" customHeight="1" thickBot="1">
      <c r="A96" s="170"/>
      <c r="B96" s="173"/>
      <c r="C96" s="176"/>
      <c r="D96" s="176"/>
      <c r="E96" s="129" t="s">
        <v>24</v>
      </c>
      <c r="F96" s="91" t="s">
        <v>624</v>
      </c>
      <c r="G96" s="89" t="s">
        <v>501</v>
      </c>
      <c r="H96" s="82" t="s">
        <v>502</v>
      </c>
      <c r="I96" s="89" t="s">
        <v>503</v>
      </c>
      <c r="J96" s="89" t="s">
        <v>504</v>
      </c>
      <c r="K96" s="89" t="s">
        <v>505</v>
      </c>
      <c r="L96" s="89" t="s">
        <v>506</v>
      </c>
      <c r="M96" s="89">
        <v>2</v>
      </c>
      <c r="N96" s="89">
        <v>4</v>
      </c>
      <c r="O96" s="89">
        <f t="shared" si="41"/>
        <v>8</v>
      </c>
      <c r="P96" s="83" t="str">
        <f t="shared" si="42"/>
        <v>MEDIO</v>
      </c>
      <c r="Q96" s="89">
        <v>25</v>
      </c>
      <c r="R96" s="89">
        <f t="shared" si="43"/>
        <v>200</v>
      </c>
      <c r="S96" s="83" t="str">
        <f t="shared" si="44"/>
        <v>2</v>
      </c>
      <c r="T96" s="84" t="str">
        <f t="shared" si="45"/>
        <v>NO ACEPTABLE O ACEPTABLE CON CONTROL ESPECÍFICO</v>
      </c>
      <c r="U96" s="89">
        <v>1</v>
      </c>
      <c r="V96" s="89">
        <v>10</v>
      </c>
      <c r="W96" s="12" t="s">
        <v>413</v>
      </c>
      <c r="X96" s="10" t="s">
        <v>26</v>
      </c>
      <c r="Y96" s="10" t="s">
        <v>26</v>
      </c>
      <c r="Z96" s="10" t="s">
        <v>26</v>
      </c>
      <c r="AA96" s="102" t="s">
        <v>507</v>
      </c>
      <c r="AB96" s="24" t="s">
        <v>26</v>
      </c>
    </row>
    <row r="97" spans="1:28" ht="156" customHeight="1" thickBot="1">
      <c r="A97" s="170"/>
      <c r="B97" s="173"/>
      <c r="C97" s="176"/>
      <c r="D97" s="176"/>
      <c r="E97" s="91" t="s">
        <v>109</v>
      </c>
      <c r="F97" s="91" t="s">
        <v>624</v>
      </c>
      <c r="G97" s="91" t="s">
        <v>498</v>
      </c>
      <c r="H97" s="18" t="s">
        <v>531</v>
      </c>
      <c r="I97" s="145" t="s">
        <v>540</v>
      </c>
      <c r="J97" s="89" t="s">
        <v>497</v>
      </c>
      <c r="K97" s="89" t="s">
        <v>25</v>
      </c>
      <c r="L97" s="89" t="s">
        <v>25</v>
      </c>
      <c r="M97" s="91">
        <v>2</v>
      </c>
      <c r="N97" s="91">
        <v>3</v>
      </c>
      <c r="O97" s="91">
        <f t="shared" si="41"/>
        <v>6</v>
      </c>
      <c r="P97" s="86" t="str">
        <f t="shared" si="42"/>
        <v>MEDIO</v>
      </c>
      <c r="Q97" s="91">
        <v>25</v>
      </c>
      <c r="R97" s="91">
        <f t="shared" si="43"/>
        <v>150</v>
      </c>
      <c r="S97" s="86" t="str">
        <f t="shared" si="44"/>
        <v>2</v>
      </c>
      <c r="T97" s="87" t="str">
        <f t="shared" si="45"/>
        <v>NO ACEPTABLE O ACEPTABLE CON CONTROL ESPECÍFICO</v>
      </c>
      <c r="U97" s="91">
        <v>1</v>
      </c>
      <c r="V97" s="88">
        <v>10</v>
      </c>
      <c r="W97" s="17" t="s">
        <v>538</v>
      </c>
      <c r="X97" s="91" t="s">
        <v>26</v>
      </c>
      <c r="Y97" s="91" t="s">
        <v>26</v>
      </c>
      <c r="Z97" s="91" t="s">
        <v>324</v>
      </c>
      <c r="AA97" s="147" t="s">
        <v>541</v>
      </c>
      <c r="AB97" s="25" t="s">
        <v>26</v>
      </c>
    </row>
    <row r="98" spans="1:28" ht="156" customHeight="1" thickBot="1">
      <c r="A98" s="170"/>
      <c r="B98" s="173"/>
      <c r="C98" s="176"/>
      <c r="D98" s="176"/>
      <c r="E98" s="91" t="s">
        <v>109</v>
      </c>
      <c r="F98" s="91" t="s">
        <v>624</v>
      </c>
      <c r="G98" s="91" t="s">
        <v>542</v>
      </c>
      <c r="H98" s="18" t="s">
        <v>531</v>
      </c>
      <c r="I98" s="149" t="s">
        <v>559</v>
      </c>
      <c r="J98" s="89" t="s">
        <v>497</v>
      </c>
      <c r="K98" s="89" t="s">
        <v>25</v>
      </c>
      <c r="L98" s="144" t="s">
        <v>560</v>
      </c>
      <c r="M98" s="91">
        <v>2</v>
      </c>
      <c r="N98" s="91">
        <v>3</v>
      </c>
      <c r="O98" s="91">
        <f t="shared" si="41"/>
        <v>6</v>
      </c>
      <c r="P98" s="86" t="str">
        <f t="shared" si="42"/>
        <v>MEDIO</v>
      </c>
      <c r="Q98" s="91">
        <v>25</v>
      </c>
      <c r="R98" s="91">
        <f t="shared" si="43"/>
        <v>150</v>
      </c>
      <c r="S98" s="86" t="str">
        <f t="shared" si="44"/>
        <v>2</v>
      </c>
      <c r="T98" s="87" t="str">
        <f t="shared" si="45"/>
        <v>NO ACEPTABLE O ACEPTABLE CON CONTROL ESPECÍFICO</v>
      </c>
      <c r="U98" s="91">
        <v>1</v>
      </c>
      <c r="V98" s="88">
        <v>10</v>
      </c>
      <c r="W98" s="17" t="s">
        <v>561</v>
      </c>
      <c r="X98" s="91" t="s">
        <v>26</v>
      </c>
      <c r="Y98" s="91" t="s">
        <v>26</v>
      </c>
      <c r="Z98" s="91" t="s">
        <v>324</v>
      </c>
      <c r="AA98" s="142" t="s">
        <v>562</v>
      </c>
      <c r="AB98" s="25" t="s">
        <v>26</v>
      </c>
    </row>
    <row r="99" spans="1:28" ht="156" customHeight="1" thickBot="1">
      <c r="A99" s="170"/>
      <c r="B99" s="173"/>
      <c r="C99" s="176"/>
      <c r="D99" s="179"/>
      <c r="E99" s="91" t="s">
        <v>109</v>
      </c>
      <c r="F99" s="91" t="s">
        <v>624</v>
      </c>
      <c r="G99" s="91" t="s">
        <v>615</v>
      </c>
      <c r="H99" s="18" t="s">
        <v>531</v>
      </c>
      <c r="I99" s="139" t="s">
        <v>586</v>
      </c>
      <c r="J99" s="89" t="s">
        <v>497</v>
      </c>
      <c r="K99" s="89" t="s">
        <v>25</v>
      </c>
      <c r="L99" s="89" t="s">
        <v>497</v>
      </c>
      <c r="M99" s="91">
        <v>2</v>
      </c>
      <c r="N99" s="91">
        <v>3</v>
      </c>
      <c r="O99" s="91">
        <f t="shared" si="41"/>
        <v>6</v>
      </c>
      <c r="P99" s="86" t="str">
        <f t="shared" si="42"/>
        <v>MEDIO</v>
      </c>
      <c r="Q99" s="91">
        <v>25</v>
      </c>
      <c r="R99" s="91">
        <f t="shared" si="43"/>
        <v>150</v>
      </c>
      <c r="S99" s="86" t="str">
        <f t="shared" si="44"/>
        <v>2</v>
      </c>
      <c r="T99" s="87" t="str">
        <f t="shared" si="45"/>
        <v>NO ACEPTABLE O ACEPTABLE CON CONTROL ESPECÍFICO</v>
      </c>
      <c r="U99" s="91">
        <v>1</v>
      </c>
      <c r="V99" s="88">
        <v>10</v>
      </c>
      <c r="W99" s="17" t="s">
        <v>564</v>
      </c>
      <c r="X99" s="91" t="s">
        <v>26</v>
      </c>
      <c r="Y99" s="91" t="s">
        <v>26</v>
      </c>
      <c r="Z99" s="91" t="s">
        <v>324</v>
      </c>
      <c r="AA99" s="142" t="s">
        <v>565</v>
      </c>
      <c r="AB99" s="25" t="s">
        <v>26</v>
      </c>
    </row>
    <row r="100" spans="1:28" ht="156" customHeight="1" thickBot="1">
      <c r="A100" s="170"/>
      <c r="B100" s="173"/>
      <c r="C100" s="176"/>
      <c r="D100" s="178" t="s">
        <v>683</v>
      </c>
      <c r="E100" s="91" t="s">
        <v>109</v>
      </c>
      <c r="F100" s="91" t="s">
        <v>624</v>
      </c>
      <c r="G100" s="91" t="s">
        <v>616</v>
      </c>
      <c r="H100" s="18" t="s">
        <v>479</v>
      </c>
      <c r="I100" s="89" t="s">
        <v>427</v>
      </c>
      <c r="J100" s="89" t="s">
        <v>25</v>
      </c>
      <c r="K100" s="89" t="s">
        <v>25</v>
      </c>
      <c r="L100" s="89" t="s">
        <v>429</v>
      </c>
      <c r="M100" s="91">
        <v>2</v>
      </c>
      <c r="N100" s="91">
        <v>3</v>
      </c>
      <c r="O100" s="91">
        <f t="shared" ref="O100" si="46">M100*N100</f>
        <v>6</v>
      </c>
      <c r="P100" s="86" t="str">
        <f t="shared" ref="P100" si="47">IF(O100&lt;=4,"BAJO",IF(O100&lt;=8,"MEDIO",IF(O100&lt;=20,"ALTO","MUY ALTO")))</f>
        <v>MEDIO</v>
      </c>
      <c r="Q100" s="91">
        <v>25</v>
      </c>
      <c r="R100" s="91">
        <f t="shared" ref="R100" si="48">O100*Q100</f>
        <v>150</v>
      </c>
      <c r="S100" s="86" t="str">
        <f t="shared" ref="S100" si="49">IF(R100&lt;=20,"4",IF(R100&lt;=120,"3",IF(R100&lt;=500,"2","1")))</f>
        <v>2</v>
      </c>
      <c r="T100" s="87" t="str">
        <f t="shared" ref="T100" si="50">IF(S100="4","ACEPTABLE",IF(S100="3","MEJORABLE",IF(S100="2","NO ACEPTABLE O ACEPTABLE CON CONTROL ESPECÍFICO","NO ACEPTABLE")))</f>
        <v>NO ACEPTABLE O ACEPTABLE CON CONTROL ESPECÍFICO</v>
      </c>
      <c r="U100" s="91">
        <v>1</v>
      </c>
      <c r="V100" s="88">
        <v>10</v>
      </c>
      <c r="W100" s="89" t="s">
        <v>428</v>
      </c>
      <c r="X100" s="91" t="s">
        <v>26</v>
      </c>
      <c r="Y100" s="91" t="s">
        <v>26</v>
      </c>
      <c r="Z100" s="91" t="s">
        <v>324</v>
      </c>
      <c r="AA100" s="103" t="s">
        <v>430</v>
      </c>
      <c r="AB100" s="25" t="s">
        <v>26</v>
      </c>
    </row>
    <row r="101" spans="1:28" ht="156" customHeight="1" thickBot="1">
      <c r="A101" s="170"/>
      <c r="B101" s="173"/>
      <c r="C101" s="176"/>
      <c r="D101" s="176"/>
      <c r="E101" s="91" t="s">
        <v>109</v>
      </c>
      <c r="F101" s="91" t="s">
        <v>624</v>
      </c>
      <c r="G101" s="91" t="s">
        <v>496</v>
      </c>
      <c r="H101" s="18" t="s">
        <v>479</v>
      </c>
      <c r="I101" s="89" t="s">
        <v>364</v>
      </c>
      <c r="J101" s="17" t="s">
        <v>25</v>
      </c>
      <c r="K101" s="17" t="s">
        <v>25</v>
      </c>
      <c r="L101" s="89" t="s">
        <v>365</v>
      </c>
      <c r="M101" s="91">
        <v>2</v>
      </c>
      <c r="N101" s="91">
        <v>3</v>
      </c>
      <c r="O101" s="91">
        <f t="shared" ref="O101:O112" si="51">M101*N101</f>
        <v>6</v>
      </c>
      <c r="P101" s="86" t="str">
        <f t="shared" ref="P101:P112" si="52">IF(O101&lt;=4,"BAJO",IF(O101&lt;=8,"MEDIO",IF(O101&lt;=20,"ALTO","MUY ALTO")))</f>
        <v>MEDIO</v>
      </c>
      <c r="Q101" s="91">
        <v>25</v>
      </c>
      <c r="R101" s="91">
        <f t="shared" ref="R101:R112" si="53">O101*Q101</f>
        <v>150</v>
      </c>
      <c r="S101" s="86" t="str">
        <f t="shared" ref="S101:S112" si="54">IF(R101&lt;=20,"4",IF(R101&lt;=120,"3",IF(R101&lt;=500,"2","1")))</f>
        <v>2</v>
      </c>
      <c r="T101" s="87" t="str">
        <f t="shared" ref="T101:T112" si="55">IF(S101="4","ACEPTABLE",IF(S101="3","MEJORABLE",IF(S101="2","NO ACEPTABLE O ACEPTABLE CON CONTROL ESPECÍFICO","NO ACEPTABLE")))</f>
        <v>NO ACEPTABLE O ACEPTABLE CON CONTROL ESPECÍFICO</v>
      </c>
      <c r="U101" s="91">
        <v>1</v>
      </c>
      <c r="V101" s="88">
        <v>10</v>
      </c>
      <c r="W101" s="13" t="s">
        <v>366</v>
      </c>
      <c r="X101" s="91" t="s">
        <v>26</v>
      </c>
      <c r="Y101" s="91" t="s">
        <v>26</v>
      </c>
      <c r="Z101" s="91" t="s">
        <v>324</v>
      </c>
      <c r="AA101" s="154" t="s">
        <v>367</v>
      </c>
      <c r="AB101" s="25" t="s">
        <v>26</v>
      </c>
    </row>
    <row r="102" spans="1:28" ht="156" customHeight="1" thickBot="1">
      <c r="A102" s="170"/>
      <c r="B102" s="173"/>
      <c r="C102" s="176"/>
      <c r="D102" s="176"/>
      <c r="E102" s="91" t="s">
        <v>109</v>
      </c>
      <c r="F102" s="91" t="s">
        <v>624</v>
      </c>
      <c r="G102" s="91" t="s">
        <v>572</v>
      </c>
      <c r="H102" s="18" t="s">
        <v>479</v>
      </c>
      <c r="I102" s="89" t="s">
        <v>433</v>
      </c>
      <c r="J102" s="89" t="s">
        <v>497</v>
      </c>
      <c r="K102" s="89" t="s">
        <v>25</v>
      </c>
      <c r="L102" s="89" t="s">
        <v>25</v>
      </c>
      <c r="M102" s="91">
        <v>2</v>
      </c>
      <c r="N102" s="91">
        <v>3</v>
      </c>
      <c r="O102" s="91">
        <f t="shared" si="51"/>
        <v>6</v>
      </c>
      <c r="P102" s="86" t="str">
        <f t="shared" si="52"/>
        <v>MEDIO</v>
      </c>
      <c r="Q102" s="91">
        <v>25</v>
      </c>
      <c r="R102" s="91">
        <f t="shared" si="53"/>
        <v>150</v>
      </c>
      <c r="S102" s="86" t="str">
        <f t="shared" si="54"/>
        <v>2</v>
      </c>
      <c r="T102" s="87" t="str">
        <f t="shared" si="55"/>
        <v>NO ACEPTABLE O ACEPTABLE CON CONTROL ESPECÍFICO</v>
      </c>
      <c r="U102" s="91">
        <v>1</v>
      </c>
      <c r="V102" s="88">
        <v>10</v>
      </c>
      <c r="W102" s="89" t="s">
        <v>434</v>
      </c>
      <c r="X102" s="91" t="s">
        <v>26</v>
      </c>
      <c r="Y102" s="91" t="s">
        <v>26</v>
      </c>
      <c r="Z102" s="91" t="s">
        <v>324</v>
      </c>
      <c r="AA102" s="103" t="s">
        <v>435</v>
      </c>
      <c r="AB102" s="25" t="s">
        <v>26</v>
      </c>
    </row>
    <row r="103" spans="1:28" ht="152.25" customHeight="1" thickBot="1">
      <c r="A103" s="170"/>
      <c r="B103" s="173"/>
      <c r="C103" s="176"/>
      <c r="D103" s="176"/>
      <c r="E103" s="129" t="s">
        <v>24</v>
      </c>
      <c r="F103" s="91" t="s">
        <v>624</v>
      </c>
      <c r="G103" s="89" t="s">
        <v>501</v>
      </c>
      <c r="H103" s="82" t="s">
        <v>502</v>
      </c>
      <c r="I103" s="89" t="s">
        <v>503</v>
      </c>
      <c r="J103" s="89" t="s">
        <v>504</v>
      </c>
      <c r="K103" s="89" t="s">
        <v>505</v>
      </c>
      <c r="L103" s="89" t="s">
        <v>506</v>
      </c>
      <c r="M103" s="89">
        <v>2</v>
      </c>
      <c r="N103" s="89">
        <v>4</v>
      </c>
      <c r="O103" s="89">
        <f t="shared" si="51"/>
        <v>8</v>
      </c>
      <c r="P103" s="83" t="str">
        <f t="shared" si="52"/>
        <v>MEDIO</v>
      </c>
      <c r="Q103" s="89">
        <v>25</v>
      </c>
      <c r="R103" s="89">
        <f t="shared" si="53"/>
        <v>200</v>
      </c>
      <c r="S103" s="83" t="str">
        <f t="shared" si="54"/>
        <v>2</v>
      </c>
      <c r="T103" s="84" t="str">
        <f t="shared" si="55"/>
        <v>NO ACEPTABLE O ACEPTABLE CON CONTROL ESPECÍFICO</v>
      </c>
      <c r="U103" s="89">
        <v>1</v>
      </c>
      <c r="V103" s="89">
        <v>10</v>
      </c>
      <c r="W103" s="12" t="s">
        <v>413</v>
      </c>
      <c r="X103" s="10" t="s">
        <v>26</v>
      </c>
      <c r="Y103" s="10" t="s">
        <v>26</v>
      </c>
      <c r="Z103" s="10" t="s">
        <v>26</v>
      </c>
      <c r="AA103" s="102" t="s">
        <v>507</v>
      </c>
      <c r="AB103" s="24" t="s">
        <v>26</v>
      </c>
    </row>
    <row r="104" spans="1:28" ht="156" customHeight="1" thickBot="1">
      <c r="A104" s="170"/>
      <c r="B104" s="173"/>
      <c r="C104" s="176"/>
      <c r="D104" s="176"/>
      <c r="E104" s="91" t="s">
        <v>109</v>
      </c>
      <c r="F104" s="91" t="s">
        <v>624</v>
      </c>
      <c r="G104" s="91" t="s">
        <v>613</v>
      </c>
      <c r="H104" s="18" t="s">
        <v>239</v>
      </c>
      <c r="I104" s="92" t="s">
        <v>397</v>
      </c>
      <c r="J104" s="92" t="s">
        <v>497</v>
      </c>
      <c r="K104" s="92" t="s">
        <v>25</v>
      </c>
      <c r="L104" s="92" t="s">
        <v>404</v>
      </c>
      <c r="M104" s="155">
        <v>2</v>
      </c>
      <c r="N104" s="155">
        <v>3</v>
      </c>
      <c r="O104" s="91">
        <f t="shared" si="51"/>
        <v>6</v>
      </c>
      <c r="P104" s="86" t="str">
        <f t="shared" si="52"/>
        <v>MEDIO</v>
      </c>
      <c r="Q104" s="91">
        <v>25</v>
      </c>
      <c r="R104" s="91">
        <f t="shared" si="53"/>
        <v>150</v>
      </c>
      <c r="S104" s="86" t="str">
        <f t="shared" si="54"/>
        <v>2</v>
      </c>
      <c r="T104" s="87" t="str">
        <f t="shared" si="55"/>
        <v>NO ACEPTABLE O ACEPTABLE CON CONTROL ESPECÍFICO</v>
      </c>
      <c r="U104" s="91">
        <v>1</v>
      </c>
      <c r="V104" s="88">
        <v>10</v>
      </c>
      <c r="W104" s="156" t="s">
        <v>398</v>
      </c>
      <c r="X104" s="91" t="s">
        <v>26</v>
      </c>
      <c r="Y104" s="91" t="s">
        <v>26</v>
      </c>
      <c r="Z104" s="91" t="s">
        <v>324</v>
      </c>
      <c r="AA104" s="158" t="s">
        <v>405</v>
      </c>
      <c r="AB104" s="25" t="s">
        <v>26</v>
      </c>
    </row>
    <row r="105" spans="1:28" ht="156" customHeight="1" thickBot="1">
      <c r="A105" s="170"/>
      <c r="B105" s="173"/>
      <c r="C105" s="176"/>
      <c r="D105" s="176"/>
      <c r="E105" s="91" t="s">
        <v>109</v>
      </c>
      <c r="F105" s="91" t="s">
        <v>624</v>
      </c>
      <c r="G105" s="91" t="s">
        <v>282</v>
      </c>
      <c r="H105" s="18" t="s">
        <v>239</v>
      </c>
      <c r="I105" s="139" t="s">
        <v>516</v>
      </c>
      <c r="J105" s="89" t="s">
        <v>497</v>
      </c>
      <c r="K105" s="89" t="s">
        <v>25</v>
      </c>
      <c r="L105" s="140" t="s">
        <v>517</v>
      </c>
      <c r="M105" s="17">
        <v>6</v>
      </c>
      <c r="N105" s="17">
        <v>3</v>
      </c>
      <c r="O105" s="91">
        <f t="shared" si="51"/>
        <v>18</v>
      </c>
      <c r="P105" s="86" t="str">
        <f t="shared" si="52"/>
        <v>ALTO</v>
      </c>
      <c r="Q105" s="91">
        <v>25</v>
      </c>
      <c r="R105" s="91">
        <f t="shared" si="53"/>
        <v>450</v>
      </c>
      <c r="S105" s="86" t="str">
        <f t="shared" si="54"/>
        <v>2</v>
      </c>
      <c r="T105" s="87" t="str">
        <f t="shared" si="55"/>
        <v>NO ACEPTABLE O ACEPTABLE CON CONTROL ESPECÍFICO</v>
      </c>
      <c r="U105" s="91">
        <v>1</v>
      </c>
      <c r="V105" s="88">
        <v>10</v>
      </c>
      <c r="W105" s="141" t="s">
        <v>518</v>
      </c>
      <c r="X105" s="91" t="s">
        <v>26</v>
      </c>
      <c r="Y105" s="91" t="s">
        <v>26</v>
      </c>
      <c r="Z105" s="91" t="s">
        <v>324</v>
      </c>
      <c r="AA105" s="142" t="s">
        <v>519</v>
      </c>
      <c r="AB105" s="25" t="s">
        <v>26</v>
      </c>
    </row>
    <row r="106" spans="1:28" ht="156" customHeight="1" thickBot="1">
      <c r="A106" s="170"/>
      <c r="B106" s="173"/>
      <c r="C106" s="176"/>
      <c r="D106" s="176"/>
      <c r="E106" s="91" t="s">
        <v>109</v>
      </c>
      <c r="F106" s="91" t="s">
        <v>624</v>
      </c>
      <c r="G106" s="91" t="s">
        <v>526</v>
      </c>
      <c r="H106" s="18" t="s">
        <v>239</v>
      </c>
      <c r="I106" s="89" t="s">
        <v>421</v>
      </c>
      <c r="J106" s="89" t="s">
        <v>497</v>
      </c>
      <c r="K106" s="89" t="s">
        <v>420</v>
      </c>
      <c r="L106" s="89" t="s">
        <v>404</v>
      </c>
      <c r="M106" s="17">
        <v>2</v>
      </c>
      <c r="N106" s="17">
        <v>3</v>
      </c>
      <c r="O106" s="91">
        <f t="shared" si="51"/>
        <v>6</v>
      </c>
      <c r="P106" s="86" t="str">
        <f t="shared" si="52"/>
        <v>MEDIO</v>
      </c>
      <c r="Q106" s="91">
        <v>25</v>
      </c>
      <c r="R106" s="91">
        <f t="shared" si="53"/>
        <v>150</v>
      </c>
      <c r="S106" s="86" t="str">
        <f t="shared" si="54"/>
        <v>2</v>
      </c>
      <c r="T106" s="87" t="str">
        <f t="shared" si="55"/>
        <v>NO ACEPTABLE O ACEPTABLE CON CONTROL ESPECÍFICO</v>
      </c>
      <c r="U106" s="91">
        <v>1</v>
      </c>
      <c r="V106" s="88">
        <v>10</v>
      </c>
      <c r="W106" s="89" t="s">
        <v>422</v>
      </c>
      <c r="X106" s="91" t="s">
        <v>26</v>
      </c>
      <c r="Y106" s="91" t="s">
        <v>26</v>
      </c>
      <c r="Z106" s="91" t="s">
        <v>324</v>
      </c>
      <c r="AA106" s="103" t="s">
        <v>423</v>
      </c>
      <c r="AB106" s="25" t="s">
        <v>26</v>
      </c>
    </row>
    <row r="107" spans="1:28" ht="156" customHeight="1" thickBot="1">
      <c r="A107" s="170"/>
      <c r="B107" s="173"/>
      <c r="C107" s="176"/>
      <c r="D107" s="176"/>
      <c r="E107" s="91" t="s">
        <v>109</v>
      </c>
      <c r="F107" s="91" t="s">
        <v>624</v>
      </c>
      <c r="G107" s="91" t="s">
        <v>605</v>
      </c>
      <c r="H107" s="18" t="s">
        <v>239</v>
      </c>
      <c r="I107" s="101" t="s">
        <v>464</v>
      </c>
      <c r="J107" s="101" t="s">
        <v>465</v>
      </c>
      <c r="K107" s="101" t="s">
        <v>466</v>
      </c>
      <c r="L107" s="101" t="s">
        <v>467</v>
      </c>
      <c r="M107" s="17">
        <v>2</v>
      </c>
      <c r="N107" s="17">
        <v>3</v>
      </c>
      <c r="O107" s="91">
        <f t="shared" si="51"/>
        <v>6</v>
      </c>
      <c r="P107" s="86" t="str">
        <f t="shared" si="52"/>
        <v>MEDIO</v>
      </c>
      <c r="Q107" s="91">
        <v>25</v>
      </c>
      <c r="R107" s="91">
        <f t="shared" si="53"/>
        <v>150</v>
      </c>
      <c r="S107" s="86" t="str">
        <f t="shared" si="54"/>
        <v>2</v>
      </c>
      <c r="T107" s="87" t="str">
        <f t="shared" si="55"/>
        <v>NO ACEPTABLE O ACEPTABLE CON CONTROL ESPECÍFICO</v>
      </c>
      <c r="U107" s="91">
        <v>1</v>
      </c>
      <c r="V107" s="88">
        <v>10</v>
      </c>
      <c r="W107" s="112" t="s">
        <v>463</v>
      </c>
      <c r="X107" s="91" t="s">
        <v>26</v>
      </c>
      <c r="Y107" s="91" t="s">
        <v>26</v>
      </c>
      <c r="Z107" s="91" t="s">
        <v>324</v>
      </c>
      <c r="AA107" s="114" t="s">
        <v>469</v>
      </c>
      <c r="AB107" s="25" t="s">
        <v>26</v>
      </c>
    </row>
    <row r="108" spans="1:28" ht="156" customHeight="1" thickBot="1">
      <c r="A108" s="170"/>
      <c r="B108" s="173"/>
      <c r="C108" s="176"/>
      <c r="D108" s="176"/>
      <c r="E108" s="91" t="s">
        <v>109</v>
      </c>
      <c r="F108" s="91" t="s">
        <v>624</v>
      </c>
      <c r="G108" s="91" t="s">
        <v>614</v>
      </c>
      <c r="H108" s="18" t="s">
        <v>239</v>
      </c>
      <c r="I108" s="101" t="s">
        <v>477</v>
      </c>
      <c r="J108" s="101" t="s">
        <v>25</v>
      </c>
      <c r="K108" s="101" t="s">
        <v>420</v>
      </c>
      <c r="L108" s="101" t="s">
        <v>25</v>
      </c>
      <c r="M108" s="91">
        <v>2</v>
      </c>
      <c r="N108" s="91">
        <v>3</v>
      </c>
      <c r="O108" s="91">
        <f t="shared" si="51"/>
        <v>6</v>
      </c>
      <c r="P108" s="86" t="str">
        <f t="shared" si="52"/>
        <v>MEDIO</v>
      </c>
      <c r="Q108" s="91">
        <v>25</v>
      </c>
      <c r="R108" s="91">
        <f t="shared" si="53"/>
        <v>150</v>
      </c>
      <c r="S108" s="86" t="str">
        <f t="shared" si="54"/>
        <v>2</v>
      </c>
      <c r="T108" s="87" t="str">
        <f t="shared" si="55"/>
        <v>NO ACEPTABLE O ACEPTABLE CON CONTROL ESPECÍFICO</v>
      </c>
      <c r="U108" s="91">
        <v>1</v>
      </c>
      <c r="V108" s="88">
        <v>10</v>
      </c>
      <c r="W108" s="112" t="s">
        <v>473</v>
      </c>
      <c r="X108" s="91" t="s">
        <v>26</v>
      </c>
      <c r="Y108" s="91" t="s">
        <v>26</v>
      </c>
      <c r="Z108" s="91" t="s">
        <v>324</v>
      </c>
      <c r="AA108" s="159" t="s">
        <v>478</v>
      </c>
      <c r="AB108" s="25" t="s">
        <v>26</v>
      </c>
    </row>
    <row r="109" spans="1:28" ht="156" customHeight="1" thickBot="1">
      <c r="A109" s="170"/>
      <c r="B109" s="173"/>
      <c r="C109" s="176"/>
      <c r="D109" s="176"/>
      <c r="E109" s="91" t="s">
        <v>109</v>
      </c>
      <c r="F109" s="91" t="s">
        <v>624</v>
      </c>
      <c r="G109" s="91" t="s">
        <v>617</v>
      </c>
      <c r="H109" s="18" t="s">
        <v>239</v>
      </c>
      <c r="I109" s="89" t="s">
        <v>455</v>
      </c>
      <c r="J109" s="101" t="s">
        <v>25</v>
      </c>
      <c r="K109" s="101" t="s">
        <v>459</v>
      </c>
      <c r="L109" s="101" t="s">
        <v>460</v>
      </c>
      <c r="M109" s="91">
        <v>2</v>
      </c>
      <c r="N109" s="91">
        <v>3</v>
      </c>
      <c r="O109" s="91">
        <f t="shared" si="51"/>
        <v>6</v>
      </c>
      <c r="P109" s="86" t="str">
        <f t="shared" si="52"/>
        <v>MEDIO</v>
      </c>
      <c r="Q109" s="91">
        <v>25</v>
      </c>
      <c r="R109" s="91">
        <f t="shared" si="53"/>
        <v>150</v>
      </c>
      <c r="S109" s="86" t="str">
        <f t="shared" si="54"/>
        <v>2</v>
      </c>
      <c r="T109" s="87" t="str">
        <f t="shared" si="55"/>
        <v>NO ACEPTABLE O ACEPTABLE CON CONTROL ESPECÍFICO</v>
      </c>
      <c r="U109" s="91">
        <v>1</v>
      </c>
      <c r="V109" s="88">
        <v>10</v>
      </c>
      <c r="W109" s="112" t="s">
        <v>422</v>
      </c>
      <c r="X109" s="91" t="s">
        <v>26</v>
      </c>
      <c r="Y109" s="91" t="s">
        <v>26</v>
      </c>
      <c r="Z109" s="91" t="s">
        <v>324</v>
      </c>
      <c r="AA109" s="114" t="s">
        <v>461</v>
      </c>
      <c r="AB109" s="25" t="s">
        <v>26</v>
      </c>
    </row>
    <row r="110" spans="1:28" ht="156" customHeight="1" thickBot="1">
      <c r="A110" s="170"/>
      <c r="B110" s="173"/>
      <c r="C110" s="176"/>
      <c r="D110" s="176"/>
      <c r="E110" s="91" t="s">
        <v>109</v>
      </c>
      <c r="F110" s="91" t="s">
        <v>624</v>
      </c>
      <c r="G110" s="91" t="s">
        <v>618</v>
      </c>
      <c r="H110" s="18" t="s">
        <v>239</v>
      </c>
      <c r="I110" s="89" t="s">
        <v>451</v>
      </c>
      <c r="J110" s="89" t="s">
        <v>497</v>
      </c>
      <c r="K110" s="89" t="s">
        <v>25</v>
      </c>
      <c r="L110" s="101" t="s">
        <v>456</v>
      </c>
      <c r="M110" s="91">
        <v>2</v>
      </c>
      <c r="N110" s="91">
        <v>3</v>
      </c>
      <c r="O110" s="91">
        <f t="shared" si="51"/>
        <v>6</v>
      </c>
      <c r="P110" s="86" t="str">
        <f t="shared" si="52"/>
        <v>MEDIO</v>
      </c>
      <c r="Q110" s="91">
        <v>25</v>
      </c>
      <c r="R110" s="91">
        <f t="shared" si="53"/>
        <v>150</v>
      </c>
      <c r="S110" s="86" t="str">
        <f t="shared" si="54"/>
        <v>2</v>
      </c>
      <c r="T110" s="87" t="str">
        <f t="shared" si="55"/>
        <v>NO ACEPTABLE O ACEPTABLE CON CONTROL ESPECÍFICO</v>
      </c>
      <c r="U110" s="91">
        <v>1</v>
      </c>
      <c r="V110" s="88">
        <v>10</v>
      </c>
      <c r="W110" s="12" t="s">
        <v>457</v>
      </c>
      <c r="X110" s="91" t="s">
        <v>26</v>
      </c>
      <c r="Y110" s="91" t="s">
        <v>26</v>
      </c>
      <c r="Z110" s="91" t="s">
        <v>324</v>
      </c>
      <c r="AA110" s="102" t="s">
        <v>458</v>
      </c>
      <c r="AB110" s="25" t="s">
        <v>26</v>
      </c>
    </row>
    <row r="111" spans="1:28" ht="156" customHeight="1" thickBot="1">
      <c r="A111" s="170"/>
      <c r="B111" s="173"/>
      <c r="C111" s="176"/>
      <c r="D111" s="176"/>
      <c r="E111" s="91" t="s">
        <v>109</v>
      </c>
      <c r="F111" s="91" t="s">
        <v>624</v>
      </c>
      <c r="G111" s="91" t="s">
        <v>545</v>
      </c>
      <c r="H111" s="18" t="s">
        <v>239</v>
      </c>
      <c r="I111" s="89" t="s">
        <v>448</v>
      </c>
      <c r="J111" s="89" t="s">
        <v>497</v>
      </c>
      <c r="K111" s="89" t="s">
        <v>25</v>
      </c>
      <c r="L111" s="160" t="s">
        <v>439</v>
      </c>
      <c r="M111" s="91">
        <v>2</v>
      </c>
      <c r="N111" s="91">
        <v>3</v>
      </c>
      <c r="O111" s="91">
        <f t="shared" si="51"/>
        <v>6</v>
      </c>
      <c r="P111" s="86" t="str">
        <f t="shared" si="52"/>
        <v>MEDIO</v>
      </c>
      <c r="Q111" s="91">
        <v>25</v>
      </c>
      <c r="R111" s="91">
        <f t="shared" si="53"/>
        <v>150</v>
      </c>
      <c r="S111" s="86" t="str">
        <f t="shared" si="54"/>
        <v>2</v>
      </c>
      <c r="T111" s="87" t="str">
        <f t="shared" si="55"/>
        <v>NO ACEPTABLE O ACEPTABLE CON CONTROL ESPECÍFICO</v>
      </c>
      <c r="U111" s="91">
        <v>1</v>
      </c>
      <c r="V111" s="88">
        <v>10</v>
      </c>
      <c r="W111" s="101" t="s">
        <v>438</v>
      </c>
      <c r="X111" s="91" t="s">
        <v>26</v>
      </c>
      <c r="Y111" s="91" t="s">
        <v>26</v>
      </c>
      <c r="Z111" s="91" t="s">
        <v>324</v>
      </c>
      <c r="AA111" s="114" t="s">
        <v>449</v>
      </c>
      <c r="AB111" s="25" t="s">
        <v>26</v>
      </c>
    </row>
    <row r="112" spans="1:28" ht="156" customHeight="1" thickBot="1">
      <c r="A112" s="170"/>
      <c r="B112" s="173"/>
      <c r="C112" s="179"/>
      <c r="D112" s="179"/>
      <c r="E112" s="91" t="s">
        <v>109</v>
      </c>
      <c r="F112" s="91" t="s">
        <v>624</v>
      </c>
      <c r="G112" s="91" t="s">
        <v>606</v>
      </c>
      <c r="H112" s="18" t="s">
        <v>239</v>
      </c>
      <c r="I112" s="89" t="s">
        <v>492</v>
      </c>
      <c r="J112" s="89" t="s">
        <v>497</v>
      </c>
      <c r="K112" s="89" t="s">
        <v>25</v>
      </c>
      <c r="L112" s="89" t="s">
        <v>396</v>
      </c>
      <c r="M112" s="91">
        <v>2</v>
      </c>
      <c r="N112" s="91">
        <v>3</v>
      </c>
      <c r="O112" s="91">
        <f t="shared" si="51"/>
        <v>6</v>
      </c>
      <c r="P112" s="86" t="str">
        <f t="shared" si="52"/>
        <v>MEDIO</v>
      </c>
      <c r="Q112" s="91">
        <v>25</v>
      </c>
      <c r="R112" s="91">
        <f t="shared" si="53"/>
        <v>150</v>
      </c>
      <c r="S112" s="86" t="str">
        <f t="shared" si="54"/>
        <v>2</v>
      </c>
      <c r="T112" s="87" t="str">
        <f t="shared" si="55"/>
        <v>NO ACEPTABLE O ACEPTABLE CON CONTROL ESPECÍFICO</v>
      </c>
      <c r="U112" s="91">
        <v>1</v>
      </c>
      <c r="V112" s="88">
        <v>10</v>
      </c>
      <c r="W112" s="101" t="s">
        <v>473</v>
      </c>
      <c r="X112" s="91" t="s">
        <v>26</v>
      </c>
      <c r="Y112" s="91" t="s">
        <v>26</v>
      </c>
      <c r="Z112" s="91" t="s">
        <v>324</v>
      </c>
      <c r="AA112" s="102" t="s">
        <v>608</v>
      </c>
      <c r="AB112" s="25" t="s">
        <v>26</v>
      </c>
    </row>
    <row r="113" spans="1:28" ht="123" customHeight="1" thickBot="1">
      <c r="A113" s="170"/>
      <c r="B113" s="173"/>
      <c r="C113" s="185" t="s">
        <v>509</v>
      </c>
      <c r="D113" s="192" t="s">
        <v>362</v>
      </c>
      <c r="E113" s="91" t="s">
        <v>109</v>
      </c>
      <c r="F113" s="91" t="s">
        <v>624</v>
      </c>
      <c r="G113" s="91" t="s">
        <v>363</v>
      </c>
      <c r="H113" s="18" t="s">
        <v>57</v>
      </c>
      <c r="I113" s="91" t="s">
        <v>364</v>
      </c>
      <c r="J113" s="85" t="s">
        <v>25</v>
      </c>
      <c r="K113" s="85" t="s">
        <v>25</v>
      </c>
      <c r="L113" s="91" t="s">
        <v>365</v>
      </c>
      <c r="M113" s="91">
        <v>2</v>
      </c>
      <c r="N113" s="91">
        <v>4</v>
      </c>
      <c r="O113" s="91">
        <f t="shared" ref="O113:O130" si="56">M113*N113</f>
        <v>8</v>
      </c>
      <c r="P113" s="86" t="str">
        <f t="shared" ref="P113:P130" si="57">IF(O113&lt;=4,"BAJO",IF(O113&lt;=8,"MEDIO",IF(O113&lt;=20,"ALTO","MUY ALTO")))</f>
        <v>MEDIO</v>
      </c>
      <c r="Q113" s="91">
        <v>10</v>
      </c>
      <c r="R113" s="91">
        <f t="shared" si="7"/>
        <v>80</v>
      </c>
      <c r="S113" s="86" t="str">
        <f t="shared" si="8"/>
        <v>3</v>
      </c>
      <c r="T113" s="87" t="str">
        <f t="shared" si="9"/>
        <v>MEJORABLE</v>
      </c>
      <c r="U113" s="91">
        <v>1</v>
      </c>
      <c r="V113" s="88">
        <v>10</v>
      </c>
      <c r="W113" s="13" t="s">
        <v>366</v>
      </c>
      <c r="X113" s="91" t="s">
        <v>26</v>
      </c>
      <c r="Y113" s="91" t="s">
        <v>26</v>
      </c>
      <c r="Z113" s="91" t="s">
        <v>324</v>
      </c>
      <c r="AA113" s="104" t="s">
        <v>367</v>
      </c>
      <c r="AB113" s="25" t="s">
        <v>368</v>
      </c>
    </row>
    <row r="114" spans="1:28" ht="101.25" customHeight="1" thickBot="1">
      <c r="A114" s="170"/>
      <c r="B114" s="173"/>
      <c r="C114" s="186"/>
      <c r="D114" s="189"/>
      <c r="E114" s="89" t="s">
        <v>24</v>
      </c>
      <c r="F114" s="91" t="s">
        <v>624</v>
      </c>
      <c r="G114" s="89" t="s">
        <v>359</v>
      </c>
      <c r="H114" s="7" t="s">
        <v>237</v>
      </c>
      <c r="I114" s="89" t="s">
        <v>369</v>
      </c>
      <c r="J114" s="89" t="s">
        <v>25</v>
      </c>
      <c r="K114" s="89" t="s">
        <v>25</v>
      </c>
      <c r="L114" s="17" t="s">
        <v>370</v>
      </c>
      <c r="M114" s="89">
        <v>2</v>
      </c>
      <c r="N114" s="89">
        <v>3</v>
      </c>
      <c r="O114" s="89">
        <f t="shared" si="56"/>
        <v>6</v>
      </c>
      <c r="P114" s="83" t="str">
        <f t="shared" si="57"/>
        <v>MEDIO</v>
      </c>
      <c r="Q114" s="89">
        <v>10</v>
      </c>
      <c r="R114" s="89">
        <f t="shared" ref="R114:R130" si="58">O114*Q114</f>
        <v>60</v>
      </c>
      <c r="S114" s="83" t="str">
        <f t="shared" ref="S114:S130" si="59">IF(R114&lt;=20,"4",IF(R114&lt;=120,"3",IF(R114&lt;=500,"2","1")))</f>
        <v>3</v>
      </c>
      <c r="T114" s="84" t="str">
        <f t="shared" ref="T114:T130" si="60">IF(S114="4","ACEPTABLE",IF(S114="3","MEJORABLE",IF(S114="2","NO ACEPTABLE O ACEPTABLE CON CONTROL ESPECÍFICO","NO ACEPTABLE")))</f>
        <v>MEJORABLE</v>
      </c>
      <c r="U114" s="89">
        <v>1</v>
      </c>
      <c r="V114" s="9">
        <v>10</v>
      </c>
      <c r="W114" s="12" t="s">
        <v>371</v>
      </c>
      <c r="X114" s="89" t="s">
        <v>26</v>
      </c>
      <c r="Y114" s="89" t="s">
        <v>26</v>
      </c>
      <c r="Z114" s="89" t="s">
        <v>26</v>
      </c>
      <c r="AA114" s="102" t="s">
        <v>372</v>
      </c>
      <c r="AB114" s="24" t="s">
        <v>373</v>
      </c>
    </row>
    <row r="115" spans="1:28" ht="131.25" customHeight="1" thickBot="1">
      <c r="A115" s="170"/>
      <c r="B115" s="173"/>
      <c r="C115" s="186"/>
      <c r="D115" s="189"/>
      <c r="E115" s="89" t="s">
        <v>24</v>
      </c>
      <c r="F115" s="91" t="s">
        <v>624</v>
      </c>
      <c r="G115" s="89" t="s">
        <v>320</v>
      </c>
      <c r="H115" s="7" t="s">
        <v>237</v>
      </c>
      <c r="I115" s="89" t="s">
        <v>331</v>
      </c>
      <c r="J115" s="89" t="s">
        <v>25</v>
      </c>
      <c r="K115" s="89" t="s">
        <v>25</v>
      </c>
      <c r="L115" s="89" t="s">
        <v>374</v>
      </c>
      <c r="M115" s="89">
        <v>2</v>
      </c>
      <c r="N115" s="89">
        <v>3</v>
      </c>
      <c r="O115" s="89">
        <f t="shared" ref="O115" si="61">M115*N115</f>
        <v>6</v>
      </c>
      <c r="P115" s="83" t="str">
        <f t="shared" ref="P115" si="62">IF(O115&lt;=4,"BAJO",IF(O115&lt;=8,"MEDIO",IF(O115&lt;=20,"ALTO","MUY ALTO")))</f>
        <v>MEDIO</v>
      </c>
      <c r="Q115" s="89">
        <v>25</v>
      </c>
      <c r="R115" s="89">
        <f t="shared" ref="R115" si="63">O115*Q115</f>
        <v>150</v>
      </c>
      <c r="S115" s="83" t="str">
        <f t="shared" ref="S115" si="64">IF(R115&lt;=20,"4",IF(R115&lt;=120,"3",IF(R115&lt;=500,"2","1")))</f>
        <v>2</v>
      </c>
      <c r="T115" s="84" t="str">
        <f t="shared" ref="T115" si="65">IF(S115="4","ACEPTABLE",IF(S115="3","MEJORABLE",IF(S115="2","NO ACEPTABLE O ACEPTABLE CON CONTROL ESPECÍFICO","NO ACEPTABLE")))</f>
        <v>NO ACEPTABLE O ACEPTABLE CON CONTROL ESPECÍFICO</v>
      </c>
      <c r="U115" s="89">
        <v>1</v>
      </c>
      <c r="V115" s="9">
        <v>10</v>
      </c>
      <c r="W115" s="12" t="s">
        <v>333</v>
      </c>
      <c r="X115" s="89" t="s">
        <v>26</v>
      </c>
      <c r="Y115" s="89" t="s">
        <v>26</v>
      </c>
      <c r="Z115" s="89" t="s">
        <v>26</v>
      </c>
      <c r="AA115" s="102" t="s">
        <v>375</v>
      </c>
      <c r="AB115" s="24" t="s">
        <v>346</v>
      </c>
    </row>
    <row r="116" spans="1:28" ht="131.25" customHeight="1" thickBot="1">
      <c r="A116" s="170"/>
      <c r="B116" s="173"/>
      <c r="C116" s="186"/>
      <c r="D116" s="189"/>
      <c r="E116" s="89" t="s">
        <v>24</v>
      </c>
      <c r="F116" s="91" t="s">
        <v>624</v>
      </c>
      <c r="G116" s="89" t="s">
        <v>378</v>
      </c>
      <c r="H116" s="7" t="s">
        <v>377</v>
      </c>
      <c r="I116" s="89" t="s">
        <v>380</v>
      </c>
      <c r="J116" s="89" t="s">
        <v>25</v>
      </c>
      <c r="K116" s="89" t="s">
        <v>25</v>
      </c>
      <c r="L116" s="89" t="s">
        <v>379</v>
      </c>
      <c r="M116" s="89">
        <v>2</v>
      </c>
      <c r="N116" s="89">
        <v>3</v>
      </c>
      <c r="O116" s="89">
        <f t="shared" si="56"/>
        <v>6</v>
      </c>
      <c r="P116" s="83" t="str">
        <f t="shared" si="57"/>
        <v>MEDIO</v>
      </c>
      <c r="Q116" s="89">
        <v>10</v>
      </c>
      <c r="R116" s="89">
        <f t="shared" si="58"/>
        <v>60</v>
      </c>
      <c r="S116" s="83" t="str">
        <f t="shared" si="59"/>
        <v>3</v>
      </c>
      <c r="T116" s="84" t="str">
        <f t="shared" si="60"/>
        <v>MEJORABLE</v>
      </c>
      <c r="U116" s="89">
        <v>1</v>
      </c>
      <c r="V116" s="9">
        <v>10</v>
      </c>
      <c r="W116" s="12" t="s">
        <v>381</v>
      </c>
      <c r="X116" s="89" t="s">
        <v>26</v>
      </c>
      <c r="Y116" s="89" t="s">
        <v>26</v>
      </c>
      <c r="Z116" s="89" t="s">
        <v>26</v>
      </c>
      <c r="AA116" s="105" t="s">
        <v>382</v>
      </c>
      <c r="AB116" s="24" t="s">
        <v>26</v>
      </c>
    </row>
    <row r="117" spans="1:28" ht="131.25" customHeight="1" thickBot="1">
      <c r="A117" s="170"/>
      <c r="B117" s="173"/>
      <c r="C117" s="186"/>
      <c r="D117" s="189"/>
      <c r="E117" s="89" t="s">
        <v>24</v>
      </c>
      <c r="F117" s="91" t="s">
        <v>624</v>
      </c>
      <c r="G117" s="89" t="s">
        <v>319</v>
      </c>
      <c r="H117" s="7" t="s">
        <v>57</v>
      </c>
      <c r="I117" s="89" t="s">
        <v>328</v>
      </c>
      <c r="J117" s="89" t="s">
        <v>25</v>
      </c>
      <c r="K117" s="89" t="s">
        <v>25</v>
      </c>
      <c r="L117" s="89" t="s">
        <v>329</v>
      </c>
      <c r="M117" s="89">
        <v>2</v>
      </c>
      <c r="N117" s="89">
        <v>3</v>
      </c>
      <c r="O117" s="89">
        <f t="shared" si="56"/>
        <v>6</v>
      </c>
      <c r="P117" s="83" t="str">
        <f t="shared" si="57"/>
        <v>MEDIO</v>
      </c>
      <c r="Q117" s="89">
        <v>10</v>
      </c>
      <c r="R117" s="89">
        <f t="shared" si="58"/>
        <v>60</v>
      </c>
      <c r="S117" s="83" t="str">
        <f t="shared" si="59"/>
        <v>3</v>
      </c>
      <c r="T117" s="84" t="str">
        <f t="shared" si="60"/>
        <v>MEJORABLE</v>
      </c>
      <c r="U117" s="89">
        <v>1</v>
      </c>
      <c r="V117" s="9">
        <v>10</v>
      </c>
      <c r="W117" s="12" t="s">
        <v>118</v>
      </c>
      <c r="X117" s="89" t="s">
        <v>26</v>
      </c>
      <c r="Y117" s="89" t="s">
        <v>26</v>
      </c>
      <c r="Z117" s="89" t="s">
        <v>26</v>
      </c>
      <c r="AA117" s="12" t="s">
        <v>330</v>
      </c>
      <c r="AB117" s="24" t="s">
        <v>26</v>
      </c>
    </row>
    <row r="118" spans="1:28" ht="131.25" customHeight="1" thickBot="1">
      <c r="A118" s="170"/>
      <c r="B118" s="173"/>
      <c r="C118" s="186"/>
      <c r="D118" s="189"/>
      <c r="E118" s="89" t="s">
        <v>24</v>
      </c>
      <c r="F118" s="91" t="s">
        <v>624</v>
      </c>
      <c r="G118" s="89" t="s">
        <v>258</v>
      </c>
      <c r="H118" s="7" t="s">
        <v>67</v>
      </c>
      <c r="I118" s="106" t="s">
        <v>384</v>
      </c>
      <c r="J118" s="89" t="s">
        <v>25</v>
      </c>
      <c r="K118" s="89" t="s">
        <v>25</v>
      </c>
      <c r="L118" s="100" t="s">
        <v>385</v>
      </c>
      <c r="M118" s="89">
        <v>2</v>
      </c>
      <c r="N118" s="89">
        <v>3</v>
      </c>
      <c r="O118" s="89">
        <f t="shared" si="56"/>
        <v>6</v>
      </c>
      <c r="P118" s="83" t="str">
        <f t="shared" si="57"/>
        <v>MEDIO</v>
      </c>
      <c r="Q118" s="89">
        <v>10</v>
      </c>
      <c r="R118" s="89">
        <f t="shared" si="58"/>
        <v>60</v>
      </c>
      <c r="S118" s="83" t="str">
        <f t="shared" si="59"/>
        <v>3</v>
      </c>
      <c r="T118" s="84" t="str">
        <f t="shared" si="60"/>
        <v>MEJORABLE</v>
      </c>
      <c r="U118" s="89">
        <v>1</v>
      </c>
      <c r="V118" s="9">
        <v>10</v>
      </c>
      <c r="W118" s="100" t="s">
        <v>383</v>
      </c>
      <c r="X118" s="89" t="s">
        <v>26</v>
      </c>
      <c r="Y118" s="89" t="s">
        <v>26</v>
      </c>
      <c r="Z118" s="89" t="s">
        <v>26</v>
      </c>
      <c r="AA118" s="102" t="s">
        <v>386</v>
      </c>
      <c r="AB118" s="24" t="s">
        <v>26</v>
      </c>
    </row>
    <row r="119" spans="1:28" ht="131.25" customHeight="1" thickBot="1">
      <c r="A119" s="170"/>
      <c r="B119" s="173"/>
      <c r="C119" s="186"/>
      <c r="D119" s="189"/>
      <c r="E119" s="89" t="s">
        <v>24</v>
      </c>
      <c r="F119" s="91" t="s">
        <v>624</v>
      </c>
      <c r="G119" s="89" t="s">
        <v>387</v>
      </c>
      <c r="H119" s="7" t="s">
        <v>67</v>
      </c>
      <c r="I119" s="89" t="s">
        <v>388</v>
      </c>
      <c r="J119" s="89" t="s">
        <v>25</v>
      </c>
      <c r="K119" s="89" t="s">
        <v>25</v>
      </c>
      <c r="L119" s="89" t="s">
        <v>385</v>
      </c>
      <c r="M119" s="89">
        <v>2</v>
      </c>
      <c r="N119" s="89">
        <v>3</v>
      </c>
      <c r="O119" s="89">
        <f t="shared" si="56"/>
        <v>6</v>
      </c>
      <c r="P119" s="83" t="str">
        <f t="shared" si="57"/>
        <v>MEDIO</v>
      </c>
      <c r="Q119" s="89">
        <v>10</v>
      </c>
      <c r="R119" s="89">
        <f t="shared" si="58"/>
        <v>60</v>
      </c>
      <c r="S119" s="83" t="str">
        <f t="shared" si="59"/>
        <v>3</v>
      </c>
      <c r="T119" s="84" t="str">
        <f t="shared" si="60"/>
        <v>MEJORABLE</v>
      </c>
      <c r="U119" s="89">
        <v>1</v>
      </c>
      <c r="V119" s="9">
        <v>10</v>
      </c>
      <c r="W119" s="12" t="s">
        <v>389</v>
      </c>
      <c r="X119" s="89" t="s">
        <v>26</v>
      </c>
      <c r="Y119" s="89" t="s">
        <v>26</v>
      </c>
      <c r="Z119" s="89" t="s">
        <v>26</v>
      </c>
      <c r="AA119" s="102" t="s">
        <v>390</v>
      </c>
      <c r="AB119" s="24" t="s">
        <v>26</v>
      </c>
    </row>
    <row r="120" spans="1:28" ht="138" customHeight="1" thickBot="1">
      <c r="A120" s="170"/>
      <c r="B120" s="173"/>
      <c r="C120" s="186"/>
      <c r="D120" s="189"/>
      <c r="E120" s="89" t="s">
        <v>24</v>
      </c>
      <c r="F120" s="91" t="s">
        <v>624</v>
      </c>
      <c r="G120" s="89" t="s">
        <v>391</v>
      </c>
      <c r="H120" s="7" t="s">
        <v>67</v>
      </c>
      <c r="I120" s="89" t="s">
        <v>392</v>
      </c>
      <c r="J120" s="89" t="s">
        <v>25</v>
      </c>
      <c r="K120" s="89" t="s">
        <v>25</v>
      </c>
      <c r="L120" s="89" t="s">
        <v>25</v>
      </c>
      <c r="M120" s="89">
        <v>2</v>
      </c>
      <c r="N120" s="89">
        <v>3</v>
      </c>
      <c r="O120" s="89">
        <f t="shared" si="56"/>
        <v>6</v>
      </c>
      <c r="P120" s="83" t="str">
        <f t="shared" si="57"/>
        <v>MEDIO</v>
      </c>
      <c r="Q120" s="89">
        <v>10</v>
      </c>
      <c r="R120" s="89">
        <f t="shared" si="58"/>
        <v>60</v>
      </c>
      <c r="S120" s="83" t="str">
        <f t="shared" si="59"/>
        <v>3</v>
      </c>
      <c r="T120" s="84" t="str">
        <f t="shared" si="60"/>
        <v>MEJORABLE</v>
      </c>
      <c r="U120" s="89">
        <v>1</v>
      </c>
      <c r="V120" s="9">
        <v>10</v>
      </c>
      <c r="W120" s="89" t="s">
        <v>393</v>
      </c>
      <c r="X120" s="89" t="s">
        <v>26</v>
      </c>
      <c r="Y120" s="89" t="s">
        <v>26</v>
      </c>
      <c r="Z120" s="89" t="s">
        <v>26</v>
      </c>
      <c r="AA120" s="103" t="s">
        <v>400</v>
      </c>
      <c r="AB120" s="23" t="s">
        <v>26</v>
      </c>
    </row>
    <row r="121" spans="1:28" ht="129" customHeight="1" thickBot="1">
      <c r="A121" s="170"/>
      <c r="B121" s="173"/>
      <c r="C121" s="186"/>
      <c r="D121" s="189"/>
      <c r="E121" s="89" t="s">
        <v>24</v>
      </c>
      <c r="F121" s="91" t="s">
        <v>624</v>
      </c>
      <c r="G121" s="12" t="s">
        <v>395</v>
      </c>
      <c r="H121" s="7" t="s">
        <v>394</v>
      </c>
      <c r="I121" s="17" t="s">
        <v>399</v>
      </c>
      <c r="J121" s="89" t="s">
        <v>25</v>
      </c>
      <c r="K121" s="89" t="s">
        <v>25</v>
      </c>
      <c r="L121" s="89" t="s">
        <v>396</v>
      </c>
      <c r="M121" s="89">
        <v>6</v>
      </c>
      <c r="N121" s="89">
        <v>2</v>
      </c>
      <c r="O121" s="89">
        <f t="shared" si="56"/>
        <v>12</v>
      </c>
      <c r="P121" s="83" t="str">
        <f t="shared" si="57"/>
        <v>ALTO</v>
      </c>
      <c r="Q121" s="89">
        <v>25</v>
      </c>
      <c r="R121" s="89">
        <f t="shared" si="58"/>
        <v>300</v>
      </c>
      <c r="S121" s="83" t="str">
        <f t="shared" si="59"/>
        <v>2</v>
      </c>
      <c r="T121" s="84" t="str">
        <f t="shared" si="60"/>
        <v>NO ACEPTABLE O ACEPTABLE CON CONTROL ESPECÍFICO</v>
      </c>
      <c r="U121" s="89">
        <v>1</v>
      </c>
      <c r="V121" s="89">
        <v>10</v>
      </c>
      <c r="W121" s="89" t="s">
        <v>398</v>
      </c>
      <c r="X121" s="89" t="s">
        <v>26</v>
      </c>
      <c r="Y121" s="89" t="s">
        <v>26</v>
      </c>
      <c r="Z121" s="89" t="s">
        <v>26</v>
      </c>
      <c r="AA121" s="102" t="s">
        <v>401</v>
      </c>
      <c r="AB121" s="23" t="s">
        <v>402</v>
      </c>
    </row>
    <row r="122" spans="1:28" ht="120.75" customHeight="1" thickBot="1">
      <c r="A122" s="170"/>
      <c r="B122" s="173"/>
      <c r="C122" s="186"/>
      <c r="D122" s="189"/>
      <c r="E122" s="89" t="s">
        <v>24</v>
      </c>
      <c r="F122" s="91" t="s">
        <v>624</v>
      </c>
      <c r="G122" s="89" t="s">
        <v>403</v>
      </c>
      <c r="H122" s="7" t="s">
        <v>394</v>
      </c>
      <c r="I122" s="89" t="s">
        <v>397</v>
      </c>
      <c r="J122" s="89" t="s">
        <v>25</v>
      </c>
      <c r="K122" s="89" t="s">
        <v>25</v>
      </c>
      <c r="L122" s="89" t="s">
        <v>404</v>
      </c>
      <c r="M122" s="89">
        <v>2</v>
      </c>
      <c r="N122" s="89">
        <v>3</v>
      </c>
      <c r="O122" s="89">
        <f t="shared" si="56"/>
        <v>6</v>
      </c>
      <c r="P122" s="83" t="str">
        <f t="shared" si="57"/>
        <v>MEDIO</v>
      </c>
      <c r="Q122" s="89">
        <v>25</v>
      </c>
      <c r="R122" s="89">
        <f t="shared" si="58"/>
        <v>150</v>
      </c>
      <c r="S122" s="83" t="str">
        <f t="shared" si="59"/>
        <v>2</v>
      </c>
      <c r="T122" s="84" t="str">
        <f t="shared" si="60"/>
        <v>NO ACEPTABLE O ACEPTABLE CON CONTROL ESPECÍFICO</v>
      </c>
      <c r="U122" s="89">
        <v>1</v>
      </c>
      <c r="V122" s="9">
        <v>10</v>
      </c>
      <c r="W122" s="12" t="s">
        <v>398</v>
      </c>
      <c r="X122" s="12" t="s">
        <v>26</v>
      </c>
      <c r="Y122" s="12" t="s">
        <v>26</v>
      </c>
      <c r="Z122" s="89" t="s">
        <v>26</v>
      </c>
      <c r="AA122" s="102" t="s">
        <v>405</v>
      </c>
      <c r="AB122" s="24" t="s">
        <v>360</v>
      </c>
    </row>
    <row r="123" spans="1:28" ht="120.75" customHeight="1" thickBot="1">
      <c r="A123" s="170"/>
      <c r="B123" s="173"/>
      <c r="C123" s="186"/>
      <c r="D123" s="189"/>
      <c r="E123" s="89" t="s">
        <v>24</v>
      </c>
      <c r="F123" s="91" t="s">
        <v>624</v>
      </c>
      <c r="G123" s="89" t="s">
        <v>406</v>
      </c>
      <c r="H123" s="7" t="s">
        <v>394</v>
      </c>
      <c r="I123" s="89" t="s">
        <v>399</v>
      </c>
      <c r="J123" s="89" t="s">
        <v>25</v>
      </c>
      <c r="K123" s="89" t="s">
        <v>25</v>
      </c>
      <c r="L123" s="89" t="s">
        <v>407</v>
      </c>
      <c r="M123" s="89">
        <v>2</v>
      </c>
      <c r="N123" s="89">
        <v>3</v>
      </c>
      <c r="O123" s="89">
        <f t="shared" si="56"/>
        <v>6</v>
      </c>
      <c r="P123" s="83" t="str">
        <f t="shared" si="57"/>
        <v>MEDIO</v>
      </c>
      <c r="Q123" s="89">
        <v>25</v>
      </c>
      <c r="R123" s="89">
        <f t="shared" si="58"/>
        <v>150</v>
      </c>
      <c r="S123" s="83" t="str">
        <f t="shared" si="59"/>
        <v>2</v>
      </c>
      <c r="T123" s="84" t="str">
        <f t="shared" si="60"/>
        <v>NO ACEPTABLE O ACEPTABLE CON CONTROL ESPECÍFICO</v>
      </c>
      <c r="U123" s="89">
        <v>1</v>
      </c>
      <c r="V123" s="9">
        <v>10</v>
      </c>
      <c r="W123" s="12" t="s">
        <v>408</v>
      </c>
      <c r="X123" s="12" t="s">
        <v>26</v>
      </c>
      <c r="Y123" s="12" t="s">
        <v>26</v>
      </c>
      <c r="Z123" s="89" t="s">
        <v>26</v>
      </c>
      <c r="AA123" s="102" t="s">
        <v>409</v>
      </c>
      <c r="AB123" s="24" t="s">
        <v>410</v>
      </c>
    </row>
    <row r="124" spans="1:28" ht="170.25" customHeight="1" thickBot="1">
      <c r="A124" s="170"/>
      <c r="B124" s="173"/>
      <c r="C124" s="186"/>
      <c r="D124" s="189"/>
      <c r="E124" s="89" t="s">
        <v>24</v>
      </c>
      <c r="F124" s="91" t="s">
        <v>624</v>
      </c>
      <c r="G124" s="101" t="s">
        <v>446</v>
      </c>
      <c r="H124" s="7" t="s">
        <v>411</v>
      </c>
      <c r="I124" s="89" t="s">
        <v>412</v>
      </c>
      <c r="J124" s="89" t="s">
        <v>25</v>
      </c>
      <c r="K124" s="107" t="s">
        <v>414</v>
      </c>
      <c r="L124" s="107" t="s">
        <v>415</v>
      </c>
      <c r="M124" s="89">
        <v>2</v>
      </c>
      <c r="N124" s="89">
        <v>4</v>
      </c>
      <c r="O124" s="89">
        <f t="shared" si="56"/>
        <v>8</v>
      </c>
      <c r="P124" s="83" t="str">
        <f t="shared" si="57"/>
        <v>MEDIO</v>
      </c>
      <c r="Q124" s="89">
        <v>25</v>
      </c>
      <c r="R124" s="89">
        <f t="shared" si="58"/>
        <v>200</v>
      </c>
      <c r="S124" s="83" t="str">
        <f t="shared" si="59"/>
        <v>2</v>
      </c>
      <c r="T124" s="84" t="str">
        <f t="shared" si="60"/>
        <v>NO ACEPTABLE O ACEPTABLE CON CONTROL ESPECÍFICO</v>
      </c>
      <c r="U124" s="89">
        <v>1</v>
      </c>
      <c r="V124" s="9">
        <v>10</v>
      </c>
      <c r="W124" s="12" t="s">
        <v>413</v>
      </c>
      <c r="X124" s="12" t="s">
        <v>26</v>
      </c>
      <c r="Y124" s="12" t="s">
        <v>26</v>
      </c>
      <c r="Z124" s="89" t="s">
        <v>26</v>
      </c>
      <c r="AA124" s="108" t="s">
        <v>416</v>
      </c>
      <c r="AB124" s="24" t="s">
        <v>417</v>
      </c>
    </row>
    <row r="125" spans="1:28" ht="168" customHeight="1" thickBot="1">
      <c r="A125" s="170"/>
      <c r="B125" s="173"/>
      <c r="C125" s="186"/>
      <c r="D125" s="189"/>
      <c r="E125" s="89" t="s">
        <v>24</v>
      </c>
      <c r="F125" s="91" t="s">
        <v>624</v>
      </c>
      <c r="G125" s="89" t="s">
        <v>419</v>
      </c>
      <c r="H125" s="7" t="s">
        <v>418</v>
      </c>
      <c r="I125" s="89" t="s">
        <v>421</v>
      </c>
      <c r="J125" s="89" t="s">
        <v>25</v>
      </c>
      <c r="K125" s="89" t="s">
        <v>420</v>
      </c>
      <c r="L125" s="89" t="s">
        <v>404</v>
      </c>
      <c r="M125" s="89">
        <v>2</v>
      </c>
      <c r="N125" s="89">
        <v>3</v>
      </c>
      <c r="O125" s="89">
        <f t="shared" si="56"/>
        <v>6</v>
      </c>
      <c r="P125" s="83" t="str">
        <f t="shared" si="57"/>
        <v>MEDIO</v>
      </c>
      <c r="Q125" s="89">
        <v>10</v>
      </c>
      <c r="R125" s="89">
        <f t="shared" si="58"/>
        <v>60</v>
      </c>
      <c r="S125" s="83" t="str">
        <f t="shared" si="59"/>
        <v>3</v>
      </c>
      <c r="T125" s="84" t="str">
        <f t="shared" si="60"/>
        <v>MEJORABLE</v>
      </c>
      <c r="U125" s="89">
        <v>1</v>
      </c>
      <c r="V125" s="9">
        <v>10</v>
      </c>
      <c r="W125" s="89" t="s">
        <v>422</v>
      </c>
      <c r="X125" s="89" t="s">
        <v>26</v>
      </c>
      <c r="Y125" s="89" t="s">
        <v>26</v>
      </c>
      <c r="Z125" s="89" t="s">
        <v>26</v>
      </c>
      <c r="AA125" s="103" t="s">
        <v>423</v>
      </c>
      <c r="AB125" s="23" t="s">
        <v>424</v>
      </c>
    </row>
    <row r="126" spans="1:28" ht="120.75" customHeight="1" thickBot="1">
      <c r="A126" s="170"/>
      <c r="B126" s="173"/>
      <c r="C126" s="186"/>
      <c r="D126" s="189"/>
      <c r="E126" s="12" t="s">
        <v>24</v>
      </c>
      <c r="F126" s="91" t="s">
        <v>624</v>
      </c>
      <c r="G126" s="12" t="s">
        <v>54</v>
      </c>
      <c r="H126" s="82" t="s">
        <v>58</v>
      </c>
      <c r="I126" s="17" t="s">
        <v>78</v>
      </c>
      <c r="J126" s="89" t="s">
        <v>25</v>
      </c>
      <c r="K126" s="89" t="s">
        <v>25</v>
      </c>
      <c r="L126" s="89" t="s">
        <v>108</v>
      </c>
      <c r="M126" s="89">
        <v>2</v>
      </c>
      <c r="N126" s="89">
        <v>1</v>
      </c>
      <c r="O126" s="89">
        <f t="shared" ref="O126:O127" si="66">M126*N126</f>
        <v>2</v>
      </c>
      <c r="P126" s="83" t="str">
        <f t="shared" ref="P126:P127" si="67">IF(O126&lt;=4,"BAJO",IF(O126&lt;=8,"MEDIO",IF(O126&lt;=20,"ALTO","MUY ALTO")))</f>
        <v>BAJO</v>
      </c>
      <c r="Q126" s="89">
        <v>25</v>
      </c>
      <c r="R126" s="89">
        <f t="shared" ref="R126:R127" si="68">O126*Q126</f>
        <v>50</v>
      </c>
      <c r="S126" s="83" t="str">
        <f t="shared" ref="S126:S127" si="69">IF(R126&lt;=20,"4",IF(R126&lt;=120,"3",IF(R126&lt;=500,"2","1")))</f>
        <v>3</v>
      </c>
      <c r="T126" s="84" t="str">
        <f t="shared" ref="T126:T127" si="70">IF(S126="4","ACEPTABLE",IF(S126="3","MEJORABLE",IF(S126="2","NO ACEPTABLE O ACEPTABLE CON CONTROL ESPECÍFICO","NO ACEPTABLE")))</f>
        <v>MEJORABLE</v>
      </c>
      <c r="U126" s="89">
        <v>1</v>
      </c>
      <c r="V126" s="89">
        <v>10</v>
      </c>
      <c r="W126" s="12" t="s">
        <v>55</v>
      </c>
      <c r="X126" s="10" t="s">
        <v>26</v>
      </c>
      <c r="Y126" s="10" t="s">
        <v>26</v>
      </c>
      <c r="Z126" s="10" t="s">
        <v>26</v>
      </c>
      <c r="AA126" s="102" t="s">
        <v>310</v>
      </c>
      <c r="AB126" s="24" t="s">
        <v>26</v>
      </c>
    </row>
    <row r="127" spans="1:28" ht="120.75" customHeight="1" thickBot="1">
      <c r="A127" s="170"/>
      <c r="B127" s="173"/>
      <c r="C127" s="187"/>
      <c r="D127" s="190"/>
      <c r="E127" s="12" t="s">
        <v>24</v>
      </c>
      <c r="F127" s="91" t="s">
        <v>624</v>
      </c>
      <c r="G127" s="89" t="s">
        <v>111</v>
      </c>
      <c r="H127" s="82" t="s">
        <v>58</v>
      </c>
      <c r="I127" s="89" t="s">
        <v>312</v>
      </c>
      <c r="J127" s="89" t="s">
        <v>112</v>
      </c>
      <c r="K127" s="89" t="s">
        <v>25</v>
      </c>
      <c r="L127" s="89" t="s">
        <v>25</v>
      </c>
      <c r="M127" s="89">
        <v>2</v>
      </c>
      <c r="N127" s="89">
        <v>1</v>
      </c>
      <c r="O127" s="89">
        <f t="shared" si="66"/>
        <v>2</v>
      </c>
      <c r="P127" s="83" t="str">
        <f t="shared" si="67"/>
        <v>BAJO</v>
      </c>
      <c r="Q127" s="89">
        <v>10</v>
      </c>
      <c r="R127" s="89">
        <f t="shared" si="68"/>
        <v>20</v>
      </c>
      <c r="S127" s="83" t="str">
        <f t="shared" si="69"/>
        <v>4</v>
      </c>
      <c r="T127" s="84" t="str">
        <f t="shared" si="70"/>
        <v>ACEPTABLE</v>
      </c>
      <c r="U127" s="89">
        <v>1</v>
      </c>
      <c r="V127" s="89">
        <v>10</v>
      </c>
      <c r="W127" s="12" t="s">
        <v>313</v>
      </c>
      <c r="X127" s="10" t="s">
        <v>26</v>
      </c>
      <c r="Y127" s="10" t="s">
        <v>26</v>
      </c>
      <c r="Z127" s="10" t="s">
        <v>26</v>
      </c>
      <c r="AA127" s="102" t="s">
        <v>310</v>
      </c>
      <c r="AB127" s="24" t="s">
        <v>26</v>
      </c>
    </row>
    <row r="128" spans="1:28" ht="120.75" customHeight="1" thickBot="1">
      <c r="A128" s="170"/>
      <c r="B128" s="173"/>
      <c r="C128" s="188" t="s">
        <v>510</v>
      </c>
      <c r="D128" s="188" t="s">
        <v>441</v>
      </c>
      <c r="E128" s="89" t="s">
        <v>24</v>
      </c>
      <c r="F128" s="91" t="s">
        <v>624</v>
      </c>
      <c r="G128" s="89" t="s">
        <v>426</v>
      </c>
      <c r="H128" s="7" t="s">
        <v>425</v>
      </c>
      <c r="I128" s="89" t="s">
        <v>427</v>
      </c>
      <c r="J128" s="89" t="s">
        <v>25</v>
      </c>
      <c r="K128" s="89" t="s">
        <v>25</v>
      </c>
      <c r="L128" s="89" t="s">
        <v>429</v>
      </c>
      <c r="M128" s="89">
        <v>2</v>
      </c>
      <c r="N128" s="89">
        <v>3</v>
      </c>
      <c r="O128" s="89">
        <f t="shared" si="56"/>
        <v>6</v>
      </c>
      <c r="P128" s="83" t="str">
        <f t="shared" si="57"/>
        <v>MEDIO</v>
      </c>
      <c r="Q128" s="89">
        <v>10</v>
      </c>
      <c r="R128" s="89">
        <f t="shared" si="58"/>
        <v>60</v>
      </c>
      <c r="S128" s="83" t="str">
        <f t="shared" si="59"/>
        <v>3</v>
      </c>
      <c r="T128" s="84" t="str">
        <f t="shared" si="60"/>
        <v>MEJORABLE</v>
      </c>
      <c r="U128" s="89">
        <v>1</v>
      </c>
      <c r="V128" s="9">
        <v>10</v>
      </c>
      <c r="W128" s="89" t="s">
        <v>428</v>
      </c>
      <c r="X128" s="89" t="s">
        <v>26</v>
      </c>
      <c r="Y128" s="89" t="s">
        <v>26</v>
      </c>
      <c r="Z128" s="89" t="s">
        <v>26</v>
      </c>
      <c r="AA128" s="103" t="s">
        <v>430</v>
      </c>
      <c r="AB128" s="23" t="s">
        <v>26</v>
      </c>
    </row>
    <row r="129" spans="1:28" ht="120.75" customHeight="1" thickBot="1">
      <c r="A129" s="170"/>
      <c r="B129" s="173"/>
      <c r="C129" s="189"/>
      <c r="D129" s="189"/>
      <c r="E129" s="89" t="s">
        <v>24</v>
      </c>
      <c r="F129" s="91" t="s">
        <v>624</v>
      </c>
      <c r="G129" s="91" t="s">
        <v>363</v>
      </c>
      <c r="H129" s="18" t="s">
        <v>57</v>
      </c>
      <c r="I129" s="91" t="s">
        <v>364</v>
      </c>
      <c r="J129" s="85" t="s">
        <v>25</v>
      </c>
      <c r="K129" s="85" t="s">
        <v>25</v>
      </c>
      <c r="L129" s="91" t="s">
        <v>365</v>
      </c>
      <c r="M129" s="91">
        <v>2</v>
      </c>
      <c r="N129" s="91">
        <v>4</v>
      </c>
      <c r="O129" s="91">
        <f t="shared" ref="O129" si="71">M129*N129</f>
        <v>8</v>
      </c>
      <c r="P129" s="86" t="str">
        <f t="shared" ref="P129" si="72">IF(O129&lt;=4,"BAJO",IF(O129&lt;=8,"MEDIO",IF(O129&lt;=20,"ALTO","MUY ALTO")))</f>
        <v>MEDIO</v>
      </c>
      <c r="Q129" s="91">
        <v>10</v>
      </c>
      <c r="R129" s="91">
        <f>O129*Q129</f>
        <v>80</v>
      </c>
      <c r="S129" s="86" t="str">
        <f>IF(R129&lt;=20,"4",IF(R129&lt;=120,"3",IF(R129&lt;=500,"2","1")))</f>
        <v>3</v>
      </c>
      <c r="T129" s="87" t="str">
        <f>IF(S129="4","ACEPTABLE",IF(S129="3","MEJORABLE",IF(S129="2","NO ACEPTABLE O ACEPTABLE CON CONTROL ESPECÍFICO","NO ACEPTABLE")))</f>
        <v>MEJORABLE</v>
      </c>
      <c r="U129" s="91">
        <v>1</v>
      </c>
      <c r="V129" s="88">
        <v>10</v>
      </c>
      <c r="W129" s="13" t="s">
        <v>366</v>
      </c>
      <c r="X129" s="91" t="s">
        <v>26</v>
      </c>
      <c r="Y129" s="91" t="s">
        <v>26</v>
      </c>
      <c r="Z129" s="91" t="s">
        <v>324</v>
      </c>
      <c r="AA129" s="104" t="s">
        <v>367</v>
      </c>
      <c r="AB129" s="25" t="s">
        <v>368</v>
      </c>
    </row>
    <row r="130" spans="1:28" ht="141" customHeight="1" thickBot="1">
      <c r="A130" s="170"/>
      <c r="B130" s="173"/>
      <c r="C130" s="189"/>
      <c r="D130" s="189"/>
      <c r="E130" s="12" t="s">
        <v>24</v>
      </c>
      <c r="F130" s="91" t="s">
        <v>624</v>
      </c>
      <c r="G130" s="89" t="s">
        <v>432</v>
      </c>
      <c r="H130" s="7" t="s">
        <v>431</v>
      </c>
      <c r="I130" s="89" t="s">
        <v>433</v>
      </c>
      <c r="J130" s="89" t="s">
        <v>25</v>
      </c>
      <c r="K130" s="12" t="s">
        <v>25</v>
      </c>
      <c r="L130" s="89" t="s">
        <v>25</v>
      </c>
      <c r="M130" s="89">
        <v>2</v>
      </c>
      <c r="N130" s="89">
        <v>1</v>
      </c>
      <c r="O130" s="89">
        <f t="shared" si="56"/>
        <v>2</v>
      </c>
      <c r="P130" s="83" t="str">
        <f t="shared" si="57"/>
        <v>BAJO</v>
      </c>
      <c r="Q130" s="89">
        <v>25</v>
      </c>
      <c r="R130" s="89">
        <f t="shared" si="58"/>
        <v>50</v>
      </c>
      <c r="S130" s="83" t="str">
        <f t="shared" si="59"/>
        <v>3</v>
      </c>
      <c r="T130" s="84" t="str">
        <f t="shared" si="60"/>
        <v>MEJORABLE</v>
      </c>
      <c r="U130" s="89">
        <v>1</v>
      </c>
      <c r="V130" s="89">
        <v>10</v>
      </c>
      <c r="W130" s="89" t="s">
        <v>434</v>
      </c>
      <c r="X130" s="89" t="s">
        <v>26</v>
      </c>
      <c r="Y130" s="89" t="s">
        <v>26</v>
      </c>
      <c r="Z130" s="89" t="s">
        <v>26</v>
      </c>
      <c r="AA130" s="89" t="s">
        <v>435</v>
      </c>
      <c r="AB130" s="23" t="s">
        <v>436</v>
      </c>
    </row>
    <row r="131" spans="1:28" ht="141" customHeight="1" thickBot="1">
      <c r="A131" s="170"/>
      <c r="B131" s="173"/>
      <c r="C131" s="189"/>
      <c r="D131" s="189"/>
      <c r="E131" s="12" t="s">
        <v>24</v>
      </c>
      <c r="F131" s="91" t="s">
        <v>624</v>
      </c>
      <c r="G131" s="89" t="s">
        <v>359</v>
      </c>
      <c r="H131" s="7" t="s">
        <v>237</v>
      </c>
      <c r="I131" s="89" t="s">
        <v>369</v>
      </c>
      <c r="J131" s="89" t="s">
        <v>25</v>
      </c>
      <c r="K131" s="89" t="s">
        <v>25</v>
      </c>
      <c r="L131" s="17" t="s">
        <v>370</v>
      </c>
      <c r="M131" s="89">
        <v>2</v>
      </c>
      <c r="N131" s="89">
        <v>3</v>
      </c>
      <c r="O131" s="89">
        <f t="shared" ref="O131:O146" si="73">M131*N131</f>
        <v>6</v>
      </c>
      <c r="P131" s="83" t="str">
        <f t="shared" ref="P131:P149" si="74">IF(O131&lt;=4,"BAJO",IF(O131&lt;=8,"MEDIO",IF(O131&lt;=20,"ALTO","MUY ALTO")))</f>
        <v>MEDIO</v>
      </c>
      <c r="Q131" s="89">
        <v>10</v>
      </c>
      <c r="R131" s="89">
        <f t="shared" ref="R131:R149" si="75">O131*Q131</f>
        <v>60</v>
      </c>
      <c r="S131" s="83" t="str">
        <f t="shared" ref="S131:S149" si="76">IF(R131&lt;=20,"4",IF(R131&lt;=120,"3",IF(R131&lt;=500,"2","1")))</f>
        <v>3</v>
      </c>
      <c r="T131" s="84" t="str">
        <f t="shared" ref="T131:T149" si="77">IF(S131="4","ACEPTABLE",IF(S131="3","MEJORABLE",IF(S131="2","NO ACEPTABLE O ACEPTABLE CON CONTROL ESPECÍFICO","NO ACEPTABLE")))</f>
        <v>MEJORABLE</v>
      </c>
      <c r="U131" s="89">
        <v>1</v>
      </c>
      <c r="V131" s="9">
        <v>10</v>
      </c>
      <c r="W131" s="12" t="s">
        <v>371</v>
      </c>
      <c r="X131" s="89" t="s">
        <v>26</v>
      </c>
      <c r="Y131" s="89" t="s">
        <v>26</v>
      </c>
      <c r="Z131" s="89" t="s">
        <v>26</v>
      </c>
      <c r="AA131" s="102" t="s">
        <v>372</v>
      </c>
      <c r="AB131" s="24" t="s">
        <v>373</v>
      </c>
    </row>
    <row r="132" spans="1:28" ht="141" customHeight="1" thickBot="1">
      <c r="A132" s="170"/>
      <c r="B132" s="173"/>
      <c r="C132" s="189"/>
      <c r="D132" s="189"/>
      <c r="E132" s="12" t="s">
        <v>24</v>
      </c>
      <c r="F132" s="91" t="s">
        <v>624</v>
      </c>
      <c r="G132" s="89" t="s">
        <v>320</v>
      </c>
      <c r="H132" s="7" t="s">
        <v>237</v>
      </c>
      <c r="I132" s="89" t="s">
        <v>331</v>
      </c>
      <c r="J132" s="89" t="s">
        <v>25</v>
      </c>
      <c r="K132" s="89" t="s">
        <v>25</v>
      </c>
      <c r="L132" s="89" t="s">
        <v>374</v>
      </c>
      <c r="M132" s="89">
        <v>2</v>
      </c>
      <c r="N132" s="89">
        <v>3</v>
      </c>
      <c r="O132" s="89">
        <f t="shared" si="73"/>
        <v>6</v>
      </c>
      <c r="P132" s="83" t="str">
        <f t="shared" si="74"/>
        <v>MEDIO</v>
      </c>
      <c r="Q132" s="89">
        <v>25</v>
      </c>
      <c r="R132" s="89">
        <f t="shared" si="75"/>
        <v>150</v>
      </c>
      <c r="S132" s="83" t="str">
        <f t="shared" si="76"/>
        <v>2</v>
      </c>
      <c r="T132" s="84" t="str">
        <f t="shared" si="77"/>
        <v>NO ACEPTABLE O ACEPTABLE CON CONTROL ESPECÍFICO</v>
      </c>
      <c r="U132" s="89">
        <v>1</v>
      </c>
      <c r="V132" s="9">
        <v>10</v>
      </c>
      <c r="W132" s="12" t="s">
        <v>333</v>
      </c>
      <c r="X132" s="89" t="s">
        <v>26</v>
      </c>
      <c r="Y132" s="89" t="s">
        <v>26</v>
      </c>
      <c r="Z132" s="89" t="s">
        <v>26</v>
      </c>
      <c r="AA132" s="102" t="s">
        <v>375</v>
      </c>
      <c r="AB132" s="24" t="s">
        <v>346</v>
      </c>
    </row>
    <row r="133" spans="1:28" ht="141" customHeight="1" thickBot="1">
      <c r="A133" s="170"/>
      <c r="B133" s="173"/>
      <c r="C133" s="189"/>
      <c r="D133" s="189"/>
      <c r="E133" s="12" t="s">
        <v>24</v>
      </c>
      <c r="F133" s="91" t="s">
        <v>624</v>
      </c>
      <c r="G133" s="89" t="s">
        <v>378</v>
      </c>
      <c r="H133" s="7" t="s">
        <v>377</v>
      </c>
      <c r="I133" s="89" t="s">
        <v>380</v>
      </c>
      <c r="J133" s="89" t="s">
        <v>25</v>
      </c>
      <c r="K133" s="89" t="s">
        <v>25</v>
      </c>
      <c r="L133" s="89" t="s">
        <v>379</v>
      </c>
      <c r="M133" s="89">
        <v>2</v>
      </c>
      <c r="N133" s="89">
        <v>3</v>
      </c>
      <c r="O133" s="89">
        <f t="shared" si="73"/>
        <v>6</v>
      </c>
      <c r="P133" s="83" t="str">
        <f t="shared" si="74"/>
        <v>MEDIO</v>
      </c>
      <c r="Q133" s="89">
        <v>10</v>
      </c>
      <c r="R133" s="89">
        <f t="shared" si="75"/>
        <v>60</v>
      </c>
      <c r="S133" s="83" t="str">
        <f t="shared" si="76"/>
        <v>3</v>
      </c>
      <c r="T133" s="84" t="str">
        <f t="shared" si="77"/>
        <v>MEJORABLE</v>
      </c>
      <c r="U133" s="89">
        <v>1</v>
      </c>
      <c r="V133" s="9">
        <v>10</v>
      </c>
      <c r="W133" s="12" t="s">
        <v>381</v>
      </c>
      <c r="X133" s="89" t="s">
        <v>26</v>
      </c>
      <c r="Y133" s="89" t="s">
        <v>26</v>
      </c>
      <c r="Z133" s="89" t="s">
        <v>26</v>
      </c>
      <c r="AA133" s="105" t="s">
        <v>382</v>
      </c>
      <c r="AB133" s="24" t="s">
        <v>26</v>
      </c>
    </row>
    <row r="134" spans="1:28" ht="141" customHeight="1" thickBot="1">
      <c r="A134" s="170"/>
      <c r="B134" s="173"/>
      <c r="C134" s="189"/>
      <c r="D134" s="189"/>
      <c r="E134" s="12" t="s">
        <v>24</v>
      </c>
      <c r="F134" s="91" t="s">
        <v>624</v>
      </c>
      <c r="G134" s="89" t="s">
        <v>258</v>
      </c>
      <c r="H134" s="7" t="s">
        <v>67</v>
      </c>
      <c r="I134" s="106" t="s">
        <v>384</v>
      </c>
      <c r="J134" s="89" t="s">
        <v>25</v>
      </c>
      <c r="K134" s="89" t="s">
        <v>25</v>
      </c>
      <c r="L134" s="100" t="s">
        <v>385</v>
      </c>
      <c r="M134" s="89">
        <v>2</v>
      </c>
      <c r="N134" s="89">
        <v>3</v>
      </c>
      <c r="O134" s="89">
        <f t="shared" si="73"/>
        <v>6</v>
      </c>
      <c r="P134" s="83" t="str">
        <f t="shared" si="74"/>
        <v>MEDIO</v>
      </c>
      <c r="Q134" s="89">
        <v>10</v>
      </c>
      <c r="R134" s="89">
        <f t="shared" si="75"/>
        <v>60</v>
      </c>
      <c r="S134" s="83" t="str">
        <f t="shared" si="76"/>
        <v>3</v>
      </c>
      <c r="T134" s="84" t="str">
        <f t="shared" si="77"/>
        <v>MEJORABLE</v>
      </c>
      <c r="U134" s="89">
        <v>1</v>
      </c>
      <c r="V134" s="9">
        <v>10</v>
      </c>
      <c r="W134" s="100" t="s">
        <v>383</v>
      </c>
      <c r="X134" s="89" t="s">
        <v>26</v>
      </c>
      <c r="Y134" s="89" t="s">
        <v>26</v>
      </c>
      <c r="Z134" s="89" t="s">
        <v>26</v>
      </c>
      <c r="AA134" s="102" t="s">
        <v>386</v>
      </c>
      <c r="AB134" s="24" t="s">
        <v>26</v>
      </c>
    </row>
    <row r="135" spans="1:28" ht="141" customHeight="1" thickBot="1">
      <c r="A135" s="170"/>
      <c r="B135" s="173"/>
      <c r="C135" s="189"/>
      <c r="D135" s="189"/>
      <c r="E135" s="12" t="s">
        <v>24</v>
      </c>
      <c r="F135" s="91" t="s">
        <v>624</v>
      </c>
      <c r="G135" s="89" t="s">
        <v>387</v>
      </c>
      <c r="H135" s="7" t="s">
        <v>67</v>
      </c>
      <c r="I135" s="89" t="s">
        <v>388</v>
      </c>
      <c r="J135" s="89" t="s">
        <v>25</v>
      </c>
      <c r="K135" s="89" t="s">
        <v>25</v>
      </c>
      <c r="L135" s="89" t="s">
        <v>385</v>
      </c>
      <c r="M135" s="89">
        <v>2</v>
      </c>
      <c r="N135" s="89">
        <v>3</v>
      </c>
      <c r="O135" s="89">
        <f t="shared" si="73"/>
        <v>6</v>
      </c>
      <c r="P135" s="83" t="str">
        <f t="shared" si="74"/>
        <v>MEDIO</v>
      </c>
      <c r="Q135" s="89">
        <v>10</v>
      </c>
      <c r="R135" s="89">
        <f t="shared" si="75"/>
        <v>60</v>
      </c>
      <c r="S135" s="83" t="str">
        <f t="shared" si="76"/>
        <v>3</v>
      </c>
      <c r="T135" s="84" t="str">
        <f t="shared" si="77"/>
        <v>MEJORABLE</v>
      </c>
      <c r="U135" s="89">
        <v>1</v>
      </c>
      <c r="V135" s="9">
        <v>10</v>
      </c>
      <c r="W135" s="12" t="s">
        <v>389</v>
      </c>
      <c r="X135" s="89" t="s">
        <v>26</v>
      </c>
      <c r="Y135" s="89" t="s">
        <v>26</v>
      </c>
      <c r="Z135" s="89" t="s">
        <v>26</v>
      </c>
      <c r="AA135" s="102" t="s">
        <v>390</v>
      </c>
      <c r="AB135" s="24" t="s">
        <v>26</v>
      </c>
    </row>
    <row r="136" spans="1:28" ht="141" customHeight="1" thickBot="1">
      <c r="A136" s="170"/>
      <c r="B136" s="173"/>
      <c r="C136" s="189"/>
      <c r="D136" s="189"/>
      <c r="E136" s="12" t="s">
        <v>24</v>
      </c>
      <c r="F136" s="91" t="s">
        <v>624</v>
      </c>
      <c r="G136" s="89" t="s">
        <v>391</v>
      </c>
      <c r="H136" s="7" t="s">
        <v>67</v>
      </c>
      <c r="I136" s="89" t="s">
        <v>392</v>
      </c>
      <c r="J136" s="89" t="s">
        <v>25</v>
      </c>
      <c r="K136" s="89" t="s">
        <v>25</v>
      </c>
      <c r="L136" s="89" t="s">
        <v>25</v>
      </c>
      <c r="M136" s="89">
        <v>2</v>
      </c>
      <c r="N136" s="89">
        <v>3</v>
      </c>
      <c r="O136" s="89">
        <f t="shared" si="73"/>
        <v>6</v>
      </c>
      <c r="P136" s="83" t="str">
        <f t="shared" si="74"/>
        <v>MEDIO</v>
      </c>
      <c r="Q136" s="89">
        <v>10</v>
      </c>
      <c r="R136" s="89">
        <f t="shared" si="75"/>
        <v>60</v>
      </c>
      <c r="S136" s="83" t="str">
        <f t="shared" si="76"/>
        <v>3</v>
      </c>
      <c r="T136" s="84" t="str">
        <f t="shared" si="77"/>
        <v>MEJORABLE</v>
      </c>
      <c r="U136" s="89">
        <v>1</v>
      </c>
      <c r="V136" s="9">
        <v>10</v>
      </c>
      <c r="W136" s="89" t="s">
        <v>393</v>
      </c>
      <c r="X136" s="89" t="s">
        <v>26</v>
      </c>
      <c r="Y136" s="89" t="s">
        <v>26</v>
      </c>
      <c r="Z136" s="89" t="s">
        <v>26</v>
      </c>
      <c r="AA136" s="103" t="s">
        <v>400</v>
      </c>
      <c r="AB136" s="23" t="s">
        <v>26</v>
      </c>
    </row>
    <row r="137" spans="1:28" ht="141" customHeight="1" thickBot="1">
      <c r="A137" s="170"/>
      <c r="B137" s="173"/>
      <c r="C137" s="189"/>
      <c r="D137" s="189"/>
      <c r="E137" s="89" t="s">
        <v>24</v>
      </c>
      <c r="F137" s="91" t="s">
        <v>624</v>
      </c>
      <c r="G137" s="89" t="s">
        <v>403</v>
      </c>
      <c r="H137" s="7" t="s">
        <v>394</v>
      </c>
      <c r="I137" s="89" t="s">
        <v>397</v>
      </c>
      <c r="J137" s="89" t="s">
        <v>25</v>
      </c>
      <c r="K137" s="89" t="s">
        <v>25</v>
      </c>
      <c r="L137" s="89" t="s">
        <v>404</v>
      </c>
      <c r="M137" s="89">
        <v>2</v>
      </c>
      <c r="N137" s="89">
        <v>3</v>
      </c>
      <c r="O137" s="89">
        <f t="shared" si="73"/>
        <v>6</v>
      </c>
      <c r="P137" s="83" t="str">
        <f t="shared" si="74"/>
        <v>MEDIO</v>
      </c>
      <c r="Q137" s="89">
        <v>25</v>
      </c>
      <c r="R137" s="89">
        <f t="shared" si="75"/>
        <v>150</v>
      </c>
      <c r="S137" s="83" t="str">
        <f t="shared" si="76"/>
        <v>2</v>
      </c>
      <c r="T137" s="84" t="str">
        <f t="shared" si="77"/>
        <v>NO ACEPTABLE O ACEPTABLE CON CONTROL ESPECÍFICO</v>
      </c>
      <c r="U137" s="89">
        <v>1</v>
      </c>
      <c r="V137" s="9">
        <v>10</v>
      </c>
      <c r="W137" s="12" t="s">
        <v>398</v>
      </c>
      <c r="X137" s="12" t="s">
        <v>26</v>
      </c>
      <c r="Y137" s="12" t="s">
        <v>26</v>
      </c>
      <c r="Z137" s="89" t="s">
        <v>26</v>
      </c>
      <c r="AA137" s="102" t="s">
        <v>405</v>
      </c>
      <c r="AB137" s="24" t="s">
        <v>360</v>
      </c>
    </row>
    <row r="138" spans="1:28" ht="141" customHeight="1" thickBot="1">
      <c r="A138" s="170"/>
      <c r="B138" s="173"/>
      <c r="C138" s="189"/>
      <c r="D138" s="189"/>
      <c r="E138" s="89" t="s">
        <v>24</v>
      </c>
      <c r="F138" s="91" t="s">
        <v>624</v>
      </c>
      <c r="G138" s="89" t="s">
        <v>406</v>
      </c>
      <c r="H138" s="7" t="s">
        <v>394</v>
      </c>
      <c r="I138" s="89" t="s">
        <v>399</v>
      </c>
      <c r="J138" s="89" t="s">
        <v>25</v>
      </c>
      <c r="K138" s="89" t="s">
        <v>25</v>
      </c>
      <c r="L138" s="89" t="s">
        <v>407</v>
      </c>
      <c r="M138" s="89">
        <v>2</v>
      </c>
      <c r="N138" s="89">
        <v>3</v>
      </c>
      <c r="O138" s="89">
        <f t="shared" si="73"/>
        <v>6</v>
      </c>
      <c r="P138" s="83" t="str">
        <f t="shared" si="74"/>
        <v>MEDIO</v>
      </c>
      <c r="Q138" s="89">
        <v>25</v>
      </c>
      <c r="R138" s="89">
        <f t="shared" si="75"/>
        <v>150</v>
      </c>
      <c r="S138" s="83" t="str">
        <f t="shared" si="76"/>
        <v>2</v>
      </c>
      <c r="T138" s="84" t="str">
        <f t="shared" si="77"/>
        <v>NO ACEPTABLE O ACEPTABLE CON CONTROL ESPECÍFICO</v>
      </c>
      <c r="U138" s="89">
        <v>1</v>
      </c>
      <c r="V138" s="9">
        <v>10</v>
      </c>
      <c r="W138" s="12" t="s">
        <v>408</v>
      </c>
      <c r="X138" s="12" t="s">
        <v>26</v>
      </c>
      <c r="Y138" s="12" t="s">
        <v>26</v>
      </c>
      <c r="Z138" s="89" t="s">
        <v>26</v>
      </c>
      <c r="AA138" s="102" t="s">
        <v>409</v>
      </c>
      <c r="AB138" s="24" t="s">
        <v>410</v>
      </c>
    </row>
    <row r="139" spans="1:28" ht="152.25" customHeight="1" thickBot="1">
      <c r="A139" s="170"/>
      <c r="B139" s="173"/>
      <c r="C139" s="189"/>
      <c r="D139" s="189"/>
      <c r="E139" s="129" t="s">
        <v>24</v>
      </c>
      <c r="F139" s="91" t="s">
        <v>624</v>
      </c>
      <c r="G139" s="89" t="s">
        <v>501</v>
      </c>
      <c r="H139" s="82" t="s">
        <v>502</v>
      </c>
      <c r="I139" s="89" t="s">
        <v>503</v>
      </c>
      <c r="J139" s="89" t="s">
        <v>504</v>
      </c>
      <c r="K139" s="89" t="s">
        <v>505</v>
      </c>
      <c r="L139" s="89" t="s">
        <v>506</v>
      </c>
      <c r="M139" s="89">
        <v>2</v>
      </c>
      <c r="N139" s="89">
        <v>4</v>
      </c>
      <c r="O139" s="89">
        <f t="shared" si="73"/>
        <v>8</v>
      </c>
      <c r="P139" s="83" t="str">
        <f t="shared" si="74"/>
        <v>MEDIO</v>
      </c>
      <c r="Q139" s="89">
        <v>25</v>
      </c>
      <c r="R139" s="89">
        <f t="shared" si="75"/>
        <v>200</v>
      </c>
      <c r="S139" s="83" t="str">
        <f t="shared" si="76"/>
        <v>2</v>
      </c>
      <c r="T139" s="84" t="str">
        <f t="shared" si="77"/>
        <v>NO ACEPTABLE O ACEPTABLE CON CONTROL ESPECÍFICO</v>
      </c>
      <c r="U139" s="89">
        <v>1</v>
      </c>
      <c r="V139" s="89">
        <v>10</v>
      </c>
      <c r="W139" s="12" t="s">
        <v>413</v>
      </c>
      <c r="X139" s="10" t="s">
        <v>26</v>
      </c>
      <c r="Y139" s="10" t="s">
        <v>26</v>
      </c>
      <c r="Z139" s="10" t="s">
        <v>26</v>
      </c>
      <c r="AA139" s="102" t="s">
        <v>507</v>
      </c>
      <c r="AB139" s="24" t="s">
        <v>26</v>
      </c>
    </row>
    <row r="140" spans="1:28" ht="173.25" customHeight="1" thickBot="1">
      <c r="A140" s="170"/>
      <c r="B140" s="173"/>
      <c r="C140" s="189"/>
      <c r="D140" s="189"/>
      <c r="E140" s="101" t="s">
        <v>24</v>
      </c>
      <c r="F140" s="91" t="s">
        <v>624</v>
      </c>
      <c r="G140" s="89" t="s">
        <v>419</v>
      </c>
      <c r="H140" s="7" t="s">
        <v>418</v>
      </c>
      <c r="I140" s="89" t="s">
        <v>421</v>
      </c>
      <c r="J140" s="89" t="s">
        <v>25</v>
      </c>
      <c r="K140" s="89" t="s">
        <v>420</v>
      </c>
      <c r="L140" s="89" t="s">
        <v>404</v>
      </c>
      <c r="M140" s="89">
        <v>2</v>
      </c>
      <c r="N140" s="89">
        <v>3</v>
      </c>
      <c r="O140" s="89">
        <f t="shared" si="73"/>
        <v>6</v>
      </c>
      <c r="P140" s="83" t="str">
        <f t="shared" si="74"/>
        <v>MEDIO</v>
      </c>
      <c r="Q140" s="89">
        <v>10</v>
      </c>
      <c r="R140" s="89">
        <f t="shared" si="75"/>
        <v>60</v>
      </c>
      <c r="S140" s="83" t="str">
        <f t="shared" si="76"/>
        <v>3</v>
      </c>
      <c r="T140" s="84" t="str">
        <f t="shared" si="77"/>
        <v>MEJORABLE</v>
      </c>
      <c r="U140" s="89">
        <v>1</v>
      </c>
      <c r="V140" s="9">
        <v>10</v>
      </c>
      <c r="W140" s="89" t="s">
        <v>422</v>
      </c>
      <c r="X140" s="89" t="s">
        <v>26</v>
      </c>
      <c r="Y140" s="89" t="s">
        <v>26</v>
      </c>
      <c r="Z140" s="89" t="s">
        <v>26</v>
      </c>
      <c r="AA140" s="103" t="s">
        <v>423</v>
      </c>
      <c r="AB140" s="23" t="s">
        <v>424</v>
      </c>
    </row>
    <row r="141" spans="1:28" ht="136.5" customHeight="1" thickBot="1">
      <c r="A141" s="170"/>
      <c r="B141" s="173"/>
      <c r="C141" s="189"/>
      <c r="D141" s="189"/>
      <c r="E141" s="101" t="s">
        <v>24</v>
      </c>
      <c r="F141" s="91" t="s">
        <v>624</v>
      </c>
      <c r="G141" s="12" t="s">
        <v>54</v>
      </c>
      <c r="H141" s="82" t="s">
        <v>58</v>
      </c>
      <c r="I141" s="17" t="s">
        <v>78</v>
      </c>
      <c r="J141" s="89" t="s">
        <v>25</v>
      </c>
      <c r="K141" s="89" t="s">
        <v>25</v>
      </c>
      <c r="L141" s="89" t="s">
        <v>108</v>
      </c>
      <c r="M141" s="89">
        <v>2</v>
      </c>
      <c r="N141" s="89">
        <v>1</v>
      </c>
      <c r="O141" s="89">
        <f t="shared" si="73"/>
        <v>2</v>
      </c>
      <c r="P141" s="83" t="str">
        <f t="shared" si="74"/>
        <v>BAJO</v>
      </c>
      <c r="Q141" s="89">
        <v>25</v>
      </c>
      <c r="R141" s="89">
        <f t="shared" si="75"/>
        <v>50</v>
      </c>
      <c r="S141" s="83" t="str">
        <f t="shared" si="76"/>
        <v>3</v>
      </c>
      <c r="T141" s="84" t="str">
        <f t="shared" si="77"/>
        <v>MEJORABLE</v>
      </c>
      <c r="U141" s="89">
        <v>1</v>
      </c>
      <c r="V141" s="89">
        <v>10</v>
      </c>
      <c r="W141" s="12" t="s">
        <v>55</v>
      </c>
      <c r="X141" s="10" t="s">
        <v>26</v>
      </c>
      <c r="Y141" s="10" t="s">
        <v>26</v>
      </c>
      <c r="Z141" s="10" t="s">
        <v>26</v>
      </c>
      <c r="AA141" s="102" t="s">
        <v>310</v>
      </c>
      <c r="AB141" s="24" t="s">
        <v>26</v>
      </c>
    </row>
    <row r="142" spans="1:28" ht="145.5" customHeight="1" thickBot="1">
      <c r="A142" s="170"/>
      <c r="B142" s="173"/>
      <c r="C142" s="190"/>
      <c r="D142" s="190"/>
      <c r="E142" s="101" t="s">
        <v>24</v>
      </c>
      <c r="F142" s="91" t="s">
        <v>624</v>
      </c>
      <c r="G142" s="89" t="s">
        <v>111</v>
      </c>
      <c r="H142" s="82" t="s">
        <v>58</v>
      </c>
      <c r="I142" s="89" t="s">
        <v>312</v>
      </c>
      <c r="J142" s="89" t="s">
        <v>112</v>
      </c>
      <c r="K142" s="89" t="s">
        <v>25</v>
      </c>
      <c r="L142" s="89" t="s">
        <v>25</v>
      </c>
      <c r="M142" s="89">
        <v>2</v>
      </c>
      <c r="N142" s="89">
        <v>1</v>
      </c>
      <c r="O142" s="89">
        <f t="shared" si="73"/>
        <v>2</v>
      </c>
      <c r="P142" s="83" t="str">
        <f t="shared" si="74"/>
        <v>BAJO</v>
      </c>
      <c r="Q142" s="89">
        <v>10</v>
      </c>
      <c r="R142" s="89">
        <f t="shared" si="75"/>
        <v>20</v>
      </c>
      <c r="S142" s="83" t="str">
        <f t="shared" si="76"/>
        <v>4</v>
      </c>
      <c r="T142" s="84" t="str">
        <f t="shared" si="77"/>
        <v>ACEPTABLE</v>
      </c>
      <c r="U142" s="89">
        <v>1</v>
      </c>
      <c r="V142" s="89">
        <v>10</v>
      </c>
      <c r="W142" s="12" t="s">
        <v>313</v>
      </c>
      <c r="X142" s="10" t="s">
        <v>26</v>
      </c>
      <c r="Y142" s="10" t="s">
        <v>26</v>
      </c>
      <c r="Z142" s="10" t="s">
        <v>26</v>
      </c>
      <c r="AA142" s="102" t="s">
        <v>310</v>
      </c>
      <c r="AB142" s="24" t="s">
        <v>26</v>
      </c>
    </row>
    <row r="143" spans="1:28" ht="145.5" customHeight="1" thickBot="1">
      <c r="A143" s="170"/>
      <c r="B143" s="173"/>
      <c r="C143" s="188" t="s">
        <v>511</v>
      </c>
      <c r="D143" s="188" t="s">
        <v>440</v>
      </c>
      <c r="E143" s="101" t="s">
        <v>24</v>
      </c>
      <c r="F143" s="91" t="s">
        <v>624</v>
      </c>
      <c r="G143" s="101" t="s">
        <v>437</v>
      </c>
      <c r="H143" s="109" t="s">
        <v>376</v>
      </c>
      <c r="I143" s="117" t="s">
        <v>448</v>
      </c>
      <c r="J143" s="110" t="s">
        <v>25</v>
      </c>
      <c r="K143" s="110" t="s">
        <v>25</v>
      </c>
      <c r="L143" s="111" t="s">
        <v>439</v>
      </c>
      <c r="M143" s="89">
        <v>6</v>
      </c>
      <c r="N143" s="89">
        <v>3</v>
      </c>
      <c r="O143" s="89">
        <f t="shared" si="73"/>
        <v>18</v>
      </c>
      <c r="P143" s="83" t="str">
        <f t="shared" si="74"/>
        <v>ALTO</v>
      </c>
      <c r="Q143" s="89">
        <v>10</v>
      </c>
      <c r="R143" s="89">
        <f t="shared" si="75"/>
        <v>180</v>
      </c>
      <c r="S143" s="83" t="str">
        <f t="shared" si="76"/>
        <v>2</v>
      </c>
      <c r="T143" s="84" t="str">
        <f t="shared" si="77"/>
        <v>NO ACEPTABLE O ACEPTABLE CON CONTROL ESPECÍFICO</v>
      </c>
      <c r="U143" s="89">
        <v>1</v>
      </c>
      <c r="V143" s="89">
        <v>10</v>
      </c>
      <c r="W143" s="101" t="s">
        <v>438</v>
      </c>
      <c r="X143" s="113" t="s">
        <v>26</v>
      </c>
      <c r="Y143" s="113" t="s">
        <v>26</v>
      </c>
      <c r="Z143" s="113" t="s">
        <v>26</v>
      </c>
      <c r="AA143" s="114" t="s">
        <v>449</v>
      </c>
      <c r="AB143" s="115" t="s">
        <v>450</v>
      </c>
    </row>
    <row r="144" spans="1:28" ht="145.5" customHeight="1" thickBot="1">
      <c r="A144" s="170"/>
      <c r="B144" s="173"/>
      <c r="C144" s="189"/>
      <c r="D144" s="189"/>
      <c r="E144" s="101" t="s">
        <v>24</v>
      </c>
      <c r="F144" s="91" t="s">
        <v>624</v>
      </c>
      <c r="G144" s="101" t="s">
        <v>442</v>
      </c>
      <c r="H144" s="109" t="s">
        <v>376</v>
      </c>
      <c r="I144" s="101" t="s">
        <v>451</v>
      </c>
      <c r="J144" s="101" t="s">
        <v>25</v>
      </c>
      <c r="K144" s="101" t="s">
        <v>25</v>
      </c>
      <c r="L144" s="101" t="s">
        <v>452</v>
      </c>
      <c r="M144" s="89">
        <v>6</v>
      </c>
      <c r="N144" s="89">
        <v>3</v>
      </c>
      <c r="O144" s="89">
        <f t="shared" si="73"/>
        <v>18</v>
      </c>
      <c r="P144" s="83" t="str">
        <f t="shared" si="74"/>
        <v>ALTO</v>
      </c>
      <c r="Q144" s="89">
        <v>10</v>
      </c>
      <c r="R144" s="89">
        <f t="shared" si="75"/>
        <v>180</v>
      </c>
      <c r="S144" s="83" t="str">
        <f t="shared" si="76"/>
        <v>2</v>
      </c>
      <c r="T144" s="84" t="str">
        <f t="shared" si="77"/>
        <v>NO ACEPTABLE O ACEPTABLE CON CONTROL ESPECÍFICO</v>
      </c>
      <c r="U144" s="89">
        <v>1</v>
      </c>
      <c r="V144" s="89">
        <v>10</v>
      </c>
      <c r="W144" s="112" t="s">
        <v>422</v>
      </c>
      <c r="X144" s="113" t="s">
        <v>26</v>
      </c>
      <c r="Y144" s="113" t="s">
        <v>26</v>
      </c>
      <c r="Z144" s="113" t="s">
        <v>26</v>
      </c>
      <c r="AA144" s="114" t="s">
        <v>453</v>
      </c>
      <c r="AB144" s="115" t="s">
        <v>454</v>
      </c>
    </row>
    <row r="145" spans="1:28" ht="145.5" customHeight="1" thickBot="1">
      <c r="A145" s="170"/>
      <c r="B145" s="173"/>
      <c r="C145" s="189"/>
      <c r="D145" s="189"/>
      <c r="E145" s="101" t="s">
        <v>24</v>
      </c>
      <c r="F145" s="91" t="s">
        <v>624</v>
      </c>
      <c r="G145" s="101" t="s">
        <v>443</v>
      </c>
      <c r="H145" s="109" t="s">
        <v>444</v>
      </c>
      <c r="I145" s="101" t="s">
        <v>451</v>
      </c>
      <c r="J145" s="101" t="s">
        <v>25</v>
      </c>
      <c r="K145" s="101" t="s">
        <v>25</v>
      </c>
      <c r="L145" s="101" t="s">
        <v>456</v>
      </c>
      <c r="M145" s="89">
        <v>2</v>
      </c>
      <c r="N145" s="89">
        <v>3</v>
      </c>
      <c r="O145" s="89">
        <f t="shared" si="73"/>
        <v>6</v>
      </c>
      <c r="P145" s="83" t="str">
        <f t="shared" si="74"/>
        <v>MEDIO</v>
      </c>
      <c r="Q145" s="89">
        <v>10</v>
      </c>
      <c r="R145" s="89">
        <f t="shared" si="75"/>
        <v>60</v>
      </c>
      <c r="S145" s="83" t="str">
        <f t="shared" si="76"/>
        <v>3</v>
      </c>
      <c r="T145" s="84" t="str">
        <f t="shared" si="77"/>
        <v>MEJORABLE</v>
      </c>
      <c r="U145" s="89">
        <v>1</v>
      </c>
      <c r="V145" s="89">
        <v>10</v>
      </c>
      <c r="W145" s="112" t="s">
        <v>457</v>
      </c>
      <c r="X145" s="113" t="s">
        <v>26</v>
      </c>
      <c r="Y145" s="113" t="s">
        <v>26</v>
      </c>
      <c r="Z145" s="113" t="s">
        <v>26</v>
      </c>
      <c r="AA145" s="114" t="s">
        <v>458</v>
      </c>
      <c r="AB145" s="115" t="s">
        <v>360</v>
      </c>
    </row>
    <row r="146" spans="1:28" ht="145.5" customHeight="1" thickBot="1">
      <c r="A146" s="170"/>
      <c r="B146" s="173"/>
      <c r="C146" s="189"/>
      <c r="D146" s="189"/>
      <c r="E146" s="101" t="s">
        <v>24</v>
      </c>
      <c r="F146" s="91" t="s">
        <v>624</v>
      </c>
      <c r="G146" s="101" t="s">
        <v>445</v>
      </c>
      <c r="H146" s="109" t="s">
        <v>376</v>
      </c>
      <c r="I146" s="101" t="s">
        <v>455</v>
      </c>
      <c r="J146" s="101" t="s">
        <v>25</v>
      </c>
      <c r="K146" s="101" t="s">
        <v>459</v>
      </c>
      <c r="L146" s="101" t="s">
        <v>460</v>
      </c>
      <c r="M146" s="89">
        <v>2</v>
      </c>
      <c r="N146" s="89">
        <v>3</v>
      </c>
      <c r="O146" s="89">
        <f t="shared" si="73"/>
        <v>6</v>
      </c>
      <c r="P146" s="83" t="str">
        <f t="shared" si="74"/>
        <v>MEDIO</v>
      </c>
      <c r="Q146" s="89">
        <v>10</v>
      </c>
      <c r="R146" s="89">
        <f t="shared" si="75"/>
        <v>60</v>
      </c>
      <c r="S146" s="83" t="str">
        <f t="shared" si="76"/>
        <v>3</v>
      </c>
      <c r="T146" s="84" t="str">
        <f t="shared" si="77"/>
        <v>MEJORABLE</v>
      </c>
      <c r="U146" s="89">
        <v>1</v>
      </c>
      <c r="V146" s="89">
        <v>10</v>
      </c>
      <c r="W146" s="112" t="s">
        <v>422</v>
      </c>
      <c r="X146" s="113" t="s">
        <v>26</v>
      </c>
      <c r="Y146" s="113" t="s">
        <v>26</v>
      </c>
      <c r="Z146" s="113" t="s">
        <v>26</v>
      </c>
      <c r="AA146" s="114" t="s">
        <v>461</v>
      </c>
      <c r="AB146" s="115" t="s">
        <v>462</v>
      </c>
    </row>
    <row r="147" spans="1:28" ht="145.5" customHeight="1" thickBot="1">
      <c r="A147" s="170"/>
      <c r="B147" s="173"/>
      <c r="C147" s="189"/>
      <c r="D147" s="189"/>
      <c r="E147" s="101" t="s">
        <v>24</v>
      </c>
      <c r="F147" s="91" t="s">
        <v>624</v>
      </c>
      <c r="G147" s="101" t="s">
        <v>446</v>
      </c>
      <c r="H147" s="7" t="s">
        <v>411</v>
      </c>
      <c r="I147" s="89" t="s">
        <v>412</v>
      </c>
      <c r="J147" s="89" t="s">
        <v>25</v>
      </c>
      <c r="K147" s="107" t="s">
        <v>414</v>
      </c>
      <c r="L147" s="107" t="s">
        <v>415</v>
      </c>
      <c r="M147" s="89">
        <v>2</v>
      </c>
      <c r="N147" s="89">
        <v>4</v>
      </c>
      <c r="O147" s="89">
        <f t="shared" ref="O147:O149" si="78">M147*N147</f>
        <v>8</v>
      </c>
      <c r="P147" s="83" t="str">
        <f t="shared" ref="P147" si="79">IF(O147&lt;=4,"BAJO",IF(O147&lt;=8,"MEDIO",IF(O147&lt;=20,"ALTO","MUY ALTO")))</f>
        <v>MEDIO</v>
      </c>
      <c r="Q147" s="89">
        <v>25</v>
      </c>
      <c r="R147" s="89">
        <f t="shared" ref="R147" si="80">O147*Q147</f>
        <v>200</v>
      </c>
      <c r="S147" s="83" t="str">
        <f t="shared" ref="S147" si="81">IF(R147&lt;=20,"4",IF(R147&lt;=120,"3",IF(R147&lt;=500,"2","1")))</f>
        <v>2</v>
      </c>
      <c r="T147" s="84" t="str">
        <f t="shared" ref="T147" si="82">IF(S147="4","ACEPTABLE",IF(S147="3","MEJORABLE",IF(S147="2","NO ACEPTABLE O ACEPTABLE CON CONTROL ESPECÍFICO","NO ACEPTABLE")))</f>
        <v>NO ACEPTABLE O ACEPTABLE CON CONTROL ESPECÍFICO</v>
      </c>
      <c r="U147" s="89">
        <v>1</v>
      </c>
      <c r="V147" s="9">
        <v>10</v>
      </c>
      <c r="W147" s="12" t="s">
        <v>413</v>
      </c>
      <c r="X147" s="12" t="s">
        <v>26</v>
      </c>
      <c r="Y147" s="12" t="s">
        <v>26</v>
      </c>
      <c r="Z147" s="89" t="s">
        <v>26</v>
      </c>
      <c r="AA147" s="108" t="s">
        <v>416</v>
      </c>
      <c r="AB147" s="24" t="s">
        <v>417</v>
      </c>
    </row>
    <row r="148" spans="1:28" ht="145.5" customHeight="1" thickBot="1">
      <c r="A148" s="170"/>
      <c r="B148" s="173"/>
      <c r="C148" s="189"/>
      <c r="D148" s="189"/>
      <c r="E148" s="101" t="s">
        <v>24</v>
      </c>
      <c r="F148" s="91" t="s">
        <v>624</v>
      </c>
      <c r="G148" s="101" t="s">
        <v>468</v>
      </c>
      <c r="H148" s="109" t="s">
        <v>376</v>
      </c>
      <c r="I148" s="101" t="s">
        <v>464</v>
      </c>
      <c r="J148" s="101" t="s">
        <v>465</v>
      </c>
      <c r="K148" s="101" t="s">
        <v>466</v>
      </c>
      <c r="L148" s="101" t="s">
        <v>467</v>
      </c>
      <c r="M148" s="101">
        <v>2</v>
      </c>
      <c r="N148" s="101">
        <v>3</v>
      </c>
      <c r="O148" s="89">
        <f t="shared" si="78"/>
        <v>6</v>
      </c>
      <c r="P148" s="83" t="str">
        <f t="shared" si="74"/>
        <v>MEDIO</v>
      </c>
      <c r="Q148" s="89">
        <v>60</v>
      </c>
      <c r="R148" s="89">
        <f t="shared" si="75"/>
        <v>360</v>
      </c>
      <c r="S148" s="83" t="str">
        <f t="shared" si="76"/>
        <v>2</v>
      </c>
      <c r="T148" s="84" t="str">
        <f t="shared" si="77"/>
        <v>NO ACEPTABLE O ACEPTABLE CON CONTROL ESPECÍFICO</v>
      </c>
      <c r="U148" s="89">
        <v>1</v>
      </c>
      <c r="V148" s="89">
        <v>10</v>
      </c>
      <c r="W148" s="112" t="s">
        <v>463</v>
      </c>
      <c r="X148" s="113" t="s">
        <v>26</v>
      </c>
      <c r="Y148" s="113" t="s">
        <v>26</v>
      </c>
      <c r="Z148" s="113" t="s">
        <v>26</v>
      </c>
      <c r="AA148" s="114" t="s">
        <v>469</v>
      </c>
      <c r="AB148" s="115" t="s">
        <v>470</v>
      </c>
    </row>
    <row r="149" spans="1:28" ht="145.5" customHeight="1" thickBot="1">
      <c r="A149" s="170"/>
      <c r="B149" s="173"/>
      <c r="C149" s="189"/>
      <c r="D149" s="189"/>
      <c r="E149" s="101" t="s">
        <v>24</v>
      </c>
      <c r="F149" s="91" t="s">
        <v>624</v>
      </c>
      <c r="G149" s="101" t="s">
        <v>447</v>
      </c>
      <c r="H149" s="109" t="s">
        <v>376</v>
      </c>
      <c r="I149" s="101" t="s">
        <v>471</v>
      </c>
      <c r="J149" s="101" t="s">
        <v>25</v>
      </c>
      <c r="K149" s="101" t="s">
        <v>472</v>
      </c>
      <c r="L149" s="101" t="s">
        <v>25</v>
      </c>
      <c r="M149" s="101">
        <v>2</v>
      </c>
      <c r="N149" s="101">
        <v>3</v>
      </c>
      <c r="O149" s="89">
        <f t="shared" si="78"/>
        <v>6</v>
      </c>
      <c r="P149" s="83" t="str">
        <f t="shared" si="74"/>
        <v>MEDIO</v>
      </c>
      <c r="Q149" s="89">
        <v>10</v>
      </c>
      <c r="R149" s="89">
        <f t="shared" si="75"/>
        <v>60</v>
      </c>
      <c r="S149" s="83" t="str">
        <f t="shared" si="76"/>
        <v>3</v>
      </c>
      <c r="T149" s="84" t="str">
        <f t="shared" si="77"/>
        <v>MEJORABLE</v>
      </c>
      <c r="U149" s="89">
        <v>1</v>
      </c>
      <c r="V149" s="89">
        <v>10</v>
      </c>
      <c r="W149" s="112" t="s">
        <v>473</v>
      </c>
      <c r="X149" s="113" t="s">
        <v>26</v>
      </c>
      <c r="Y149" s="113" t="s">
        <v>26</v>
      </c>
      <c r="Z149" s="113" t="s">
        <v>26</v>
      </c>
      <c r="AA149" s="114" t="s">
        <v>474</v>
      </c>
      <c r="AB149" s="115" t="s">
        <v>475</v>
      </c>
    </row>
    <row r="150" spans="1:28" ht="145.5" customHeight="1" thickBot="1">
      <c r="A150" s="170"/>
      <c r="B150" s="173"/>
      <c r="C150" s="189"/>
      <c r="D150" s="189"/>
      <c r="E150" s="101" t="s">
        <v>24</v>
      </c>
      <c r="F150" s="91" t="s">
        <v>624</v>
      </c>
      <c r="G150" s="89" t="s">
        <v>378</v>
      </c>
      <c r="H150" s="7" t="s">
        <v>377</v>
      </c>
      <c r="I150" s="89" t="s">
        <v>380</v>
      </c>
      <c r="J150" s="89" t="s">
        <v>25</v>
      </c>
      <c r="K150" s="89" t="s">
        <v>25</v>
      </c>
      <c r="L150" s="89" t="s">
        <v>379</v>
      </c>
      <c r="M150" s="89">
        <v>2</v>
      </c>
      <c r="N150" s="89">
        <v>3</v>
      </c>
      <c r="O150" s="89">
        <f t="shared" ref="O150:O159" si="83">M150*N150</f>
        <v>6</v>
      </c>
      <c r="P150" s="83" t="str">
        <f t="shared" ref="P150:P159" si="84">IF(O150&lt;=4,"BAJO",IF(O150&lt;=8,"MEDIO",IF(O150&lt;=20,"ALTO","MUY ALTO")))</f>
        <v>MEDIO</v>
      </c>
      <c r="Q150" s="89">
        <v>10</v>
      </c>
      <c r="R150" s="89">
        <f t="shared" ref="R150:R155" si="85">O150*Q150</f>
        <v>60</v>
      </c>
      <c r="S150" s="83" t="str">
        <f t="shared" ref="S150:S153" si="86">IF(R150&lt;=20,"4",IF(R150&lt;=120,"3",IF(R150&lt;=500,"2","1")))</f>
        <v>3</v>
      </c>
      <c r="T150" s="84" t="str">
        <f t="shared" ref="T150:T153" si="87">IF(S150="4","ACEPTABLE",IF(S150="3","MEJORABLE",IF(S150="2","NO ACEPTABLE O ACEPTABLE CON CONTROL ESPECÍFICO","NO ACEPTABLE")))</f>
        <v>MEJORABLE</v>
      </c>
      <c r="U150" s="89">
        <v>1</v>
      </c>
      <c r="V150" s="89">
        <v>10</v>
      </c>
      <c r="W150" s="12" t="s">
        <v>381</v>
      </c>
      <c r="X150" s="89" t="s">
        <v>26</v>
      </c>
      <c r="Y150" s="89" t="s">
        <v>26</v>
      </c>
      <c r="Z150" s="89" t="s">
        <v>26</v>
      </c>
      <c r="AA150" s="105" t="s">
        <v>382</v>
      </c>
      <c r="AB150" s="24" t="s">
        <v>26</v>
      </c>
    </row>
    <row r="151" spans="1:28" ht="145.5" customHeight="1" thickBot="1">
      <c r="A151" s="170"/>
      <c r="B151" s="173"/>
      <c r="C151" s="189"/>
      <c r="D151" s="189"/>
      <c r="E151" s="101" t="s">
        <v>24</v>
      </c>
      <c r="F151" s="91" t="s">
        <v>624</v>
      </c>
      <c r="G151" s="101" t="s">
        <v>476</v>
      </c>
      <c r="H151" s="125" t="s">
        <v>444</v>
      </c>
      <c r="I151" s="101" t="s">
        <v>477</v>
      </c>
      <c r="J151" s="101" t="s">
        <v>25</v>
      </c>
      <c r="K151" s="101" t="s">
        <v>420</v>
      </c>
      <c r="L151" s="101" t="s">
        <v>25</v>
      </c>
      <c r="M151" s="101">
        <v>2</v>
      </c>
      <c r="N151" s="101">
        <v>3</v>
      </c>
      <c r="O151" s="89">
        <f t="shared" si="83"/>
        <v>6</v>
      </c>
      <c r="P151" s="83" t="str">
        <f t="shared" si="84"/>
        <v>MEDIO</v>
      </c>
      <c r="Q151" s="89">
        <v>10</v>
      </c>
      <c r="R151" s="89">
        <f t="shared" si="85"/>
        <v>60</v>
      </c>
      <c r="S151" s="83" t="str">
        <f t="shared" si="86"/>
        <v>3</v>
      </c>
      <c r="T151" s="84" t="str">
        <f t="shared" si="87"/>
        <v>MEJORABLE</v>
      </c>
      <c r="U151" s="89">
        <v>1</v>
      </c>
      <c r="V151" s="89">
        <v>10</v>
      </c>
      <c r="W151" s="112" t="s">
        <v>473</v>
      </c>
      <c r="X151" s="101" t="s">
        <v>26</v>
      </c>
      <c r="Y151" s="101" t="s">
        <v>26</v>
      </c>
      <c r="Z151" s="101" t="s">
        <v>26</v>
      </c>
      <c r="AA151" s="126" t="s">
        <v>478</v>
      </c>
      <c r="AB151" s="115" t="s">
        <v>26</v>
      </c>
    </row>
    <row r="152" spans="1:28" ht="152.25" customHeight="1" thickBot="1">
      <c r="A152" s="170"/>
      <c r="B152" s="173"/>
      <c r="C152" s="189"/>
      <c r="D152" s="189"/>
      <c r="E152" s="129" t="s">
        <v>24</v>
      </c>
      <c r="F152" s="91" t="s">
        <v>624</v>
      </c>
      <c r="G152" s="89" t="s">
        <v>501</v>
      </c>
      <c r="H152" s="82" t="s">
        <v>502</v>
      </c>
      <c r="I152" s="89" t="s">
        <v>503</v>
      </c>
      <c r="J152" s="89" t="s">
        <v>504</v>
      </c>
      <c r="K152" s="89" t="s">
        <v>505</v>
      </c>
      <c r="L152" s="89" t="s">
        <v>506</v>
      </c>
      <c r="M152" s="89">
        <v>2</v>
      </c>
      <c r="N152" s="89">
        <v>4</v>
      </c>
      <c r="O152" s="89">
        <f t="shared" si="83"/>
        <v>8</v>
      </c>
      <c r="P152" s="83" t="str">
        <f t="shared" si="84"/>
        <v>MEDIO</v>
      </c>
      <c r="Q152" s="89">
        <v>25</v>
      </c>
      <c r="R152" s="89">
        <f t="shared" si="85"/>
        <v>200</v>
      </c>
      <c r="S152" s="83" t="str">
        <f t="shared" si="86"/>
        <v>2</v>
      </c>
      <c r="T152" s="84" t="str">
        <f t="shared" si="87"/>
        <v>NO ACEPTABLE O ACEPTABLE CON CONTROL ESPECÍFICO</v>
      </c>
      <c r="U152" s="89">
        <v>1</v>
      </c>
      <c r="V152" s="89">
        <v>10</v>
      </c>
      <c r="W152" s="12" t="s">
        <v>413</v>
      </c>
      <c r="X152" s="10" t="s">
        <v>26</v>
      </c>
      <c r="Y152" s="10" t="s">
        <v>26</v>
      </c>
      <c r="Z152" s="10" t="s">
        <v>26</v>
      </c>
      <c r="AA152" s="102" t="s">
        <v>507</v>
      </c>
      <c r="AB152" s="24" t="s">
        <v>26</v>
      </c>
    </row>
    <row r="153" spans="1:28" ht="145.5" customHeight="1" thickBot="1">
      <c r="A153" s="170"/>
      <c r="B153" s="173"/>
      <c r="C153" s="189"/>
      <c r="D153" s="189"/>
      <c r="E153" s="101" t="s">
        <v>24</v>
      </c>
      <c r="F153" s="91" t="s">
        <v>624</v>
      </c>
      <c r="G153" s="89" t="s">
        <v>387</v>
      </c>
      <c r="H153" s="7" t="s">
        <v>67</v>
      </c>
      <c r="I153" s="89" t="s">
        <v>388</v>
      </c>
      <c r="J153" s="89" t="s">
        <v>25</v>
      </c>
      <c r="K153" s="89" t="s">
        <v>25</v>
      </c>
      <c r="L153" s="89" t="s">
        <v>385</v>
      </c>
      <c r="M153" s="89">
        <v>2</v>
      </c>
      <c r="N153" s="89">
        <v>3</v>
      </c>
      <c r="O153" s="89">
        <f t="shared" si="83"/>
        <v>6</v>
      </c>
      <c r="P153" s="83" t="str">
        <f t="shared" si="84"/>
        <v>MEDIO</v>
      </c>
      <c r="Q153" s="89">
        <v>10</v>
      </c>
      <c r="R153" s="89">
        <f t="shared" si="85"/>
        <v>60</v>
      </c>
      <c r="S153" s="83" t="str">
        <f t="shared" si="86"/>
        <v>3</v>
      </c>
      <c r="T153" s="84" t="str">
        <f t="shared" si="87"/>
        <v>MEJORABLE</v>
      </c>
      <c r="U153" s="89">
        <v>1</v>
      </c>
      <c r="V153" s="9">
        <v>10</v>
      </c>
      <c r="W153" s="12" t="s">
        <v>389</v>
      </c>
      <c r="X153" s="89" t="s">
        <v>26</v>
      </c>
      <c r="Y153" s="89" t="s">
        <v>26</v>
      </c>
      <c r="Z153" s="89" t="s">
        <v>26</v>
      </c>
      <c r="AA153" s="102" t="s">
        <v>390</v>
      </c>
      <c r="AB153" s="24" t="s">
        <v>26</v>
      </c>
    </row>
    <row r="154" spans="1:28" ht="150" customHeight="1" thickBot="1">
      <c r="A154" s="170"/>
      <c r="B154" s="173"/>
      <c r="C154" s="189"/>
      <c r="D154" s="189"/>
      <c r="E154" s="90" t="s">
        <v>24</v>
      </c>
      <c r="F154" s="91" t="s">
        <v>624</v>
      </c>
      <c r="G154" s="89" t="s">
        <v>391</v>
      </c>
      <c r="H154" s="7" t="s">
        <v>67</v>
      </c>
      <c r="I154" s="89" t="s">
        <v>392</v>
      </c>
      <c r="J154" s="89" t="s">
        <v>25</v>
      </c>
      <c r="K154" s="89" t="s">
        <v>25</v>
      </c>
      <c r="L154" s="89" t="s">
        <v>25</v>
      </c>
      <c r="M154" s="89">
        <v>2</v>
      </c>
      <c r="N154" s="89">
        <v>3</v>
      </c>
      <c r="O154" s="89">
        <f t="shared" si="83"/>
        <v>6</v>
      </c>
      <c r="P154" s="83" t="str">
        <f t="shared" si="84"/>
        <v>MEDIO</v>
      </c>
      <c r="Q154" s="89">
        <v>10</v>
      </c>
      <c r="R154" s="89">
        <f t="shared" si="85"/>
        <v>60</v>
      </c>
      <c r="S154" s="83" t="str">
        <f>IF(R154&lt;=20,"4",IF(R154&lt;=120,"3",IF(R154&lt;=500,"2","1")))</f>
        <v>3</v>
      </c>
      <c r="T154" s="84" t="str">
        <f>IF(S154="4","ACEPTABLE",IF(S154="3","MEJORABLE",IF(S154="2","NO ACEPTABLE O ACEPTABLE CON CONTROL ESPECÍFICO","NO ACEPTABLE")))</f>
        <v>MEJORABLE</v>
      </c>
      <c r="U154" s="89">
        <v>1</v>
      </c>
      <c r="V154" s="9">
        <v>10</v>
      </c>
      <c r="W154" s="89" t="s">
        <v>393</v>
      </c>
      <c r="X154" s="89" t="s">
        <v>26</v>
      </c>
      <c r="Y154" s="89" t="s">
        <v>26</v>
      </c>
      <c r="Z154" s="89" t="s">
        <v>26</v>
      </c>
      <c r="AA154" s="103" t="s">
        <v>400</v>
      </c>
      <c r="AB154" s="23" t="s">
        <v>26</v>
      </c>
    </row>
    <row r="155" spans="1:28" ht="150" customHeight="1" thickBot="1">
      <c r="A155" s="170"/>
      <c r="B155" s="173"/>
      <c r="C155" s="189"/>
      <c r="D155" s="189"/>
      <c r="E155" s="90" t="s">
        <v>24</v>
      </c>
      <c r="F155" s="91" t="s">
        <v>624</v>
      </c>
      <c r="G155" s="89" t="s">
        <v>480</v>
      </c>
      <c r="H155" s="7" t="s">
        <v>479</v>
      </c>
      <c r="I155" s="89" t="s">
        <v>364</v>
      </c>
      <c r="J155" s="89" t="s">
        <v>25</v>
      </c>
      <c r="K155" s="89" t="s">
        <v>25</v>
      </c>
      <c r="L155" s="89" t="s">
        <v>429</v>
      </c>
      <c r="M155" s="89">
        <v>2</v>
      </c>
      <c r="N155" s="89">
        <v>3</v>
      </c>
      <c r="O155" s="89">
        <f t="shared" si="83"/>
        <v>6</v>
      </c>
      <c r="P155" s="83" t="str">
        <f t="shared" si="84"/>
        <v>MEDIO</v>
      </c>
      <c r="Q155" s="89">
        <v>10</v>
      </c>
      <c r="R155" s="89">
        <f t="shared" si="85"/>
        <v>60</v>
      </c>
      <c r="S155" s="83" t="str">
        <f>IF(R155&lt;=20,"4",IF(R155&lt;=120,"3",IF(R155&lt;=500,"2","1")))</f>
        <v>3</v>
      </c>
      <c r="T155" s="84" t="str">
        <f>IF(S155="4","ACEPTABLE",IF(S155="3","MEJORABLE",IF(S155="2","NO ACEPTABLE O ACEPTABLE CON CONTROL ESPECÍFICO","NO ACEPTABLE")))</f>
        <v>MEJORABLE</v>
      </c>
      <c r="U155" s="89">
        <v>1</v>
      </c>
      <c r="V155" s="9">
        <v>10</v>
      </c>
      <c r="W155" s="89" t="s">
        <v>481</v>
      </c>
      <c r="X155" s="89" t="s">
        <v>26</v>
      </c>
      <c r="Y155" s="89" t="s">
        <v>26</v>
      </c>
      <c r="Z155" s="89" t="s">
        <v>26</v>
      </c>
      <c r="AA155" s="103" t="s">
        <v>482</v>
      </c>
      <c r="AB155" s="23" t="s">
        <v>26</v>
      </c>
    </row>
    <row r="156" spans="1:28" ht="150" customHeight="1" thickBot="1">
      <c r="A156" s="170"/>
      <c r="B156" s="173"/>
      <c r="C156" s="189"/>
      <c r="D156" s="189"/>
      <c r="E156" s="90" t="s">
        <v>24</v>
      </c>
      <c r="F156" s="91" t="s">
        <v>624</v>
      </c>
      <c r="G156" s="91" t="s">
        <v>363</v>
      </c>
      <c r="H156" s="18" t="s">
        <v>57</v>
      </c>
      <c r="I156" s="91" t="s">
        <v>364</v>
      </c>
      <c r="J156" s="85" t="s">
        <v>25</v>
      </c>
      <c r="K156" s="85" t="s">
        <v>25</v>
      </c>
      <c r="L156" s="91" t="s">
        <v>365</v>
      </c>
      <c r="M156" s="91">
        <v>2</v>
      </c>
      <c r="N156" s="91">
        <v>4</v>
      </c>
      <c r="O156" s="91">
        <f t="shared" si="83"/>
        <v>8</v>
      </c>
      <c r="P156" s="86" t="str">
        <f t="shared" si="84"/>
        <v>MEDIO</v>
      </c>
      <c r="Q156" s="91">
        <v>10</v>
      </c>
      <c r="R156" s="91">
        <f>O156*Q156</f>
        <v>80</v>
      </c>
      <c r="S156" s="86" t="str">
        <f>IF(R156&lt;=20,"4",IF(R156&lt;=120,"3",IF(R156&lt;=500,"2","1")))</f>
        <v>3</v>
      </c>
      <c r="T156" s="87" t="str">
        <f>IF(S156="4","ACEPTABLE",IF(S156="3","MEJORABLE",IF(S156="2","NO ACEPTABLE O ACEPTABLE CON CONTROL ESPECÍFICO","NO ACEPTABLE")))</f>
        <v>MEJORABLE</v>
      </c>
      <c r="U156" s="91">
        <v>1</v>
      </c>
      <c r="V156" s="88">
        <v>10</v>
      </c>
      <c r="W156" s="13" t="s">
        <v>366</v>
      </c>
      <c r="X156" s="91" t="s">
        <v>26</v>
      </c>
      <c r="Y156" s="91" t="s">
        <v>26</v>
      </c>
      <c r="Z156" s="91" t="s">
        <v>324</v>
      </c>
      <c r="AA156" s="104" t="s">
        <v>367</v>
      </c>
      <c r="AB156" s="25" t="s">
        <v>368</v>
      </c>
    </row>
    <row r="157" spans="1:28" ht="150" customHeight="1" thickBot="1">
      <c r="A157" s="170"/>
      <c r="B157" s="173"/>
      <c r="C157" s="189"/>
      <c r="D157" s="189"/>
      <c r="E157" s="90" t="s">
        <v>24</v>
      </c>
      <c r="F157" s="91" t="s">
        <v>624</v>
      </c>
      <c r="G157" s="89" t="s">
        <v>483</v>
      </c>
      <c r="H157" s="7" t="s">
        <v>237</v>
      </c>
      <c r="I157" s="89" t="s">
        <v>331</v>
      </c>
      <c r="J157" s="89" t="s">
        <v>25</v>
      </c>
      <c r="K157" s="89" t="s">
        <v>25</v>
      </c>
      <c r="L157" s="89" t="s">
        <v>374</v>
      </c>
      <c r="M157" s="89">
        <v>2</v>
      </c>
      <c r="N157" s="89">
        <v>3</v>
      </c>
      <c r="O157" s="89">
        <f t="shared" si="83"/>
        <v>6</v>
      </c>
      <c r="P157" s="83" t="str">
        <f t="shared" si="84"/>
        <v>MEDIO</v>
      </c>
      <c r="Q157" s="89">
        <v>25</v>
      </c>
      <c r="R157" s="89">
        <f t="shared" ref="R157:R159" si="88">O157*Q157</f>
        <v>150</v>
      </c>
      <c r="S157" s="83" t="str">
        <f t="shared" ref="S157:S159" si="89">IF(R157&lt;=20,"4",IF(R157&lt;=120,"3",IF(R157&lt;=500,"2","1")))</f>
        <v>2</v>
      </c>
      <c r="T157" s="84" t="str">
        <f t="shared" ref="T157:T159" si="90">IF(S157="4","ACEPTABLE",IF(S157="3","MEJORABLE",IF(S157="2","NO ACEPTABLE O ACEPTABLE CON CONTROL ESPECÍFICO","NO ACEPTABLE")))</f>
        <v>NO ACEPTABLE O ACEPTABLE CON CONTROL ESPECÍFICO</v>
      </c>
      <c r="U157" s="89">
        <v>1</v>
      </c>
      <c r="V157" s="9">
        <v>10</v>
      </c>
      <c r="W157" s="12" t="s">
        <v>333</v>
      </c>
      <c r="X157" s="89" t="s">
        <v>26</v>
      </c>
      <c r="Y157" s="89" t="s">
        <v>26</v>
      </c>
      <c r="Z157" s="89" t="s">
        <v>26</v>
      </c>
      <c r="AA157" s="102" t="s">
        <v>375</v>
      </c>
      <c r="AB157" s="24" t="s">
        <v>346</v>
      </c>
    </row>
    <row r="158" spans="1:28" ht="150" customHeight="1" thickBot="1">
      <c r="A158" s="170"/>
      <c r="B158" s="173"/>
      <c r="C158" s="189"/>
      <c r="D158" s="189"/>
      <c r="E158" s="90" t="s">
        <v>24</v>
      </c>
      <c r="F158" s="91" t="s">
        <v>624</v>
      </c>
      <c r="G158" s="89" t="s">
        <v>485</v>
      </c>
      <c r="H158" s="7" t="s">
        <v>484</v>
      </c>
      <c r="I158" s="89" t="s">
        <v>487</v>
      </c>
      <c r="J158" s="89" t="s">
        <v>25</v>
      </c>
      <c r="K158" s="89" t="s">
        <v>25</v>
      </c>
      <c r="L158" s="89" t="s">
        <v>486</v>
      </c>
      <c r="M158" s="89">
        <v>2</v>
      </c>
      <c r="N158" s="89">
        <v>3</v>
      </c>
      <c r="O158" s="89">
        <f t="shared" si="83"/>
        <v>6</v>
      </c>
      <c r="P158" s="83" t="str">
        <f t="shared" si="84"/>
        <v>MEDIO</v>
      </c>
      <c r="Q158" s="89">
        <v>25</v>
      </c>
      <c r="R158" s="89">
        <f t="shared" si="88"/>
        <v>150</v>
      </c>
      <c r="S158" s="83" t="str">
        <f t="shared" si="89"/>
        <v>2</v>
      </c>
      <c r="T158" s="84" t="str">
        <f t="shared" si="90"/>
        <v>NO ACEPTABLE O ACEPTABLE CON CONTROL ESPECÍFICO</v>
      </c>
      <c r="U158" s="89">
        <v>1</v>
      </c>
      <c r="V158" s="9">
        <v>10</v>
      </c>
      <c r="W158" s="12" t="s">
        <v>488</v>
      </c>
      <c r="X158" s="89" t="s">
        <v>26</v>
      </c>
      <c r="Y158" s="89" t="s">
        <v>26</v>
      </c>
      <c r="Z158" s="89" t="s">
        <v>26</v>
      </c>
      <c r="AA158" s="102" t="s">
        <v>489</v>
      </c>
      <c r="AB158" s="24" t="s">
        <v>490</v>
      </c>
    </row>
    <row r="159" spans="1:28" ht="150" customHeight="1" thickBot="1">
      <c r="A159" s="171"/>
      <c r="B159" s="174"/>
      <c r="C159" s="191"/>
      <c r="D159" s="191"/>
      <c r="E159" s="90" t="s">
        <v>24</v>
      </c>
      <c r="F159" s="91" t="s">
        <v>624</v>
      </c>
      <c r="G159" s="89" t="s">
        <v>491</v>
      </c>
      <c r="H159" s="7" t="s">
        <v>376</v>
      </c>
      <c r="I159" s="89" t="s">
        <v>492</v>
      </c>
      <c r="J159" s="89" t="s">
        <v>493</v>
      </c>
      <c r="K159" s="89" t="s">
        <v>25</v>
      </c>
      <c r="L159" s="89" t="s">
        <v>396</v>
      </c>
      <c r="M159" s="89">
        <v>2</v>
      </c>
      <c r="N159" s="89">
        <v>4</v>
      </c>
      <c r="O159" s="89">
        <f t="shared" si="83"/>
        <v>8</v>
      </c>
      <c r="P159" s="83" t="str">
        <f t="shared" si="84"/>
        <v>MEDIO</v>
      </c>
      <c r="Q159" s="89">
        <v>25</v>
      </c>
      <c r="R159" s="89">
        <f t="shared" si="88"/>
        <v>200</v>
      </c>
      <c r="S159" s="83" t="str">
        <f t="shared" si="89"/>
        <v>2</v>
      </c>
      <c r="T159" s="84" t="str">
        <f t="shared" si="90"/>
        <v>NO ACEPTABLE O ACEPTABLE CON CONTROL ESPECÍFICO</v>
      </c>
      <c r="U159" s="89">
        <v>1</v>
      </c>
      <c r="V159" s="9">
        <v>10</v>
      </c>
      <c r="W159" s="12"/>
      <c r="X159" s="89" t="s">
        <v>26</v>
      </c>
      <c r="Y159" s="89" t="s">
        <v>26</v>
      </c>
      <c r="Z159" s="89" t="s">
        <v>26</v>
      </c>
      <c r="AA159" s="102" t="s">
        <v>494</v>
      </c>
      <c r="AB159" s="24" t="s">
        <v>495</v>
      </c>
    </row>
    <row r="160" spans="1:28" ht="24" customHeight="1" thickBot="1">
      <c r="A160" s="96"/>
      <c r="AB160" s="119"/>
    </row>
    <row r="161" spans="1:28" ht="19.5" customHeight="1">
      <c r="A161" s="221" t="s">
        <v>40</v>
      </c>
      <c r="B161" s="222"/>
      <c r="C161" s="223"/>
      <c r="E161" s="200" t="s">
        <v>41</v>
      </c>
      <c r="F161" s="201"/>
      <c r="G161" s="201"/>
      <c r="H161" s="201"/>
      <c r="I161" s="201"/>
      <c r="J161" s="201"/>
      <c r="K161" s="201"/>
      <c r="L161" s="202"/>
      <c r="AB161" s="119"/>
    </row>
    <row r="162" spans="1:28" ht="21.75" customHeight="1">
      <c r="A162" s="217" t="s">
        <v>317</v>
      </c>
      <c r="B162" s="218"/>
      <c r="C162" s="120">
        <v>1</v>
      </c>
      <c r="E162" s="203" t="s">
        <v>60</v>
      </c>
      <c r="F162" s="204"/>
      <c r="G162" s="205"/>
      <c r="H162" s="209" t="s">
        <v>61</v>
      </c>
      <c r="I162" s="210"/>
      <c r="J162" s="188" t="s">
        <v>62</v>
      </c>
      <c r="K162" s="188" t="s">
        <v>63</v>
      </c>
      <c r="L162" s="228" t="s">
        <v>43</v>
      </c>
      <c r="AB162" s="119"/>
    </row>
    <row r="163" spans="1:28" ht="25.5" customHeight="1">
      <c r="A163" s="217" t="s">
        <v>42</v>
      </c>
      <c r="B163" s="218"/>
      <c r="C163" s="120">
        <v>3</v>
      </c>
      <c r="E163" s="206"/>
      <c r="F163" s="207"/>
      <c r="G163" s="208"/>
      <c r="H163" s="211"/>
      <c r="I163" s="212"/>
      <c r="J163" s="190"/>
      <c r="K163" s="190"/>
      <c r="L163" s="229"/>
      <c r="AB163" s="119"/>
    </row>
    <row r="164" spans="1:28" ht="45.75" customHeight="1" thickBot="1">
      <c r="A164" s="183" t="s">
        <v>120</v>
      </c>
      <c r="B164" s="184"/>
      <c r="C164" s="120">
        <v>1</v>
      </c>
      <c r="E164" s="196">
        <v>0</v>
      </c>
      <c r="F164" s="197"/>
      <c r="G164" s="198"/>
      <c r="H164" s="199">
        <v>2</v>
      </c>
      <c r="I164" s="199"/>
      <c r="J164" s="121">
        <v>19</v>
      </c>
      <c r="K164" s="121">
        <v>6</v>
      </c>
      <c r="L164" s="122">
        <f>SUM(E164:K164)</f>
        <v>27</v>
      </c>
    </row>
    <row r="165" spans="1:28" ht="31.5" customHeight="1">
      <c r="A165" s="183" t="s">
        <v>311</v>
      </c>
      <c r="B165" s="184"/>
      <c r="C165" s="120">
        <v>1</v>
      </c>
    </row>
    <row r="166" spans="1:28" ht="45" customHeight="1">
      <c r="A166" s="183" t="s">
        <v>347</v>
      </c>
      <c r="B166" s="184"/>
      <c r="C166" s="120">
        <v>1</v>
      </c>
    </row>
    <row r="167" spans="1:28" ht="30.75" customHeight="1">
      <c r="A167" s="183" t="s">
        <v>44</v>
      </c>
      <c r="B167" s="184"/>
      <c r="C167" s="120">
        <v>1</v>
      </c>
      <c r="M167" s="123"/>
      <c r="N167" s="123"/>
    </row>
    <row r="168" spans="1:28" ht="33.75" customHeight="1">
      <c r="A168" s="183" t="s">
        <v>45</v>
      </c>
      <c r="B168" s="184"/>
      <c r="C168" s="120">
        <v>1</v>
      </c>
      <c r="M168" s="123"/>
      <c r="N168" s="123"/>
    </row>
    <row r="169" spans="1:28" ht="28.5" customHeight="1">
      <c r="A169" s="183" t="s">
        <v>46</v>
      </c>
      <c r="B169" s="184"/>
      <c r="C169" s="23">
        <v>3</v>
      </c>
      <c r="N169" s="123"/>
    </row>
    <row r="170" spans="1:28" ht="27" customHeight="1">
      <c r="A170" s="183" t="s">
        <v>47</v>
      </c>
      <c r="B170" s="184"/>
      <c r="C170" s="23">
        <v>1</v>
      </c>
    </row>
    <row r="171" spans="1:28">
      <c r="A171" s="217" t="s">
        <v>48</v>
      </c>
      <c r="B171" s="218"/>
      <c r="C171" s="120">
        <v>6</v>
      </c>
    </row>
    <row r="172" spans="1:28" ht="29.25" customHeight="1">
      <c r="A172" s="219" t="s">
        <v>59</v>
      </c>
      <c r="B172" s="220"/>
      <c r="C172" s="120">
        <v>3</v>
      </c>
    </row>
    <row r="173" spans="1:28" s="118" customFormat="1" ht="20.25" customHeight="1">
      <c r="A173" s="219" t="s">
        <v>84</v>
      </c>
      <c r="B173" s="220"/>
      <c r="C173" s="120">
        <v>2</v>
      </c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</row>
    <row r="174" spans="1:28" s="118" customFormat="1" ht="20.25" customHeight="1">
      <c r="A174" s="219" t="s">
        <v>337</v>
      </c>
      <c r="B174" s="220"/>
      <c r="C174" s="120">
        <v>3</v>
      </c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</row>
    <row r="175" spans="1:28" s="118" customFormat="1" ht="14" thickBot="1">
      <c r="A175" s="196" t="s">
        <v>43</v>
      </c>
      <c r="B175" s="198"/>
      <c r="C175" s="124">
        <f>SUBTOTAL(9,C162:C174)</f>
        <v>27</v>
      </c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</row>
  </sheetData>
  <autoFilter ref="A4:AB154" xr:uid="{00000000-0009-0000-0000-000001000000}"/>
  <mergeCells count="58">
    <mergeCell ref="A166:B166"/>
    <mergeCell ref="A167:B167"/>
    <mergeCell ref="A168:B168"/>
    <mergeCell ref="A161:C161"/>
    <mergeCell ref="A1:AB1"/>
    <mergeCell ref="A2:AB2"/>
    <mergeCell ref="K162:K163"/>
    <mergeCell ref="L162:L163"/>
    <mergeCell ref="A162:B162"/>
    <mergeCell ref="A163:B163"/>
    <mergeCell ref="X3:AB3"/>
    <mergeCell ref="A3:A4"/>
    <mergeCell ref="B3:B4"/>
    <mergeCell ref="C3:C4"/>
    <mergeCell ref="D3:D4"/>
    <mergeCell ref="E3:E4"/>
    <mergeCell ref="A175:B175"/>
    <mergeCell ref="A169:B169"/>
    <mergeCell ref="A170:B170"/>
    <mergeCell ref="A171:B171"/>
    <mergeCell ref="A172:B172"/>
    <mergeCell ref="A173:B173"/>
    <mergeCell ref="A174:B174"/>
    <mergeCell ref="J3:L3"/>
    <mergeCell ref="M3:S3"/>
    <mergeCell ref="U3:W3"/>
    <mergeCell ref="E164:G164"/>
    <mergeCell ref="H164:I164"/>
    <mergeCell ref="E161:L161"/>
    <mergeCell ref="E162:G163"/>
    <mergeCell ref="H162:I163"/>
    <mergeCell ref="J162:J163"/>
    <mergeCell ref="I3:I4"/>
    <mergeCell ref="G3:H3"/>
    <mergeCell ref="F3:F4"/>
    <mergeCell ref="A164:B164"/>
    <mergeCell ref="A165:B165"/>
    <mergeCell ref="C113:C127"/>
    <mergeCell ref="C128:C142"/>
    <mergeCell ref="D143:D159"/>
    <mergeCell ref="C143:C159"/>
    <mergeCell ref="D113:D127"/>
    <mergeCell ref="D128:D142"/>
    <mergeCell ref="D5:D26"/>
    <mergeCell ref="C5:C26"/>
    <mergeCell ref="A5:A159"/>
    <mergeCell ref="B5:B159"/>
    <mergeCell ref="C27:C70"/>
    <mergeCell ref="D71:D81"/>
    <mergeCell ref="D82:D99"/>
    <mergeCell ref="D100:D112"/>
    <mergeCell ref="C71:C112"/>
    <mergeCell ref="D57:D62"/>
    <mergeCell ref="D63:D70"/>
    <mergeCell ref="D27:D35"/>
    <mergeCell ref="D36:D41"/>
    <mergeCell ref="D42:D48"/>
    <mergeCell ref="D49:D56"/>
  </mergeCells>
  <conditionalFormatting sqref="P5:P159">
    <cfRule type="cellIs" dxfId="62" priority="9" stopIfTrue="1" operator="equal">
      <formula>"MUY ALTO"</formula>
    </cfRule>
    <cfRule type="cellIs" dxfId="61" priority="10" stopIfTrue="1" operator="equal">
      <formula>"ALTO"</formula>
    </cfRule>
    <cfRule type="cellIs" dxfId="60" priority="11" stopIfTrue="1" operator="equal">
      <formula>"MEDIO"</formula>
    </cfRule>
    <cfRule type="cellIs" dxfId="59" priority="12" stopIfTrue="1" operator="equal">
      <formula>"BAJO"</formula>
    </cfRule>
  </conditionalFormatting>
  <conditionalFormatting sqref="R5:R159">
    <cfRule type="cellIs" dxfId="58" priority="5" stopIfTrue="1" operator="between">
      <formula>600</formula>
      <formula>4000</formula>
    </cfRule>
    <cfRule type="cellIs" dxfId="57" priority="6" stopIfTrue="1" operator="between">
      <formula>150</formula>
      <formula>500</formula>
    </cfRule>
    <cfRule type="cellIs" dxfId="56" priority="7" stopIfTrue="1" operator="between">
      <formula>40</formula>
      <formula>120</formula>
    </cfRule>
    <cfRule type="cellIs" dxfId="55" priority="8" stopIfTrue="1" operator="between">
      <formula>0</formula>
      <formula>20</formula>
    </cfRule>
  </conditionalFormatting>
  <conditionalFormatting sqref="T5:T159">
    <cfRule type="cellIs" dxfId="54" priority="1" stopIfTrue="1" operator="equal">
      <formula>"NO ACEPTABLE"</formula>
    </cfRule>
    <cfRule type="cellIs" dxfId="53" priority="2" stopIfTrue="1" operator="equal">
      <formula>"NO ACEPTABLE O ACEPTABLE CON CONTROL ESPECÍFICO"</formula>
    </cfRule>
    <cfRule type="cellIs" dxfId="52" priority="3" stopIfTrue="1" operator="equal">
      <formula>"MEJORABLE"</formula>
    </cfRule>
    <cfRule type="cellIs" dxfId="51" priority="4" stopIfTrue="1" operator="equal">
      <formula>"ACEPTABLE"</formula>
    </cfRule>
  </conditionalFormatting>
  <conditionalFormatting sqref="W6:W7">
    <cfRule type="cellIs" dxfId="50" priority="343" stopIfTrue="1" operator="equal">
      <formula>"ALTO"</formula>
    </cfRule>
    <cfRule type="cellIs" dxfId="49" priority="344" stopIfTrue="1" operator="equal">
      <formula>"MEDIO"</formula>
    </cfRule>
    <cfRule type="cellIs" dxfId="48" priority="345" stopIfTrue="1" operator="equal">
      <formula>"BAJO"</formula>
    </cfRule>
  </conditionalFormatting>
  <conditionalFormatting sqref="W9">
    <cfRule type="cellIs" dxfId="47" priority="298" stopIfTrue="1" operator="equal">
      <formula>"ALTO"</formula>
    </cfRule>
    <cfRule type="cellIs" dxfId="46" priority="299" stopIfTrue="1" operator="equal">
      <formula>"MEDIO"</formula>
    </cfRule>
    <cfRule type="cellIs" dxfId="45" priority="300" stopIfTrue="1" operator="equal">
      <formula>"BAJO"</formula>
    </cfRule>
  </conditionalFormatting>
  <conditionalFormatting sqref="W17:W19">
    <cfRule type="cellIs" dxfId="44" priority="211" stopIfTrue="1" operator="equal">
      <formula>"ALTO"</formula>
    </cfRule>
    <cfRule type="cellIs" dxfId="43" priority="212" stopIfTrue="1" operator="equal">
      <formula>"MEDIO"</formula>
    </cfRule>
    <cfRule type="cellIs" dxfId="42" priority="213" stopIfTrue="1" operator="equal">
      <formula>"BAJO"</formula>
    </cfRule>
  </conditionalFormatting>
  <conditionalFormatting sqref="W25">
    <cfRule type="cellIs" dxfId="41" priority="137" stopIfTrue="1" operator="equal">
      <formula>"MEDIO"</formula>
    </cfRule>
    <cfRule type="cellIs" dxfId="40" priority="138" stopIfTrue="1" operator="equal">
      <formula>"BAJO"</formula>
    </cfRule>
    <cfRule type="cellIs" dxfId="39" priority="136" stopIfTrue="1" operator="equal">
      <formula>"ALTO"</formula>
    </cfRule>
  </conditionalFormatting>
  <conditionalFormatting sqref="W30">
    <cfRule type="cellIs" dxfId="38" priority="1566" stopIfTrue="1" operator="equal">
      <formula>"BAJO"</formula>
    </cfRule>
    <cfRule type="cellIs" dxfId="37" priority="1565" stopIfTrue="1" operator="equal">
      <formula>"MEDIO"</formula>
    </cfRule>
    <cfRule type="cellIs" dxfId="36" priority="1564" stopIfTrue="1" operator="equal">
      <formula>"ALTO"</formula>
    </cfRule>
  </conditionalFormatting>
  <conditionalFormatting sqref="W34:W35">
    <cfRule type="cellIs" dxfId="35" priority="1560" stopIfTrue="1" operator="equal">
      <formula>"BAJO"</formula>
    </cfRule>
    <cfRule type="cellIs" dxfId="34" priority="1559" stopIfTrue="1" operator="equal">
      <formula>"MEDIO"</formula>
    </cfRule>
    <cfRule type="cellIs" dxfId="33" priority="1558" stopIfTrue="1" operator="equal">
      <formula>"ALTO"</formula>
    </cfRule>
  </conditionalFormatting>
  <conditionalFormatting sqref="W41">
    <cfRule type="cellIs" dxfId="32" priority="1470" stopIfTrue="1" operator="equal">
      <formula>"BAJO"</formula>
    </cfRule>
    <cfRule type="cellIs" dxfId="31" priority="1469" stopIfTrue="1" operator="equal">
      <formula>"MEDIO"</formula>
    </cfRule>
    <cfRule type="cellIs" dxfId="30" priority="1468" stopIfTrue="1" operator="equal">
      <formula>"ALTO"</formula>
    </cfRule>
  </conditionalFormatting>
  <conditionalFormatting sqref="W43:W44">
    <cfRule type="cellIs" dxfId="29" priority="1359" stopIfTrue="1" operator="equal">
      <formula>"BAJO"</formula>
    </cfRule>
    <cfRule type="cellIs" dxfId="28" priority="1357" stopIfTrue="1" operator="equal">
      <formula>"ALTO"</formula>
    </cfRule>
    <cfRule type="cellIs" dxfId="27" priority="1358" stopIfTrue="1" operator="equal">
      <formula>"MEDIO"</formula>
    </cfRule>
  </conditionalFormatting>
  <conditionalFormatting sqref="W53:W56">
    <cfRule type="cellIs" dxfId="26" priority="1248" stopIfTrue="1" operator="equal">
      <formula>"BAJO"</formula>
    </cfRule>
    <cfRule type="cellIs" dxfId="25" priority="1247" stopIfTrue="1" operator="equal">
      <formula>"MEDIO"</formula>
    </cfRule>
    <cfRule type="cellIs" dxfId="24" priority="1246" stopIfTrue="1" operator="equal">
      <formula>"ALTO"</formula>
    </cfRule>
  </conditionalFormatting>
  <conditionalFormatting sqref="W63:W64">
    <cfRule type="cellIs" dxfId="23" priority="1043" stopIfTrue="1" operator="equal">
      <formula>"MEDIO"</formula>
    </cfRule>
    <cfRule type="cellIs" dxfId="22" priority="1042" stopIfTrue="1" operator="equal">
      <formula>"ALTO"</formula>
    </cfRule>
    <cfRule type="cellIs" dxfId="21" priority="1044" stopIfTrue="1" operator="equal">
      <formula>"BAJO"</formula>
    </cfRule>
  </conditionalFormatting>
  <conditionalFormatting sqref="W68">
    <cfRule type="cellIs" dxfId="20" priority="1039" stopIfTrue="1" operator="equal">
      <formula>"ALTO"</formula>
    </cfRule>
    <cfRule type="cellIs" dxfId="19" priority="1040" stopIfTrue="1" operator="equal">
      <formula>"MEDIO"</formula>
    </cfRule>
    <cfRule type="cellIs" dxfId="18" priority="1041" stopIfTrue="1" operator="equal">
      <formula>"BAJO"</formula>
    </cfRule>
  </conditionalFormatting>
  <conditionalFormatting sqref="W70">
    <cfRule type="cellIs" dxfId="17" priority="1033" stopIfTrue="1" operator="equal">
      <formula>"ALTO"</formula>
    </cfRule>
    <cfRule type="cellIs" dxfId="16" priority="1034" stopIfTrue="1" operator="equal">
      <formula>"MEDIO"</formula>
    </cfRule>
    <cfRule type="cellIs" dxfId="15" priority="1035" stopIfTrue="1" operator="equal">
      <formula>"BAJO"</formula>
    </cfRule>
  </conditionalFormatting>
  <conditionalFormatting sqref="W75">
    <cfRule type="cellIs" dxfId="14" priority="867" stopIfTrue="1" operator="equal">
      <formula>"BAJO"</formula>
    </cfRule>
    <cfRule type="cellIs" dxfId="13" priority="866" stopIfTrue="1" operator="equal">
      <formula>"MEDIO"</formula>
    </cfRule>
    <cfRule type="cellIs" dxfId="12" priority="865" stopIfTrue="1" operator="equal">
      <formula>"ALTO"</formula>
    </cfRule>
  </conditionalFormatting>
  <conditionalFormatting sqref="W77:W78">
    <cfRule type="cellIs" dxfId="11" priority="861" stopIfTrue="1" operator="equal">
      <formula>"BAJO"</formula>
    </cfRule>
    <cfRule type="cellIs" dxfId="10" priority="860" stopIfTrue="1" operator="equal">
      <formula>"MEDIO"</formula>
    </cfRule>
    <cfRule type="cellIs" dxfId="9" priority="859" stopIfTrue="1" operator="equal">
      <formula>"ALTO"</formula>
    </cfRule>
  </conditionalFormatting>
  <conditionalFormatting sqref="W81">
    <cfRule type="cellIs" dxfId="8" priority="858" stopIfTrue="1" operator="equal">
      <formula>"BAJO"</formula>
    </cfRule>
    <cfRule type="cellIs" dxfId="7" priority="857" stopIfTrue="1" operator="equal">
      <formula>"MEDIO"</formula>
    </cfRule>
    <cfRule type="cellIs" dxfId="6" priority="856" stopIfTrue="1" operator="equal">
      <formula>"ALTO"</formula>
    </cfRule>
  </conditionalFormatting>
  <conditionalFormatting sqref="AA7">
    <cfRule type="cellIs" dxfId="5" priority="342" stopIfTrue="1" operator="equal">
      <formula>"BAJO"</formula>
    </cfRule>
    <cfRule type="cellIs" dxfId="4" priority="341" stopIfTrue="1" operator="equal">
      <formula>"MEDIO"</formula>
    </cfRule>
    <cfRule type="cellIs" dxfId="3" priority="340" stopIfTrue="1" operator="equal">
      <formula>"ALTO"</formula>
    </cfRule>
  </conditionalFormatting>
  <conditionalFormatting sqref="AA53">
    <cfRule type="cellIs" dxfId="2" priority="1255" stopIfTrue="1" operator="equal">
      <formula>"ALTO"</formula>
    </cfRule>
    <cfRule type="cellIs" dxfId="1" priority="1256" stopIfTrue="1" operator="equal">
      <formula>"MEDIO"</formula>
    </cfRule>
    <cfRule type="cellIs" dxfId="0" priority="1257" stopIfTrue="1" operator="equal">
      <formula>"BAJO"</formula>
    </cfRule>
  </conditionalFormatting>
  <pageMargins left="0.74803149606299213" right="0.74803149606299213" top="0.98425196850393704" bottom="0.98425196850393704" header="0" footer="0"/>
  <pageSetup paperSize="9" scale="25" orientation="landscape" r:id="rId1"/>
  <headerFooter alignWithMargins="0"/>
  <rowBreaks count="3" manualBreakCount="3">
    <brk id="119" max="26" man="1"/>
    <brk id="129" max="26" man="1"/>
    <brk id="153" max="26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topLeftCell="A7" zoomScaleNormal="100" workbookViewId="0">
      <selection sqref="A1:D1"/>
    </sheetView>
  </sheetViews>
  <sheetFormatPr baseColWidth="10" defaultRowHeight="14"/>
  <cols>
    <col min="1" max="1" width="11.5" style="28"/>
    <col min="2" max="2" width="16.83203125" style="28" customWidth="1"/>
    <col min="3" max="3" width="20.33203125" style="28" customWidth="1"/>
    <col min="4" max="4" width="27.83203125" style="28" customWidth="1"/>
    <col min="5" max="5" width="3.5" style="28" customWidth="1"/>
    <col min="6" max="6" width="14" style="28" bestFit="1" customWidth="1"/>
    <col min="7" max="7" width="8.5" style="28" customWidth="1"/>
    <col min="8" max="257" width="11.5" style="28"/>
    <col min="258" max="258" width="16.83203125" style="28" customWidth="1"/>
    <col min="259" max="259" width="20.33203125" style="28" customWidth="1"/>
    <col min="260" max="260" width="27.83203125" style="28" customWidth="1"/>
    <col min="261" max="261" width="3.5" style="28" customWidth="1"/>
    <col min="262" max="262" width="14" style="28" bestFit="1" customWidth="1"/>
    <col min="263" max="263" width="8.5" style="28" customWidth="1"/>
    <col min="264" max="513" width="11.5" style="28"/>
    <col min="514" max="514" width="16.83203125" style="28" customWidth="1"/>
    <col min="515" max="515" width="20.33203125" style="28" customWidth="1"/>
    <col min="516" max="516" width="27.83203125" style="28" customWidth="1"/>
    <col min="517" max="517" width="3.5" style="28" customWidth="1"/>
    <col min="518" max="518" width="14" style="28" bestFit="1" customWidth="1"/>
    <col min="519" max="519" width="8.5" style="28" customWidth="1"/>
    <col min="520" max="769" width="11.5" style="28"/>
    <col min="770" max="770" width="16.83203125" style="28" customWidth="1"/>
    <col min="771" max="771" width="20.33203125" style="28" customWidth="1"/>
    <col min="772" max="772" width="27.83203125" style="28" customWidth="1"/>
    <col min="773" max="773" width="3.5" style="28" customWidth="1"/>
    <col min="774" max="774" width="14" style="28" bestFit="1" customWidth="1"/>
    <col min="775" max="775" width="8.5" style="28" customWidth="1"/>
    <col min="776" max="1025" width="11.5" style="28"/>
    <col min="1026" max="1026" width="16.83203125" style="28" customWidth="1"/>
    <col min="1027" max="1027" width="20.33203125" style="28" customWidth="1"/>
    <col min="1028" max="1028" width="27.83203125" style="28" customWidth="1"/>
    <col min="1029" max="1029" width="3.5" style="28" customWidth="1"/>
    <col min="1030" max="1030" width="14" style="28" bestFit="1" customWidth="1"/>
    <col min="1031" max="1031" width="8.5" style="28" customWidth="1"/>
    <col min="1032" max="1281" width="11.5" style="28"/>
    <col min="1282" max="1282" width="16.83203125" style="28" customWidth="1"/>
    <col min="1283" max="1283" width="20.33203125" style="28" customWidth="1"/>
    <col min="1284" max="1284" width="27.83203125" style="28" customWidth="1"/>
    <col min="1285" max="1285" width="3.5" style="28" customWidth="1"/>
    <col min="1286" max="1286" width="14" style="28" bestFit="1" customWidth="1"/>
    <col min="1287" max="1287" width="8.5" style="28" customWidth="1"/>
    <col min="1288" max="1537" width="11.5" style="28"/>
    <col min="1538" max="1538" width="16.83203125" style="28" customWidth="1"/>
    <col min="1539" max="1539" width="20.33203125" style="28" customWidth="1"/>
    <col min="1540" max="1540" width="27.83203125" style="28" customWidth="1"/>
    <col min="1541" max="1541" width="3.5" style="28" customWidth="1"/>
    <col min="1542" max="1542" width="14" style="28" bestFit="1" customWidth="1"/>
    <col min="1543" max="1543" width="8.5" style="28" customWidth="1"/>
    <col min="1544" max="1793" width="11.5" style="28"/>
    <col min="1794" max="1794" width="16.83203125" style="28" customWidth="1"/>
    <col min="1795" max="1795" width="20.33203125" style="28" customWidth="1"/>
    <col min="1796" max="1796" width="27.83203125" style="28" customWidth="1"/>
    <col min="1797" max="1797" width="3.5" style="28" customWidth="1"/>
    <col min="1798" max="1798" width="14" style="28" bestFit="1" customWidth="1"/>
    <col min="1799" max="1799" width="8.5" style="28" customWidth="1"/>
    <col min="1800" max="2049" width="11.5" style="28"/>
    <col min="2050" max="2050" width="16.83203125" style="28" customWidth="1"/>
    <col min="2051" max="2051" width="20.33203125" style="28" customWidth="1"/>
    <col min="2052" max="2052" width="27.83203125" style="28" customWidth="1"/>
    <col min="2053" max="2053" width="3.5" style="28" customWidth="1"/>
    <col min="2054" max="2054" width="14" style="28" bestFit="1" customWidth="1"/>
    <col min="2055" max="2055" width="8.5" style="28" customWidth="1"/>
    <col min="2056" max="2305" width="11.5" style="28"/>
    <col min="2306" max="2306" width="16.83203125" style="28" customWidth="1"/>
    <col min="2307" max="2307" width="20.33203125" style="28" customWidth="1"/>
    <col min="2308" max="2308" width="27.83203125" style="28" customWidth="1"/>
    <col min="2309" max="2309" width="3.5" style="28" customWidth="1"/>
    <col min="2310" max="2310" width="14" style="28" bestFit="1" customWidth="1"/>
    <col min="2311" max="2311" width="8.5" style="28" customWidth="1"/>
    <col min="2312" max="2561" width="11.5" style="28"/>
    <col min="2562" max="2562" width="16.83203125" style="28" customWidth="1"/>
    <col min="2563" max="2563" width="20.33203125" style="28" customWidth="1"/>
    <col min="2564" max="2564" width="27.83203125" style="28" customWidth="1"/>
    <col min="2565" max="2565" width="3.5" style="28" customWidth="1"/>
    <col min="2566" max="2566" width="14" style="28" bestFit="1" customWidth="1"/>
    <col min="2567" max="2567" width="8.5" style="28" customWidth="1"/>
    <col min="2568" max="2817" width="11.5" style="28"/>
    <col min="2818" max="2818" width="16.83203125" style="28" customWidth="1"/>
    <col min="2819" max="2819" width="20.33203125" style="28" customWidth="1"/>
    <col min="2820" max="2820" width="27.83203125" style="28" customWidth="1"/>
    <col min="2821" max="2821" width="3.5" style="28" customWidth="1"/>
    <col min="2822" max="2822" width="14" style="28" bestFit="1" customWidth="1"/>
    <col min="2823" max="2823" width="8.5" style="28" customWidth="1"/>
    <col min="2824" max="3073" width="11.5" style="28"/>
    <col min="3074" max="3074" width="16.83203125" style="28" customWidth="1"/>
    <col min="3075" max="3075" width="20.33203125" style="28" customWidth="1"/>
    <col min="3076" max="3076" width="27.83203125" style="28" customWidth="1"/>
    <col min="3077" max="3077" width="3.5" style="28" customWidth="1"/>
    <col min="3078" max="3078" width="14" style="28" bestFit="1" customWidth="1"/>
    <col min="3079" max="3079" width="8.5" style="28" customWidth="1"/>
    <col min="3080" max="3329" width="11.5" style="28"/>
    <col min="3330" max="3330" width="16.83203125" style="28" customWidth="1"/>
    <col min="3331" max="3331" width="20.33203125" style="28" customWidth="1"/>
    <col min="3332" max="3332" width="27.83203125" style="28" customWidth="1"/>
    <col min="3333" max="3333" width="3.5" style="28" customWidth="1"/>
    <col min="3334" max="3334" width="14" style="28" bestFit="1" customWidth="1"/>
    <col min="3335" max="3335" width="8.5" style="28" customWidth="1"/>
    <col min="3336" max="3585" width="11.5" style="28"/>
    <col min="3586" max="3586" width="16.83203125" style="28" customWidth="1"/>
    <col min="3587" max="3587" width="20.33203125" style="28" customWidth="1"/>
    <col min="3588" max="3588" width="27.83203125" style="28" customWidth="1"/>
    <col min="3589" max="3589" width="3.5" style="28" customWidth="1"/>
    <col min="3590" max="3590" width="14" style="28" bestFit="1" customWidth="1"/>
    <col min="3591" max="3591" width="8.5" style="28" customWidth="1"/>
    <col min="3592" max="3841" width="11.5" style="28"/>
    <col min="3842" max="3842" width="16.83203125" style="28" customWidth="1"/>
    <col min="3843" max="3843" width="20.33203125" style="28" customWidth="1"/>
    <col min="3844" max="3844" width="27.83203125" style="28" customWidth="1"/>
    <col min="3845" max="3845" width="3.5" style="28" customWidth="1"/>
    <col min="3846" max="3846" width="14" style="28" bestFit="1" customWidth="1"/>
    <col min="3847" max="3847" width="8.5" style="28" customWidth="1"/>
    <col min="3848" max="4097" width="11.5" style="28"/>
    <col min="4098" max="4098" width="16.83203125" style="28" customWidth="1"/>
    <col min="4099" max="4099" width="20.33203125" style="28" customWidth="1"/>
    <col min="4100" max="4100" width="27.83203125" style="28" customWidth="1"/>
    <col min="4101" max="4101" width="3.5" style="28" customWidth="1"/>
    <col min="4102" max="4102" width="14" style="28" bestFit="1" customWidth="1"/>
    <col min="4103" max="4103" width="8.5" style="28" customWidth="1"/>
    <col min="4104" max="4353" width="11.5" style="28"/>
    <col min="4354" max="4354" width="16.83203125" style="28" customWidth="1"/>
    <col min="4355" max="4355" width="20.33203125" style="28" customWidth="1"/>
    <col min="4356" max="4356" width="27.83203125" style="28" customWidth="1"/>
    <col min="4357" max="4357" width="3.5" style="28" customWidth="1"/>
    <col min="4358" max="4358" width="14" style="28" bestFit="1" customWidth="1"/>
    <col min="4359" max="4359" width="8.5" style="28" customWidth="1"/>
    <col min="4360" max="4609" width="11.5" style="28"/>
    <col min="4610" max="4610" width="16.83203125" style="28" customWidth="1"/>
    <col min="4611" max="4611" width="20.33203125" style="28" customWidth="1"/>
    <col min="4612" max="4612" width="27.83203125" style="28" customWidth="1"/>
    <col min="4613" max="4613" width="3.5" style="28" customWidth="1"/>
    <col min="4614" max="4614" width="14" style="28" bestFit="1" customWidth="1"/>
    <col min="4615" max="4615" width="8.5" style="28" customWidth="1"/>
    <col min="4616" max="4865" width="11.5" style="28"/>
    <col min="4866" max="4866" width="16.83203125" style="28" customWidth="1"/>
    <col min="4867" max="4867" width="20.33203125" style="28" customWidth="1"/>
    <col min="4868" max="4868" width="27.83203125" style="28" customWidth="1"/>
    <col min="4869" max="4869" width="3.5" style="28" customWidth="1"/>
    <col min="4870" max="4870" width="14" style="28" bestFit="1" customWidth="1"/>
    <col min="4871" max="4871" width="8.5" style="28" customWidth="1"/>
    <col min="4872" max="5121" width="11.5" style="28"/>
    <col min="5122" max="5122" width="16.83203125" style="28" customWidth="1"/>
    <col min="5123" max="5123" width="20.33203125" style="28" customWidth="1"/>
    <col min="5124" max="5124" width="27.83203125" style="28" customWidth="1"/>
    <col min="5125" max="5125" width="3.5" style="28" customWidth="1"/>
    <col min="5126" max="5126" width="14" style="28" bestFit="1" customWidth="1"/>
    <col min="5127" max="5127" width="8.5" style="28" customWidth="1"/>
    <col min="5128" max="5377" width="11.5" style="28"/>
    <col min="5378" max="5378" width="16.83203125" style="28" customWidth="1"/>
    <col min="5379" max="5379" width="20.33203125" style="28" customWidth="1"/>
    <col min="5380" max="5380" width="27.83203125" style="28" customWidth="1"/>
    <col min="5381" max="5381" width="3.5" style="28" customWidth="1"/>
    <col min="5382" max="5382" width="14" style="28" bestFit="1" customWidth="1"/>
    <col min="5383" max="5383" width="8.5" style="28" customWidth="1"/>
    <col min="5384" max="5633" width="11.5" style="28"/>
    <col min="5634" max="5634" width="16.83203125" style="28" customWidth="1"/>
    <col min="5635" max="5635" width="20.33203125" style="28" customWidth="1"/>
    <col min="5636" max="5636" width="27.83203125" style="28" customWidth="1"/>
    <col min="5637" max="5637" width="3.5" style="28" customWidth="1"/>
    <col min="5638" max="5638" width="14" style="28" bestFit="1" customWidth="1"/>
    <col min="5639" max="5639" width="8.5" style="28" customWidth="1"/>
    <col min="5640" max="5889" width="11.5" style="28"/>
    <col min="5890" max="5890" width="16.83203125" style="28" customWidth="1"/>
    <col min="5891" max="5891" width="20.33203125" style="28" customWidth="1"/>
    <col min="5892" max="5892" width="27.83203125" style="28" customWidth="1"/>
    <col min="5893" max="5893" width="3.5" style="28" customWidth="1"/>
    <col min="5894" max="5894" width="14" style="28" bestFit="1" customWidth="1"/>
    <col min="5895" max="5895" width="8.5" style="28" customWidth="1"/>
    <col min="5896" max="6145" width="11.5" style="28"/>
    <col min="6146" max="6146" width="16.83203125" style="28" customWidth="1"/>
    <col min="6147" max="6147" width="20.33203125" style="28" customWidth="1"/>
    <col min="6148" max="6148" width="27.83203125" style="28" customWidth="1"/>
    <col min="6149" max="6149" width="3.5" style="28" customWidth="1"/>
    <col min="6150" max="6150" width="14" style="28" bestFit="1" customWidth="1"/>
    <col min="6151" max="6151" width="8.5" style="28" customWidth="1"/>
    <col min="6152" max="6401" width="11.5" style="28"/>
    <col min="6402" max="6402" width="16.83203125" style="28" customWidth="1"/>
    <col min="6403" max="6403" width="20.33203125" style="28" customWidth="1"/>
    <col min="6404" max="6404" width="27.83203125" style="28" customWidth="1"/>
    <col min="6405" max="6405" width="3.5" style="28" customWidth="1"/>
    <col min="6406" max="6406" width="14" style="28" bestFit="1" customWidth="1"/>
    <col min="6407" max="6407" width="8.5" style="28" customWidth="1"/>
    <col min="6408" max="6657" width="11.5" style="28"/>
    <col min="6658" max="6658" width="16.83203125" style="28" customWidth="1"/>
    <col min="6659" max="6659" width="20.33203125" style="28" customWidth="1"/>
    <col min="6660" max="6660" width="27.83203125" style="28" customWidth="1"/>
    <col min="6661" max="6661" width="3.5" style="28" customWidth="1"/>
    <col min="6662" max="6662" width="14" style="28" bestFit="1" customWidth="1"/>
    <col min="6663" max="6663" width="8.5" style="28" customWidth="1"/>
    <col min="6664" max="6913" width="11.5" style="28"/>
    <col min="6914" max="6914" width="16.83203125" style="28" customWidth="1"/>
    <col min="6915" max="6915" width="20.33203125" style="28" customWidth="1"/>
    <col min="6916" max="6916" width="27.83203125" style="28" customWidth="1"/>
    <col min="6917" max="6917" width="3.5" style="28" customWidth="1"/>
    <col min="6918" max="6918" width="14" style="28" bestFit="1" customWidth="1"/>
    <col min="6919" max="6919" width="8.5" style="28" customWidth="1"/>
    <col min="6920" max="7169" width="11.5" style="28"/>
    <col min="7170" max="7170" width="16.83203125" style="28" customWidth="1"/>
    <col min="7171" max="7171" width="20.33203125" style="28" customWidth="1"/>
    <col min="7172" max="7172" width="27.83203125" style="28" customWidth="1"/>
    <col min="7173" max="7173" width="3.5" style="28" customWidth="1"/>
    <col min="7174" max="7174" width="14" style="28" bestFit="1" customWidth="1"/>
    <col min="7175" max="7175" width="8.5" style="28" customWidth="1"/>
    <col min="7176" max="7425" width="11.5" style="28"/>
    <col min="7426" max="7426" width="16.83203125" style="28" customWidth="1"/>
    <col min="7427" max="7427" width="20.33203125" style="28" customWidth="1"/>
    <col min="7428" max="7428" width="27.83203125" style="28" customWidth="1"/>
    <col min="7429" max="7429" width="3.5" style="28" customWidth="1"/>
    <col min="7430" max="7430" width="14" style="28" bestFit="1" customWidth="1"/>
    <col min="7431" max="7431" width="8.5" style="28" customWidth="1"/>
    <col min="7432" max="7681" width="11.5" style="28"/>
    <col min="7682" max="7682" width="16.83203125" style="28" customWidth="1"/>
    <col min="7683" max="7683" width="20.33203125" style="28" customWidth="1"/>
    <col min="7684" max="7684" width="27.83203125" style="28" customWidth="1"/>
    <col min="7685" max="7685" width="3.5" style="28" customWidth="1"/>
    <col min="7686" max="7686" width="14" style="28" bestFit="1" customWidth="1"/>
    <col min="7687" max="7687" width="8.5" style="28" customWidth="1"/>
    <col min="7688" max="7937" width="11.5" style="28"/>
    <col min="7938" max="7938" width="16.83203125" style="28" customWidth="1"/>
    <col min="7939" max="7939" width="20.33203125" style="28" customWidth="1"/>
    <col min="7940" max="7940" width="27.83203125" style="28" customWidth="1"/>
    <col min="7941" max="7941" width="3.5" style="28" customWidth="1"/>
    <col min="7942" max="7942" width="14" style="28" bestFit="1" customWidth="1"/>
    <col min="7943" max="7943" width="8.5" style="28" customWidth="1"/>
    <col min="7944" max="8193" width="11.5" style="28"/>
    <col min="8194" max="8194" width="16.83203125" style="28" customWidth="1"/>
    <col min="8195" max="8195" width="20.33203125" style="28" customWidth="1"/>
    <col min="8196" max="8196" width="27.83203125" style="28" customWidth="1"/>
    <col min="8197" max="8197" width="3.5" style="28" customWidth="1"/>
    <col min="8198" max="8198" width="14" style="28" bestFit="1" customWidth="1"/>
    <col min="8199" max="8199" width="8.5" style="28" customWidth="1"/>
    <col min="8200" max="8449" width="11.5" style="28"/>
    <col min="8450" max="8450" width="16.83203125" style="28" customWidth="1"/>
    <col min="8451" max="8451" width="20.33203125" style="28" customWidth="1"/>
    <col min="8452" max="8452" width="27.83203125" style="28" customWidth="1"/>
    <col min="8453" max="8453" width="3.5" style="28" customWidth="1"/>
    <col min="8454" max="8454" width="14" style="28" bestFit="1" customWidth="1"/>
    <col min="8455" max="8455" width="8.5" style="28" customWidth="1"/>
    <col min="8456" max="8705" width="11.5" style="28"/>
    <col min="8706" max="8706" width="16.83203125" style="28" customWidth="1"/>
    <col min="8707" max="8707" width="20.33203125" style="28" customWidth="1"/>
    <col min="8708" max="8708" width="27.83203125" style="28" customWidth="1"/>
    <col min="8709" max="8709" width="3.5" style="28" customWidth="1"/>
    <col min="8710" max="8710" width="14" style="28" bestFit="1" customWidth="1"/>
    <col min="8711" max="8711" width="8.5" style="28" customWidth="1"/>
    <col min="8712" max="8961" width="11.5" style="28"/>
    <col min="8962" max="8962" width="16.83203125" style="28" customWidth="1"/>
    <col min="8963" max="8963" width="20.33203125" style="28" customWidth="1"/>
    <col min="8964" max="8964" width="27.83203125" style="28" customWidth="1"/>
    <col min="8965" max="8965" width="3.5" style="28" customWidth="1"/>
    <col min="8966" max="8966" width="14" style="28" bestFit="1" customWidth="1"/>
    <col min="8967" max="8967" width="8.5" style="28" customWidth="1"/>
    <col min="8968" max="9217" width="11.5" style="28"/>
    <col min="9218" max="9218" width="16.83203125" style="28" customWidth="1"/>
    <col min="9219" max="9219" width="20.33203125" style="28" customWidth="1"/>
    <col min="9220" max="9220" width="27.83203125" style="28" customWidth="1"/>
    <col min="9221" max="9221" width="3.5" style="28" customWidth="1"/>
    <col min="9222" max="9222" width="14" style="28" bestFit="1" customWidth="1"/>
    <col min="9223" max="9223" width="8.5" style="28" customWidth="1"/>
    <col min="9224" max="9473" width="11.5" style="28"/>
    <col min="9474" max="9474" width="16.83203125" style="28" customWidth="1"/>
    <col min="9475" max="9475" width="20.33203125" style="28" customWidth="1"/>
    <col min="9476" max="9476" width="27.83203125" style="28" customWidth="1"/>
    <col min="9477" max="9477" width="3.5" style="28" customWidth="1"/>
    <col min="9478" max="9478" width="14" style="28" bestFit="1" customWidth="1"/>
    <col min="9479" max="9479" width="8.5" style="28" customWidth="1"/>
    <col min="9480" max="9729" width="11.5" style="28"/>
    <col min="9730" max="9730" width="16.83203125" style="28" customWidth="1"/>
    <col min="9731" max="9731" width="20.33203125" style="28" customWidth="1"/>
    <col min="9732" max="9732" width="27.83203125" style="28" customWidth="1"/>
    <col min="9733" max="9733" width="3.5" style="28" customWidth="1"/>
    <col min="9734" max="9734" width="14" style="28" bestFit="1" customWidth="1"/>
    <col min="9735" max="9735" width="8.5" style="28" customWidth="1"/>
    <col min="9736" max="9985" width="11.5" style="28"/>
    <col min="9986" max="9986" width="16.83203125" style="28" customWidth="1"/>
    <col min="9987" max="9987" width="20.33203125" style="28" customWidth="1"/>
    <col min="9988" max="9988" width="27.83203125" style="28" customWidth="1"/>
    <col min="9989" max="9989" width="3.5" style="28" customWidth="1"/>
    <col min="9990" max="9990" width="14" style="28" bestFit="1" customWidth="1"/>
    <col min="9991" max="9991" width="8.5" style="28" customWidth="1"/>
    <col min="9992" max="10241" width="11.5" style="28"/>
    <col min="10242" max="10242" width="16.83203125" style="28" customWidth="1"/>
    <col min="10243" max="10243" width="20.33203125" style="28" customWidth="1"/>
    <col min="10244" max="10244" width="27.83203125" style="28" customWidth="1"/>
    <col min="10245" max="10245" width="3.5" style="28" customWidth="1"/>
    <col min="10246" max="10246" width="14" style="28" bestFit="1" customWidth="1"/>
    <col min="10247" max="10247" width="8.5" style="28" customWidth="1"/>
    <col min="10248" max="10497" width="11.5" style="28"/>
    <col min="10498" max="10498" width="16.83203125" style="28" customWidth="1"/>
    <col min="10499" max="10499" width="20.33203125" style="28" customWidth="1"/>
    <col min="10500" max="10500" width="27.83203125" style="28" customWidth="1"/>
    <col min="10501" max="10501" width="3.5" style="28" customWidth="1"/>
    <col min="10502" max="10502" width="14" style="28" bestFit="1" customWidth="1"/>
    <col min="10503" max="10503" width="8.5" style="28" customWidth="1"/>
    <col min="10504" max="10753" width="11.5" style="28"/>
    <col min="10754" max="10754" width="16.83203125" style="28" customWidth="1"/>
    <col min="10755" max="10755" width="20.33203125" style="28" customWidth="1"/>
    <col min="10756" max="10756" width="27.83203125" style="28" customWidth="1"/>
    <col min="10757" max="10757" width="3.5" style="28" customWidth="1"/>
    <col min="10758" max="10758" width="14" style="28" bestFit="1" customWidth="1"/>
    <col min="10759" max="10759" width="8.5" style="28" customWidth="1"/>
    <col min="10760" max="11009" width="11.5" style="28"/>
    <col min="11010" max="11010" width="16.83203125" style="28" customWidth="1"/>
    <col min="11011" max="11011" width="20.33203125" style="28" customWidth="1"/>
    <col min="11012" max="11012" width="27.83203125" style="28" customWidth="1"/>
    <col min="11013" max="11013" width="3.5" style="28" customWidth="1"/>
    <col min="11014" max="11014" width="14" style="28" bestFit="1" customWidth="1"/>
    <col min="11015" max="11015" width="8.5" style="28" customWidth="1"/>
    <col min="11016" max="11265" width="11.5" style="28"/>
    <col min="11266" max="11266" width="16.83203125" style="28" customWidth="1"/>
    <col min="11267" max="11267" width="20.33203125" style="28" customWidth="1"/>
    <col min="11268" max="11268" width="27.83203125" style="28" customWidth="1"/>
    <col min="11269" max="11269" width="3.5" style="28" customWidth="1"/>
    <col min="11270" max="11270" width="14" style="28" bestFit="1" customWidth="1"/>
    <col min="11271" max="11271" width="8.5" style="28" customWidth="1"/>
    <col min="11272" max="11521" width="11.5" style="28"/>
    <col min="11522" max="11522" width="16.83203125" style="28" customWidth="1"/>
    <col min="11523" max="11523" width="20.33203125" style="28" customWidth="1"/>
    <col min="11524" max="11524" width="27.83203125" style="28" customWidth="1"/>
    <col min="11525" max="11525" width="3.5" style="28" customWidth="1"/>
    <col min="11526" max="11526" width="14" style="28" bestFit="1" customWidth="1"/>
    <col min="11527" max="11527" width="8.5" style="28" customWidth="1"/>
    <col min="11528" max="11777" width="11.5" style="28"/>
    <col min="11778" max="11778" width="16.83203125" style="28" customWidth="1"/>
    <col min="11779" max="11779" width="20.33203125" style="28" customWidth="1"/>
    <col min="11780" max="11780" width="27.83203125" style="28" customWidth="1"/>
    <col min="11781" max="11781" width="3.5" style="28" customWidth="1"/>
    <col min="11782" max="11782" width="14" style="28" bestFit="1" customWidth="1"/>
    <col min="11783" max="11783" width="8.5" style="28" customWidth="1"/>
    <col min="11784" max="12033" width="11.5" style="28"/>
    <col min="12034" max="12034" width="16.83203125" style="28" customWidth="1"/>
    <col min="12035" max="12035" width="20.33203125" style="28" customWidth="1"/>
    <col min="12036" max="12036" width="27.83203125" style="28" customWidth="1"/>
    <col min="12037" max="12037" width="3.5" style="28" customWidth="1"/>
    <col min="12038" max="12038" width="14" style="28" bestFit="1" customWidth="1"/>
    <col min="12039" max="12039" width="8.5" style="28" customWidth="1"/>
    <col min="12040" max="12289" width="11.5" style="28"/>
    <col min="12290" max="12290" width="16.83203125" style="28" customWidth="1"/>
    <col min="12291" max="12291" width="20.33203125" style="28" customWidth="1"/>
    <col min="12292" max="12292" width="27.83203125" style="28" customWidth="1"/>
    <col min="12293" max="12293" width="3.5" style="28" customWidth="1"/>
    <col min="12294" max="12294" width="14" style="28" bestFit="1" customWidth="1"/>
    <col min="12295" max="12295" width="8.5" style="28" customWidth="1"/>
    <col min="12296" max="12545" width="11.5" style="28"/>
    <col min="12546" max="12546" width="16.83203125" style="28" customWidth="1"/>
    <col min="12547" max="12547" width="20.33203125" style="28" customWidth="1"/>
    <col min="12548" max="12548" width="27.83203125" style="28" customWidth="1"/>
    <col min="12549" max="12549" width="3.5" style="28" customWidth="1"/>
    <col min="12550" max="12550" width="14" style="28" bestFit="1" customWidth="1"/>
    <col min="12551" max="12551" width="8.5" style="28" customWidth="1"/>
    <col min="12552" max="12801" width="11.5" style="28"/>
    <col min="12802" max="12802" width="16.83203125" style="28" customWidth="1"/>
    <col min="12803" max="12803" width="20.33203125" style="28" customWidth="1"/>
    <col min="12804" max="12804" width="27.83203125" style="28" customWidth="1"/>
    <col min="12805" max="12805" width="3.5" style="28" customWidth="1"/>
    <col min="12806" max="12806" width="14" style="28" bestFit="1" customWidth="1"/>
    <col min="12807" max="12807" width="8.5" style="28" customWidth="1"/>
    <col min="12808" max="13057" width="11.5" style="28"/>
    <col min="13058" max="13058" width="16.83203125" style="28" customWidth="1"/>
    <col min="13059" max="13059" width="20.33203125" style="28" customWidth="1"/>
    <col min="13060" max="13060" width="27.83203125" style="28" customWidth="1"/>
    <col min="13061" max="13061" width="3.5" style="28" customWidth="1"/>
    <col min="13062" max="13062" width="14" style="28" bestFit="1" customWidth="1"/>
    <col min="13063" max="13063" width="8.5" style="28" customWidth="1"/>
    <col min="13064" max="13313" width="11.5" style="28"/>
    <col min="13314" max="13314" width="16.83203125" style="28" customWidth="1"/>
    <col min="13315" max="13315" width="20.33203125" style="28" customWidth="1"/>
    <col min="13316" max="13316" width="27.83203125" style="28" customWidth="1"/>
    <col min="13317" max="13317" width="3.5" style="28" customWidth="1"/>
    <col min="13318" max="13318" width="14" style="28" bestFit="1" customWidth="1"/>
    <col min="13319" max="13319" width="8.5" style="28" customWidth="1"/>
    <col min="13320" max="13569" width="11.5" style="28"/>
    <col min="13570" max="13570" width="16.83203125" style="28" customWidth="1"/>
    <col min="13571" max="13571" width="20.33203125" style="28" customWidth="1"/>
    <col min="13572" max="13572" width="27.83203125" style="28" customWidth="1"/>
    <col min="13573" max="13573" width="3.5" style="28" customWidth="1"/>
    <col min="13574" max="13574" width="14" style="28" bestFit="1" customWidth="1"/>
    <col min="13575" max="13575" width="8.5" style="28" customWidth="1"/>
    <col min="13576" max="13825" width="11.5" style="28"/>
    <col min="13826" max="13826" width="16.83203125" style="28" customWidth="1"/>
    <col min="13827" max="13827" width="20.33203125" style="28" customWidth="1"/>
    <col min="13828" max="13828" width="27.83203125" style="28" customWidth="1"/>
    <col min="13829" max="13829" width="3.5" style="28" customWidth="1"/>
    <col min="13830" max="13830" width="14" style="28" bestFit="1" customWidth="1"/>
    <col min="13831" max="13831" width="8.5" style="28" customWidth="1"/>
    <col min="13832" max="14081" width="11.5" style="28"/>
    <col min="14082" max="14082" width="16.83203125" style="28" customWidth="1"/>
    <col min="14083" max="14083" width="20.33203125" style="28" customWidth="1"/>
    <col min="14084" max="14084" width="27.83203125" style="28" customWidth="1"/>
    <col min="14085" max="14085" width="3.5" style="28" customWidth="1"/>
    <col min="14086" max="14086" width="14" style="28" bestFit="1" customWidth="1"/>
    <col min="14087" max="14087" width="8.5" style="28" customWidth="1"/>
    <col min="14088" max="14337" width="11.5" style="28"/>
    <col min="14338" max="14338" width="16.83203125" style="28" customWidth="1"/>
    <col min="14339" max="14339" width="20.33203125" style="28" customWidth="1"/>
    <col min="14340" max="14340" width="27.83203125" style="28" customWidth="1"/>
    <col min="14341" max="14341" width="3.5" style="28" customWidth="1"/>
    <col min="14342" max="14342" width="14" style="28" bestFit="1" customWidth="1"/>
    <col min="14343" max="14343" width="8.5" style="28" customWidth="1"/>
    <col min="14344" max="14593" width="11.5" style="28"/>
    <col min="14594" max="14594" width="16.83203125" style="28" customWidth="1"/>
    <col min="14595" max="14595" width="20.33203125" style="28" customWidth="1"/>
    <col min="14596" max="14596" width="27.83203125" style="28" customWidth="1"/>
    <col min="14597" max="14597" width="3.5" style="28" customWidth="1"/>
    <col min="14598" max="14598" width="14" style="28" bestFit="1" customWidth="1"/>
    <col min="14599" max="14599" width="8.5" style="28" customWidth="1"/>
    <col min="14600" max="14849" width="11.5" style="28"/>
    <col min="14850" max="14850" width="16.83203125" style="28" customWidth="1"/>
    <col min="14851" max="14851" width="20.33203125" style="28" customWidth="1"/>
    <col min="14852" max="14852" width="27.83203125" style="28" customWidth="1"/>
    <col min="14853" max="14853" width="3.5" style="28" customWidth="1"/>
    <col min="14854" max="14854" width="14" style="28" bestFit="1" customWidth="1"/>
    <col min="14855" max="14855" width="8.5" style="28" customWidth="1"/>
    <col min="14856" max="15105" width="11.5" style="28"/>
    <col min="15106" max="15106" width="16.83203125" style="28" customWidth="1"/>
    <col min="15107" max="15107" width="20.33203125" style="28" customWidth="1"/>
    <col min="15108" max="15108" width="27.83203125" style="28" customWidth="1"/>
    <col min="15109" max="15109" width="3.5" style="28" customWidth="1"/>
    <col min="15110" max="15110" width="14" style="28" bestFit="1" customWidth="1"/>
    <col min="15111" max="15111" width="8.5" style="28" customWidth="1"/>
    <col min="15112" max="15361" width="11.5" style="28"/>
    <col min="15362" max="15362" width="16.83203125" style="28" customWidth="1"/>
    <col min="15363" max="15363" width="20.33203125" style="28" customWidth="1"/>
    <col min="15364" max="15364" width="27.83203125" style="28" customWidth="1"/>
    <col min="15365" max="15365" width="3.5" style="28" customWidth="1"/>
    <col min="15366" max="15366" width="14" style="28" bestFit="1" customWidth="1"/>
    <col min="15367" max="15367" width="8.5" style="28" customWidth="1"/>
    <col min="15368" max="15617" width="11.5" style="28"/>
    <col min="15618" max="15618" width="16.83203125" style="28" customWidth="1"/>
    <col min="15619" max="15619" width="20.33203125" style="28" customWidth="1"/>
    <col min="15620" max="15620" width="27.83203125" style="28" customWidth="1"/>
    <col min="15621" max="15621" width="3.5" style="28" customWidth="1"/>
    <col min="15622" max="15622" width="14" style="28" bestFit="1" customWidth="1"/>
    <col min="15623" max="15623" width="8.5" style="28" customWidth="1"/>
    <col min="15624" max="15873" width="11.5" style="28"/>
    <col min="15874" max="15874" width="16.83203125" style="28" customWidth="1"/>
    <col min="15875" max="15875" width="20.33203125" style="28" customWidth="1"/>
    <col min="15876" max="15876" width="27.83203125" style="28" customWidth="1"/>
    <col min="15877" max="15877" width="3.5" style="28" customWidth="1"/>
    <col min="15878" max="15878" width="14" style="28" bestFit="1" customWidth="1"/>
    <col min="15879" max="15879" width="8.5" style="28" customWidth="1"/>
    <col min="15880" max="16129" width="11.5" style="28"/>
    <col min="16130" max="16130" width="16.83203125" style="28" customWidth="1"/>
    <col min="16131" max="16131" width="20.33203125" style="28" customWidth="1"/>
    <col min="16132" max="16132" width="27.83203125" style="28" customWidth="1"/>
    <col min="16133" max="16133" width="3.5" style="28" customWidth="1"/>
    <col min="16134" max="16134" width="14" style="28" bestFit="1" customWidth="1"/>
    <col min="16135" max="16135" width="8.5" style="28" customWidth="1"/>
    <col min="16136" max="16384" width="11.5" style="28"/>
  </cols>
  <sheetData>
    <row r="1" spans="1:5">
      <c r="A1" s="284" t="s">
        <v>121</v>
      </c>
      <c r="B1" s="285"/>
      <c r="C1" s="285"/>
      <c r="D1" s="286"/>
    </row>
    <row r="2" spans="1:5" ht="30">
      <c r="A2" s="29" t="s">
        <v>122</v>
      </c>
      <c r="B2" s="30" t="s">
        <v>123</v>
      </c>
      <c r="C2" s="30" t="s">
        <v>124</v>
      </c>
      <c r="D2" s="31" t="s">
        <v>125</v>
      </c>
      <c r="E2" s="32"/>
    </row>
    <row r="3" spans="1:5" ht="119.25" customHeight="1">
      <c r="A3" s="33" t="s">
        <v>126</v>
      </c>
      <c r="B3" s="34" t="s">
        <v>127</v>
      </c>
      <c r="C3" s="34" t="s">
        <v>128</v>
      </c>
      <c r="D3" s="35" t="s">
        <v>129</v>
      </c>
    </row>
    <row r="4" spans="1:5" ht="181" thickBot="1">
      <c r="A4" s="36" t="s">
        <v>130</v>
      </c>
      <c r="B4" s="37" t="s">
        <v>131</v>
      </c>
      <c r="C4" s="37" t="s">
        <v>132</v>
      </c>
      <c r="D4" s="38" t="s">
        <v>133</v>
      </c>
    </row>
    <row r="5" spans="1:5">
      <c r="B5" s="39"/>
      <c r="C5" s="39"/>
      <c r="D5" s="39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zoomScaleNormal="100" zoomScaleSheetLayoutView="100" workbookViewId="0">
      <selection activeCell="C8" sqref="C8"/>
    </sheetView>
  </sheetViews>
  <sheetFormatPr baseColWidth="10" defaultRowHeight="15"/>
  <cols>
    <col min="2" max="2" width="8.83203125" customWidth="1"/>
    <col min="3" max="3" width="54.6640625" customWidth="1"/>
    <col min="258" max="258" width="8.83203125" customWidth="1"/>
    <col min="259" max="259" width="54.6640625" customWidth="1"/>
    <col min="514" max="514" width="8.83203125" customWidth="1"/>
    <col min="515" max="515" width="54.6640625" customWidth="1"/>
    <col min="770" max="770" width="8.83203125" customWidth="1"/>
    <col min="771" max="771" width="54.6640625" customWidth="1"/>
    <col min="1026" max="1026" width="8.83203125" customWidth="1"/>
    <col min="1027" max="1027" width="54.6640625" customWidth="1"/>
    <col min="1282" max="1282" width="8.83203125" customWidth="1"/>
    <col min="1283" max="1283" width="54.6640625" customWidth="1"/>
    <col min="1538" max="1538" width="8.83203125" customWidth="1"/>
    <col min="1539" max="1539" width="54.6640625" customWidth="1"/>
    <col min="1794" max="1794" width="8.83203125" customWidth="1"/>
    <col min="1795" max="1795" width="54.6640625" customWidth="1"/>
    <col min="2050" max="2050" width="8.83203125" customWidth="1"/>
    <col min="2051" max="2051" width="54.6640625" customWidth="1"/>
    <col min="2306" max="2306" width="8.83203125" customWidth="1"/>
    <col min="2307" max="2307" width="54.6640625" customWidth="1"/>
    <col min="2562" max="2562" width="8.83203125" customWidth="1"/>
    <col min="2563" max="2563" width="54.6640625" customWidth="1"/>
    <col min="2818" max="2818" width="8.83203125" customWidth="1"/>
    <col min="2819" max="2819" width="54.6640625" customWidth="1"/>
    <col min="3074" max="3074" width="8.83203125" customWidth="1"/>
    <col min="3075" max="3075" width="54.6640625" customWidth="1"/>
    <col min="3330" max="3330" width="8.83203125" customWidth="1"/>
    <col min="3331" max="3331" width="54.6640625" customWidth="1"/>
    <col min="3586" max="3586" width="8.83203125" customWidth="1"/>
    <col min="3587" max="3587" width="54.6640625" customWidth="1"/>
    <col min="3842" max="3842" width="8.83203125" customWidth="1"/>
    <col min="3843" max="3843" width="54.6640625" customWidth="1"/>
    <col min="4098" max="4098" width="8.83203125" customWidth="1"/>
    <col min="4099" max="4099" width="54.6640625" customWidth="1"/>
    <col min="4354" max="4354" width="8.83203125" customWidth="1"/>
    <col min="4355" max="4355" width="54.6640625" customWidth="1"/>
    <col min="4610" max="4610" width="8.83203125" customWidth="1"/>
    <col min="4611" max="4611" width="54.6640625" customWidth="1"/>
    <col min="4866" max="4866" width="8.83203125" customWidth="1"/>
    <col min="4867" max="4867" width="54.6640625" customWidth="1"/>
    <col min="5122" max="5122" width="8.83203125" customWidth="1"/>
    <col min="5123" max="5123" width="54.6640625" customWidth="1"/>
    <col min="5378" max="5378" width="8.83203125" customWidth="1"/>
    <col min="5379" max="5379" width="54.6640625" customWidth="1"/>
    <col min="5634" max="5634" width="8.83203125" customWidth="1"/>
    <col min="5635" max="5635" width="54.6640625" customWidth="1"/>
    <col min="5890" max="5890" width="8.83203125" customWidth="1"/>
    <col min="5891" max="5891" width="54.6640625" customWidth="1"/>
    <col min="6146" max="6146" width="8.83203125" customWidth="1"/>
    <col min="6147" max="6147" width="54.6640625" customWidth="1"/>
    <col min="6402" max="6402" width="8.83203125" customWidth="1"/>
    <col min="6403" max="6403" width="54.6640625" customWidth="1"/>
    <col min="6658" max="6658" width="8.83203125" customWidth="1"/>
    <col min="6659" max="6659" width="54.6640625" customWidth="1"/>
    <col min="6914" max="6914" width="8.83203125" customWidth="1"/>
    <col min="6915" max="6915" width="54.6640625" customWidth="1"/>
    <col min="7170" max="7170" width="8.83203125" customWidth="1"/>
    <col min="7171" max="7171" width="54.6640625" customWidth="1"/>
    <col min="7426" max="7426" width="8.83203125" customWidth="1"/>
    <col min="7427" max="7427" width="54.6640625" customWidth="1"/>
    <col min="7682" max="7682" width="8.83203125" customWidth="1"/>
    <col min="7683" max="7683" width="54.6640625" customWidth="1"/>
    <col min="7938" max="7938" width="8.83203125" customWidth="1"/>
    <col min="7939" max="7939" width="54.6640625" customWidth="1"/>
    <col min="8194" max="8194" width="8.83203125" customWidth="1"/>
    <col min="8195" max="8195" width="54.6640625" customWidth="1"/>
    <col min="8450" max="8450" width="8.83203125" customWidth="1"/>
    <col min="8451" max="8451" width="54.6640625" customWidth="1"/>
    <col min="8706" max="8706" width="8.83203125" customWidth="1"/>
    <col min="8707" max="8707" width="54.6640625" customWidth="1"/>
    <col min="8962" max="8962" width="8.83203125" customWidth="1"/>
    <col min="8963" max="8963" width="54.6640625" customWidth="1"/>
    <col min="9218" max="9218" width="8.83203125" customWidth="1"/>
    <col min="9219" max="9219" width="54.6640625" customWidth="1"/>
    <col min="9474" max="9474" width="8.83203125" customWidth="1"/>
    <col min="9475" max="9475" width="54.6640625" customWidth="1"/>
    <col min="9730" max="9730" width="8.83203125" customWidth="1"/>
    <col min="9731" max="9731" width="54.6640625" customWidth="1"/>
    <col min="9986" max="9986" width="8.83203125" customWidth="1"/>
    <col min="9987" max="9987" width="54.6640625" customWidth="1"/>
    <col min="10242" max="10242" width="8.83203125" customWidth="1"/>
    <col min="10243" max="10243" width="54.6640625" customWidth="1"/>
    <col min="10498" max="10498" width="8.83203125" customWidth="1"/>
    <col min="10499" max="10499" width="54.6640625" customWidth="1"/>
    <col min="10754" max="10754" width="8.83203125" customWidth="1"/>
    <col min="10755" max="10755" width="54.6640625" customWidth="1"/>
    <col min="11010" max="11010" width="8.83203125" customWidth="1"/>
    <col min="11011" max="11011" width="54.6640625" customWidth="1"/>
    <col min="11266" max="11266" width="8.83203125" customWidth="1"/>
    <col min="11267" max="11267" width="54.6640625" customWidth="1"/>
    <col min="11522" max="11522" width="8.83203125" customWidth="1"/>
    <col min="11523" max="11523" width="54.6640625" customWidth="1"/>
    <col min="11778" max="11778" width="8.83203125" customWidth="1"/>
    <col min="11779" max="11779" width="54.6640625" customWidth="1"/>
    <col min="12034" max="12034" width="8.83203125" customWidth="1"/>
    <col min="12035" max="12035" width="54.6640625" customWidth="1"/>
    <col min="12290" max="12290" width="8.83203125" customWidth="1"/>
    <col min="12291" max="12291" width="54.6640625" customWidth="1"/>
    <col min="12546" max="12546" width="8.83203125" customWidth="1"/>
    <col min="12547" max="12547" width="54.6640625" customWidth="1"/>
    <col min="12802" max="12802" width="8.83203125" customWidth="1"/>
    <col min="12803" max="12803" width="54.6640625" customWidth="1"/>
    <col min="13058" max="13058" width="8.83203125" customWidth="1"/>
    <col min="13059" max="13059" width="54.6640625" customWidth="1"/>
    <col min="13314" max="13314" width="8.83203125" customWidth="1"/>
    <col min="13315" max="13315" width="54.6640625" customWidth="1"/>
    <col min="13570" max="13570" width="8.83203125" customWidth="1"/>
    <col min="13571" max="13571" width="54.6640625" customWidth="1"/>
    <col min="13826" max="13826" width="8.83203125" customWidth="1"/>
    <col min="13827" max="13827" width="54.6640625" customWidth="1"/>
    <col min="14082" max="14082" width="8.83203125" customWidth="1"/>
    <col min="14083" max="14083" width="54.6640625" customWidth="1"/>
    <col min="14338" max="14338" width="8.83203125" customWidth="1"/>
    <col min="14339" max="14339" width="54.6640625" customWidth="1"/>
    <col min="14594" max="14594" width="8.83203125" customWidth="1"/>
    <col min="14595" max="14595" width="54.6640625" customWidth="1"/>
    <col min="14850" max="14850" width="8.83203125" customWidth="1"/>
    <col min="14851" max="14851" width="54.6640625" customWidth="1"/>
    <col min="15106" max="15106" width="8.83203125" customWidth="1"/>
    <col min="15107" max="15107" width="54.6640625" customWidth="1"/>
    <col min="15362" max="15362" width="8.83203125" customWidth="1"/>
    <col min="15363" max="15363" width="54.6640625" customWidth="1"/>
    <col min="15618" max="15618" width="8.83203125" customWidth="1"/>
    <col min="15619" max="15619" width="54.6640625" customWidth="1"/>
    <col min="15874" max="15874" width="8.83203125" customWidth="1"/>
    <col min="15875" max="15875" width="54.6640625" customWidth="1"/>
    <col min="16130" max="16130" width="8.83203125" customWidth="1"/>
    <col min="16131" max="16131" width="54.6640625" customWidth="1"/>
  </cols>
  <sheetData>
    <row r="1" spans="1:3">
      <c r="A1" s="287" t="s">
        <v>134</v>
      </c>
      <c r="B1" s="288"/>
      <c r="C1" s="289"/>
    </row>
    <row r="2" spans="1:3" ht="30">
      <c r="A2" s="40" t="s">
        <v>14</v>
      </c>
      <c r="B2" s="41" t="s">
        <v>135</v>
      </c>
      <c r="C2" s="42" t="s">
        <v>136</v>
      </c>
    </row>
    <row r="3" spans="1:3" ht="59.25" customHeight="1">
      <c r="A3" s="33" t="s">
        <v>137</v>
      </c>
      <c r="B3" s="43">
        <v>10</v>
      </c>
      <c r="C3" s="35" t="s">
        <v>138</v>
      </c>
    </row>
    <row r="4" spans="1:3" ht="60" customHeight="1">
      <c r="A4" s="33" t="s">
        <v>139</v>
      </c>
      <c r="B4" s="43">
        <v>6</v>
      </c>
      <c r="C4" s="35" t="s">
        <v>140</v>
      </c>
    </row>
    <row r="5" spans="1:3" ht="60.75" customHeight="1">
      <c r="A5" s="33" t="s">
        <v>141</v>
      </c>
      <c r="B5" s="43">
        <v>2</v>
      </c>
      <c r="C5" s="35" t="s">
        <v>142</v>
      </c>
    </row>
    <row r="6" spans="1:3" ht="59.25" customHeight="1" thickBot="1">
      <c r="A6" s="36" t="s">
        <v>143</v>
      </c>
      <c r="B6" s="44" t="s">
        <v>144</v>
      </c>
      <c r="C6" s="38" t="s">
        <v>145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zoomScaleNormal="100" zoomScaleSheetLayoutView="100" workbookViewId="0">
      <selection sqref="A1:C1"/>
    </sheetView>
  </sheetViews>
  <sheetFormatPr baseColWidth="10" defaultRowHeight="15"/>
  <cols>
    <col min="1" max="1" width="17.5" customWidth="1"/>
    <col min="2" max="2" width="8.5" customWidth="1"/>
    <col min="3" max="3" width="62.5" customWidth="1"/>
    <col min="257" max="257" width="17.5" customWidth="1"/>
    <col min="258" max="258" width="8.5" customWidth="1"/>
    <col min="259" max="259" width="62.5" customWidth="1"/>
    <col min="513" max="513" width="17.5" customWidth="1"/>
    <col min="514" max="514" width="8.5" customWidth="1"/>
    <col min="515" max="515" width="62.5" customWidth="1"/>
    <col min="769" max="769" width="17.5" customWidth="1"/>
    <col min="770" max="770" width="8.5" customWidth="1"/>
    <col min="771" max="771" width="62.5" customWidth="1"/>
    <col min="1025" max="1025" width="17.5" customWidth="1"/>
    <col min="1026" max="1026" width="8.5" customWidth="1"/>
    <col min="1027" max="1027" width="62.5" customWidth="1"/>
    <col min="1281" max="1281" width="17.5" customWidth="1"/>
    <col min="1282" max="1282" width="8.5" customWidth="1"/>
    <col min="1283" max="1283" width="62.5" customWidth="1"/>
    <col min="1537" max="1537" width="17.5" customWidth="1"/>
    <col min="1538" max="1538" width="8.5" customWidth="1"/>
    <col min="1539" max="1539" width="62.5" customWidth="1"/>
    <col min="1793" max="1793" width="17.5" customWidth="1"/>
    <col min="1794" max="1794" width="8.5" customWidth="1"/>
    <col min="1795" max="1795" width="62.5" customWidth="1"/>
    <col min="2049" max="2049" width="17.5" customWidth="1"/>
    <col min="2050" max="2050" width="8.5" customWidth="1"/>
    <col min="2051" max="2051" width="62.5" customWidth="1"/>
    <col min="2305" max="2305" width="17.5" customWidth="1"/>
    <col min="2306" max="2306" width="8.5" customWidth="1"/>
    <col min="2307" max="2307" width="62.5" customWidth="1"/>
    <col min="2561" max="2561" width="17.5" customWidth="1"/>
    <col min="2562" max="2562" width="8.5" customWidth="1"/>
    <col min="2563" max="2563" width="62.5" customWidth="1"/>
    <col min="2817" max="2817" width="17.5" customWidth="1"/>
    <col min="2818" max="2818" width="8.5" customWidth="1"/>
    <col min="2819" max="2819" width="62.5" customWidth="1"/>
    <col min="3073" max="3073" width="17.5" customWidth="1"/>
    <col min="3074" max="3074" width="8.5" customWidth="1"/>
    <col min="3075" max="3075" width="62.5" customWidth="1"/>
    <col min="3329" max="3329" width="17.5" customWidth="1"/>
    <col min="3330" max="3330" width="8.5" customWidth="1"/>
    <col min="3331" max="3331" width="62.5" customWidth="1"/>
    <col min="3585" max="3585" width="17.5" customWidth="1"/>
    <col min="3586" max="3586" width="8.5" customWidth="1"/>
    <col min="3587" max="3587" width="62.5" customWidth="1"/>
    <col min="3841" max="3841" width="17.5" customWidth="1"/>
    <col min="3842" max="3842" width="8.5" customWidth="1"/>
    <col min="3843" max="3843" width="62.5" customWidth="1"/>
    <col min="4097" max="4097" width="17.5" customWidth="1"/>
    <col min="4098" max="4098" width="8.5" customWidth="1"/>
    <col min="4099" max="4099" width="62.5" customWidth="1"/>
    <col min="4353" max="4353" width="17.5" customWidth="1"/>
    <col min="4354" max="4354" width="8.5" customWidth="1"/>
    <col min="4355" max="4355" width="62.5" customWidth="1"/>
    <col min="4609" max="4609" width="17.5" customWidth="1"/>
    <col min="4610" max="4610" width="8.5" customWidth="1"/>
    <col min="4611" max="4611" width="62.5" customWidth="1"/>
    <col min="4865" max="4865" width="17.5" customWidth="1"/>
    <col min="4866" max="4866" width="8.5" customWidth="1"/>
    <col min="4867" max="4867" width="62.5" customWidth="1"/>
    <col min="5121" max="5121" width="17.5" customWidth="1"/>
    <col min="5122" max="5122" width="8.5" customWidth="1"/>
    <col min="5123" max="5123" width="62.5" customWidth="1"/>
    <col min="5377" max="5377" width="17.5" customWidth="1"/>
    <col min="5378" max="5378" width="8.5" customWidth="1"/>
    <col min="5379" max="5379" width="62.5" customWidth="1"/>
    <col min="5633" max="5633" width="17.5" customWidth="1"/>
    <col min="5634" max="5634" width="8.5" customWidth="1"/>
    <col min="5635" max="5635" width="62.5" customWidth="1"/>
    <col min="5889" max="5889" width="17.5" customWidth="1"/>
    <col min="5890" max="5890" width="8.5" customWidth="1"/>
    <col min="5891" max="5891" width="62.5" customWidth="1"/>
    <col min="6145" max="6145" width="17.5" customWidth="1"/>
    <col min="6146" max="6146" width="8.5" customWidth="1"/>
    <col min="6147" max="6147" width="62.5" customWidth="1"/>
    <col min="6401" max="6401" width="17.5" customWidth="1"/>
    <col min="6402" max="6402" width="8.5" customWidth="1"/>
    <col min="6403" max="6403" width="62.5" customWidth="1"/>
    <col min="6657" max="6657" width="17.5" customWidth="1"/>
    <col min="6658" max="6658" width="8.5" customWidth="1"/>
    <col min="6659" max="6659" width="62.5" customWidth="1"/>
    <col min="6913" max="6913" width="17.5" customWidth="1"/>
    <col min="6914" max="6914" width="8.5" customWidth="1"/>
    <col min="6915" max="6915" width="62.5" customWidth="1"/>
    <col min="7169" max="7169" width="17.5" customWidth="1"/>
    <col min="7170" max="7170" width="8.5" customWidth="1"/>
    <col min="7171" max="7171" width="62.5" customWidth="1"/>
    <col min="7425" max="7425" width="17.5" customWidth="1"/>
    <col min="7426" max="7426" width="8.5" customWidth="1"/>
    <col min="7427" max="7427" width="62.5" customWidth="1"/>
    <col min="7681" max="7681" width="17.5" customWidth="1"/>
    <col min="7682" max="7682" width="8.5" customWidth="1"/>
    <col min="7683" max="7683" width="62.5" customWidth="1"/>
    <col min="7937" max="7937" width="17.5" customWidth="1"/>
    <col min="7938" max="7938" width="8.5" customWidth="1"/>
    <col min="7939" max="7939" width="62.5" customWidth="1"/>
    <col min="8193" max="8193" width="17.5" customWidth="1"/>
    <col min="8194" max="8194" width="8.5" customWidth="1"/>
    <col min="8195" max="8195" width="62.5" customWidth="1"/>
    <col min="8449" max="8449" width="17.5" customWidth="1"/>
    <col min="8450" max="8450" width="8.5" customWidth="1"/>
    <col min="8451" max="8451" width="62.5" customWidth="1"/>
    <col min="8705" max="8705" width="17.5" customWidth="1"/>
    <col min="8706" max="8706" width="8.5" customWidth="1"/>
    <col min="8707" max="8707" width="62.5" customWidth="1"/>
    <col min="8961" max="8961" width="17.5" customWidth="1"/>
    <col min="8962" max="8962" width="8.5" customWidth="1"/>
    <col min="8963" max="8963" width="62.5" customWidth="1"/>
    <col min="9217" max="9217" width="17.5" customWidth="1"/>
    <col min="9218" max="9218" width="8.5" customWidth="1"/>
    <col min="9219" max="9219" width="62.5" customWidth="1"/>
    <col min="9473" max="9473" width="17.5" customWidth="1"/>
    <col min="9474" max="9474" width="8.5" customWidth="1"/>
    <col min="9475" max="9475" width="62.5" customWidth="1"/>
    <col min="9729" max="9729" width="17.5" customWidth="1"/>
    <col min="9730" max="9730" width="8.5" customWidth="1"/>
    <col min="9731" max="9731" width="62.5" customWidth="1"/>
    <col min="9985" max="9985" width="17.5" customWidth="1"/>
    <col min="9986" max="9986" width="8.5" customWidth="1"/>
    <col min="9987" max="9987" width="62.5" customWidth="1"/>
    <col min="10241" max="10241" width="17.5" customWidth="1"/>
    <col min="10242" max="10242" width="8.5" customWidth="1"/>
    <col min="10243" max="10243" width="62.5" customWidth="1"/>
    <col min="10497" max="10497" width="17.5" customWidth="1"/>
    <col min="10498" max="10498" width="8.5" customWidth="1"/>
    <col min="10499" max="10499" width="62.5" customWidth="1"/>
    <col min="10753" max="10753" width="17.5" customWidth="1"/>
    <col min="10754" max="10754" width="8.5" customWidth="1"/>
    <col min="10755" max="10755" width="62.5" customWidth="1"/>
    <col min="11009" max="11009" width="17.5" customWidth="1"/>
    <col min="11010" max="11010" width="8.5" customWidth="1"/>
    <col min="11011" max="11011" width="62.5" customWidth="1"/>
    <col min="11265" max="11265" width="17.5" customWidth="1"/>
    <col min="11266" max="11266" width="8.5" customWidth="1"/>
    <col min="11267" max="11267" width="62.5" customWidth="1"/>
    <col min="11521" max="11521" width="17.5" customWidth="1"/>
    <col min="11522" max="11522" width="8.5" customWidth="1"/>
    <col min="11523" max="11523" width="62.5" customWidth="1"/>
    <col min="11777" max="11777" width="17.5" customWidth="1"/>
    <col min="11778" max="11778" width="8.5" customWidth="1"/>
    <col min="11779" max="11779" width="62.5" customWidth="1"/>
    <col min="12033" max="12033" width="17.5" customWidth="1"/>
    <col min="12034" max="12034" width="8.5" customWidth="1"/>
    <col min="12035" max="12035" width="62.5" customWidth="1"/>
    <col min="12289" max="12289" width="17.5" customWidth="1"/>
    <col min="12290" max="12290" width="8.5" customWidth="1"/>
    <col min="12291" max="12291" width="62.5" customWidth="1"/>
    <col min="12545" max="12545" width="17.5" customWidth="1"/>
    <col min="12546" max="12546" width="8.5" customWidth="1"/>
    <col min="12547" max="12547" width="62.5" customWidth="1"/>
    <col min="12801" max="12801" width="17.5" customWidth="1"/>
    <col min="12802" max="12802" width="8.5" customWidth="1"/>
    <col min="12803" max="12803" width="62.5" customWidth="1"/>
    <col min="13057" max="13057" width="17.5" customWidth="1"/>
    <col min="13058" max="13058" width="8.5" customWidth="1"/>
    <col min="13059" max="13059" width="62.5" customWidth="1"/>
    <col min="13313" max="13313" width="17.5" customWidth="1"/>
    <col min="13314" max="13314" width="8.5" customWidth="1"/>
    <col min="13315" max="13315" width="62.5" customWidth="1"/>
    <col min="13569" max="13569" width="17.5" customWidth="1"/>
    <col min="13570" max="13570" width="8.5" customWidth="1"/>
    <col min="13571" max="13571" width="62.5" customWidth="1"/>
    <col min="13825" max="13825" width="17.5" customWidth="1"/>
    <col min="13826" max="13826" width="8.5" customWidth="1"/>
    <col min="13827" max="13827" width="62.5" customWidth="1"/>
    <col min="14081" max="14081" width="17.5" customWidth="1"/>
    <col min="14082" max="14082" width="8.5" customWidth="1"/>
    <col min="14083" max="14083" width="62.5" customWidth="1"/>
    <col min="14337" max="14337" width="17.5" customWidth="1"/>
    <col min="14338" max="14338" width="8.5" customWidth="1"/>
    <col min="14339" max="14339" width="62.5" customWidth="1"/>
    <col min="14593" max="14593" width="17.5" customWidth="1"/>
    <col min="14594" max="14594" width="8.5" customWidth="1"/>
    <col min="14595" max="14595" width="62.5" customWidth="1"/>
    <col min="14849" max="14849" width="17.5" customWidth="1"/>
    <col min="14850" max="14850" width="8.5" customWidth="1"/>
    <col min="14851" max="14851" width="62.5" customWidth="1"/>
    <col min="15105" max="15105" width="17.5" customWidth="1"/>
    <col min="15106" max="15106" width="8.5" customWidth="1"/>
    <col min="15107" max="15107" width="62.5" customWidth="1"/>
    <col min="15361" max="15361" width="17.5" customWidth="1"/>
    <col min="15362" max="15362" width="8.5" customWidth="1"/>
    <col min="15363" max="15363" width="62.5" customWidth="1"/>
    <col min="15617" max="15617" width="17.5" customWidth="1"/>
    <col min="15618" max="15618" width="8.5" customWidth="1"/>
    <col min="15619" max="15619" width="62.5" customWidth="1"/>
    <col min="15873" max="15873" width="17.5" customWidth="1"/>
    <col min="15874" max="15874" width="8.5" customWidth="1"/>
    <col min="15875" max="15875" width="62.5" customWidth="1"/>
    <col min="16129" max="16129" width="17.5" customWidth="1"/>
    <col min="16130" max="16130" width="8.5" customWidth="1"/>
    <col min="16131" max="16131" width="62.5" customWidth="1"/>
  </cols>
  <sheetData>
    <row r="1" spans="1:3">
      <c r="A1" s="287" t="s">
        <v>146</v>
      </c>
      <c r="B1" s="288"/>
      <c r="C1" s="289"/>
    </row>
    <row r="2" spans="1:3" ht="30">
      <c r="A2" s="40" t="s">
        <v>147</v>
      </c>
      <c r="B2" s="41" t="s">
        <v>148</v>
      </c>
      <c r="C2" s="42" t="s">
        <v>136</v>
      </c>
    </row>
    <row r="3" spans="1:3" ht="30">
      <c r="A3" s="33" t="s">
        <v>149</v>
      </c>
      <c r="B3" s="43">
        <v>4</v>
      </c>
      <c r="C3" s="35" t="s">
        <v>150</v>
      </c>
    </row>
    <row r="4" spans="1:3" ht="30">
      <c r="A4" s="33" t="s">
        <v>151</v>
      </c>
      <c r="B4" s="43">
        <v>3</v>
      </c>
      <c r="C4" s="35" t="s">
        <v>152</v>
      </c>
    </row>
    <row r="5" spans="1:3" ht="34.5" customHeight="1">
      <c r="A5" s="33" t="s">
        <v>153</v>
      </c>
      <c r="B5" s="43">
        <v>2</v>
      </c>
      <c r="C5" s="35" t="s">
        <v>154</v>
      </c>
    </row>
    <row r="6" spans="1:3" ht="24" thickBot="1">
      <c r="A6" s="36" t="s">
        <v>155</v>
      </c>
      <c r="B6" s="45">
        <v>1</v>
      </c>
      <c r="C6" s="38" t="s">
        <v>156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zoomScaleNormal="100" workbookViewId="0">
      <selection sqref="A1:F1"/>
    </sheetView>
  </sheetViews>
  <sheetFormatPr baseColWidth="10" defaultRowHeight="14"/>
  <cols>
    <col min="1" max="1" width="24.5" style="28" customWidth="1"/>
    <col min="2" max="3" width="13.83203125" style="28" customWidth="1"/>
    <col min="4" max="4" width="14.83203125" style="28" customWidth="1"/>
    <col min="5" max="5" width="14.6640625" style="28" customWidth="1"/>
    <col min="6" max="6" width="13.6640625" style="28" customWidth="1"/>
    <col min="7" max="256" width="11.5" style="28"/>
    <col min="257" max="257" width="24.5" style="28" customWidth="1"/>
    <col min="258" max="259" width="13.83203125" style="28" customWidth="1"/>
    <col min="260" max="260" width="14.83203125" style="28" customWidth="1"/>
    <col min="261" max="261" width="14.6640625" style="28" customWidth="1"/>
    <col min="262" max="262" width="13.6640625" style="28" customWidth="1"/>
    <col min="263" max="512" width="11.5" style="28"/>
    <col min="513" max="513" width="24.5" style="28" customWidth="1"/>
    <col min="514" max="515" width="13.83203125" style="28" customWidth="1"/>
    <col min="516" max="516" width="14.83203125" style="28" customWidth="1"/>
    <col min="517" max="517" width="14.6640625" style="28" customWidth="1"/>
    <col min="518" max="518" width="13.6640625" style="28" customWidth="1"/>
    <col min="519" max="768" width="11.5" style="28"/>
    <col min="769" max="769" width="24.5" style="28" customWidth="1"/>
    <col min="770" max="771" width="13.83203125" style="28" customWidth="1"/>
    <col min="772" max="772" width="14.83203125" style="28" customWidth="1"/>
    <col min="773" max="773" width="14.6640625" style="28" customWidth="1"/>
    <col min="774" max="774" width="13.6640625" style="28" customWidth="1"/>
    <col min="775" max="1024" width="11.5" style="28"/>
    <col min="1025" max="1025" width="24.5" style="28" customWidth="1"/>
    <col min="1026" max="1027" width="13.83203125" style="28" customWidth="1"/>
    <col min="1028" max="1028" width="14.83203125" style="28" customWidth="1"/>
    <col min="1029" max="1029" width="14.6640625" style="28" customWidth="1"/>
    <col min="1030" max="1030" width="13.6640625" style="28" customWidth="1"/>
    <col min="1031" max="1280" width="11.5" style="28"/>
    <col min="1281" max="1281" width="24.5" style="28" customWidth="1"/>
    <col min="1282" max="1283" width="13.83203125" style="28" customWidth="1"/>
    <col min="1284" max="1284" width="14.83203125" style="28" customWidth="1"/>
    <col min="1285" max="1285" width="14.6640625" style="28" customWidth="1"/>
    <col min="1286" max="1286" width="13.6640625" style="28" customWidth="1"/>
    <col min="1287" max="1536" width="11.5" style="28"/>
    <col min="1537" max="1537" width="24.5" style="28" customWidth="1"/>
    <col min="1538" max="1539" width="13.83203125" style="28" customWidth="1"/>
    <col min="1540" max="1540" width="14.83203125" style="28" customWidth="1"/>
    <col min="1541" max="1541" width="14.6640625" style="28" customWidth="1"/>
    <col min="1542" max="1542" width="13.6640625" style="28" customWidth="1"/>
    <col min="1543" max="1792" width="11.5" style="28"/>
    <col min="1793" max="1793" width="24.5" style="28" customWidth="1"/>
    <col min="1794" max="1795" width="13.83203125" style="28" customWidth="1"/>
    <col min="1796" max="1796" width="14.83203125" style="28" customWidth="1"/>
    <col min="1797" max="1797" width="14.6640625" style="28" customWidth="1"/>
    <col min="1798" max="1798" width="13.6640625" style="28" customWidth="1"/>
    <col min="1799" max="2048" width="11.5" style="28"/>
    <col min="2049" max="2049" width="24.5" style="28" customWidth="1"/>
    <col min="2050" max="2051" width="13.83203125" style="28" customWidth="1"/>
    <col min="2052" max="2052" width="14.83203125" style="28" customWidth="1"/>
    <col min="2053" max="2053" width="14.6640625" style="28" customWidth="1"/>
    <col min="2054" max="2054" width="13.6640625" style="28" customWidth="1"/>
    <col min="2055" max="2304" width="11.5" style="28"/>
    <col min="2305" max="2305" width="24.5" style="28" customWidth="1"/>
    <col min="2306" max="2307" width="13.83203125" style="28" customWidth="1"/>
    <col min="2308" max="2308" width="14.83203125" style="28" customWidth="1"/>
    <col min="2309" max="2309" width="14.6640625" style="28" customWidth="1"/>
    <col min="2310" max="2310" width="13.6640625" style="28" customWidth="1"/>
    <col min="2311" max="2560" width="11.5" style="28"/>
    <col min="2561" max="2561" width="24.5" style="28" customWidth="1"/>
    <col min="2562" max="2563" width="13.83203125" style="28" customWidth="1"/>
    <col min="2564" max="2564" width="14.83203125" style="28" customWidth="1"/>
    <col min="2565" max="2565" width="14.6640625" style="28" customWidth="1"/>
    <col min="2566" max="2566" width="13.6640625" style="28" customWidth="1"/>
    <col min="2567" max="2816" width="11.5" style="28"/>
    <col min="2817" max="2817" width="24.5" style="28" customWidth="1"/>
    <col min="2818" max="2819" width="13.83203125" style="28" customWidth="1"/>
    <col min="2820" max="2820" width="14.83203125" style="28" customWidth="1"/>
    <col min="2821" max="2821" width="14.6640625" style="28" customWidth="1"/>
    <col min="2822" max="2822" width="13.6640625" style="28" customWidth="1"/>
    <col min="2823" max="3072" width="11.5" style="28"/>
    <col min="3073" max="3073" width="24.5" style="28" customWidth="1"/>
    <col min="3074" max="3075" width="13.83203125" style="28" customWidth="1"/>
    <col min="3076" max="3076" width="14.83203125" style="28" customWidth="1"/>
    <col min="3077" max="3077" width="14.6640625" style="28" customWidth="1"/>
    <col min="3078" max="3078" width="13.6640625" style="28" customWidth="1"/>
    <col min="3079" max="3328" width="11.5" style="28"/>
    <col min="3329" max="3329" width="24.5" style="28" customWidth="1"/>
    <col min="3330" max="3331" width="13.83203125" style="28" customWidth="1"/>
    <col min="3332" max="3332" width="14.83203125" style="28" customWidth="1"/>
    <col min="3333" max="3333" width="14.6640625" style="28" customWidth="1"/>
    <col min="3334" max="3334" width="13.6640625" style="28" customWidth="1"/>
    <col min="3335" max="3584" width="11.5" style="28"/>
    <col min="3585" max="3585" width="24.5" style="28" customWidth="1"/>
    <col min="3586" max="3587" width="13.83203125" style="28" customWidth="1"/>
    <col min="3588" max="3588" width="14.83203125" style="28" customWidth="1"/>
    <col min="3589" max="3589" width="14.6640625" style="28" customWidth="1"/>
    <col min="3590" max="3590" width="13.6640625" style="28" customWidth="1"/>
    <col min="3591" max="3840" width="11.5" style="28"/>
    <col min="3841" max="3841" width="24.5" style="28" customWidth="1"/>
    <col min="3842" max="3843" width="13.83203125" style="28" customWidth="1"/>
    <col min="3844" max="3844" width="14.83203125" style="28" customWidth="1"/>
    <col min="3845" max="3845" width="14.6640625" style="28" customWidth="1"/>
    <col min="3846" max="3846" width="13.6640625" style="28" customWidth="1"/>
    <col min="3847" max="4096" width="11.5" style="28"/>
    <col min="4097" max="4097" width="24.5" style="28" customWidth="1"/>
    <col min="4098" max="4099" width="13.83203125" style="28" customWidth="1"/>
    <col min="4100" max="4100" width="14.83203125" style="28" customWidth="1"/>
    <col min="4101" max="4101" width="14.6640625" style="28" customWidth="1"/>
    <col min="4102" max="4102" width="13.6640625" style="28" customWidth="1"/>
    <col min="4103" max="4352" width="11.5" style="28"/>
    <col min="4353" max="4353" width="24.5" style="28" customWidth="1"/>
    <col min="4354" max="4355" width="13.83203125" style="28" customWidth="1"/>
    <col min="4356" max="4356" width="14.83203125" style="28" customWidth="1"/>
    <col min="4357" max="4357" width="14.6640625" style="28" customWidth="1"/>
    <col min="4358" max="4358" width="13.6640625" style="28" customWidth="1"/>
    <col min="4359" max="4608" width="11.5" style="28"/>
    <col min="4609" max="4609" width="24.5" style="28" customWidth="1"/>
    <col min="4610" max="4611" width="13.83203125" style="28" customWidth="1"/>
    <col min="4612" max="4612" width="14.83203125" style="28" customWidth="1"/>
    <col min="4613" max="4613" width="14.6640625" style="28" customWidth="1"/>
    <col min="4614" max="4614" width="13.6640625" style="28" customWidth="1"/>
    <col min="4615" max="4864" width="11.5" style="28"/>
    <col min="4865" max="4865" width="24.5" style="28" customWidth="1"/>
    <col min="4866" max="4867" width="13.83203125" style="28" customWidth="1"/>
    <col min="4868" max="4868" width="14.83203125" style="28" customWidth="1"/>
    <col min="4869" max="4869" width="14.6640625" style="28" customWidth="1"/>
    <col min="4870" max="4870" width="13.6640625" style="28" customWidth="1"/>
    <col min="4871" max="5120" width="11.5" style="28"/>
    <col min="5121" max="5121" width="24.5" style="28" customWidth="1"/>
    <col min="5122" max="5123" width="13.83203125" style="28" customWidth="1"/>
    <col min="5124" max="5124" width="14.83203125" style="28" customWidth="1"/>
    <col min="5125" max="5125" width="14.6640625" style="28" customWidth="1"/>
    <col min="5126" max="5126" width="13.6640625" style="28" customWidth="1"/>
    <col min="5127" max="5376" width="11.5" style="28"/>
    <col min="5377" max="5377" width="24.5" style="28" customWidth="1"/>
    <col min="5378" max="5379" width="13.83203125" style="28" customWidth="1"/>
    <col min="5380" max="5380" width="14.83203125" style="28" customWidth="1"/>
    <col min="5381" max="5381" width="14.6640625" style="28" customWidth="1"/>
    <col min="5382" max="5382" width="13.6640625" style="28" customWidth="1"/>
    <col min="5383" max="5632" width="11.5" style="28"/>
    <col min="5633" max="5633" width="24.5" style="28" customWidth="1"/>
    <col min="5634" max="5635" width="13.83203125" style="28" customWidth="1"/>
    <col min="5636" max="5636" width="14.83203125" style="28" customWidth="1"/>
    <col min="5637" max="5637" width="14.6640625" style="28" customWidth="1"/>
    <col min="5638" max="5638" width="13.6640625" style="28" customWidth="1"/>
    <col min="5639" max="5888" width="11.5" style="28"/>
    <col min="5889" max="5889" width="24.5" style="28" customWidth="1"/>
    <col min="5890" max="5891" width="13.83203125" style="28" customWidth="1"/>
    <col min="5892" max="5892" width="14.83203125" style="28" customWidth="1"/>
    <col min="5893" max="5893" width="14.6640625" style="28" customWidth="1"/>
    <col min="5894" max="5894" width="13.6640625" style="28" customWidth="1"/>
    <col min="5895" max="6144" width="11.5" style="28"/>
    <col min="6145" max="6145" width="24.5" style="28" customWidth="1"/>
    <col min="6146" max="6147" width="13.83203125" style="28" customWidth="1"/>
    <col min="6148" max="6148" width="14.83203125" style="28" customWidth="1"/>
    <col min="6149" max="6149" width="14.6640625" style="28" customWidth="1"/>
    <col min="6150" max="6150" width="13.6640625" style="28" customWidth="1"/>
    <col min="6151" max="6400" width="11.5" style="28"/>
    <col min="6401" max="6401" width="24.5" style="28" customWidth="1"/>
    <col min="6402" max="6403" width="13.83203125" style="28" customWidth="1"/>
    <col min="6404" max="6404" width="14.83203125" style="28" customWidth="1"/>
    <col min="6405" max="6405" width="14.6640625" style="28" customWidth="1"/>
    <col min="6406" max="6406" width="13.6640625" style="28" customWidth="1"/>
    <col min="6407" max="6656" width="11.5" style="28"/>
    <col min="6657" max="6657" width="24.5" style="28" customWidth="1"/>
    <col min="6658" max="6659" width="13.83203125" style="28" customWidth="1"/>
    <col min="6660" max="6660" width="14.83203125" style="28" customWidth="1"/>
    <col min="6661" max="6661" width="14.6640625" style="28" customWidth="1"/>
    <col min="6662" max="6662" width="13.6640625" style="28" customWidth="1"/>
    <col min="6663" max="6912" width="11.5" style="28"/>
    <col min="6913" max="6913" width="24.5" style="28" customWidth="1"/>
    <col min="6914" max="6915" width="13.83203125" style="28" customWidth="1"/>
    <col min="6916" max="6916" width="14.83203125" style="28" customWidth="1"/>
    <col min="6917" max="6917" width="14.6640625" style="28" customWidth="1"/>
    <col min="6918" max="6918" width="13.6640625" style="28" customWidth="1"/>
    <col min="6919" max="7168" width="11.5" style="28"/>
    <col min="7169" max="7169" width="24.5" style="28" customWidth="1"/>
    <col min="7170" max="7171" width="13.83203125" style="28" customWidth="1"/>
    <col min="7172" max="7172" width="14.83203125" style="28" customWidth="1"/>
    <col min="7173" max="7173" width="14.6640625" style="28" customWidth="1"/>
    <col min="7174" max="7174" width="13.6640625" style="28" customWidth="1"/>
    <col min="7175" max="7424" width="11.5" style="28"/>
    <col min="7425" max="7425" width="24.5" style="28" customWidth="1"/>
    <col min="7426" max="7427" width="13.83203125" style="28" customWidth="1"/>
    <col min="7428" max="7428" width="14.83203125" style="28" customWidth="1"/>
    <col min="7429" max="7429" width="14.6640625" style="28" customWidth="1"/>
    <col min="7430" max="7430" width="13.6640625" style="28" customWidth="1"/>
    <col min="7431" max="7680" width="11.5" style="28"/>
    <col min="7681" max="7681" width="24.5" style="28" customWidth="1"/>
    <col min="7682" max="7683" width="13.83203125" style="28" customWidth="1"/>
    <col min="7684" max="7684" width="14.83203125" style="28" customWidth="1"/>
    <col min="7685" max="7685" width="14.6640625" style="28" customWidth="1"/>
    <col min="7686" max="7686" width="13.6640625" style="28" customWidth="1"/>
    <col min="7687" max="7936" width="11.5" style="28"/>
    <col min="7937" max="7937" width="24.5" style="28" customWidth="1"/>
    <col min="7938" max="7939" width="13.83203125" style="28" customWidth="1"/>
    <col min="7940" max="7940" width="14.83203125" style="28" customWidth="1"/>
    <col min="7941" max="7941" width="14.6640625" style="28" customWidth="1"/>
    <col min="7942" max="7942" width="13.6640625" style="28" customWidth="1"/>
    <col min="7943" max="8192" width="11.5" style="28"/>
    <col min="8193" max="8193" width="24.5" style="28" customWidth="1"/>
    <col min="8194" max="8195" width="13.83203125" style="28" customWidth="1"/>
    <col min="8196" max="8196" width="14.83203125" style="28" customWidth="1"/>
    <col min="8197" max="8197" width="14.6640625" style="28" customWidth="1"/>
    <col min="8198" max="8198" width="13.6640625" style="28" customWidth="1"/>
    <col min="8199" max="8448" width="11.5" style="28"/>
    <col min="8449" max="8449" width="24.5" style="28" customWidth="1"/>
    <col min="8450" max="8451" width="13.83203125" style="28" customWidth="1"/>
    <col min="8452" max="8452" width="14.83203125" style="28" customWidth="1"/>
    <col min="8453" max="8453" width="14.6640625" style="28" customWidth="1"/>
    <col min="8454" max="8454" width="13.6640625" style="28" customWidth="1"/>
    <col min="8455" max="8704" width="11.5" style="28"/>
    <col min="8705" max="8705" width="24.5" style="28" customWidth="1"/>
    <col min="8706" max="8707" width="13.83203125" style="28" customWidth="1"/>
    <col min="8708" max="8708" width="14.83203125" style="28" customWidth="1"/>
    <col min="8709" max="8709" width="14.6640625" style="28" customWidth="1"/>
    <col min="8710" max="8710" width="13.6640625" style="28" customWidth="1"/>
    <col min="8711" max="8960" width="11.5" style="28"/>
    <col min="8961" max="8961" width="24.5" style="28" customWidth="1"/>
    <col min="8962" max="8963" width="13.83203125" style="28" customWidth="1"/>
    <col min="8964" max="8964" width="14.83203125" style="28" customWidth="1"/>
    <col min="8965" max="8965" width="14.6640625" style="28" customWidth="1"/>
    <col min="8966" max="8966" width="13.6640625" style="28" customWidth="1"/>
    <col min="8967" max="9216" width="11.5" style="28"/>
    <col min="9217" max="9217" width="24.5" style="28" customWidth="1"/>
    <col min="9218" max="9219" width="13.83203125" style="28" customWidth="1"/>
    <col min="9220" max="9220" width="14.83203125" style="28" customWidth="1"/>
    <col min="9221" max="9221" width="14.6640625" style="28" customWidth="1"/>
    <col min="9222" max="9222" width="13.6640625" style="28" customWidth="1"/>
    <col min="9223" max="9472" width="11.5" style="28"/>
    <col min="9473" max="9473" width="24.5" style="28" customWidth="1"/>
    <col min="9474" max="9475" width="13.83203125" style="28" customWidth="1"/>
    <col min="9476" max="9476" width="14.83203125" style="28" customWidth="1"/>
    <col min="9477" max="9477" width="14.6640625" style="28" customWidth="1"/>
    <col min="9478" max="9478" width="13.6640625" style="28" customWidth="1"/>
    <col min="9479" max="9728" width="11.5" style="28"/>
    <col min="9729" max="9729" width="24.5" style="28" customWidth="1"/>
    <col min="9730" max="9731" width="13.83203125" style="28" customWidth="1"/>
    <col min="9732" max="9732" width="14.83203125" style="28" customWidth="1"/>
    <col min="9733" max="9733" width="14.6640625" style="28" customWidth="1"/>
    <col min="9734" max="9734" width="13.6640625" style="28" customWidth="1"/>
    <col min="9735" max="9984" width="11.5" style="28"/>
    <col min="9985" max="9985" width="24.5" style="28" customWidth="1"/>
    <col min="9986" max="9987" width="13.83203125" style="28" customWidth="1"/>
    <col min="9988" max="9988" width="14.83203125" style="28" customWidth="1"/>
    <col min="9989" max="9989" width="14.6640625" style="28" customWidth="1"/>
    <col min="9990" max="9990" width="13.6640625" style="28" customWidth="1"/>
    <col min="9991" max="10240" width="11.5" style="28"/>
    <col min="10241" max="10241" width="24.5" style="28" customWidth="1"/>
    <col min="10242" max="10243" width="13.83203125" style="28" customWidth="1"/>
    <col min="10244" max="10244" width="14.83203125" style="28" customWidth="1"/>
    <col min="10245" max="10245" width="14.6640625" style="28" customWidth="1"/>
    <col min="10246" max="10246" width="13.6640625" style="28" customWidth="1"/>
    <col min="10247" max="10496" width="11.5" style="28"/>
    <col min="10497" max="10497" width="24.5" style="28" customWidth="1"/>
    <col min="10498" max="10499" width="13.83203125" style="28" customWidth="1"/>
    <col min="10500" max="10500" width="14.83203125" style="28" customWidth="1"/>
    <col min="10501" max="10501" width="14.6640625" style="28" customWidth="1"/>
    <col min="10502" max="10502" width="13.6640625" style="28" customWidth="1"/>
    <col min="10503" max="10752" width="11.5" style="28"/>
    <col min="10753" max="10753" width="24.5" style="28" customWidth="1"/>
    <col min="10754" max="10755" width="13.83203125" style="28" customWidth="1"/>
    <col min="10756" max="10756" width="14.83203125" style="28" customWidth="1"/>
    <col min="10757" max="10757" width="14.6640625" style="28" customWidth="1"/>
    <col min="10758" max="10758" width="13.6640625" style="28" customWidth="1"/>
    <col min="10759" max="11008" width="11.5" style="28"/>
    <col min="11009" max="11009" width="24.5" style="28" customWidth="1"/>
    <col min="11010" max="11011" width="13.83203125" style="28" customWidth="1"/>
    <col min="11012" max="11012" width="14.83203125" style="28" customWidth="1"/>
    <col min="11013" max="11013" width="14.6640625" style="28" customWidth="1"/>
    <col min="11014" max="11014" width="13.6640625" style="28" customWidth="1"/>
    <col min="11015" max="11264" width="11.5" style="28"/>
    <col min="11265" max="11265" width="24.5" style="28" customWidth="1"/>
    <col min="11266" max="11267" width="13.83203125" style="28" customWidth="1"/>
    <col min="11268" max="11268" width="14.83203125" style="28" customWidth="1"/>
    <col min="11269" max="11269" width="14.6640625" style="28" customWidth="1"/>
    <col min="11270" max="11270" width="13.6640625" style="28" customWidth="1"/>
    <col min="11271" max="11520" width="11.5" style="28"/>
    <col min="11521" max="11521" width="24.5" style="28" customWidth="1"/>
    <col min="11522" max="11523" width="13.83203125" style="28" customWidth="1"/>
    <col min="11524" max="11524" width="14.83203125" style="28" customWidth="1"/>
    <col min="11525" max="11525" width="14.6640625" style="28" customWidth="1"/>
    <col min="11526" max="11526" width="13.6640625" style="28" customWidth="1"/>
    <col min="11527" max="11776" width="11.5" style="28"/>
    <col min="11777" max="11777" width="24.5" style="28" customWidth="1"/>
    <col min="11778" max="11779" width="13.83203125" style="28" customWidth="1"/>
    <col min="11780" max="11780" width="14.83203125" style="28" customWidth="1"/>
    <col min="11781" max="11781" width="14.6640625" style="28" customWidth="1"/>
    <col min="11782" max="11782" width="13.6640625" style="28" customWidth="1"/>
    <col min="11783" max="12032" width="11.5" style="28"/>
    <col min="12033" max="12033" width="24.5" style="28" customWidth="1"/>
    <col min="12034" max="12035" width="13.83203125" style="28" customWidth="1"/>
    <col min="12036" max="12036" width="14.83203125" style="28" customWidth="1"/>
    <col min="12037" max="12037" width="14.6640625" style="28" customWidth="1"/>
    <col min="12038" max="12038" width="13.6640625" style="28" customWidth="1"/>
    <col min="12039" max="12288" width="11.5" style="28"/>
    <col min="12289" max="12289" width="24.5" style="28" customWidth="1"/>
    <col min="12290" max="12291" width="13.83203125" style="28" customWidth="1"/>
    <col min="12292" max="12292" width="14.83203125" style="28" customWidth="1"/>
    <col min="12293" max="12293" width="14.6640625" style="28" customWidth="1"/>
    <col min="12294" max="12294" width="13.6640625" style="28" customWidth="1"/>
    <col min="12295" max="12544" width="11.5" style="28"/>
    <col min="12545" max="12545" width="24.5" style="28" customWidth="1"/>
    <col min="12546" max="12547" width="13.83203125" style="28" customWidth="1"/>
    <col min="12548" max="12548" width="14.83203125" style="28" customWidth="1"/>
    <col min="12549" max="12549" width="14.6640625" style="28" customWidth="1"/>
    <col min="12550" max="12550" width="13.6640625" style="28" customWidth="1"/>
    <col min="12551" max="12800" width="11.5" style="28"/>
    <col min="12801" max="12801" width="24.5" style="28" customWidth="1"/>
    <col min="12802" max="12803" width="13.83203125" style="28" customWidth="1"/>
    <col min="12804" max="12804" width="14.83203125" style="28" customWidth="1"/>
    <col min="12805" max="12805" width="14.6640625" style="28" customWidth="1"/>
    <col min="12806" max="12806" width="13.6640625" style="28" customWidth="1"/>
    <col min="12807" max="13056" width="11.5" style="28"/>
    <col min="13057" max="13057" width="24.5" style="28" customWidth="1"/>
    <col min="13058" max="13059" width="13.83203125" style="28" customWidth="1"/>
    <col min="13060" max="13060" width="14.83203125" style="28" customWidth="1"/>
    <col min="13061" max="13061" width="14.6640625" style="28" customWidth="1"/>
    <col min="13062" max="13062" width="13.6640625" style="28" customWidth="1"/>
    <col min="13063" max="13312" width="11.5" style="28"/>
    <col min="13313" max="13313" width="24.5" style="28" customWidth="1"/>
    <col min="13314" max="13315" width="13.83203125" style="28" customWidth="1"/>
    <col min="13316" max="13316" width="14.83203125" style="28" customWidth="1"/>
    <col min="13317" max="13317" width="14.6640625" style="28" customWidth="1"/>
    <col min="13318" max="13318" width="13.6640625" style="28" customWidth="1"/>
    <col min="13319" max="13568" width="11.5" style="28"/>
    <col min="13569" max="13569" width="24.5" style="28" customWidth="1"/>
    <col min="13570" max="13571" width="13.83203125" style="28" customWidth="1"/>
    <col min="13572" max="13572" width="14.83203125" style="28" customWidth="1"/>
    <col min="13573" max="13573" width="14.6640625" style="28" customWidth="1"/>
    <col min="13574" max="13574" width="13.6640625" style="28" customWidth="1"/>
    <col min="13575" max="13824" width="11.5" style="28"/>
    <col min="13825" max="13825" width="24.5" style="28" customWidth="1"/>
    <col min="13826" max="13827" width="13.83203125" style="28" customWidth="1"/>
    <col min="13828" max="13828" width="14.83203125" style="28" customWidth="1"/>
    <col min="13829" max="13829" width="14.6640625" style="28" customWidth="1"/>
    <col min="13830" max="13830" width="13.6640625" style="28" customWidth="1"/>
    <col min="13831" max="14080" width="11.5" style="28"/>
    <col min="14081" max="14081" width="24.5" style="28" customWidth="1"/>
    <col min="14082" max="14083" width="13.83203125" style="28" customWidth="1"/>
    <col min="14084" max="14084" width="14.83203125" style="28" customWidth="1"/>
    <col min="14085" max="14085" width="14.6640625" style="28" customWidth="1"/>
    <col min="14086" max="14086" width="13.6640625" style="28" customWidth="1"/>
    <col min="14087" max="14336" width="11.5" style="28"/>
    <col min="14337" max="14337" width="24.5" style="28" customWidth="1"/>
    <col min="14338" max="14339" width="13.83203125" style="28" customWidth="1"/>
    <col min="14340" max="14340" width="14.83203125" style="28" customWidth="1"/>
    <col min="14341" max="14341" width="14.6640625" style="28" customWidth="1"/>
    <col min="14342" max="14342" width="13.6640625" style="28" customWidth="1"/>
    <col min="14343" max="14592" width="11.5" style="28"/>
    <col min="14593" max="14593" width="24.5" style="28" customWidth="1"/>
    <col min="14594" max="14595" width="13.83203125" style="28" customWidth="1"/>
    <col min="14596" max="14596" width="14.83203125" style="28" customWidth="1"/>
    <col min="14597" max="14597" width="14.6640625" style="28" customWidth="1"/>
    <col min="14598" max="14598" width="13.6640625" style="28" customWidth="1"/>
    <col min="14599" max="14848" width="11.5" style="28"/>
    <col min="14849" max="14849" width="24.5" style="28" customWidth="1"/>
    <col min="14850" max="14851" width="13.83203125" style="28" customWidth="1"/>
    <col min="14852" max="14852" width="14.83203125" style="28" customWidth="1"/>
    <col min="14853" max="14853" width="14.6640625" style="28" customWidth="1"/>
    <col min="14854" max="14854" width="13.6640625" style="28" customWidth="1"/>
    <col min="14855" max="15104" width="11.5" style="28"/>
    <col min="15105" max="15105" width="24.5" style="28" customWidth="1"/>
    <col min="15106" max="15107" width="13.83203125" style="28" customWidth="1"/>
    <col min="15108" max="15108" width="14.83203125" style="28" customWidth="1"/>
    <col min="15109" max="15109" width="14.6640625" style="28" customWidth="1"/>
    <col min="15110" max="15110" width="13.6640625" style="28" customWidth="1"/>
    <col min="15111" max="15360" width="11.5" style="28"/>
    <col min="15361" max="15361" width="24.5" style="28" customWidth="1"/>
    <col min="15362" max="15363" width="13.83203125" style="28" customWidth="1"/>
    <col min="15364" max="15364" width="14.83203125" style="28" customWidth="1"/>
    <col min="15365" max="15365" width="14.6640625" style="28" customWidth="1"/>
    <col min="15366" max="15366" width="13.6640625" style="28" customWidth="1"/>
    <col min="15367" max="15616" width="11.5" style="28"/>
    <col min="15617" max="15617" width="24.5" style="28" customWidth="1"/>
    <col min="15618" max="15619" width="13.83203125" style="28" customWidth="1"/>
    <col min="15620" max="15620" width="14.83203125" style="28" customWidth="1"/>
    <col min="15621" max="15621" width="14.6640625" style="28" customWidth="1"/>
    <col min="15622" max="15622" width="13.6640625" style="28" customWidth="1"/>
    <col min="15623" max="15872" width="11.5" style="28"/>
    <col min="15873" max="15873" width="24.5" style="28" customWidth="1"/>
    <col min="15874" max="15875" width="13.83203125" style="28" customWidth="1"/>
    <col min="15876" max="15876" width="14.83203125" style="28" customWidth="1"/>
    <col min="15877" max="15877" width="14.6640625" style="28" customWidth="1"/>
    <col min="15878" max="15878" width="13.6640625" style="28" customWidth="1"/>
    <col min="15879" max="16128" width="11.5" style="28"/>
    <col min="16129" max="16129" width="24.5" style="28" customWidth="1"/>
    <col min="16130" max="16131" width="13.83203125" style="28" customWidth="1"/>
    <col min="16132" max="16132" width="14.83203125" style="28" customWidth="1"/>
    <col min="16133" max="16133" width="14.6640625" style="28" customWidth="1"/>
    <col min="16134" max="16134" width="13.6640625" style="28" customWidth="1"/>
    <col min="16135" max="16384" width="11.5" style="28"/>
  </cols>
  <sheetData>
    <row r="1" spans="1:6">
      <c r="A1" s="299" t="s">
        <v>157</v>
      </c>
      <c r="B1" s="300"/>
      <c r="C1" s="300"/>
      <c r="D1" s="300"/>
      <c r="E1" s="300"/>
      <c r="F1" s="301"/>
    </row>
    <row r="2" spans="1:6">
      <c r="A2" s="299" t="s">
        <v>158</v>
      </c>
      <c r="B2" s="301"/>
      <c r="C2" s="299" t="s">
        <v>147</v>
      </c>
      <c r="D2" s="300"/>
      <c r="E2" s="300"/>
      <c r="F2" s="301"/>
    </row>
    <row r="3" spans="1:6">
      <c r="A3" s="302" t="s">
        <v>159</v>
      </c>
      <c r="B3" s="46">
        <v>10</v>
      </c>
      <c r="C3" s="47" t="s">
        <v>160</v>
      </c>
      <c r="D3" s="47" t="s">
        <v>161</v>
      </c>
      <c r="E3" s="48" t="s">
        <v>162</v>
      </c>
      <c r="F3" s="48" t="s">
        <v>163</v>
      </c>
    </row>
    <row r="4" spans="1:6">
      <c r="A4" s="303"/>
      <c r="B4" s="46">
        <v>6</v>
      </c>
      <c r="C4" s="47" t="s">
        <v>164</v>
      </c>
      <c r="D4" s="48" t="s">
        <v>165</v>
      </c>
      <c r="E4" s="48" t="s">
        <v>166</v>
      </c>
      <c r="F4" s="49" t="s">
        <v>167</v>
      </c>
    </row>
    <row r="5" spans="1:6">
      <c r="A5" s="304"/>
      <c r="B5" s="46">
        <v>2</v>
      </c>
      <c r="C5" s="49" t="s">
        <v>168</v>
      </c>
      <c r="D5" s="49" t="s">
        <v>167</v>
      </c>
      <c r="E5" s="50" t="s">
        <v>169</v>
      </c>
      <c r="F5" s="50" t="s">
        <v>170</v>
      </c>
    </row>
    <row r="6" spans="1:6" ht="6.75" customHeight="1" thickBot="1">
      <c r="A6" s="305"/>
      <c r="B6" s="305"/>
      <c r="C6" s="305"/>
      <c r="D6" s="305"/>
      <c r="E6" s="305"/>
      <c r="F6" s="305"/>
    </row>
    <row r="7" spans="1:6">
      <c r="A7" s="296" t="s">
        <v>171</v>
      </c>
      <c r="B7" s="297"/>
      <c r="C7" s="297"/>
      <c r="D7" s="297"/>
      <c r="E7" s="297"/>
      <c r="F7" s="298"/>
    </row>
    <row r="8" spans="1:6" ht="19.5" customHeight="1">
      <c r="A8" s="51" t="s">
        <v>172</v>
      </c>
      <c r="B8" s="52" t="s">
        <v>173</v>
      </c>
      <c r="C8" s="290" t="s">
        <v>136</v>
      </c>
      <c r="D8" s="290"/>
      <c r="E8" s="290"/>
      <c r="F8" s="291"/>
    </row>
    <row r="9" spans="1:6" ht="44.25" customHeight="1">
      <c r="A9" s="33" t="s">
        <v>174</v>
      </c>
      <c r="B9" s="53" t="s">
        <v>175</v>
      </c>
      <c r="C9" s="292" t="s">
        <v>176</v>
      </c>
      <c r="D9" s="292"/>
      <c r="E9" s="292"/>
      <c r="F9" s="293"/>
    </row>
    <row r="10" spans="1:6" ht="72.75" customHeight="1">
      <c r="A10" s="33" t="s">
        <v>139</v>
      </c>
      <c r="B10" s="53" t="s">
        <v>177</v>
      </c>
      <c r="C10" s="292" t="s">
        <v>178</v>
      </c>
      <c r="D10" s="292"/>
      <c r="E10" s="292"/>
      <c r="F10" s="293"/>
    </row>
    <row r="11" spans="1:6" ht="41.25" customHeight="1">
      <c r="A11" s="33" t="s">
        <v>141</v>
      </c>
      <c r="B11" s="53" t="s">
        <v>179</v>
      </c>
      <c r="C11" s="292" t="s">
        <v>180</v>
      </c>
      <c r="D11" s="292"/>
      <c r="E11" s="292"/>
      <c r="F11" s="293"/>
    </row>
    <row r="12" spans="1:6" ht="78" customHeight="1" thickBot="1">
      <c r="A12" s="36" t="s">
        <v>143</v>
      </c>
      <c r="B12" s="44" t="s">
        <v>181</v>
      </c>
      <c r="C12" s="294" t="s">
        <v>182</v>
      </c>
      <c r="D12" s="294"/>
      <c r="E12" s="294"/>
      <c r="F12" s="295"/>
    </row>
  </sheetData>
  <mergeCells count="11">
    <mergeCell ref="A7:F7"/>
    <mergeCell ref="A1:F1"/>
    <mergeCell ref="A2:B2"/>
    <mergeCell ref="C2:F2"/>
    <mergeCell ref="A3:A5"/>
    <mergeCell ref="A6:F6"/>
    <mergeCell ref="C8:F8"/>
    <mergeCell ref="C9:F9"/>
    <mergeCell ref="C10:F10"/>
    <mergeCell ref="C11:F11"/>
    <mergeCell ref="C12:F12"/>
  </mergeCells>
  <pageMargins left="0.7" right="0.7" top="0.75" bottom="0.75" header="0.3" footer="0.3"/>
  <pageSetup scale="9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zoomScaleNormal="100" zoomScaleSheetLayoutView="100" workbookViewId="0">
      <selection sqref="A1:C1"/>
    </sheetView>
  </sheetViews>
  <sheetFormatPr baseColWidth="10" defaultRowHeight="15"/>
  <cols>
    <col min="1" max="1" width="18.1640625" customWidth="1"/>
    <col min="2" max="2" width="7.1640625" customWidth="1"/>
    <col min="3" max="3" width="47.5" customWidth="1"/>
    <col min="257" max="257" width="18.1640625" customWidth="1"/>
    <col min="258" max="258" width="7.1640625" customWidth="1"/>
    <col min="259" max="259" width="47.5" customWidth="1"/>
    <col min="513" max="513" width="18.1640625" customWidth="1"/>
    <col min="514" max="514" width="7.1640625" customWidth="1"/>
    <col min="515" max="515" width="47.5" customWidth="1"/>
    <col min="769" max="769" width="18.1640625" customWidth="1"/>
    <col min="770" max="770" width="7.1640625" customWidth="1"/>
    <col min="771" max="771" width="47.5" customWidth="1"/>
    <col min="1025" max="1025" width="18.1640625" customWidth="1"/>
    <col min="1026" max="1026" width="7.1640625" customWidth="1"/>
    <col min="1027" max="1027" width="47.5" customWidth="1"/>
    <col min="1281" max="1281" width="18.1640625" customWidth="1"/>
    <col min="1282" max="1282" width="7.1640625" customWidth="1"/>
    <col min="1283" max="1283" width="47.5" customWidth="1"/>
    <col min="1537" max="1537" width="18.1640625" customWidth="1"/>
    <col min="1538" max="1538" width="7.1640625" customWidth="1"/>
    <col min="1539" max="1539" width="47.5" customWidth="1"/>
    <col min="1793" max="1793" width="18.1640625" customWidth="1"/>
    <col min="1794" max="1794" width="7.1640625" customWidth="1"/>
    <col min="1795" max="1795" width="47.5" customWidth="1"/>
    <col min="2049" max="2049" width="18.1640625" customWidth="1"/>
    <col min="2050" max="2050" width="7.1640625" customWidth="1"/>
    <col min="2051" max="2051" width="47.5" customWidth="1"/>
    <col min="2305" max="2305" width="18.1640625" customWidth="1"/>
    <col min="2306" max="2306" width="7.1640625" customWidth="1"/>
    <col min="2307" max="2307" width="47.5" customWidth="1"/>
    <col min="2561" max="2561" width="18.1640625" customWidth="1"/>
    <col min="2562" max="2562" width="7.1640625" customWidth="1"/>
    <col min="2563" max="2563" width="47.5" customWidth="1"/>
    <col min="2817" max="2817" width="18.1640625" customWidth="1"/>
    <col min="2818" max="2818" width="7.1640625" customWidth="1"/>
    <col min="2819" max="2819" width="47.5" customWidth="1"/>
    <col min="3073" max="3073" width="18.1640625" customWidth="1"/>
    <col min="3074" max="3074" width="7.1640625" customWidth="1"/>
    <col min="3075" max="3075" width="47.5" customWidth="1"/>
    <col min="3329" max="3329" width="18.1640625" customWidth="1"/>
    <col min="3330" max="3330" width="7.1640625" customWidth="1"/>
    <col min="3331" max="3331" width="47.5" customWidth="1"/>
    <col min="3585" max="3585" width="18.1640625" customWidth="1"/>
    <col min="3586" max="3586" width="7.1640625" customWidth="1"/>
    <col min="3587" max="3587" width="47.5" customWidth="1"/>
    <col min="3841" max="3841" width="18.1640625" customWidth="1"/>
    <col min="3842" max="3842" width="7.1640625" customWidth="1"/>
    <col min="3843" max="3843" width="47.5" customWidth="1"/>
    <col min="4097" max="4097" width="18.1640625" customWidth="1"/>
    <col min="4098" max="4098" width="7.1640625" customWidth="1"/>
    <col min="4099" max="4099" width="47.5" customWidth="1"/>
    <col min="4353" max="4353" width="18.1640625" customWidth="1"/>
    <col min="4354" max="4354" width="7.1640625" customWidth="1"/>
    <col min="4355" max="4355" width="47.5" customWidth="1"/>
    <col min="4609" max="4609" width="18.1640625" customWidth="1"/>
    <col min="4610" max="4610" width="7.1640625" customWidth="1"/>
    <col min="4611" max="4611" width="47.5" customWidth="1"/>
    <col min="4865" max="4865" width="18.1640625" customWidth="1"/>
    <col min="4866" max="4866" width="7.1640625" customWidth="1"/>
    <col min="4867" max="4867" width="47.5" customWidth="1"/>
    <col min="5121" max="5121" width="18.1640625" customWidth="1"/>
    <col min="5122" max="5122" width="7.1640625" customWidth="1"/>
    <col min="5123" max="5123" width="47.5" customWidth="1"/>
    <col min="5377" max="5377" width="18.1640625" customWidth="1"/>
    <col min="5378" max="5378" width="7.1640625" customWidth="1"/>
    <col min="5379" max="5379" width="47.5" customWidth="1"/>
    <col min="5633" max="5633" width="18.1640625" customWidth="1"/>
    <col min="5634" max="5634" width="7.1640625" customWidth="1"/>
    <col min="5635" max="5635" width="47.5" customWidth="1"/>
    <col min="5889" max="5889" width="18.1640625" customWidth="1"/>
    <col min="5890" max="5890" width="7.1640625" customWidth="1"/>
    <col min="5891" max="5891" width="47.5" customWidth="1"/>
    <col min="6145" max="6145" width="18.1640625" customWidth="1"/>
    <col min="6146" max="6146" width="7.1640625" customWidth="1"/>
    <col min="6147" max="6147" width="47.5" customWidth="1"/>
    <col min="6401" max="6401" width="18.1640625" customWidth="1"/>
    <col min="6402" max="6402" width="7.1640625" customWidth="1"/>
    <col min="6403" max="6403" width="47.5" customWidth="1"/>
    <col min="6657" max="6657" width="18.1640625" customWidth="1"/>
    <col min="6658" max="6658" width="7.1640625" customWidth="1"/>
    <col min="6659" max="6659" width="47.5" customWidth="1"/>
    <col min="6913" max="6913" width="18.1640625" customWidth="1"/>
    <col min="6914" max="6914" width="7.1640625" customWidth="1"/>
    <col min="6915" max="6915" width="47.5" customWidth="1"/>
    <col min="7169" max="7169" width="18.1640625" customWidth="1"/>
    <col min="7170" max="7170" width="7.1640625" customWidth="1"/>
    <col min="7171" max="7171" width="47.5" customWidth="1"/>
    <col min="7425" max="7425" width="18.1640625" customWidth="1"/>
    <col min="7426" max="7426" width="7.1640625" customWidth="1"/>
    <col min="7427" max="7427" width="47.5" customWidth="1"/>
    <col min="7681" max="7681" width="18.1640625" customWidth="1"/>
    <col min="7682" max="7682" width="7.1640625" customWidth="1"/>
    <col min="7683" max="7683" width="47.5" customWidth="1"/>
    <col min="7937" max="7937" width="18.1640625" customWidth="1"/>
    <col min="7938" max="7938" width="7.1640625" customWidth="1"/>
    <col min="7939" max="7939" width="47.5" customWidth="1"/>
    <col min="8193" max="8193" width="18.1640625" customWidth="1"/>
    <col min="8194" max="8194" width="7.1640625" customWidth="1"/>
    <col min="8195" max="8195" width="47.5" customWidth="1"/>
    <col min="8449" max="8449" width="18.1640625" customWidth="1"/>
    <col min="8450" max="8450" width="7.1640625" customWidth="1"/>
    <col min="8451" max="8451" width="47.5" customWidth="1"/>
    <col min="8705" max="8705" width="18.1640625" customWidth="1"/>
    <col min="8706" max="8706" width="7.1640625" customWidth="1"/>
    <col min="8707" max="8707" width="47.5" customWidth="1"/>
    <col min="8961" max="8961" width="18.1640625" customWidth="1"/>
    <col min="8962" max="8962" width="7.1640625" customWidth="1"/>
    <col min="8963" max="8963" width="47.5" customWidth="1"/>
    <col min="9217" max="9217" width="18.1640625" customWidth="1"/>
    <col min="9218" max="9218" width="7.1640625" customWidth="1"/>
    <col min="9219" max="9219" width="47.5" customWidth="1"/>
    <col min="9473" max="9473" width="18.1640625" customWidth="1"/>
    <col min="9474" max="9474" width="7.1640625" customWidth="1"/>
    <col min="9475" max="9475" width="47.5" customWidth="1"/>
    <col min="9729" max="9729" width="18.1640625" customWidth="1"/>
    <col min="9730" max="9730" width="7.1640625" customWidth="1"/>
    <col min="9731" max="9731" width="47.5" customWidth="1"/>
    <col min="9985" max="9985" width="18.1640625" customWidth="1"/>
    <col min="9986" max="9986" width="7.1640625" customWidth="1"/>
    <col min="9987" max="9987" width="47.5" customWidth="1"/>
    <col min="10241" max="10241" width="18.1640625" customWidth="1"/>
    <col min="10242" max="10242" width="7.1640625" customWidth="1"/>
    <col min="10243" max="10243" width="47.5" customWidth="1"/>
    <col min="10497" max="10497" width="18.1640625" customWidth="1"/>
    <col min="10498" max="10498" width="7.1640625" customWidth="1"/>
    <col min="10499" max="10499" width="47.5" customWidth="1"/>
    <col min="10753" max="10753" width="18.1640625" customWidth="1"/>
    <col min="10754" max="10754" width="7.1640625" customWidth="1"/>
    <col min="10755" max="10755" width="47.5" customWidth="1"/>
    <col min="11009" max="11009" width="18.1640625" customWidth="1"/>
    <col min="11010" max="11010" width="7.1640625" customWidth="1"/>
    <col min="11011" max="11011" width="47.5" customWidth="1"/>
    <col min="11265" max="11265" width="18.1640625" customWidth="1"/>
    <col min="11266" max="11266" width="7.1640625" customWidth="1"/>
    <col min="11267" max="11267" width="47.5" customWidth="1"/>
    <col min="11521" max="11521" width="18.1640625" customWidth="1"/>
    <col min="11522" max="11522" width="7.1640625" customWidth="1"/>
    <col min="11523" max="11523" width="47.5" customWidth="1"/>
    <col min="11777" max="11777" width="18.1640625" customWidth="1"/>
    <col min="11778" max="11778" width="7.1640625" customWidth="1"/>
    <col min="11779" max="11779" width="47.5" customWidth="1"/>
    <col min="12033" max="12033" width="18.1640625" customWidth="1"/>
    <col min="12034" max="12034" width="7.1640625" customWidth="1"/>
    <col min="12035" max="12035" width="47.5" customWidth="1"/>
    <col min="12289" max="12289" width="18.1640625" customWidth="1"/>
    <col min="12290" max="12290" width="7.1640625" customWidth="1"/>
    <col min="12291" max="12291" width="47.5" customWidth="1"/>
    <col min="12545" max="12545" width="18.1640625" customWidth="1"/>
    <col min="12546" max="12546" width="7.1640625" customWidth="1"/>
    <col min="12547" max="12547" width="47.5" customWidth="1"/>
    <col min="12801" max="12801" width="18.1640625" customWidth="1"/>
    <col min="12802" max="12802" width="7.1640625" customWidth="1"/>
    <col min="12803" max="12803" width="47.5" customWidth="1"/>
    <col min="13057" max="13057" width="18.1640625" customWidth="1"/>
    <col min="13058" max="13058" width="7.1640625" customWidth="1"/>
    <col min="13059" max="13059" width="47.5" customWidth="1"/>
    <col min="13313" max="13313" width="18.1640625" customWidth="1"/>
    <col min="13314" max="13314" width="7.1640625" customWidth="1"/>
    <col min="13315" max="13315" width="47.5" customWidth="1"/>
    <col min="13569" max="13569" width="18.1640625" customWidth="1"/>
    <col min="13570" max="13570" width="7.1640625" customWidth="1"/>
    <col min="13571" max="13571" width="47.5" customWidth="1"/>
    <col min="13825" max="13825" width="18.1640625" customWidth="1"/>
    <col min="13826" max="13826" width="7.1640625" customWidth="1"/>
    <col min="13827" max="13827" width="47.5" customWidth="1"/>
    <col min="14081" max="14081" width="18.1640625" customWidth="1"/>
    <col min="14082" max="14082" width="7.1640625" customWidth="1"/>
    <col min="14083" max="14083" width="47.5" customWidth="1"/>
    <col min="14337" max="14337" width="18.1640625" customWidth="1"/>
    <col min="14338" max="14338" width="7.1640625" customWidth="1"/>
    <col min="14339" max="14339" width="47.5" customWidth="1"/>
    <col min="14593" max="14593" width="18.1640625" customWidth="1"/>
    <col min="14594" max="14594" width="7.1640625" customWidth="1"/>
    <col min="14595" max="14595" width="47.5" customWidth="1"/>
    <col min="14849" max="14849" width="18.1640625" customWidth="1"/>
    <col min="14850" max="14850" width="7.1640625" customWidth="1"/>
    <col min="14851" max="14851" width="47.5" customWidth="1"/>
    <col min="15105" max="15105" width="18.1640625" customWidth="1"/>
    <col min="15106" max="15106" width="7.1640625" customWidth="1"/>
    <col min="15107" max="15107" width="47.5" customWidth="1"/>
    <col min="15361" max="15361" width="18.1640625" customWidth="1"/>
    <col min="15362" max="15362" width="7.1640625" customWidth="1"/>
    <col min="15363" max="15363" width="47.5" customWidth="1"/>
    <col min="15617" max="15617" width="18.1640625" customWidth="1"/>
    <col min="15618" max="15618" width="7.1640625" customWidth="1"/>
    <col min="15619" max="15619" width="47.5" customWidth="1"/>
    <col min="15873" max="15873" width="18.1640625" customWidth="1"/>
    <col min="15874" max="15874" width="7.1640625" customWidth="1"/>
    <col min="15875" max="15875" width="47.5" customWidth="1"/>
    <col min="16129" max="16129" width="18.1640625" customWidth="1"/>
    <col min="16130" max="16130" width="7.1640625" customWidth="1"/>
    <col min="16131" max="16131" width="47.5" customWidth="1"/>
  </cols>
  <sheetData>
    <row r="1" spans="1:3" ht="16" thickBot="1">
      <c r="A1" s="306" t="s">
        <v>183</v>
      </c>
      <c r="B1" s="307"/>
      <c r="C1" s="308"/>
    </row>
    <row r="2" spans="1:3" ht="30" customHeight="1">
      <c r="A2" s="309" t="s">
        <v>184</v>
      </c>
      <c r="B2" s="311" t="s">
        <v>185</v>
      </c>
      <c r="C2" s="54" t="s">
        <v>136</v>
      </c>
    </row>
    <row r="3" spans="1:3">
      <c r="A3" s="310"/>
      <c r="B3" s="312"/>
      <c r="C3" s="55" t="s">
        <v>186</v>
      </c>
    </row>
    <row r="4" spans="1:3" ht="30">
      <c r="A4" s="33" t="s">
        <v>187</v>
      </c>
      <c r="B4" s="53">
        <v>100</v>
      </c>
      <c r="C4" s="35" t="s">
        <v>188</v>
      </c>
    </row>
    <row r="5" spans="1:3" ht="42.75" customHeight="1">
      <c r="A5" s="33" t="s">
        <v>189</v>
      </c>
      <c r="B5" s="53">
        <v>60</v>
      </c>
      <c r="C5" s="35" t="s">
        <v>190</v>
      </c>
    </row>
    <row r="6" spans="1:3" ht="29.25" customHeight="1">
      <c r="A6" s="33" t="s">
        <v>191</v>
      </c>
      <c r="B6" s="53">
        <v>25</v>
      </c>
      <c r="C6" s="35" t="s">
        <v>192</v>
      </c>
    </row>
    <row r="7" spans="1:3" ht="31" thickBot="1">
      <c r="A7" s="36" t="s">
        <v>193</v>
      </c>
      <c r="B7" s="44">
        <v>10</v>
      </c>
      <c r="C7" s="38" t="s">
        <v>194</v>
      </c>
    </row>
  </sheetData>
  <mergeCells count="3">
    <mergeCell ref="A1:C1"/>
    <mergeCell ref="A2:A3"/>
    <mergeCell ref="B2:B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"/>
  <sheetViews>
    <sheetView zoomScaleNormal="100" zoomScaleSheetLayoutView="100" workbookViewId="0">
      <selection sqref="A1:F1"/>
    </sheetView>
  </sheetViews>
  <sheetFormatPr baseColWidth="10" defaultRowHeight="15"/>
  <cols>
    <col min="9" max="9" width="57.5" customWidth="1"/>
    <col min="265" max="265" width="57.5" customWidth="1"/>
    <col min="521" max="521" width="57.5" customWidth="1"/>
    <col min="777" max="777" width="57.5" customWidth="1"/>
    <col min="1033" max="1033" width="57.5" customWidth="1"/>
    <col min="1289" max="1289" width="57.5" customWidth="1"/>
    <col min="1545" max="1545" width="57.5" customWidth="1"/>
    <col min="1801" max="1801" width="57.5" customWidth="1"/>
    <col min="2057" max="2057" width="57.5" customWidth="1"/>
    <col min="2313" max="2313" width="57.5" customWidth="1"/>
    <col min="2569" max="2569" width="57.5" customWidth="1"/>
    <col min="2825" max="2825" width="57.5" customWidth="1"/>
    <col min="3081" max="3081" width="57.5" customWidth="1"/>
    <col min="3337" max="3337" width="57.5" customWidth="1"/>
    <col min="3593" max="3593" width="57.5" customWidth="1"/>
    <col min="3849" max="3849" width="57.5" customWidth="1"/>
    <col min="4105" max="4105" width="57.5" customWidth="1"/>
    <col min="4361" max="4361" width="57.5" customWidth="1"/>
    <col min="4617" max="4617" width="57.5" customWidth="1"/>
    <col min="4873" max="4873" width="57.5" customWidth="1"/>
    <col min="5129" max="5129" width="57.5" customWidth="1"/>
    <col min="5385" max="5385" width="57.5" customWidth="1"/>
    <col min="5641" max="5641" width="57.5" customWidth="1"/>
    <col min="5897" max="5897" width="57.5" customWidth="1"/>
    <col min="6153" max="6153" width="57.5" customWidth="1"/>
    <col min="6409" max="6409" width="57.5" customWidth="1"/>
    <col min="6665" max="6665" width="57.5" customWidth="1"/>
    <col min="6921" max="6921" width="57.5" customWidth="1"/>
    <col min="7177" max="7177" width="57.5" customWidth="1"/>
    <col min="7433" max="7433" width="57.5" customWidth="1"/>
    <col min="7689" max="7689" width="57.5" customWidth="1"/>
    <col min="7945" max="7945" width="57.5" customWidth="1"/>
    <col min="8201" max="8201" width="57.5" customWidth="1"/>
    <col min="8457" max="8457" width="57.5" customWidth="1"/>
    <col min="8713" max="8713" width="57.5" customWidth="1"/>
    <col min="8969" max="8969" width="57.5" customWidth="1"/>
    <col min="9225" max="9225" width="57.5" customWidth="1"/>
    <col min="9481" max="9481" width="57.5" customWidth="1"/>
    <col min="9737" max="9737" width="57.5" customWidth="1"/>
    <col min="9993" max="9993" width="57.5" customWidth="1"/>
    <col min="10249" max="10249" width="57.5" customWidth="1"/>
    <col min="10505" max="10505" width="57.5" customWidth="1"/>
    <col min="10761" max="10761" width="57.5" customWidth="1"/>
    <col min="11017" max="11017" width="57.5" customWidth="1"/>
    <col min="11273" max="11273" width="57.5" customWidth="1"/>
    <col min="11529" max="11529" width="57.5" customWidth="1"/>
    <col min="11785" max="11785" width="57.5" customWidth="1"/>
    <col min="12041" max="12041" width="57.5" customWidth="1"/>
    <col min="12297" max="12297" width="57.5" customWidth="1"/>
    <col min="12553" max="12553" width="57.5" customWidth="1"/>
    <col min="12809" max="12809" width="57.5" customWidth="1"/>
    <col min="13065" max="13065" width="57.5" customWidth="1"/>
    <col min="13321" max="13321" width="57.5" customWidth="1"/>
    <col min="13577" max="13577" width="57.5" customWidth="1"/>
    <col min="13833" max="13833" width="57.5" customWidth="1"/>
    <col min="14089" max="14089" width="57.5" customWidth="1"/>
    <col min="14345" max="14345" width="57.5" customWidth="1"/>
    <col min="14601" max="14601" width="57.5" customWidth="1"/>
    <col min="14857" max="14857" width="57.5" customWidth="1"/>
    <col min="15113" max="15113" width="57.5" customWidth="1"/>
    <col min="15369" max="15369" width="57.5" customWidth="1"/>
    <col min="15625" max="15625" width="57.5" customWidth="1"/>
    <col min="15881" max="15881" width="57.5" customWidth="1"/>
    <col min="16137" max="16137" width="57.5" customWidth="1"/>
  </cols>
  <sheetData>
    <row r="1" spans="1:9">
      <c r="A1" s="316" t="s">
        <v>195</v>
      </c>
      <c r="B1" s="317"/>
      <c r="C1" s="317"/>
      <c r="D1" s="317"/>
      <c r="E1" s="317"/>
      <c r="F1" s="318"/>
      <c r="G1" s="319" t="s">
        <v>196</v>
      </c>
      <c r="H1" s="320"/>
      <c r="I1" s="321"/>
    </row>
    <row r="2" spans="1:9">
      <c r="A2" s="322" t="s">
        <v>197</v>
      </c>
      <c r="B2" s="323"/>
      <c r="C2" s="326" t="s">
        <v>198</v>
      </c>
      <c r="D2" s="327"/>
      <c r="E2" s="327"/>
      <c r="F2" s="327"/>
      <c r="G2" s="328" t="s">
        <v>199</v>
      </c>
      <c r="H2" s="330" t="s">
        <v>200</v>
      </c>
      <c r="I2" s="332" t="s">
        <v>136</v>
      </c>
    </row>
    <row r="3" spans="1:9">
      <c r="A3" s="324"/>
      <c r="B3" s="325"/>
      <c r="C3" s="56" t="s">
        <v>201</v>
      </c>
      <c r="D3" s="56" t="s">
        <v>202</v>
      </c>
      <c r="E3" s="57" t="s">
        <v>203</v>
      </c>
      <c r="F3" s="58" t="s">
        <v>204</v>
      </c>
      <c r="G3" s="329"/>
      <c r="H3" s="331"/>
      <c r="I3" s="333"/>
    </row>
    <row r="4" spans="1:9" ht="32">
      <c r="A4" s="313" t="s">
        <v>205</v>
      </c>
      <c r="B4" s="11">
        <v>100</v>
      </c>
      <c r="C4" s="59" t="s">
        <v>206</v>
      </c>
      <c r="D4" s="59" t="s">
        <v>207</v>
      </c>
      <c r="E4" s="59" t="s">
        <v>208</v>
      </c>
      <c r="F4" s="60" t="s">
        <v>209</v>
      </c>
      <c r="G4" s="61" t="s">
        <v>210</v>
      </c>
      <c r="H4" s="62" t="s">
        <v>211</v>
      </c>
      <c r="I4" s="63" t="s">
        <v>212</v>
      </c>
    </row>
    <row r="5" spans="1:9" ht="32">
      <c r="A5" s="314"/>
      <c r="B5" s="11">
        <v>60</v>
      </c>
      <c r="C5" s="59" t="s">
        <v>213</v>
      </c>
      <c r="D5" s="59" t="s">
        <v>214</v>
      </c>
      <c r="E5" s="64" t="s">
        <v>215</v>
      </c>
      <c r="F5" s="65" t="s">
        <v>216</v>
      </c>
      <c r="G5" s="61" t="s">
        <v>217</v>
      </c>
      <c r="H5" s="66" t="s">
        <v>218</v>
      </c>
      <c r="I5" s="63" t="s">
        <v>219</v>
      </c>
    </row>
    <row r="6" spans="1:9" ht="32">
      <c r="A6" s="314"/>
      <c r="B6" s="11">
        <v>25</v>
      </c>
      <c r="C6" s="59" t="s">
        <v>220</v>
      </c>
      <c r="D6" s="64" t="s">
        <v>221</v>
      </c>
      <c r="E6" s="64" t="s">
        <v>222</v>
      </c>
      <c r="F6" s="67" t="s">
        <v>223</v>
      </c>
      <c r="G6" s="61" t="s">
        <v>224</v>
      </c>
      <c r="H6" s="68" t="s">
        <v>225</v>
      </c>
      <c r="I6" s="63" t="s">
        <v>226</v>
      </c>
    </row>
    <row r="7" spans="1:9" ht="45.75" customHeight="1" thickBot="1">
      <c r="A7" s="315"/>
      <c r="B7" s="16">
        <v>10</v>
      </c>
      <c r="C7" s="69" t="s">
        <v>227</v>
      </c>
      <c r="D7" s="70" t="s">
        <v>228</v>
      </c>
      <c r="E7" s="71" t="s">
        <v>229</v>
      </c>
      <c r="F7" s="72" t="s">
        <v>230</v>
      </c>
      <c r="G7" s="73" t="s">
        <v>231</v>
      </c>
      <c r="H7" s="16">
        <v>20</v>
      </c>
      <c r="I7" s="74" t="s">
        <v>232</v>
      </c>
    </row>
  </sheetData>
  <mergeCells count="8">
    <mergeCell ref="A4:A7"/>
    <mergeCell ref="A1:F1"/>
    <mergeCell ref="G1:I1"/>
    <mergeCell ref="A2:B3"/>
    <mergeCell ref="C2:F2"/>
    <mergeCell ref="G2:G3"/>
    <mergeCell ref="H2:H3"/>
    <mergeCell ref="I2:I3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2"/>
  <sheetViews>
    <sheetView zoomScale="70" zoomScaleNormal="70" workbookViewId="0">
      <selection sqref="A1:H1"/>
    </sheetView>
  </sheetViews>
  <sheetFormatPr baseColWidth="10" defaultRowHeight="15"/>
  <cols>
    <col min="1" max="1" width="5.1640625" bestFit="1" customWidth="1"/>
    <col min="2" max="2" width="13.6640625" customWidth="1"/>
    <col min="3" max="3" width="19.5" customWidth="1"/>
    <col min="4" max="4" width="16.1640625" customWidth="1"/>
    <col min="5" max="5" width="55.1640625" customWidth="1"/>
    <col min="6" max="6" width="19.5" customWidth="1"/>
    <col min="7" max="7" width="49.5" customWidth="1"/>
    <col min="8" max="8" width="26.6640625" customWidth="1"/>
    <col min="257" max="257" width="5.1640625" bestFit="1" customWidth="1"/>
    <col min="258" max="258" width="13.6640625" customWidth="1"/>
    <col min="259" max="259" width="19.5" customWidth="1"/>
    <col min="260" max="260" width="16.1640625" customWidth="1"/>
    <col min="261" max="261" width="55.1640625" customWidth="1"/>
    <col min="262" max="262" width="19.5" customWidth="1"/>
    <col min="263" max="263" width="49.5" customWidth="1"/>
    <col min="264" max="264" width="26.6640625" customWidth="1"/>
    <col min="513" max="513" width="5.1640625" bestFit="1" customWidth="1"/>
    <col min="514" max="514" width="13.6640625" customWidth="1"/>
    <col min="515" max="515" width="19.5" customWidth="1"/>
    <col min="516" max="516" width="16.1640625" customWidth="1"/>
    <col min="517" max="517" width="55.1640625" customWidth="1"/>
    <col min="518" max="518" width="19.5" customWidth="1"/>
    <col min="519" max="519" width="49.5" customWidth="1"/>
    <col min="520" max="520" width="26.6640625" customWidth="1"/>
    <col min="769" max="769" width="5.1640625" bestFit="1" customWidth="1"/>
    <col min="770" max="770" width="13.6640625" customWidth="1"/>
    <col min="771" max="771" width="19.5" customWidth="1"/>
    <col min="772" max="772" width="16.1640625" customWidth="1"/>
    <col min="773" max="773" width="55.1640625" customWidth="1"/>
    <col min="774" max="774" width="19.5" customWidth="1"/>
    <col min="775" max="775" width="49.5" customWidth="1"/>
    <col min="776" max="776" width="26.6640625" customWidth="1"/>
    <col min="1025" max="1025" width="5.1640625" bestFit="1" customWidth="1"/>
    <col min="1026" max="1026" width="13.6640625" customWidth="1"/>
    <col min="1027" max="1027" width="19.5" customWidth="1"/>
    <col min="1028" max="1028" width="16.1640625" customWidth="1"/>
    <col min="1029" max="1029" width="55.1640625" customWidth="1"/>
    <col min="1030" max="1030" width="19.5" customWidth="1"/>
    <col min="1031" max="1031" width="49.5" customWidth="1"/>
    <col min="1032" max="1032" width="26.6640625" customWidth="1"/>
    <col min="1281" max="1281" width="5.1640625" bestFit="1" customWidth="1"/>
    <col min="1282" max="1282" width="13.6640625" customWidth="1"/>
    <col min="1283" max="1283" width="19.5" customWidth="1"/>
    <col min="1284" max="1284" width="16.1640625" customWidth="1"/>
    <col min="1285" max="1285" width="55.1640625" customWidth="1"/>
    <col min="1286" max="1286" width="19.5" customWidth="1"/>
    <col min="1287" max="1287" width="49.5" customWidth="1"/>
    <col min="1288" max="1288" width="26.6640625" customWidth="1"/>
    <col min="1537" max="1537" width="5.1640625" bestFit="1" customWidth="1"/>
    <col min="1538" max="1538" width="13.6640625" customWidth="1"/>
    <col min="1539" max="1539" width="19.5" customWidth="1"/>
    <col min="1540" max="1540" width="16.1640625" customWidth="1"/>
    <col min="1541" max="1541" width="55.1640625" customWidth="1"/>
    <col min="1542" max="1542" width="19.5" customWidth="1"/>
    <col min="1543" max="1543" width="49.5" customWidth="1"/>
    <col min="1544" max="1544" width="26.6640625" customWidth="1"/>
    <col min="1793" max="1793" width="5.1640625" bestFit="1" customWidth="1"/>
    <col min="1794" max="1794" width="13.6640625" customWidth="1"/>
    <col min="1795" max="1795" width="19.5" customWidth="1"/>
    <col min="1796" max="1796" width="16.1640625" customWidth="1"/>
    <col min="1797" max="1797" width="55.1640625" customWidth="1"/>
    <col min="1798" max="1798" width="19.5" customWidth="1"/>
    <col min="1799" max="1799" width="49.5" customWidth="1"/>
    <col min="1800" max="1800" width="26.6640625" customWidth="1"/>
    <col min="2049" max="2049" width="5.1640625" bestFit="1" customWidth="1"/>
    <col min="2050" max="2050" width="13.6640625" customWidth="1"/>
    <col min="2051" max="2051" width="19.5" customWidth="1"/>
    <col min="2052" max="2052" width="16.1640625" customWidth="1"/>
    <col min="2053" max="2053" width="55.1640625" customWidth="1"/>
    <col min="2054" max="2054" width="19.5" customWidth="1"/>
    <col min="2055" max="2055" width="49.5" customWidth="1"/>
    <col min="2056" max="2056" width="26.6640625" customWidth="1"/>
    <col min="2305" max="2305" width="5.1640625" bestFit="1" customWidth="1"/>
    <col min="2306" max="2306" width="13.6640625" customWidth="1"/>
    <col min="2307" max="2307" width="19.5" customWidth="1"/>
    <col min="2308" max="2308" width="16.1640625" customWidth="1"/>
    <col min="2309" max="2309" width="55.1640625" customWidth="1"/>
    <col min="2310" max="2310" width="19.5" customWidth="1"/>
    <col min="2311" max="2311" width="49.5" customWidth="1"/>
    <col min="2312" max="2312" width="26.6640625" customWidth="1"/>
    <col min="2561" max="2561" width="5.1640625" bestFit="1" customWidth="1"/>
    <col min="2562" max="2562" width="13.6640625" customWidth="1"/>
    <col min="2563" max="2563" width="19.5" customWidth="1"/>
    <col min="2564" max="2564" width="16.1640625" customWidth="1"/>
    <col min="2565" max="2565" width="55.1640625" customWidth="1"/>
    <col min="2566" max="2566" width="19.5" customWidth="1"/>
    <col min="2567" max="2567" width="49.5" customWidth="1"/>
    <col min="2568" max="2568" width="26.6640625" customWidth="1"/>
    <col min="2817" max="2817" width="5.1640625" bestFit="1" customWidth="1"/>
    <col min="2818" max="2818" width="13.6640625" customWidth="1"/>
    <col min="2819" max="2819" width="19.5" customWidth="1"/>
    <col min="2820" max="2820" width="16.1640625" customWidth="1"/>
    <col min="2821" max="2821" width="55.1640625" customWidth="1"/>
    <col min="2822" max="2822" width="19.5" customWidth="1"/>
    <col min="2823" max="2823" width="49.5" customWidth="1"/>
    <col min="2824" max="2824" width="26.6640625" customWidth="1"/>
    <col min="3073" max="3073" width="5.1640625" bestFit="1" customWidth="1"/>
    <col min="3074" max="3074" width="13.6640625" customWidth="1"/>
    <col min="3075" max="3075" width="19.5" customWidth="1"/>
    <col min="3076" max="3076" width="16.1640625" customWidth="1"/>
    <col min="3077" max="3077" width="55.1640625" customWidth="1"/>
    <col min="3078" max="3078" width="19.5" customWidth="1"/>
    <col min="3079" max="3079" width="49.5" customWidth="1"/>
    <col min="3080" max="3080" width="26.6640625" customWidth="1"/>
    <col min="3329" max="3329" width="5.1640625" bestFit="1" customWidth="1"/>
    <col min="3330" max="3330" width="13.6640625" customWidth="1"/>
    <col min="3331" max="3331" width="19.5" customWidth="1"/>
    <col min="3332" max="3332" width="16.1640625" customWidth="1"/>
    <col min="3333" max="3333" width="55.1640625" customWidth="1"/>
    <col min="3334" max="3334" width="19.5" customWidth="1"/>
    <col min="3335" max="3335" width="49.5" customWidth="1"/>
    <col min="3336" max="3336" width="26.6640625" customWidth="1"/>
    <col min="3585" max="3585" width="5.1640625" bestFit="1" customWidth="1"/>
    <col min="3586" max="3586" width="13.6640625" customWidth="1"/>
    <col min="3587" max="3587" width="19.5" customWidth="1"/>
    <col min="3588" max="3588" width="16.1640625" customWidth="1"/>
    <col min="3589" max="3589" width="55.1640625" customWidth="1"/>
    <col min="3590" max="3590" width="19.5" customWidth="1"/>
    <col min="3591" max="3591" width="49.5" customWidth="1"/>
    <col min="3592" max="3592" width="26.6640625" customWidth="1"/>
    <col min="3841" max="3841" width="5.1640625" bestFit="1" customWidth="1"/>
    <col min="3842" max="3842" width="13.6640625" customWidth="1"/>
    <col min="3843" max="3843" width="19.5" customWidth="1"/>
    <col min="3844" max="3844" width="16.1640625" customWidth="1"/>
    <col min="3845" max="3845" width="55.1640625" customWidth="1"/>
    <col min="3846" max="3846" width="19.5" customWidth="1"/>
    <col min="3847" max="3847" width="49.5" customWidth="1"/>
    <col min="3848" max="3848" width="26.6640625" customWidth="1"/>
    <col min="4097" max="4097" width="5.1640625" bestFit="1" customWidth="1"/>
    <col min="4098" max="4098" width="13.6640625" customWidth="1"/>
    <col min="4099" max="4099" width="19.5" customWidth="1"/>
    <col min="4100" max="4100" width="16.1640625" customWidth="1"/>
    <col min="4101" max="4101" width="55.1640625" customWidth="1"/>
    <col min="4102" max="4102" width="19.5" customWidth="1"/>
    <col min="4103" max="4103" width="49.5" customWidth="1"/>
    <col min="4104" max="4104" width="26.6640625" customWidth="1"/>
    <col min="4353" max="4353" width="5.1640625" bestFit="1" customWidth="1"/>
    <col min="4354" max="4354" width="13.6640625" customWidth="1"/>
    <col min="4355" max="4355" width="19.5" customWidth="1"/>
    <col min="4356" max="4356" width="16.1640625" customWidth="1"/>
    <col min="4357" max="4357" width="55.1640625" customWidth="1"/>
    <col min="4358" max="4358" width="19.5" customWidth="1"/>
    <col min="4359" max="4359" width="49.5" customWidth="1"/>
    <col min="4360" max="4360" width="26.6640625" customWidth="1"/>
    <col min="4609" max="4609" width="5.1640625" bestFit="1" customWidth="1"/>
    <col min="4610" max="4610" width="13.6640625" customWidth="1"/>
    <col min="4611" max="4611" width="19.5" customWidth="1"/>
    <col min="4612" max="4612" width="16.1640625" customWidth="1"/>
    <col min="4613" max="4613" width="55.1640625" customWidth="1"/>
    <col min="4614" max="4614" width="19.5" customWidth="1"/>
    <col min="4615" max="4615" width="49.5" customWidth="1"/>
    <col min="4616" max="4616" width="26.6640625" customWidth="1"/>
    <col min="4865" max="4865" width="5.1640625" bestFit="1" customWidth="1"/>
    <col min="4866" max="4866" width="13.6640625" customWidth="1"/>
    <col min="4867" max="4867" width="19.5" customWidth="1"/>
    <col min="4868" max="4868" width="16.1640625" customWidth="1"/>
    <col min="4869" max="4869" width="55.1640625" customWidth="1"/>
    <col min="4870" max="4870" width="19.5" customWidth="1"/>
    <col min="4871" max="4871" width="49.5" customWidth="1"/>
    <col min="4872" max="4872" width="26.6640625" customWidth="1"/>
    <col min="5121" max="5121" width="5.1640625" bestFit="1" customWidth="1"/>
    <col min="5122" max="5122" width="13.6640625" customWidth="1"/>
    <col min="5123" max="5123" width="19.5" customWidth="1"/>
    <col min="5124" max="5124" width="16.1640625" customWidth="1"/>
    <col min="5125" max="5125" width="55.1640625" customWidth="1"/>
    <col min="5126" max="5126" width="19.5" customWidth="1"/>
    <col min="5127" max="5127" width="49.5" customWidth="1"/>
    <col min="5128" max="5128" width="26.6640625" customWidth="1"/>
    <col min="5377" max="5377" width="5.1640625" bestFit="1" customWidth="1"/>
    <col min="5378" max="5378" width="13.6640625" customWidth="1"/>
    <col min="5379" max="5379" width="19.5" customWidth="1"/>
    <col min="5380" max="5380" width="16.1640625" customWidth="1"/>
    <col min="5381" max="5381" width="55.1640625" customWidth="1"/>
    <col min="5382" max="5382" width="19.5" customWidth="1"/>
    <col min="5383" max="5383" width="49.5" customWidth="1"/>
    <col min="5384" max="5384" width="26.6640625" customWidth="1"/>
    <col min="5633" max="5633" width="5.1640625" bestFit="1" customWidth="1"/>
    <col min="5634" max="5634" width="13.6640625" customWidth="1"/>
    <col min="5635" max="5635" width="19.5" customWidth="1"/>
    <col min="5636" max="5636" width="16.1640625" customWidth="1"/>
    <col min="5637" max="5637" width="55.1640625" customWidth="1"/>
    <col min="5638" max="5638" width="19.5" customWidth="1"/>
    <col min="5639" max="5639" width="49.5" customWidth="1"/>
    <col min="5640" max="5640" width="26.6640625" customWidth="1"/>
    <col min="5889" max="5889" width="5.1640625" bestFit="1" customWidth="1"/>
    <col min="5890" max="5890" width="13.6640625" customWidth="1"/>
    <col min="5891" max="5891" width="19.5" customWidth="1"/>
    <col min="5892" max="5892" width="16.1640625" customWidth="1"/>
    <col min="5893" max="5893" width="55.1640625" customWidth="1"/>
    <col min="5894" max="5894" width="19.5" customWidth="1"/>
    <col min="5895" max="5895" width="49.5" customWidth="1"/>
    <col min="5896" max="5896" width="26.6640625" customWidth="1"/>
    <col min="6145" max="6145" width="5.1640625" bestFit="1" customWidth="1"/>
    <col min="6146" max="6146" width="13.6640625" customWidth="1"/>
    <col min="6147" max="6147" width="19.5" customWidth="1"/>
    <col min="6148" max="6148" width="16.1640625" customWidth="1"/>
    <col min="6149" max="6149" width="55.1640625" customWidth="1"/>
    <col min="6150" max="6150" width="19.5" customWidth="1"/>
    <col min="6151" max="6151" width="49.5" customWidth="1"/>
    <col min="6152" max="6152" width="26.6640625" customWidth="1"/>
    <col min="6401" max="6401" width="5.1640625" bestFit="1" customWidth="1"/>
    <col min="6402" max="6402" width="13.6640625" customWidth="1"/>
    <col min="6403" max="6403" width="19.5" customWidth="1"/>
    <col min="6404" max="6404" width="16.1640625" customWidth="1"/>
    <col min="6405" max="6405" width="55.1640625" customWidth="1"/>
    <col min="6406" max="6406" width="19.5" customWidth="1"/>
    <col min="6407" max="6407" width="49.5" customWidth="1"/>
    <col min="6408" max="6408" width="26.6640625" customWidth="1"/>
    <col min="6657" max="6657" width="5.1640625" bestFit="1" customWidth="1"/>
    <col min="6658" max="6658" width="13.6640625" customWidth="1"/>
    <col min="6659" max="6659" width="19.5" customWidth="1"/>
    <col min="6660" max="6660" width="16.1640625" customWidth="1"/>
    <col min="6661" max="6661" width="55.1640625" customWidth="1"/>
    <col min="6662" max="6662" width="19.5" customWidth="1"/>
    <col min="6663" max="6663" width="49.5" customWidth="1"/>
    <col min="6664" max="6664" width="26.6640625" customWidth="1"/>
    <col min="6913" max="6913" width="5.1640625" bestFit="1" customWidth="1"/>
    <col min="6914" max="6914" width="13.6640625" customWidth="1"/>
    <col min="6915" max="6915" width="19.5" customWidth="1"/>
    <col min="6916" max="6916" width="16.1640625" customWidth="1"/>
    <col min="6917" max="6917" width="55.1640625" customWidth="1"/>
    <col min="6918" max="6918" width="19.5" customWidth="1"/>
    <col min="6919" max="6919" width="49.5" customWidth="1"/>
    <col min="6920" max="6920" width="26.6640625" customWidth="1"/>
    <col min="7169" max="7169" width="5.1640625" bestFit="1" customWidth="1"/>
    <col min="7170" max="7170" width="13.6640625" customWidth="1"/>
    <col min="7171" max="7171" width="19.5" customWidth="1"/>
    <col min="7172" max="7172" width="16.1640625" customWidth="1"/>
    <col min="7173" max="7173" width="55.1640625" customWidth="1"/>
    <col min="7174" max="7174" width="19.5" customWidth="1"/>
    <col min="7175" max="7175" width="49.5" customWidth="1"/>
    <col min="7176" max="7176" width="26.6640625" customWidth="1"/>
    <col min="7425" max="7425" width="5.1640625" bestFit="1" customWidth="1"/>
    <col min="7426" max="7426" width="13.6640625" customWidth="1"/>
    <col min="7427" max="7427" width="19.5" customWidth="1"/>
    <col min="7428" max="7428" width="16.1640625" customWidth="1"/>
    <col min="7429" max="7429" width="55.1640625" customWidth="1"/>
    <col min="7430" max="7430" width="19.5" customWidth="1"/>
    <col min="7431" max="7431" width="49.5" customWidth="1"/>
    <col min="7432" max="7432" width="26.6640625" customWidth="1"/>
    <col min="7681" max="7681" width="5.1640625" bestFit="1" customWidth="1"/>
    <col min="7682" max="7682" width="13.6640625" customWidth="1"/>
    <col min="7683" max="7683" width="19.5" customWidth="1"/>
    <col min="7684" max="7684" width="16.1640625" customWidth="1"/>
    <col min="7685" max="7685" width="55.1640625" customWidth="1"/>
    <col min="7686" max="7686" width="19.5" customWidth="1"/>
    <col min="7687" max="7687" width="49.5" customWidth="1"/>
    <col min="7688" max="7688" width="26.6640625" customWidth="1"/>
    <col min="7937" max="7937" width="5.1640625" bestFit="1" customWidth="1"/>
    <col min="7938" max="7938" width="13.6640625" customWidth="1"/>
    <col min="7939" max="7939" width="19.5" customWidth="1"/>
    <col min="7940" max="7940" width="16.1640625" customWidth="1"/>
    <col min="7941" max="7941" width="55.1640625" customWidth="1"/>
    <col min="7942" max="7942" width="19.5" customWidth="1"/>
    <col min="7943" max="7943" width="49.5" customWidth="1"/>
    <col min="7944" max="7944" width="26.6640625" customWidth="1"/>
    <col min="8193" max="8193" width="5.1640625" bestFit="1" customWidth="1"/>
    <col min="8194" max="8194" width="13.6640625" customWidth="1"/>
    <col min="8195" max="8195" width="19.5" customWidth="1"/>
    <col min="8196" max="8196" width="16.1640625" customWidth="1"/>
    <col min="8197" max="8197" width="55.1640625" customWidth="1"/>
    <col min="8198" max="8198" width="19.5" customWidth="1"/>
    <col min="8199" max="8199" width="49.5" customWidth="1"/>
    <col min="8200" max="8200" width="26.6640625" customWidth="1"/>
    <col min="8449" max="8449" width="5.1640625" bestFit="1" customWidth="1"/>
    <col min="8450" max="8450" width="13.6640625" customWidth="1"/>
    <col min="8451" max="8451" width="19.5" customWidth="1"/>
    <col min="8452" max="8452" width="16.1640625" customWidth="1"/>
    <col min="8453" max="8453" width="55.1640625" customWidth="1"/>
    <col min="8454" max="8454" width="19.5" customWidth="1"/>
    <col min="8455" max="8455" width="49.5" customWidth="1"/>
    <col min="8456" max="8456" width="26.6640625" customWidth="1"/>
    <col min="8705" max="8705" width="5.1640625" bestFit="1" customWidth="1"/>
    <col min="8706" max="8706" width="13.6640625" customWidth="1"/>
    <col min="8707" max="8707" width="19.5" customWidth="1"/>
    <col min="8708" max="8708" width="16.1640625" customWidth="1"/>
    <col min="8709" max="8709" width="55.1640625" customWidth="1"/>
    <col min="8710" max="8710" width="19.5" customWidth="1"/>
    <col min="8711" max="8711" width="49.5" customWidth="1"/>
    <col min="8712" max="8712" width="26.6640625" customWidth="1"/>
    <col min="8961" max="8961" width="5.1640625" bestFit="1" customWidth="1"/>
    <col min="8962" max="8962" width="13.6640625" customWidth="1"/>
    <col min="8963" max="8963" width="19.5" customWidth="1"/>
    <col min="8964" max="8964" width="16.1640625" customWidth="1"/>
    <col min="8965" max="8965" width="55.1640625" customWidth="1"/>
    <col min="8966" max="8966" width="19.5" customWidth="1"/>
    <col min="8967" max="8967" width="49.5" customWidth="1"/>
    <col min="8968" max="8968" width="26.6640625" customWidth="1"/>
    <col min="9217" max="9217" width="5.1640625" bestFit="1" customWidth="1"/>
    <col min="9218" max="9218" width="13.6640625" customWidth="1"/>
    <col min="9219" max="9219" width="19.5" customWidth="1"/>
    <col min="9220" max="9220" width="16.1640625" customWidth="1"/>
    <col min="9221" max="9221" width="55.1640625" customWidth="1"/>
    <col min="9222" max="9222" width="19.5" customWidth="1"/>
    <col min="9223" max="9223" width="49.5" customWidth="1"/>
    <col min="9224" max="9224" width="26.6640625" customWidth="1"/>
    <col min="9473" max="9473" width="5.1640625" bestFit="1" customWidth="1"/>
    <col min="9474" max="9474" width="13.6640625" customWidth="1"/>
    <col min="9475" max="9475" width="19.5" customWidth="1"/>
    <col min="9476" max="9476" width="16.1640625" customWidth="1"/>
    <col min="9477" max="9477" width="55.1640625" customWidth="1"/>
    <col min="9478" max="9478" width="19.5" customWidth="1"/>
    <col min="9479" max="9479" width="49.5" customWidth="1"/>
    <col min="9480" max="9480" width="26.6640625" customWidth="1"/>
    <col min="9729" max="9729" width="5.1640625" bestFit="1" customWidth="1"/>
    <col min="9730" max="9730" width="13.6640625" customWidth="1"/>
    <col min="9731" max="9731" width="19.5" customWidth="1"/>
    <col min="9732" max="9732" width="16.1640625" customWidth="1"/>
    <col min="9733" max="9733" width="55.1640625" customWidth="1"/>
    <col min="9734" max="9734" width="19.5" customWidth="1"/>
    <col min="9735" max="9735" width="49.5" customWidth="1"/>
    <col min="9736" max="9736" width="26.6640625" customWidth="1"/>
    <col min="9985" max="9985" width="5.1640625" bestFit="1" customWidth="1"/>
    <col min="9986" max="9986" width="13.6640625" customWidth="1"/>
    <col min="9987" max="9987" width="19.5" customWidth="1"/>
    <col min="9988" max="9988" width="16.1640625" customWidth="1"/>
    <col min="9989" max="9989" width="55.1640625" customWidth="1"/>
    <col min="9990" max="9990" width="19.5" customWidth="1"/>
    <col min="9991" max="9991" width="49.5" customWidth="1"/>
    <col min="9992" max="9992" width="26.6640625" customWidth="1"/>
    <col min="10241" max="10241" width="5.1640625" bestFit="1" customWidth="1"/>
    <col min="10242" max="10242" width="13.6640625" customWidth="1"/>
    <col min="10243" max="10243" width="19.5" customWidth="1"/>
    <col min="10244" max="10244" width="16.1640625" customWidth="1"/>
    <col min="10245" max="10245" width="55.1640625" customWidth="1"/>
    <col min="10246" max="10246" width="19.5" customWidth="1"/>
    <col min="10247" max="10247" width="49.5" customWidth="1"/>
    <col min="10248" max="10248" width="26.6640625" customWidth="1"/>
    <col min="10497" max="10497" width="5.1640625" bestFit="1" customWidth="1"/>
    <col min="10498" max="10498" width="13.6640625" customWidth="1"/>
    <col min="10499" max="10499" width="19.5" customWidth="1"/>
    <col min="10500" max="10500" width="16.1640625" customWidth="1"/>
    <col min="10501" max="10501" width="55.1640625" customWidth="1"/>
    <col min="10502" max="10502" width="19.5" customWidth="1"/>
    <col min="10503" max="10503" width="49.5" customWidth="1"/>
    <col min="10504" max="10504" width="26.6640625" customWidth="1"/>
    <col min="10753" max="10753" width="5.1640625" bestFit="1" customWidth="1"/>
    <col min="10754" max="10754" width="13.6640625" customWidth="1"/>
    <col min="10755" max="10755" width="19.5" customWidth="1"/>
    <col min="10756" max="10756" width="16.1640625" customWidth="1"/>
    <col min="10757" max="10757" width="55.1640625" customWidth="1"/>
    <col min="10758" max="10758" width="19.5" customWidth="1"/>
    <col min="10759" max="10759" width="49.5" customWidth="1"/>
    <col min="10760" max="10760" width="26.6640625" customWidth="1"/>
    <col min="11009" max="11009" width="5.1640625" bestFit="1" customWidth="1"/>
    <col min="11010" max="11010" width="13.6640625" customWidth="1"/>
    <col min="11011" max="11011" width="19.5" customWidth="1"/>
    <col min="11012" max="11012" width="16.1640625" customWidth="1"/>
    <col min="11013" max="11013" width="55.1640625" customWidth="1"/>
    <col min="11014" max="11014" width="19.5" customWidth="1"/>
    <col min="11015" max="11015" width="49.5" customWidth="1"/>
    <col min="11016" max="11016" width="26.6640625" customWidth="1"/>
    <col min="11265" max="11265" width="5.1640625" bestFit="1" customWidth="1"/>
    <col min="11266" max="11266" width="13.6640625" customWidth="1"/>
    <col min="11267" max="11267" width="19.5" customWidth="1"/>
    <col min="11268" max="11268" width="16.1640625" customWidth="1"/>
    <col min="11269" max="11269" width="55.1640625" customWidth="1"/>
    <col min="11270" max="11270" width="19.5" customWidth="1"/>
    <col min="11271" max="11271" width="49.5" customWidth="1"/>
    <col min="11272" max="11272" width="26.6640625" customWidth="1"/>
    <col min="11521" max="11521" width="5.1640625" bestFit="1" customWidth="1"/>
    <col min="11522" max="11522" width="13.6640625" customWidth="1"/>
    <col min="11523" max="11523" width="19.5" customWidth="1"/>
    <col min="11524" max="11524" width="16.1640625" customWidth="1"/>
    <col min="11525" max="11525" width="55.1640625" customWidth="1"/>
    <col min="11526" max="11526" width="19.5" customWidth="1"/>
    <col min="11527" max="11527" width="49.5" customWidth="1"/>
    <col min="11528" max="11528" width="26.6640625" customWidth="1"/>
    <col min="11777" max="11777" width="5.1640625" bestFit="1" customWidth="1"/>
    <col min="11778" max="11778" width="13.6640625" customWidth="1"/>
    <col min="11779" max="11779" width="19.5" customWidth="1"/>
    <col min="11780" max="11780" width="16.1640625" customWidth="1"/>
    <col min="11781" max="11781" width="55.1640625" customWidth="1"/>
    <col min="11782" max="11782" width="19.5" customWidth="1"/>
    <col min="11783" max="11783" width="49.5" customWidth="1"/>
    <col min="11784" max="11784" width="26.6640625" customWidth="1"/>
    <col min="12033" max="12033" width="5.1640625" bestFit="1" customWidth="1"/>
    <col min="12034" max="12034" width="13.6640625" customWidth="1"/>
    <col min="12035" max="12035" width="19.5" customWidth="1"/>
    <col min="12036" max="12036" width="16.1640625" customWidth="1"/>
    <col min="12037" max="12037" width="55.1640625" customWidth="1"/>
    <col min="12038" max="12038" width="19.5" customWidth="1"/>
    <col min="12039" max="12039" width="49.5" customWidth="1"/>
    <col min="12040" max="12040" width="26.6640625" customWidth="1"/>
    <col min="12289" max="12289" width="5.1640625" bestFit="1" customWidth="1"/>
    <col min="12290" max="12290" width="13.6640625" customWidth="1"/>
    <col min="12291" max="12291" width="19.5" customWidth="1"/>
    <col min="12292" max="12292" width="16.1640625" customWidth="1"/>
    <col min="12293" max="12293" width="55.1640625" customWidth="1"/>
    <col min="12294" max="12294" width="19.5" customWidth="1"/>
    <col min="12295" max="12295" width="49.5" customWidth="1"/>
    <col min="12296" max="12296" width="26.6640625" customWidth="1"/>
    <col min="12545" max="12545" width="5.1640625" bestFit="1" customWidth="1"/>
    <col min="12546" max="12546" width="13.6640625" customWidth="1"/>
    <col min="12547" max="12547" width="19.5" customWidth="1"/>
    <col min="12548" max="12548" width="16.1640625" customWidth="1"/>
    <col min="12549" max="12549" width="55.1640625" customWidth="1"/>
    <col min="12550" max="12550" width="19.5" customWidth="1"/>
    <col min="12551" max="12551" width="49.5" customWidth="1"/>
    <col min="12552" max="12552" width="26.6640625" customWidth="1"/>
    <col min="12801" max="12801" width="5.1640625" bestFit="1" customWidth="1"/>
    <col min="12802" max="12802" width="13.6640625" customWidth="1"/>
    <col min="12803" max="12803" width="19.5" customWidth="1"/>
    <col min="12804" max="12804" width="16.1640625" customWidth="1"/>
    <col min="12805" max="12805" width="55.1640625" customWidth="1"/>
    <col min="12806" max="12806" width="19.5" customWidth="1"/>
    <col min="12807" max="12807" width="49.5" customWidth="1"/>
    <col min="12808" max="12808" width="26.6640625" customWidth="1"/>
    <col min="13057" max="13057" width="5.1640625" bestFit="1" customWidth="1"/>
    <col min="13058" max="13058" width="13.6640625" customWidth="1"/>
    <col min="13059" max="13059" width="19.5" customWidth="1"/>
    <col min="13060" max="13060" width="16.1640625" customWidth="1"/>
    <col min="13061" max="13061" width="55.1640625" customWidth="1"/>
    <col min="13062" max="13062" width="19.5" customWidth="1"/>
    <col min="13063" max="13063" width="49.5" customWidth="1"/>
    <col min="13064" max="13064" width="26.6640625" customWidth="1"/>
    <col min="13313" max="13313" width="5.1640625" bestFit="1" customWidth="1"/>
    <col min="13314" max="13314" width="13.6640625" customWidth="1"/>
    <col min="13315" max="13315" width="19.5" customWidth="1"/>
    <col min="13316" max="13316" width="16.1640625" customWidth="1"/>
    <col min="13317" max="13317" width="55.1640625" customWidth="1"/>
    <col min="13318" max="13318" width="19.5" customWidth="1"/>
    <col min="13319" max="13319" width="49.5" customWidth="1"/>
    <col min="13320" max="13320" width="26.6640625" customWidth="1"/>
    <col min="13569" max="13569" width="5.1640625" bestFit="1" customWidth="1"/>
    <col min="13570" max="13570" width="13.6640625" customWidth="1"/>
    <col min="13571" max="13571" width="19.5" customWidth="1"/>
    <col min="13572" max="13572" width="16.1640625" customWidth="1"/>
    <col min="13573" max="13573" width="55.1640625" customWidth="1"/>
    <col min="13574" max="13574" width="19.5" customWidth="1"/>
    <col min="13575" max="13575" width="49.5" customWidth="1"/>
    <col min="13576" max="13576" width="26.6640625" customWidth="1"/>
    <col min="13825" max="13825" width="5.1640625" bestFit="1" customWidth="1"/>
    <col min="13826" max="13826" width="13.6640625" customWidth="1"/>
    <col min="13827" max="13827" width="19.5" customWidth="1"/>
    <col min="13828" max="13828" width="16.1640625" customWidth="1"/>
    <col min="13829" max="13829" width="55.1640625" customWidth="1"/>
    <col min="13830" max="13830" width="19.5" customWidth="1"/>
    <col min="13831" max="13831" width="49.5" customWidth="1"/>
    <col min="13832" max="13832" width="26.6640625" customWidth="1"/>
    <col min="14081" max="14081" width="5.1640625" bestFit="1" customWidth="1"/>
    <col min="14082" max="14082" width="13.6640625" customWidth="1"/>
    <col min="14083" max="14083" width="19.5" customWidth="1"/>
    <col min="14084" max="14084" width="16.1640625" customWidth="1"/>
    <col min="14085" max="14085" width="55.1640625" customWidth="1"/>
    <col min="14086" max="14086" width="19.5" customWidth="1"/>
    <col min="14087" max="14087" width="49.5" customWidth="1"/>
    <col min="14088" max="14088" width="26.6640625" customWidth="1"/>
    <col min="14337" max="14337" width="5.1640625" bestFit="1" customWidth="1"/>
    <col min="14338" max="14338" width="13.6640625" customWidth="1"/>
    <col min="14339" max="14339" width="19.5" customWidth="1"/>
    <col min="14340" max="14340" width="16.1640625" customWidth="1"/>
    <col min="14341" max="14341" width="55.1640625" customWidth="1"/>
    <col min="14342" max="14342" width="19.5" customWidth="1"/>
    <col min="14343" max="14343" width="49.5" customWidth="1"/>
    <col min="14344" max="14344" width="26.6640625" customWidth="1"/>
    <col min="14593" max="14593" width="5.1640625" bestFit="1" customWidth="1"/>
    <col min="14594" max="14594" width="13.6640625" customWidth="1"/>
    <col min="14595" max="14595" width="19.5" customWidth="1"/>
    <col min="14596" max="14596" width="16.1640625" customWidth="1"/>
    <col min="14597" max="14597" width="55.1640625" customWidth="1"/>
    <col min="14598" max="14598" width="19.5" customWidth="1"/>
    <col min="14599" max="14599" width="49.5" customWidth="1"/>
    <col min="14600" max="14600" width="26.6640625" customWidth="1"/>
    <col min="14849" max="14849" width="5.1640625" bestFit="1" customWidth="1"/>
    <col min="14850" max="14850" width="13.6640625" customWidth="1"/>
    <col min="14851" max="14851" width="19.5" customWidth="1"/>
    <col min="14852" max="14852" width="16.1640625" customWidth="1"/>
    <col min="14853" max="14853" width="55.1640625" customWidth="1"/>
    <col min="14854" max="14854" width="19.5" customWidth="1"/>
    <col min="14855" max="14855" width="49.5" customWidth="1"/>
    <col min="14856" max="14856" width="26.6640625" customWidth="1"/>
    <col min="15105" max="15105" width="5.1640625" bestFit="1" customWidth="1"/>
    <col min="15106" max="15106" width="13.6640625" customWidth="1"/>
    <col min="15107" max="15107" width="19.5" customWidth="1"/>
    <col min="15108" max="15108" width="16.1640625" customWidth="1"/>
    <col min="15109" max="15109" width="55.1640625" customWidth="1"/>
    <col min="15110" max="15110" width="19.5" customWidth="1"/>
    <col min="15111" max="15111" width="49.5" customWidth="1"/>
    <col min="15112" max="15112" width="26.6640625" customWidth="1"/>
    <col min="15361" max="15361" width="5.1640625" bestFit="1" customWidth="1"/>
    <col min="15362" max="15362" width="13.6640625" customWidth="1"/>
    <col min="15363" max="15363" width="19.5" customWidth="1"/>
    <col min="15364" max="15364" width="16.1640625" customWidth="1"/>
    <col min="15365" max="15365" width="55.1640625" customWidth="1"/>
    <col min="15366" max="15366" width="19.5" customWidth="1"/>
    <col min="15367" max="15367" width="49.5" customWidth="1"/>
    <col min="15368" max="15368" width="26.6640625" customWidth="1"/>
    <col min="15617" max="15617" width="5.1640625" bestFit="1" customWidth="1"/>
    <col min="15618" max="15618" width="13.6640625" customWidth="1"/>
    <col min="15619" max="15619" width="19.5" customWidth="1"/>
    <col min="15620" max="15620" width="16.1640625" customWidth="1"/>
    <col min="15621" max="15621" width="55.1640625" customWidth="1"/>
    <col min="15622" max="15622" width="19.5" customWidth="1"/>
    <col min="15623" max="15623" width="49.5" customWidth="1"/>
    <col min="15624" max="15624" width="26.6640625" customWidth="1"/>
    <col min="15873" max="15873" width="5.1640625" bestFit="1" customWidth="1"/>
    <col min="15874" max="15874" width="13.6640625" customWidth="1"/>
    <col min="15875" max="15875" width="19.5" customWidth="1"/>
    <col min="15876" max="15876" width="16.1640625" customWidth="1"/>
    <col min="15877" max="15877" width="55.1640625" customWidth="1"/>
    <col min="15878" max="15878" width="19.5" customWidth="1"/>
    <col min="15879" max="15879" width="49.5" customWidth="1"/>
    <col min="15880" max="15880" width="26.6640625" customWidth="1"/>
    <col min="16129" max="16129" width="5.1640625" bestFit="1" customWidth="1"/>
    <col min="16130" max="16130" width="13.6640625" customWidth="1"/>
    <col min="16131" max="16131" width="19.5" customWidth="1"/>
    <col min="16132" max="16132" width="16.1640625" customWidth="1"/>
    <col min="16133" max="16133" width="55.1640625" customWidth="1"/>
    <col min="16134" max="16134" width="19.5" customWidth="1"/>
    <col min="16135" max="16135" width="49.5" customWidth="1"/>
    <col min="16136" max="16136" width="26.6640625" customWidth="1"/>
  </cols>
  <sheetData>
    <row r="1" spans="1:8">
      <c r="A1" s="334" t="s">
        <v>233</v>
      </c>
      <c r="B1" s="335"/>
      <c r="C1" s="335"/>
      <c r="D1" s="335"/>
      <c r="E1" s="335"/>
      <c r="F1" s="335"/>
      <c r="G1" s="335"/>
      <c r="H1" s="336"/>
    </row>
    <row r="2" spans="1:8" ht="15" customHeight="1">
      <c r="A2" s="337" t="s">
        <v>234</v>
      </c>
      <c r="B2" s="75" t="s">
        <v>235</v>
      </c>
      <c r="C2" s="75" t="s">
        <v>236</v>
      </c>
      <c r="D2" s="75" t="s">
        <v>237</v>
      </c>
      <c r="E2" s="75" t="s">
        <v>80</v>
      </c>
      <c r="F2" s="75" t="s">
        <v>238</v>
      </c>
      <c r="G2" s="75" t="s">
        <v>239</v>
      </c>
      <c r="H2" s="76" t="s">
        <v>240</v>
      </c>
    </row>
    <row r="3" spans="1:8" ht="77.25" customHeight="1">
      <c r="A3" s="338"/>
      <c r="B3" s="77" t="s">
        <v>241</v>
      </c>
      <c r="C3" s="77" t="s">
        <v>242</v>
      </c>
      <c r="D3" s="77" t="s">
        <v>243</v>
      </c>
      <c r="E3" s="77" t="s">
        <v>244</v>
      </c>
      <c r="F3" s="77" t="s">
        <v>245</v>
      </c>
      <c r="G3" s="77" t="s">
        <v>246</v>
      </c>
      <c r="H3" s="78" t="s">
        <v>54</v>
      </c>
    </row>
    <row r="4" spans="1:8" ht="49.5" customHeight="1">
      <c r="A4" s="338"/>
      <c r="B4" s="77" t="s">
        <v>247</v>
      </c>
      <c r="C4" s="77" t="s">
        <v>248</v>
      </c>
      <c r="D4" s="77" t="s">
        <v>249</v>
      </c>
      <c r="E4" s="77" t="s">
        <v>250</v>
      </c>
      <c r="F4" s="77" t="s">
        <v>251</v>
      </c>
      <c r="G4" s="77" t="s">
        <v>252</v>
      </c>
      <c r="H4" s="78" t="s">
        <v>253</v>
      </c>
    </row>
    <row r="5" spans="1:8" ht="57.75" customHeight="1">
      <c r="A5" s="338"/>
      <c r="B5" s="77" t="s">
        <v>254</v>
      </c>
      <c r="C5" s="77" t="s">
        <v>255</v>
      </c>
      <c r="D5" s="77" t="s">
        <v>256</v>
      </c>
      <c r="E5" s="77" t="s">
        <v>257</v>
      </c>
      <c r="F5" s="77" t="s">
        <v>258</v>
      </c>
      <c r="G5" s="77" t="s">
        <v>259</v>
      </c>
      <c r="H5" s="78" t="s">
        <v>260</v>
      </c>
    </row>
    <row r="6" spans="1:8" ht="46.5" customHeight="1">
      <c r="A6" s="338"/>
      <c r="B6" s="79" t="s">
        <v>261</v>
      </c>
      <c r="C6" s="77" t="s">
        <v>262</v>
      </c>
      <c r="D6" s="77" t="s">
        <v>263</v>
      </c>
      <c r="E6" s="77" t="s">
        <v>264</v>
      </c>
      <c r="F6" s="77" t="s">
        <v>265</v>
      </c>
      <c r="G6" s="77" t="s">
        <v>266</v>
      </c>
      <c r="H6" s="78" t="s">
        <v>267</v>
      </c>
    </row>
    <row r="7" spans="1:8" ht="65.25" customHeight="1">
      <c r="A7" s="338"/>
      <c r="B7" s="77" t="s">
        <v>268</v>
      </c>
      <c r="C7" s="77" t="s">
        <v>269</v>
      </c>
      <c r="D7" s="77" t="s">
        <v>270</v>
      </c>
      <c r="E7" s="77" t="s">
        <v>271</v>
      </c>
      <c r="F7" s="77"/>
      <c r="G7" s="77" t="s">
        <v>272</v>
      </c>
      <c r="H7" s="78" t="s">
        <v>273</v>
      </c>
    </row>
    <row r="8" spans="1:8" ht="45">
      <c r="A8" s="338"/>
      <c r="B8" s="77" t="s">
        <v>274</v>
      </c>
      <c r="C8" s="77" t="s">
        <v>275</v>
      </c>
      <c r="D8" s="77" t="s">
        <v>276</v>
      </c>
      <c r="E8" s="77" t="s">
        <v>277</v>
      </c>
      <c r="F8" s="77"/>
      <c r="G8" s="77" t="s">
        <v>278</v>
      </c>
      <c r="H8" s="78" t="s">
        <v>279</v>
      </c>
    </row>
    <row r="9" spans="1:8" ht="75">
      <c r="A9" s="338"/>
      <c r="B9" s="77" t="s">
        <v>280</v>
      </c>
      <c r="C9" s="77" t="s">
        <v>281</v>
      </c>
      <c r="D9" s="77"/>
      <c r="E9" s="77"/>
      <c r="F9" s="77"/>
      <c r="G9" s="77" t="s">
        <v>282</v>
      </c>
      <c r="H9" s="78"/>
    </row>
    <row r="10" spans="1:8" ht="30">
      <c r="A10" s="338"/>
      <c r="B10" s="80" t="s">
        <v>283</v>
      </c>
      <c r="C10" s="80"/>
      <c r="D10" s="80"/>
      <c r="E10" s="80"/>
      <c r="F10" s="80"/>
      <c r="G10" s="80" t="s">
        <v>284</v>
      </c>
      <c r="H10" s="81"/>
    </row>
    <row r="11" spans="1:8" ht="6" customHeight="1">
      <c r="A11" s="339"/>
      <c r="B11" s="339"/>
      <c r="C11" s="339"/>
      <c r="D11" s="339"/>
      <c r="E11" s="339"/>
      <c r="F11" s="339"/>
      <c r="G11" s="339"/>
      <c r="H11" s="339"/>
    </row>
    <row r="12" spans="1:8" ht="35.25" customHeight="1" thickBot="1">
      <c r="A12" s="340" t="s">
        <v>285</v>
      </c>
      <c r="B12" s="341"/>
      <c r="C12" s="341"/>
      <c r="D12" s="341"/>
      <c r="E12" s="341"/>
      <c r="F12" s="341"/>
      <c r="G12" s="341"/>
      <c r="H12" s="342"/>
    </row>
  </sheetData>
  <mergeCells count="4">
    <mergeCell ref="A1:H1"/>
    <mergeCell ref="A2:A10"/>
    <mergeCell ref="A11:H11"/>
    <mergeCell ref="A12:H12"/>
  </mergeCells>
  <pageMargins left="0.7" right="0.7" top="0.75" bottom="0.75" header="0.3" footer="0.3"/>
  <pageSetup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</vt:i4>
      </vt:variant>
    </vt:vector>
  </HeadingPairs>
  <TitlesOfParts>
    <vt:vector size="11" baseType="lpstr">
      <vt:lpstr>AUXILIAR SG-SST</vt:lpstr>
      <vt:lpstr>PERSONAL OPERATIVO</vt:lpstr>
      <vt:lpstr>1 Nº DAÑO</vt:lpstr>
      <vt:lpstr>2 Nº DEFICIENCIA</vt:lpstr>
      <vt:lpstr>3 Nº EXPOSICIÓN</vt:lpstr>
      <vt:lpstr>4 y  5 Nº PROBABILIDAD</vt:lpstr>
      <vt:lpstr>6 Nº CONSECUENCIAS</vt:lpstr>
      <vt:lpstr>7 Y 8 Nº RIESGO</vt:lpstr>
      <vt:lpstr>CLASIFICACIÒN DE PELIGROS GTC45</vt:lpstr>
      <vt:lpstr>'AUXILIAR SG-SST'!Área_de_impresión</vt:lpstr>
      <vt:lpstr>'PERSONAL OPERATIVO'!Área_de_impresión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CIUDAD-RIO18</dc:creator>
  <cp:lastModifiedBy>FELIX BEDOYA</cp:lastModifiedBy>
  <cp:lastPrinted>2018-11-30T17:26:24Z</cp:lastPrinted>
  <dcterms:created xsi:type="dcterms:W3CDTF">2016-02-10T22:59:01Z</dcterms:created>
  <dcterms:modified xsi:type="dcterms:W3CDTF">2026-06-13T13:51:02Z</dcterms:modified>
</cp:coreProperties>
</file>